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5-KABUSU ROAD\MCC DATA\"/>
    </mc:Choice>
  </mc:AlternateContent>
  <bookViews>
    <workbookView xWindow="-120" yWindow="-120" windowWidth="20730" windowHeight="11160" tabRatio="940" firstSheet="14" activeTab="16"/>
  </bookViews>
  <sheets>
    <sheet name="22.07 RUBAGA-KABUSU" sheetId="93" r:id="rId1"/>
    <sheet name="22.07 KABUSU-RUBAGA" sheetId="94" r:id="rId2"/>
    <sheet name="23.07 RUBAGA-KABUSU" sheetId="95" r:id="rId3"/>
    <sheet name="23.07 KABUSU-RUBAGA" sheetId="96" r:id="rId4"/>
    <sheet name="24.07 RUBAGA-KABUSU" sheetId="97" r:id="rId5"/>
    <sheet name="24.07 KABUSU-RUBAGA" sheetId="98" r:id="rId6"/>
    <sheet name="25.07 RUBAGA-KABUSU" sheetId="99" r:id="rId7"/>
    <sheet name="25.07 KABUSU-RUBAGA" sheetId="100" r:id="rId8"/>
    <sheet name="26.07 RUBAGA-KABUSU-24h" sheetId="101" r:id="rId9"/>
    <sheet name="26.07 KABUSU-RUBAGA-24h" sheetId="109" r:id="rId10"/>
    <sheet name="27.07 RUBAGA-KABUSU-24h" sheetId="105" r:id="rId11"/>
    <sheet name="27.07 KABUSU-RUBAGA-24h" sheetId="110" r:id="rId12"/>
    <sheet name="28.07 RUBAGA-KABUSU" sheetId="103" r:id="rId13"/>
    <sheet name="28.07 KABUSU-RUBAGA" sheetId="104" r:id="rId14"/>
    <sheet name="Avg Week RUBAGA-KABUSU" sheetId="107" r:id="rId15"/>
    <sheet name="Avg Week KABUSU-RUBAGA" sheetId="108" r:id="rId16"/>
    <sheet name="Avg Week RUBAGA-KABUSU-2Dir" sheetId="111" r:id="rId17"/>
  </sheets>
  <externalReferences>
    <externalReference r:id="rId18"/>
  </externalReferences>
  <definedNames>
    <definedName name="_xlnm.Print_Area" localSheetId="1">'22.07 KABUSU-RUBAGA'!$A$1:$AF$60</definedName>
    <definedName name="_xlnm.Print_Area" localSheetId="0">'22.07 RUBAGA-KABUSU'!$A$1:$AF$60</definedName>
    <definedName name="_xlnm.Print_Area" localSheetId="3">'23.07 KABUSU-RUBAGA'!$A$1:$AF$60</definedName>
    <definedName name="_xlnm.Print_Area" localSheetId="2">'23.07 RUBAGA-KABUSU'!$A$1:$AF$60</definedName>
    <definedName name="_xlnm.Print_Area" localSheetId="5">'24.07 KABUSU-RUBAGA'!$A$1:$AF$60</definedName>
    <definedName name="_xlnm.Print_Area" localSheetId="4">'24.07 RUBAGA-KABUSU'!$A$1:$AF$60</definedName>
    <definedName name="_xlnm.Print_Area" localSheetId="7">'25.07 KABUSU-RUBAGA'!$A$1:$AF$60</definedName>
    <definedName name="_xlnm.Print_Area" localSheetId="6">'25.07 RUBAGA-KABUSU'!$A$1:$AF$60</definedName>
    <definedName name="_xlnm.Print_Area" localSheetId="9">'26.07 KABUSU-RUBAGA-24h'!$A$1:$AF$108</definedName>
    <definedName name="_xlnm.Print_Area" localSheetId="8">'26.07 RUBAGA-KABUSU-24h'!$A$1:$AF$108</definedName>
    <definedName name="_xlnm.Print_Area" localSheetId="11">'27.07 KABUSU-RUBAGA-24h'!$A$1:$AF$108</definedName>
    <definedName name="_xlnm.Print_Area" localSheetId="10">'27.07 RUBAGA-KABUSU-24h'!$A$1:$AF$108</definedName>
    <definedName name="_xlnm.Print_Area" localSheetId="13">'28.07 KABUSU-RUBAGA'!$A$1:$AF$60</definedName>
    <definedName name="_xlnm.Print_Area" localSheetId="12">'28.07 RUBAGA-KABUSU'!$A$1:$AF$60</definedName>
    <definedName name="_xlnm.Print_Area" localSheetId="15">'Avg Week KABUSU-RUBAGA'!$A$1:$AF$108</definedName>
    <definedName name="_xlnm.Print_Area" localSheetId="14">'Avg Week RUBAGA-KABUSU'!$A$1:$AF$108</definedName>
    <definedName name="_xlnm.Print_Area" localSheetId="16">'Avg Week RUBAGA-KABUSU-2Dir'!$A$1:$AF$108</definedName>
    <definedName name="_xlnm.Print_Titles" localSheetId="1">'22.07 KABUSU-RUBAGA'!$1:$8</definedName>
    <definedName name="_xlnm.Print_Titles" localSheetId="0">'22.07 RUBAGA-KABUSU'!$1:$8</definedName>
    <definedName name="_xlnm.Print_Titles" localSheetId="3">'23.07 KABUSU-RUBAGA'!$1:$8</definedName>
    <definedName name="_xlnm.Print_Titles" localSheetId="2">'23.07 RUBAGA-KABUSU'!$1:$8</definedName>
    <definedName name="_xlnm.Print_Titles" localSheetId="5">'24.07 KABUSU-RUBAGA'!$1:$8</definedName>
    <definedName name="_xlnm.Print_Titles" localSheetId="4">'24.07 RUBAGA-KABUSU'!$1:$8</definedName>
    <definedName name="_xlnm.Print_Titles" localSheetId="7">'25.07 KABUSU-RUBAGA'!$1:$8</definedName>
    <definedName name="_xlnm.Print_Titles" localSheetId="6">'25.07 RUBAGA-KABUSU'!$1:$8</definedName>
    <definedName name="_xlnm.Print_Titles" localSheetId="9">'26.07 KABUSU-RUBAGA-24h'!$1:$8</definedName>
    <definedName name="_xlnm.Print_Titles" localSheetId="8">'26.07 RUBAGA-KABUSU-24h'!$1:$8</definedName>
    <definedName name="_xlnm.Print_Titles" localSheetId="11">'27.07 KABUSU-RUBAGA-24h'!$1:$8</definedName>
    <definedName name="_xlnm.Print_Titles" localSheetId="10">'27.07 RUBAGA-KABUSU-24h'!$1:$8</definedName>
    <definedName name="_xlnm.Print_Titles" localSheetId="13">'28.07 KABUSU-RUBAGA'!$1:$8</definedName>
    <definedName name="_xlnm.Print_Titles" localSheetId="12">'28.07 RUBAGA-KABUSU'!$1:$8</definedName>
    <definedName name="_xlnm.Print_Titles" localSheetId="15">'Avg Week KABUSU-RUBAGA'!$1:$8</definedName>
    <definedName name="_xlnm.Print_Titles" localSheetId="14">'Avg Week RUBAGA-KABUSU'!$1:$8</definedName>
    <definedName name="_xlnm.Print_Titles" localSheetId="16">'Avg Week RUBAGA-KABUSU-2Dir'!$1:$8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9" i="108" l="1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T22" i="108" s="1"/>
  <c r="E58" i="108"/>
  <c r="F58" i="108"/>
  <c r="G58" i="108"/>
  <c r="W22" i="108" s="1"/>
  <c r="H58" i="108"/>
  <c r="X22" i="108" s="1"/>
  <c r="I58" i="108"/>
  <c r="J58" i="108"/>
  <c r="K58" i="108"/>
  <c r="AA22" i="108" s="1"/>
  <c r="L58" i="108"/>
  <c r="AB22" i="108" s="1"/>
  <c r="M58" i="108"/>
  <c r="N58" i="108"/>
  <c r="C58" i="108"/>
  <c r="S22" i="108" s="1"/>
  <c r="C59" i="107"/>
  <c r="C59" i="111" s="1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C60" i="107"/>
  <c r="C60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C61" i="107"/>
  <c r="C61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C62" i="107"/>
  <c r="D62" i="107"/>
  <c r="E62" i="107"/>
  <c r="F62" i="107"/>
  <c r="G62" i="107"/>
  <c r="H62" i="107"/>
  <c r="I62" i="107"/>
  <c r="J62" i="107"/>
  <c r="K62" i="107"/>
  <c r="L62" i="107"/>
  <c r="M62" i="107"/>
  <c r="N62" i="107"/>
  <c r="C63" i="107"/>
  <c r="C63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C64" i="107"/>
  <c r="C64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C65" i="107"/>
  <c r="C65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C67" i="107"/>
  <c r="C67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C68" i="107"/>
  <c r="C68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C69" i="107"/>
  <c r="C69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C71" i="107"/>
  <c r="C71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C72" i="107"/>
  <c r="C72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C73" i="107"/>
  <c r="C73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C75" i="111" s="1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C76" i="107"/>
  <c r="C76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C77" i="107"/>
  <c r="C77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C79" i="107"/>
  <c r="C79" i="111" s="1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C80" i="107"/>
  <c r="C80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C81" i="107"/>
  <c r="C81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C83" i="107"/>
  <c r="C83" i="111" s="1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C84" i="107"/>
  <c r="C84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C85" i="107"/>
  <c r="C85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C87" i="107"/>
  <c r="C87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C88" i="107"/>
  <c r="C88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C89" i="107"/>
  <c r="C89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C90" i="107"/>
  <c r="D90" i="107"/>
  <c r="E90" i="107"/>
  <c r="F90" i="107"/>
  <c r="G90" i="107"/>
  <c r="H90" i="107"/>
  <c r="I90" i="107"/>
  <c r="J90" i="107"/>
  <c r="K90" i="107"/>
  <c r="L90" i="107"/>
  <c r="M90" i="107"/>
  <c r="N90" i="107"/>
  <c r="C91" i="107"/>
  <c r="C91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C92" i="107"/>
  <c r="C92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C93" i="107"/>
  <c r="C93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C94" i="107"/>
  <c r="D94" i="107"/>
  <c r="E94" i="107"/>
  <c r="F94" i="107"/>
  <c r="G94" i="107"/>
  <c r="H94" i="107"/>
  <c r="I94" i="107"/>
  <c r="J94" i="107"/>
  <c r="K94" i="107"/>
  <c r="L94" i="107"/>
  <c r="M94" i="107"/>
  <c r="N94" i="107"/>
  <c r="C95" i="107"/>
  <c r="C95" i="111" s="1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C96" i="107"/>
  <c r="C96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C97" i="107"/>
  <c r="C97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C99" i="107"/>
  <c r="C99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C100" i="107"/>
  <c r="C100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C101" i="107"/>
  <c r="C101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C103" i="107"/>
  <c r="C103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C104" i="107"/>
  <c r="C104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C105" i="107"/>
  <c r="C105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C57" i="107"/>
  <c r="K58" i="111" l="1"/>
  <c r="AA22" i="111" s="1"/>
  <c r="AA22" i="107"/>
  <c r="G58" i="111"/>
  <c r="W22" i="111" s="1"/>
  <c r="W22" i="107"/>
  <c r="N102" i="111"/>
  <c r="AD33" i="111" s="1"/>
  <c r="AD33" i="107"/>
  <c r="J98" i="111"/>
  <c r="Z32" i="111" s="1"/>
  <c r="Z32" i="107"/>
  <c r="F98" i="111"/>
  <c r="V32" i="111" s="1"/>
  <c r="V32" i="107"/>
  <c r="N94" i="111"/>
  <c r="AD31" i="111" s="1"/>
  <c r="AD31" i="107"/>
  <c r="F94" i="111"/>
  <c r="V31" i="111" s="1"/>
  <c r="V31" i="107"/>
  <c r="N90" i="111"/>
  <c r="AD30" i="111" s="1"/>
  <c r="AD30" i="107"/>
  <c r="J86" i="111"/>
  <c r="Z29" i="111" s="1"/>
  <c r="Z29" i="107"/>
  <c r="J82" i="111"/>
  <c r="Z28" i="111" s="1"/>
  <c r="Z28" i="107"/>
  <c r="F82" i="111"/>
  <c r="V28" i="111" s="1"/>
  <c r="V28" i="107"/>
  <c r="J78" i="111"/>
  <c r="Z27" i="111" s="1"/>
  <c r="Z27" i="107"/>
  <c r="F78" i="111"/>
  <c r="V27" i="111" s="1"/>
  <c r="V27" i="107"/>
  <c r="N74" i="111"/>
  <c r="AD26" i="111" s="1"/>
  <c r="AD26" i="107"/>
  <c r="F74" i="111"/>
  <c r="V26" i="111" s="1"/>
  <c r="V26" i="107"/>
  <c r="N70" i="111"/>
  <c r="AD25" i="111" s="1"/>
  <c r="AD25" i="107"/>
  <c r="N66" i="111"/>
  <c r="AD24" i="111" s="1"/>
  <c r="AD24" i="107"/>
  <c r="J62" i="111"/>
  <c r="Z23" i="111" s="1"/>
  <c r="Z23" i="107"/>
  <c r="F62" i="111"/>
  <c r="V23" i="111" s="1"/>
  <c r="V23" i="107"/>
  <c r="AD33" i="108"/>
  <c r="V33" i="108"/>
  <c r="Z32" i="108"/>
  <c r="Z31" i="108"/>
  <c r="AD30" i="108"/>
  <c r="V30" i="108"/>
  <c r="Z29" i="108"/>
  <c r="AD28" i="108"/>
  <c r="V28" i="108"/>
  <c r="Z27" i="108"/>
  <c r="AD26" i="108"/>
  <c r="V26" i="108"/>
  <c r="Z25" i="108"/>
  <c r="Z24" i="108"/>
  <c r="Z23" i="108"/>
  <c r="J58" i="111"/>
  <c r="Z22" i="111" s="1"/>
  <c r="Z22" i="107"/>
  <c r="F58" i="111"/>
  <c r="V22" i="111" s="1"/>
  <c r="V22" i="107"/>
  <c r="M102" i="111"/>
  <c r="AC33" i="111" s="1"/>
  <c r="AC33" i="107"/>
  <c r="I98" i="111"/>
  <c r="Y32" i="111" s="1"/>
  <c r="Y32" i="107"/>
  <c r="E98" i="111"/>
  <c r="U32" i="111" s="1"/>
  <c r="U32" i="107"/>
  <c r="M94" i="111"/>
  <c r="AC31" i="111" s="1"/>
  <c r="AC31" i="107"/>
  <c r="I90" i="111"/>
  <c r="Y30" i="111" s="1"/>
  <c r="Y30" i="107"/>
  <c r="I86" i="111"/>
  <c r="Y29" i="111" s="1"/>
  <c r="Y29" i="107"/>
  <c r="E86" i="111"/>
  <c r="U29" i="111" s="1"/>
  <c r="U29" i="107"/>
  <c r="M82" i="111"/>
  <c r="AC28" i="111" s="1"/>
  <c r="AC28" i="107"/>
  <c r="E82" i="111"/>
  <c r="U28" i="111" s="1"/>
  <c r="U28" i="107"/>
  <c r="M78" i="111"/>
  <c r="AC27" i="111" s="1"/>
  <c r="AC27" i="107"/>
  <c r="I74" i="111"/>
  <c r="Y26" i="111" s="1"/>
  <c r="Y26" i="107"/>
  <c r="I70" i="111"/>
  <c r="Y25" i="111" s="1"/>
  <c r="Y25" i="107"/>
  <c r="E70" i="111"/>
  <c r="U25" i="111" s="1"/>
  <c r="U25" i="107"/>
  <c r="M66" i="111"/>
  <c r="AC24" i="111" s="1"/>
  <c r="AC24" i="107"/>
  <c r="E66" i="111"/>
  <c r="U24" i="111" s="1"/>
  <c r="U24" i="107"/>
  <c r="M62" i="111"/>
  <c r="AC23" i="111" s="1"/>
  <c r="AC23" i="107"/>
  <c r="E62" i="111"/>
  <c r="U23" i="111" s="1"/>
  <c r="U23" i="107"/>
  <c r="AD22" i="108"/>
  <c r="V22" i="108"/>
  <c r="Y33" i="108"/>
  <c r="AC32" i="108"/>
  <c r="U32" i="108"/>
  <c r="AC31" i="108"/>
  <c r="U31" i="108"/>
  <c r="Y30" i="108"/>
  <c r="AC29" i="108"/>
  <c r="U29" i="108"/>
  <c r="AC28" i="108"/>
  <c r="U28" i="108"/>
  <c r="Y27" i="108"/>
  <c r="AC26" i="108"/>
  <c r="U26" i="108"/>
  <c r="Y25" i="108"/>
  <c r="AC24" i="108"/>
  <c r="U24" i="108"/>
  <c r="AC23" i="108"/>
  <c r="U23" i="108"/>
  <c r="M58" i="111"/>
  <c r="AC22" i="111" s="1"/>
  <c r="AC22" i="107"/>
  <c r="I58" i="111"/>
  <c r="Y22" i="111" s="1"/>
  <c r="Y22" i="107"/>
  <c r="E58" i="111"/>
  <c r="U22" i="111" s="1"/>
  <c r="U22" i="107"/>
  <c r="L102" i="111"/>
  <c r="AB33" i="111" s="1"/>
  <c r="AB33" i="107"/>
  <c r="H102" i="111"/>
  <c r="X33" i="111" s="1"/>
  <c r="X33" i="107"/>
  <c r="D102" i="111"/>
  <c r="T33" i="111" s="1"/>
  <c r="T33" i="107"/>
  <c r="L98" i="111"/>
  <c r="AB32" i="111" s="1"/>
  <c r="AB32" i="107"/>
  <c r="H98" i="111"/>
  <c r="X32" i="111" s="1"/>
  <c r="X32" i="107"/>
  <c r="D98" i="111"/>
  <c r="T32" i="111" s="1"/>
  <c r="T32" i="107"/>
  <c r="L94" i="111"/>
  <c r="AB31" i="111" s="1"/>
  <c r="AB31" i="107"/>
  <c r="H94" i="111"/>
  <c r="X31" i="111" s="1"/>
  <c r="X31" i="107"/>
  <c r="D94" i="111"/>
  <c r="T31" i="111" s="1"/>
  <c r="T31" i="107"/>
  <c r="L90" i="111"/>
  <c r="AB30" i="111" s="1"/>
  <c r="AB30" i="107"/>
  <c r="H90" i="111"/>
  <c r="X30" i="111" s="1"/>
  <c r="X30" i="107"/>
  <c r="D90" i="111"/>
  <c r="T30" i="111" s="1"/>
  <c r="T30" i="107"/>
  <c r="L86" i="111"/>
  <c r="AB29" i="111" s="1"/>
  <c r="AB29" i="107"/>
  <c r="H86" i="111"/>
  <c r="X29" i="111" s="1"/>
  <c r="X29" i="107"/>
  <c r="D86" i="111"/>
  <c r="T29" i="111" s="1"/>
  <c r="T29" i="107"/>
  <c r="L82" i="111"/>
  <c r="AB28" i="111" s="1"/>
  <c r="AB28" i="107"/>
  <c r="H82" i="111"/>
  <c r="X28" i="111" s="1"/>
  <c r="X28" i="107"/>
  <c r="D82" i="111"/>
  <c r="T28" i="111" s="1"/>
  <c r="T28" i="107"/>
  <c r="L78" i="111"/>
  <c r="AB27" i="111" s="1"/>
  <c r="AB27" i="107"/>
  <c r="H78" i="111"/>
  <c r="X27" i="111" s="1"/>
  <c r="X27" i="107"/>
  <c r="D78" i="111"/>
  <c r="T27" i="111" s="1"/>
  <c r="T27" i="107"/>
  <c r="L74" i="111"/>
  <c r="AB26" i="111" s="1"/>
  <c r="AB26" i="107"/>
  <c r="H74" i="111"/>
  <c r="X26" i="111" s="1"/>
  <c r="X26" i="107"/>
  <c r="D74" i="111"/>
  <c r="T26" i="111" s="1"/>
  <c r="T26" i="107"/>
  <c r="L70" i="111"/>
  <c r="AB25" i="111" s="1"/>
  <c r="AB25" i="107"/>
  <c r="H70" i="111"/>
  <c r="X25" i="111" s="1"/>
  <c r="X25" i="107"/>
  <c r="D70" i="111"/>
  <c r="T25" i="111" s="1"/>
  <c r="T25" i="107"/>
  <c r="L66" i="111"/>
  <c r="AB24" i="111" s="1"/>
  <c r="AB24" i="107"/>
  <c r="H66" i="111"/>
  <c r="X24" i="111" s="1"/>
  <c r="X24" i="107"/>
  <c r="D66" i="111"/>
  <c r="T24" i="111" s="1"/>
  <c r="T24" i="107"/>
  <c r="L62" i="111"/>
  <c r="AB23" i="111" s="1"/>
  <c r="AB23" i="107"/>
  <c r="H62" i="111"/>
  <c r="X23" i="111" s="1"/>
  <c r="X23" i="107"/>
  <c r="D62" i="111"/>
  <c r="T23" i="111" s="1"/>
  <c r="T23" i="107"/>
  <c r="AC22" i="108"/>
  <c r="Y22" i="108"/>
  <c r="U22" i="108"/>
  <c r="AB33" i="108"/>
  <c r="X33" i="108"/>
  <c r="T33" i="108"/>
  <c r="AB32" i="108"/>
  <c r="X32" i="108"/>
  <c r="T32" i="108"/>
  <c r="AB31" i="108"/>
  <c r="X31" i="108"/>
  <c r="T31" i="108"/>
  <c r="AB30" i="108"/>
  <c r="X30" i="108"/>
  <c r="T30" i="108"/>
  <c r="AB29" i="108"/>
  <c r="X29" i="108"/>
  <c r="T29" i="108"/>
  <c r="AB28" i="108"/>
  <c r="X28" i="108"/>
  <c r="T28" i="108"/>
  <c r="AB27" i="108"/>
  <c r="X27" i="108"/>
  <c r="T27" i="108"/>
  <c r="AB26" i="108"/>
  <c r="X26" i="108"/>
  <c r="T26" i="108"/>
  <c r="AB25" i="108"/>
  <c r="X25" i="108"/>
  <c r="T25" i="108"/>
  <c r="AB24" i="108"/>
  <c r="X24" i="108"/>
  <c r="T24" i="108"/>
  <c r="AB23" i="108"/>
  <c r="X23" i="108"/>
  <c r="T23" i="108"/>
  <c r="C58" i="111"/>
  <c r="S22" i="111" s="1"/>
  <c r="S22" i="107"/>
  <c r="J102" i="111"/>
  <c r="Z33" i="111" s="1"/>
  <c r="Z33" i="107"/>
  <c r="F102" i="111"/>
  <c r="V33" i="111" s="1"/>
  <c r="V33" i="107"/>
  <c r="N98" i="111"/>
  <c r="AD32" i="111" s="1"/>
  <c r="AD32" i="107"/>
  <c r="J94" i="111"/>
  <c r="Z31" i="111" s="1"/>
  <c r="Z31" i="107"/>
  <c r="J90" i="111"/>
  <c r="Z30" i="111" s="1"/>
  <c r="Z30" i="107"/>
  <c r="F90" i="111"/>
  <c r="V30" i="111" s="1"/>
  <c r="V30" i="107"/>
  <c r="N86" i="111"/>
  <c r="AD29" i="111" s="1"/>
  <c r="AD29" i="107"/>
  <c r="F86" i="111"/>
  <c r="V29" i="111" s="1"/>
  <c r="V29" i="107"/>
  <c r="N82" i="111"/>
  <c r="AD28" i="111" s="1"/>
  <c r="AD28" i="107"/>
  <c r="N78" i="111"/>
  <c r="AD27" i="111" s="1"/>
  <c r="AD27" i="107"/>
  <c r="J74" i="111"/>
  <c r="Z26" i="111" s="1"/>
  <c r="Z26" i="107"/>
  <c r="J70" i="111"/>
  <c r="Z25" i="111" s="1"/>
  <c r="Z25" i="107"/>
  <c r="F70" i="111"/>
  <c r="V25" i="111" s="1"/>
  <c r="V25" i="107"/>
  <c r="J66" i="111"/>
  <c r="Z24" i="111" s="1"/>
  <c r="Z24" i="107"/>
  <c r="F66" i="111"/>
  <c r="V24" i="111" s="1"/>
  <c r="V24" i="107"/>
  <c r="N62" i="111"/>
  <c r="AD23" i="111" s="1"/>
  <c r="AD23" i="107"/>
  <c r="Z33" i="108"/>
  <c r="AD32" i="108"/>
  <c r="V32" i="108"/>
  <c r="AD31" i="108"/>
  <c r="V31" i="108"/>
  <c r="Z30" i="108"/>
  <c r="AD29" i="108"/>
  <c r="V29" i="108"/>
  <c r="Z28" i="108"/>
  <c r="AD27" i="108"/>
  <c r="V27" i="108"/>
  <c r="Z26" i="108"/>
  <c r="AD25" i="108"/>
  <c r="V25" i="108"/>
  <c r="AD24" i="108"/>
  <c r="V24" i="108"/>
  <c r="AD23" i="108"/>
  <c r="V23" i="108"/>
  <c r="N58" i="111"/>
  <c r="AD22" i="111" s="1"/>
  <c r="AD22" i="107"/>
  <c r="I102" i="111"/>
  <c r="Y33" i="111" s="1"/>
  <c r="Y33" i="107"/>
  <c r="E102" i="111"/>
  <c r="U33" i="111" s="1"/>
  <c r="U33" i="107"/>
  <c r="M98" i="111"/>
  <c r="AC32" i="111" s="1"/>
  <c r="AC32" i="107"/>
  <c r="I94" i="111"/>
  <c r="Y31" i="111" s="1"/>
  <c r="Y31" i="107"/>
  <c r="E94" i="111"/>
  <c r="U31" i="111" s="1"/>
  <c r="U31" i="107"/>
  <c r="M90" i="111"/>
  <c r="AC30" i="111" s="1"/>
  <c r="AC30" i="107"/>
  <c r="E90" i="111"/>
  <c r="U30" i="111" s="1"/>
  <c r="U30" i="107"/>
  <c r="M86" i="111"/>
  <c r="AC29" i="111" s="1"/>
  <c r="AC29" i="107"/>
  <c r="I82" i="111"/>
  <c r="Y28" i="111" s="1"/>
  <c r="Y28" i="107"/>
  <c r="I78" i="111"/>
  <c r="Y27" i="111" s="1"/>
  <c r="Y27" i="107"/>
  <c r="E78" i="111"/>
  <c r="U27" i="111" s="1"/>
  <c r="U27" i="107"/>
  <c r="M74" i="111"/>
  <c r="AC26" i="111" s="1"/>
  <c r="AC26" i="107"/>
  <c r="E74" i="111"/>
  <c r="U26" i="111" s="1"/>
  <c r="U26" i="107"/>
  <c r="M70" i="111"/>
  <c r="AC25" i="111" s="1"/>
  <c r="AC25" i="107"/>
  <c r="I66" i="111"/>
  <c r="Y24" i="111" s="1"/>
  <c r="Y24" i="107"/>
  <c r="I62" i="111"/>
  <c r="Y23" i="111" s="1"/>
  <c r="Y23" i="107"/>
  <c r="Z22" i="108"/>
  <c r="AC33" i="108"/>
  <c r="U33" i="108"/>
  <c r="Y32" i="108"/>
  <c r="Y31" i="108"/>
  <c r="AC30" i="108"/>
  <c r="U30" i="108"/>
  <c r="Y29" i="108"/>
  <c r="Y28" i="108"/>
  <c r="AC27" i="108"/>
  <c r="U27" i="108"/>
  <c r="Y26" i="108"/>
  <c r="AC25" i="108"/>
  <c r="U25" i="108"/>
  <c r="Y24" i="108"/>
  <c r="Y23" i="108"/>
  <c r="L58" i="111"/>
  <c r="AB22" i="111" s="1"/>
  <c r="AB22" i="107"/>
  <c r="H58" i="111"/>
  <c r="X22" i="111" s="1"/>
  <c r="X22" i="107"/>
  <c r="D58" i="111"/>
  <c r="T22" i="111" s="1"/>
  <c r="T22" i="107"/>
  <c r="K102" i="111"/>
  <c r="AA33" i="111" s="1"/>
  <c r="AA33" i="107"/>
  <c r="G102" i="111"/>
  <c r="W33" i="111" s="1"/>
  <c r="W33" i="107"/>
  <c r="C102" i="111"/>
  <c r="S33" i="111" s="1"/>
  <c r="S33" i="107"/>
  <c r="K98" i="111"/>
  <c r="AA32" i="111" s="1"/>
  <c r="AA32" i="107"/>
  <c r="G98" i="111"/>
  <c r="W32" i="111" s="1"/>
  <c r="W32" i="107"/>
  <c r="C98" i="111"/>
  <c r="S32" i="111" s="1"/>
  <c r="S32" i="107"/>
  <c r="K94" i="111"/>
  <c r="AA31" i="111" s="1"/>
  <c r="AA31" i="107"/>
  <c r="G94" i="111"/>
  <c r="W31" i="111" s="1"/>
  <c r="W31" i="107"/>
  <c r="C94" i="111"/>
  <c r="S31" i="111" s="1"/>
  <c r="S31" i="107"/>
  <c r="K90" i="111"/>
  <c r="AA30" i="111" s="1"/>
  <c r="AA30" i="107"/>
  <c r="G90" i="111"/>
  <c r="W30" i="111" s="1"/>
  <c r="W30" i="107"/>
  <c r="C90" i="111"/>
  <c r="S30" i="111" s="1"/>
  <c r="S30" i="107"/>
  <c r="K86" i="111"/>
  <c r="AA29" i="111" s="1"/>
  <c r="AA29" i="107"/>
  <c r="G86" i="111"/>
  <c r="W29" i="111" s="1"/>
  <c r="W29" i="107"/>
  <c r="C86" i="111"/>
  <c r="S29" i="111" s="1"/>
  <c r="S29" i="107"/>
  <c r="K82" i="111"/>
  <c r="AA28" i="111" s="1"/>
  <c r="AA28" i="107"/>
  <c r="G82" i="111"/>
  <c r="W28" i="111" s="1"/>
  <c r="W28" i="107"/>
  <c r="C82" i="111"/>
  <c r="S28" i="111" s="1"/>
  <c r="S28" i="107"/>
  <c r="K78" i="111"/>
  <c r="AA27" i="111" s="1"/>
  <c r="AA27" i="107"/>
  <c r="G78" i="111"/>
  <c r="W27" i="111" s="1"/>
  <c r="W27" i="107"/>
  <c r="C78" i="111"/>
  <c r="S27" i="111" s="1"/>
  <c r="S27" i="107"/>
  <c r="K74" i="111"/>
  <c r="AA26" i="111" s="1"/>
  <c r="AA26" i="107"/>
  <c r="G74" i="111"/>
  <c r="W26" i="111" s="1"/>
  <c r="W26" i="107"/>
  <c r="C74" i="111"/>
  <c r="S26" i="111" s="1"/>
  <c r="S26" i="107"/>
  <c r="K70" i="111"/>
  <c r="AA25" i="111" s="1"/>
  <c r="AA25" i="107"/>
  <c r="G70" i="111"/>
  <c r="W25" i="111" s="1"/>
  <c r="W25" i="107"/>
  <c r="C70" i="111"/>
  <c r="S25" i="111" s="1"/>
  <c r="S25" i="107"/>
  <c r="K66" i="111"/>
  <c r="AA24" i="111" s="1"/>
  <c r="AA24" i="107"/>
  <c r="G66" i="111"/>
  <c r="W24" i="111" s="1"/>
  <c r="W24" i="107"/>
  <c r="C66" i="111"/>
  <c r="S24" i="111" s="1"/>
  <c r="S24" i="107"/>
  <c r="K62" i="111"/>
  <c r="AA23" i="111" s="1"/>
  <c r="AA23" i="107"/>
  <c r="G62" i="111"/>
  <c r="W23" i="111" s="1"/>
  <c r="W23" i="107"/>
  <c r="C62" i="111"/>
  <c r="S23" i="111" s="1"/>
  <c r="S23" i="107"/>
  <c r="AA33" i="108"/>
  <c r="W33" i="108"/>
  <c r="S33" i="108"/>
  <c r="AA32" i="108"/>
  <c r="W32" i="108"/>
  <c r="S32" i="108"/>
  <c r="AA31" i="108"/>
  <c r="W31" i="108"/>
  <c r="S31" i="108"/>
  <c r="AA30" i="108"/>
  <c r="W30" i="108"/>
  <c r="S30" i="108"/>
  <c r="AA29" i="108"/>
  <c r="W29" i="108"/>
  <c r="S29" i="108"/>
  <c r="AA28" i="108"/>
  <c r="W28" i="108"/>
  <c r="S28" i="108"/>
  <c r="AA27" i="108"/>
  <c r="W27" i="108"/>
  <c r="S27" i="108"/>
  <c r="AA26" i="108"/>
  <c r="W26" i="108"/>
  <c r="S26" i="108"/>
  <c r="AA25" i="108"/>
  <c r="W25" i="108"/>
  <c r="S25" i="108"/>
  <c r="AA24" i="108"/>
  <c r="W24" i="108"/>
  <c r="S24" i="108"/>
  <c r="AA23" i="108"/>
  <c r="W23" i="108"/>
  <c r="S23" i="108"/>
  <c r="O30" i="104"/>
  <c r="P30" i="104"/>
  <c r="O57" i="105"/>
  <c r="P57" i="105"/>
  <c r="O13" i="98" l="1"/>
  <c r="P13" i="98"/>
  <c r="S13" i="98"/>
  <c r="T13" i="98"/>
  <c r="U13" i="98"/>
  <c r="O41" i="97"/>
  <c r="P41" i="97"/>
  <c r="C3" i="94" l="1"/>
  <c r="K6" i="98" l="1"/>
  <c r="K6" i="99" s="1"/>
  <c r="K6" i="100" s="1"/>
  <c r="K6" i="101" s="1"/>
  <c r="K6" i="109" s="1"/>
  <c r="K6" i="105" s="1"/>
  <c r="K6" i="110" s="1"/>
  <c r="K6" i="103" s="1"/>
  <c r="K5" i="99"/>
  <c r="K5" i="100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G5" i="96"/>
  <c r="K6" i="95"/>
  <c r="K5" i="95"/>
  <c r="G5" i="95"/>
  <c r="K6" i="94"/>
  <c r="G5" i="94"/>
  <c r="G6" i="104"/>
  <c r="G6" i="108" s="1"/>
  <c r="G6" i="110"/>
  <c r="G6" i="100"/>
  <c r="G6" i="98"/>
  <c r="G6" i="109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K5" i="108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D38" i="101" l="1"/>
  <c r="Y39" i="109"/>
  <c r="AD39" i="105"/>
  <c r="X26" i="98"/>
  <c r="AA27" i="99"/>
  <c r="X39" i="105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78" i="108" s="1"/>
  <c r="O82" i="109"/>
  <c r="O82" i="108" s="1"/>
  <c r="O86" i="109"/>
  <c r="O86" i="108" s="1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59" i="108" s="1"/>
  <c r="P63" i="109"/>
  <c r="P63" i="108" s="1"/>
  <c r="P67" i="109"/>
  <c r="P71" i="109"/>
  <c r="P71" i="108" s="1"/>
  <c r="P75" i="109"/>
  <c r="P75" i="108" s="1"/>
  <c r="P79" i="109"/>
  <c r="P79" i="108" s="1"/>
  <c r="P83" i="109"/>
  <c r="P87" i="109"/>
  <c r="P87" i="108" s="1"/>
  <c r="P91" i="109"/>
  <c r="P91" i="108" s="1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0" i="108" s="1"/>
  <c r="P78" i="109"/>
  <c r="P78" i="108" s="1"/>
  <c r="AF27" i="108" s="1"/>
  <c r="P86" i="109"/>
  <c r="P94" i="109"/>
  <c r="P102" i="109"/>
  <c r="P102" i="108" s="1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58" i="108" s="1"/>
  <c r="P66" i="109"/>
  <c r="P66" i="108" s="1"/>
  <c r="P74" i="109"/>
  <c r="P74" i="108" s="1"/>
  <c r="P82" i="109"/>
  <c r="P82" i="108" s="1"/>
  <c r="P90" i="109"/>
  <c r="P90" i="108" s="1"/>
  <c r="P98" i="109"/>
  <c r="P98" i="108" s="1"/>
  <c r="P57" i="109"/>
  <c r="V21" i="109"/>
  <c r="X21" i="109"/>
  <c r="Z21" i="109"/>
  <c r="AB21" i="109"/>
  <c r="AD21" i="109"/>
  <c r="O60" i="109"/>
  <c r="O60" i="108" s="1"/>
  <c r="P60" i="109"/>
  <c r="P60" i="108" s="1"/>
  <c r="P61" i="109"/>
  <c r="P61" i="108" s="1"/>
  <c r="V22" i="109"/>
  <c r="X22" i="109"/>
  <c r="Z22" i="109"/>
  <c r="AB22" i="109"/>
  <c r="AD22" i="109"/>
  <c r="O64" i="109"/>
  <c r="O64" i="108" s="1"/>
  <c r="P64" i="109"/>
  <c r="P64" i="108" s="1"/>
  <c r="P65" i="109"/>
  <c r="P65" i="108" s="1"/>
  <c r="V23" i="109"/>
  <c r="X23" i="109"/>
  <c r="Z23" i="109"/>
  <c r="AB23" i="109"/>
  <c r="AD23" i="109"/>
  <c r="O68" i="109"/>
  <c r="O68" i="108" s="1"/>
  <c r="P68" i="109"/>
  <c r="P68" i="108" s="1"/>
  <c r="P69" i="109"/>
  <c r="P69" i="108" s="1"/>
  <c r="V24" i="109"/>
  <c r="X24" i="109"/>
  <c r="Z24" i="109"/>
  <c r="AB24" i="109"/>
  <c r="AD24" i="109"/>
  <c r="O72" i="109"/>
  <c r="O72" i="108" s="1"/>
  <c r="P72" i="109"/>
  <c r="P72" i="108" s="1"/>
  <c r="P73" i="109"/>
  <c r="P73" i="108" s="1"/>
  <c r="V25" i="109"/>
  <c r="X25" i="109"/>
  <c r="Z25" i="109"/>
  <c r="AB25" i="109"/>
  <c r="AD25" i="109"/>
  <c r="O76" i="109"/>
  <c r="O76" i="108" s="1"/>
  <c r="P76" i="109"/>
  <c r="P76" i="108" s="1"/>
  <c r="P77" i="109"/>
  <c r="P77" i="108" s="1"/>
  <c r="V26" i="109"/>
  <c r="X26" i="109"/>
  <c r="Z26" i="109"/>
  <c r="AB26" i="109"/>
  <c r="AD26" i="109"/>
  <c r="O80" i="109"/>
  <c r="O80" i="108" s="1"/>
  <c r="P80" i="109"/>
  <c r="P80" i="108" s="1"/>
  <c r="P81" i="109"/>
  <c r="P81" i="108" s="1"/>
  <c r="V27" i="109"/>
  <c r="X27" i="109"/>
  <c r="Z27" i="109"/>
  <c r="AB27" i="109"/>
  <c r="AD27" i="109"/>
  <c r="O84" i="109"/>
  <c r="O84" i="108" s="1"/>
  <c r="P84" i="109"/>
  <c r="P84" i="108" s="1"/>
  <c r="P85" i="109"/>
  <c r="P85" i="108" s="1"/>
  <c r="V28" i="109"/>
  <c r="X28" i="109"/>
  <c r="Z28" i="109"/>
  <c r="AB28" i="109"/>
  <c r="AD28" i="109"/>
  <c r="O88" i="109"/>
  <c r="O88" i="108" s="1"/>
  <c r="P88" i="109"/>
  <c r="P88" i="108" s="1"/>
  <c r="P89" i="109"/>
  <c r="P89" i="108" s="1"/>
  <c r="V29" i="109"/>
  <c r="X29" i="109"/>
  <c r="Z29" i="109"/>
  <c r="AB29" i="109"/>
  <c r="AD29" i="109"/>
  <c r="O92" i="109"/>
  <c r="O92" i="108" s="1"/>
  <c r="P92" i="109"/>
  <c r="P92" i="108" s="1"/>
  <c r="P93" i="109"/>
  <c r="P93" i="108" s="1"/>
  <c r="V30" i="109"/>
  <c r="X30" i="109"/>
  <c r="Z30" i="109"/>
  <c r="O96" i="109"/>
  <c r="O96" i="108" s="1"/>
  <c r="P96" i="109"/>
  <c r="P96" i="108" s="1"/>
  <c r="P97" i="109"/>
  <c r="P97" i="108" s="1"/>
  <c r="O100" i="109"/>
  <c r="O100" i="108" s="1"/>
  <c r="P100" i="109"/>
  <c r="P100" i="108" s="1"/>
  <c r="P101" i="109"/>
  <c r="P101" i="108" s="1"/>
  <c r="O104" i="109"/>
  <c r="O104" i="108" s="1"/>
  <c r="P104" i="109"/>
  <c r="P104" i="108" s="1"/>
  <c r="P105" i="109"/>
  <c r="P105" i="108" s="1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P99" i="108" s="1"/>
  <c r="T32" i="109"/>
  <c r="V32" i="109"/>
  <c r="X32" i="109"/>
  <c r="Z32" i="109"/>
  <c r="AB32" i="109"/>
  <c r="AD32" i="109"/>
  <c r="P103" i="109"/>
  <c r="P103" i="108" s="1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1" i="108" s="1"/>
  <c r="O63" i="109"/>
  <c r="O63" i="108" s="1"/>
  <c r="O65" i="109"/>
  <c r="O67" i="109"/>
  <c r="O69" i="109"/>
  <c r="O69" i="108" s="1"/>
  <c r="O71" i="109"/>
  <c r="O71" i="108" s="1"/>
  <c r="O73" i="109"/>
  <c r="O75" i="109"/>
  <c r="O77" i="109"/>
  <c r="O77" i="108" s="1"/>
  <c r="O79" i="109"/>
  <c r="O79" i="108" s="1"/>
  <c r="O81" i="109"/>
  <c r="O83" i="109"/>
  <c r="O85" i="109"/>
  <c r="O85" i="108" s="1"/>
  <c r="O87" i="109"/>
  <c r="O87" i="108" s="1"/>
  <c r="O89" i="109"/>
  <c r="O91" i="109"/>
  <c r="O93" i="109"/>
  <c r="O93" i="108" s="1"/>
  <c r="O95" i="109"/>
  <c r="O95" i="108" s="1"/>
  <c r="O97" i="109"/>
  <c r="O99" i="109"/>
  <c r="O101" i="109"/>
  <c r="O101" i="108" s="1"/>
  <c r="O103" i="109"/>
  <c r="O103" i="108" s="1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P105" i="107" s="1"/>
  <c r="P105" i="111" s="1"/>
  <c r="Y17" i="94"/>
  <c r="P77" i="101"/>
  <c r="P22" i="104"/>
  <c r="P23" i="104"/>
  <c r="P24" i="104"/>
  <c r="O34" i="104"/>
  <c r="O38" i="104"/>
  <c r="O42" i="104"/>
  <c r="O46" i="104"/>
  <c r="O50" i="104"/>
  <c r="O54" i="104"/>
  <c r="P69" i="101"/>
  <c r="P69" i="107" s="1"/>
  <c r="P69" i="111" s="1"/>
  <c r="P91" i="101"/>
  <c r="U15" i="94"/>
  <c r="W17" i="96"/>
  <c r="Z19" i="98"/>
  <c r="AC24" i="103"/>
  <c r="P81" i="101"/>
  <c r="P81" i="107" s="1"/>
  <c r="P63" i="101"/>
  <c r="P97" i="101"/>
  <c r="P97" i="107" s="1"/>
  <c r="P97" i="111" s="1"/>
  <c r="P73" i="101"/>
  <c r="P73" i="107" s="1"/>
  <c r="Y19" i="94"/>
  <c r="P95" i="101"/>
  <c r="P79" i="101"/>
  <c r="P71" i="101"/>
  <c r="P71" i="107" s="1"/>
  <c r="P71" i="111" s="1"/>
  <c r="P59" i="101"/>
  <c r="P59" i="107" s="1"/>
  <c r="P101" i="101"/>
  <c r="P101" i="107" s="1"/>
  <c r="P88" i="101"/>
  <c r="P88" i="107" s="1"/>
  <c r="P88" i="111" s="1"/>
  <c r="P83" i="101"/>
  <c r="P75" i="101"/>
  <c r="P75" i="107" s="1"/>
  <c r="P67" i="101"/>
  <c r="Y14" i="100"/>
  <c r="P99" i="101"/>
  <c r="P99" i="107" s="1"/>
  <c r="P99" i="111" s="1"/>
  <c r="P93" i="101"/>
  <c r="P85" i="101"/>
  <c r="P65" i="101"/>
  <c r="P65" i="107" s="1"/>
  <c r="P65" i="111" s="1"/>
  <c r="P103" i="101"/>
  <c r="P61" i="101"/>
  <c r="O104" i="101"/>
  <c r="O102" i="101"/>
  <c r="O102" i="107" s="1"/>
  <c r="O100" i="101"/>
  <c r="O100" i="107" s="1"/>
  <c r="O100" i="111" s="1"/>
  <c r="O98" i="101"/>
  <c r="O98" i="107" s="1"/>
  <c r="O96" i="101"/>
  <c r="O94" i="101"/>
  <c r="O94" i="107" s="1"/>
  <c r="O92" i="101"/>
  <c r="O92" i="107" s="1"/>
  <c r="O89" i="101"/>
  <c r="O89" i="107" s="1"/>
  <c r="O86" i="101"/>
  <c r="O86" i="107" s="1"/>
  <c r="O84" i="101"/>
  <c r="O84" i="107" s="1"/>
  <c r="O84" i="111" s="1"/>
  <c r="O82" i="101"/>
  <c r="O80" i="101"/>
  <c r="O78" i="101"/>
  <c r="O76" i="101"/>
  <c r="O76" i="107" s="1"/>
  <c r="O76" i="111" s="1"/>
  <c r="O74" i="101"/>
  <c r="O72" i="101"/>
  <c r="O70" i="101"/>
  <c r="O68" i="101"/>
  <c r="O68" i="107" s="1"/>
  <c r="O68" i="111" s="1"/>
  <c r="O66" i="101"/>
  <c r="O64" i="101"/>
  <c r="O62" i="101"/>
  <c r="O60" i="101"/>
  <c r="O60" i="107" s="1"/>
  <c r="O60" i="111" s="1"/>
  <c r="O58" i="101"/>
  <c r="O105" i="101"/>
  <c r="O105" i="107" s="1"/>
  <c r="P104" i="101"/>
  <c r="O103" i="101"/>
  <c r="O103" i="107" s="1"/>
  <c r="P102" i="101"/>
  <c r="O101" i="101"/>
  <c r="O101" i="107" s="1"/>
  <c r="P100" i="101"/>
  <c r="O99" i="101"/>
  <c r="O99" i="107" s="1"/>
  <c r="P98" i="101"/>
  <c r="O97" i="101"/>
  <c r="O97" i="107" s="1"/>
  <c r="P96" i="101"/>
  <c r="O95" i="101"/>
  <c r="O95" i="107" s="1"/>
  <c r="P94" i="101"/>
  <c r="O93" i="101"/>
  <c r="O93" i="107" s="1"/>
  <c r="P92" i="101"/>
  <c r="P92" i="107" s="1"/>
  <c r="P92" i="111" s="1"/>
  <c r="O91" i="101"/>
  <c r="O91" i="107" s="1"/>
  <c r="P90" i="101"/>
  <c r="P90" i="107" s="1"/>
  <c r="O90" i="101"/>
  <c r="O90" i="107" s="1"/>
  <c r="P89" i="101"/>
  <c r="O88" i="101"/>
  <c r="P87" i="101"/>
  <c r="P87" i="107" s="1"/>
  <c r="P87" i="111" s="1"/>
  <c r="O87" i="101"/>
  <c r="P86" i="101"/>
  <c r="P86" i="107" s="1"/>
  <c r="O85" i="101"/>
  <c r="O85" i="107" s="1"/>
  <c r="O85" i="111" s="1"/>
  <c r="P84" i="101"/>
  <c r="P84" i="107" s="1"/>
  <c r="P84" i="111" s="1"/>
  <c r="O83" i="101"/>
  <c r="O83" i="107" s="1"/>
  <c r="P82" i="101"/>
  <c r="O81" i="101"/>
  <c r="P80" i="101"/>
  <c r="O79" i="101"/>
  <c r="O79" i="107" s="1"/>
  <c r="P78" i="101"/>
  <c r="P78" i="107" s="1"/>
  <c r="O77" i="101"/>
  <c r="P76" i="101"/>
  <c r="P76" i="107" s="1"/>
  <c r="P76" i="111" s="1"/>
  <c r="O75" i="101"/>
  <c r="O75" i="107" s="1"/>
  <c r="P74" i="101"/>
  <c r="O73" i="101"/>
  <c r="P72" i="101"/>
  <c r="O71" i="101"/>
  <c r="O71" i="107" s="1"/>
  <c r="P70" i="101"/>
  <c r="O69" i="101"/>
  <c r="P68" i="101"/>
  <c r="P68" i="107" s="1"/>
  <c r="P68" i="111" s="1"/>
  <c r="O67" i="101"/>
  <c r="O67" i="107" s="1"/>
  <c r="P66" i="101"/>
  <c r="O65" i="101"/>
  <c r="P64" i="101"/>
  <c r="O63" i="101"/>
  <c r="O63" i="107" s="1"/>
  <c r="P62" i="101"/>
  <c r="P62" i="107" s="1"/>
  <c r="O61" i="101"/>
  <c r="P60" i="101"/>
  <c r="P60" i="107" s="1"/>
  <c r="P60" i="111" s="1"/>
  <c r="O59" i="101"/>
  <c r="O59" i="107" s="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O69" i="107" l="1"/>
  <c r="O69" i="111" s="1"/>
  <c r="O77" i="107"/>
  <c r="O77" i="111" s="1"/>
  <c r="O103" i="111"/>
  <c r="P79" i="107"/>
  <c r="P79" i="111" s="1"/>
  <c r="AF25" i="108"/>
  <c r="O65" i="107"/>
  <c r="O95" i="111"/>
  <c r="AF26" i="108"/>
  <c r="AF33" i="108"/>
  <c r="O102" i="108"/>
  <c r="P58" i="107"/>
  <c r="P66" i="107"/>
  <c r="P74" i="107"/>
  <c r="P78" i="111"/>
  <c r="AF29" i="107"/>
  <c r="P89" i="107"/>
  <c r="P104" i="107"/>
  <c r="P104" i="111" s="1"/>
  <c r="O96" i="107"/>
  <c r="O104" i="107"/>
  <c r="AE33" i="107" s="1"/>
  <c r="P101" i="111"/>
  <c r="P95" i="107"/>
  <c r="P63" i="107"/>
  <c r="P63" i="111" s="1"/>
  <c r="O99" i="108"/>
  <c r="O91" i="108"/>
  <c r="O91" i="111" s="1"/>
  <c r="O83" i="108"/>
  <c r="O75" i="108"/>
  <c r="O67" i="108"/>
  <c r="O59" i="108"/>
  <c r="AF32" i="108"/>
  <c r="P94" i="108"/>
  <c r="P62" i="108"/>
  <c r="AF23" i="108" s="1"/>
  <c r="O98" i="108"/>
  <c r="AE32" i="108" s="1"/>
  <c r="AE28" i="108"/>
  <c r="O66" i="108"/>
  <c r="AE24" i="108" s="1"/>
  <c r="S35" i="110"/>
  <c r="O61" i="107"/>
  <c r="O61" i="111" s="1"/>
  <c r="O73" i="107"/>
  <c r="O81" i="107"/>
  <c r="O88" i="107"/>
  <c r="O88" i="111" s="1"/>
  <c r="O99" i="111"/>
  <c r="AE31" i="107"/>
  <c r="O70" i="108"/>
  <c r="O59" i="111"/>
  <c r="O63" i="111"/>
  <c r="O67" i="111"/>
  <c r="O71" i="111"/>
  <c r="O75" i="111"/>
  <c r="O79" i="111"/>
  <c r="O83" i="111"/>
  <c r="O87" i="107"/>
  <c r="O87" i="111" s="1"/>
  <c r="AE30" i="107"/>
  <c r="O93" i="111"/>
  <c r="O101" i="111"/>
  <c r="O64" i="107"/>
  <c r="O64" i="111" s="1"/>
  <c r="O72" i="107"/>
  <c r="O72" i="111" s="1"/>
  <c r="O80" i="107"/>
  <c r="O80" i="111" s="1"/>
  <c r="O98" i="111"/>
  <c r="AE32" i="111" s="1"/>
  <c r="AE32" i="107"/>
  <c r="P61" i="107"/>
  <c r="P61" i="111" s="1"/>
  <c r="P93" i="107"/>
  <c r="P93" i="111" s="1"/>
  <c r="P75" i="111"/>
  <c r="P59" i="111"/>
  <c r="P81" i="111"/>
  <c r="P77" i="107"/>
  <c r="P77" i="111" s="1"/>
  <c r="S38" i="105"/>
  <c r="O105" i="108"/>
  <c r="O105" i="111" s="1"/>
  <c r="O97" i="108"/>
  <c r="O97" i="111" s="1"/>
  <c r="O89" i="108"/>
  <c r="AE29" i="108" s="1"/>
  <c r="O81" i="108"/>
  <c r="O73" i="108"/>
  <c r="O65" i="108"/>
  <c r="P95" i="108"/>
  <c r="AF30" i="108"/>
  <c r="AF22" i="108"/>
  <c r="P86" i="108"/>
  <c r="AF29" i="108" s="1"/>
  <c r="P83" i="108"/>
  <c r="AF28" i="108" s="1"/>
  <c r="P67" i="108"/>
  <c r="AF24" i="108" s="1"/>
  <c r="O94" i="108"/>
  <c r="AE31" i="108" s="1"/>
  <c r="AE27" i="108"/>
  <c r="O62" i="108"/>
  <c r="V19" i="108"/>
  <c r="P58" i="111"/>
  <c r="AF22" i="111" s="1"/>
  <c r="P64" i="107"/>
  <c r="P64" i="111" s="1"/>
  <c r="AF25" i="101"/>
  <c r="P70" i="107"/>
  <c r="P72" i="107"/>
  <c r="P72" i="111" s="1"/>
  <c r="P74" i="111"/>
  <c r="AF26" i="111" s="1"/>
  <c r="P80" i="107"/>
  <c r="P80" i="111" s="1"/>
  <c r="AF28" i="101"/>
  <c r="P82" i="107"/>
  <c r="P86" i="111"/>
  <c r="AF29" i="111" s="1"/>
  <c r="P89" i="111"/>
  <c r="P90" i="111"/>
  <c r="P94" i="107"/>
  <c r="P96" i="107"/>
  <c r="P96" i="111" s="1"/>
  <c r="P98" i="107"/>
  <c r="P100" i="107"/>
  <c r="P100" i="111" s="1"/>
  <c r="P102" i="107"/>
  <c r="O58" i="107"/>
  <c r="AE22" i="107" s="1"/>
  <c r="O62" i="107"/>
  <c r="O66" i="107"/>
  <c r="O70" i="107"/>
  <c r="O74" i="107"/>
  <c r="O78" i="107"/>
  <c r="O82" i="107"/>
  <c r="O86" i="111"/>
  <c r="O92" i="111"/>
  <c r="O96" i="111"/>
  <c r="O104" i="111"/>
  <c r="P103" i="107"/>
  <c r="P103" i="111" s="1"/>
  <c r="P85" i="107"/>
  <c r="P85" i="111" s="1"/>
  <c r="P67" i="107"/>
  <c r="P67" i="111" s="1"/>
  <c r="P83" i="107"/>
  <c r="P83" i="111" s="1"/>
  <c r="P95" i="111"/>
  <c r="P73" i="111"/>
  <c r="P91" i="107"/>
  <c r="P91" i="111" s="1"/>
  <c r="O90" i="108"/>
  <c r="O74" i="108"/>
  <c r="AE26" i="108" s="1"/>
  <c r="O58" i="108"/>
  <c r="AE22" i="108" s="1"/>
  <c r="S38" i="110"/>
  <c r="AF32" i="101"/>
  <c r="AF33" i="101"/>
  <c r="Y38" i="105"/>
  <c r="U38" i="109"/>
  <c r="AB26" i="98"/>
  <c r="T19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G106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106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106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AF10" i="108" s="1"/>
  <c r="O52" i="108"/>
  <c r="P47" i="108"/>
  <c r="P26" i="108"/>
  <c r="U24" i="94"/>
  <c r="AC26" i="94"/>
  <c r="O51" i="108"/>
  <c r="O47" i="108"/>
  <c r="O26" i="108"/>
  <c r="D10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106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106" i="108"/>
  <c r="J106" i="108"/>
  <c r="F106" i="108"/>
  <c r="AB11" i="108"/>
  <c r="O41" i="108"/>
  <c r="O33" i="108"/>
  <c r="O25" i="108"/>
  <c r="V15" i="108"/>
  <c r="O23" i="108"/>
  <c r="O19" i="108"/>
  <c r="O15" i="108"/>
  <c r="C106" i="108"/>
  <c r="M106" i="108"/>
  <c r="I106" i="108"/>
  <c r="E106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106" i="107"/>
  <c r="AC10" i="107"/>
  <c r="K106" i="107"/>
  <c r="I106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106" i="107"/>
  <c r="AB10" i="107"/>
  <c r="L106" i="107"/>
  <c r="J106" i="107"/>
  <c r="Z10" i="107"/>
  <c r="X10" i="107"/>
  <c r="H106" i="107"/>
  <c r="F106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M106" i="107"/>
  <c r="E106" i="107"/>
  <c r="AB38" i="105"/>
  <c r="T38" i="105"/>
  <c r="AD10" i="107"/>
  <c r="AD41" i="107" s="1"/>
  <c r="V10" i="107"/>
  <c r="V41" i="107" s="1"/>
  <c r="D106" i="107"/>
  <c r="AA10" i="107"/>
  <c r="AA41" i="107" s="1"/>
  <c r="G106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1" i="107" l="1"/>
  <c r="X41" i="107"/>
  <c r="AB41" i="107"/>
  <c r="W41" i="107"/>
  <c r="Z41" i="108"/>
  <c r="V41" i="108"/>
  <c r="AD12" i="111"/>
  <c r="O90" i="111"/>
  <c r="AE30" i="111" s="1"/>
  <c r="AE30" i="108"/>
  <c r="O82" i="111"/>
  <c r="AE28" i="111" s="1"/>
  <c r="AE28" i="107"/>
  <c r="O66" i="111"/>
  <c r="AE24" i="111" s="1"/>
  <c r="AE24" i="107"/>
  <c r="AF30" i="111"/>
  <c r="P70" i="111"/>
  <c r="AF25" i="111" s="1"/>
  <c r="AF25" i="107"/>
  <c r="O94" i="111"/>
  <c r="AE31" i="111" s="1"/>
  <c r="O73" i="111"/>
  <c r="AF31" i="108"/>
  <c r="AF26" i="107"/>
  <c r="AF22" i="107"/>
  <c r="T41" i="107"/>
  <c r="Z41" i="107"/>
  <c r="AA41" i="108"/>
  <c r="X42" i="109"/>
  <c r="AB41" i="108"/>
  <c r="X41" i="108"/>
  <c r="T12" i="111"/>
  <c r="T13" i="111"/>
  <c r="O78" i="111"/>
  <c r="AE27" i="107"/>
  <c r="O62" i="111"/>
  <c r="AE23" i="107"/>
  <c r="P98" i="111"/>
  <c r="AF32" i="111" s="1"/>
  <c r="AF32" i="107"/>
  <c r="AE23" i="108"/>
  <c r="O89" i="111"/>
  <c r="P66" i="111"/>
  <c r="AF24" i="111" s="1"/>
  <c r="AF24" i="107"/>
  <c r="AE33" i="108"/>
  <c r="O65" i="111"/>
  <c r="S41" i="108"/>
  <c r="U41" i="108"/>
  <c r="T41" i="108"/>
  <c r="AD41" i="108"/>
  <c r="O74" i="111"/>
  <c r="AE26" i="111" s="1"/>
  <c r="AE26" i="107"/>
  <c r="AE25" i="108"/>
  <c r="AF30" i="107"/>
  <c r="AE29" i="107"/>
  <c r="AF27" i="107"/>
  <c r="AF23" i="107"/>
  <c r="O102" i="111"/>
  <c r="AE33" i="111" s="1"/>
  <c r="U41" i="107"/>
  <c r="AC41" i="107"/>
  <c r="W41" i="108"/>
  <c r="AC41" i="108"/>
  <c r="Y41" i="108"/>
  <c r="AE29" i="111"/>
  <c r="O70" i="111"/>
  <c r="AE25" i="111" s="1"/>
  <c r="AE25" i="107"/>
  <c r="P102" i="111"/>
  <c r="AF33" i="111" s="1"/>
  <c r="AF33" i="107"/>
  <c r="P94" i="111"/>
  <c r="AF31" i="111" s="1"/>
  <c r="AF31" i="107"/>
  <c r="P82" i="111"/>
  <c r="AF28" i="111" s="1"/>
  <c r="AF28" i="107"/>
  <c r="O81" i="111"/>
  <c r="AF27" i="111"/>
  <c r="P62" i="111"/>
  <c r="AF23" i="111" s="1"/>
  <c r="O58" i="111"/>
  <c r="AE22" i="111" s="1"/>
  <c r="U36" i="107"/>
  <c r="Y34" i="108"/>
  <c r="S42" i="110"/>
  <c r="AD39" i="107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N106" i="111"/>
  <c r="T10" i="111"/>
  <c r="T41" i="111" s="1"/>
  <c r="AB10" i="11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M106" i="111"/>
  <c r="P17" i="111"/>
  <c r="O21" i="111"/>
  <c r="O37" i="111"/>
  <c r="P41" i="111"/>
  <c r="O42" i="111"/>
  <c r="U20" i="111"/>
  <c r="P53" i="111"/>
  <c r="H106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106" i="111"/>
  <c r="O10" i="111"/>
  <c r="C108" i="110"/>
  <c r="E106" i="111"/>
  <c r="P15" i="111"/>
  <c r="O28" i="111"/>
  <c r="O35" i="111"/>
  <c r="O25" i="111"/>
  <c r="O44" i="111"/>
  <c r="O54" i="111"/>
  <c r="AD10" i="111"/>
  <c r="AD41" i="111" s="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106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G106" i="111"/>
  <c r="AA10" i="111"/>
  <c r="AA41" i="111" s="1"/>
  <c r="K106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F41" i="108" s="1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O106" i="108"/>
  <c r="H108" i="108" s="1"/>
  <c r="U36" i="108"/>
  <c r="V36" i="107"/>
  <c r="AD37" i="107"/>
  <c r="AD35" i="107"/>
  <c r="P106" i="107"/>
  <c r="C107" i="107" s="1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P106" i="108"/>
  <c r="H107" i="108" s="1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AE11" i="107"/>
  <c r="V35" i="107"/>
  <c r="AD40" i="107"/>
  <c r="AD42" i="107" s="1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41" i="107" l="1"/>
  <c r="Y41" i="111"/>
  <c r="Z41" i="111"/>
  <c r="AC42" i="107"/>
  <c r="AD42" i="108"/>
  <c r="S42" i="108"/>
  <c r="X42" i="108"/>
  <c r="Z42" i="107"/>
  <c r="W42" i="107"/>
  <c r="AE40" i="107"/>
  <c r="AE41" i="107"/>
  <c r="AE42" i="107" s="1"/>
  <c r="AE41" i="108"/>
  <c r="AC41" i="111"/>
  <c r="Y42" i="108"/>
  <c r="U42" i="107"/>
  <c r="T42" i="108"/>
  <c r="AE27" i="111"/>
  <c r="AB42" i="108"/>
  <c r="T42" i="107"/>
  <c r="AB42" i="107"/>
  <c r="U41" i="111"/>
  <c r="V41" i="111"/>
  <c r="W41" i="111"/>
  <c r="AC42" i="108"/>
  <c r="V42" i="108"/>
  <c r="X42" i="107"/>
  <c r="AB41" i="111"/>
  <c r="S41" i="111"/>
  <c r="W42" i="108"/>
  <c r="U42" i="108"/>
  <c r="AE23" i="111"/>
  <c r="AA42" i="108"/>
  <c r="Z42" i="108"/>
  <c r="S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O106" i="111"/>
  <c r="K108" i="111" s="1"/>
  <c r="P106" i="111"/>
  <c r="N107" i="111" s="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42" i="111" s="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AF42" i="108" s="1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B42" i="111" l="1"/>
  <c r="AC42" i="111"/>
  <c r="W42" i="111"/>
  <c r="AE42" i="108"/>
  <c r="Y42" i="111"/>
  <c r="AF41" i="111"/>
  <c r="V42" i="111"/>
  <c r="Z42" i="111"/>
  <c r="AF42" i="107"/>
  <c r="AE41" i="111"/>
  <c r="S42" i="111"/>
  <c r="U42" i="111"/>
  <c r="AF34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  <c r="AF42" i="111"/>
</calcChain>
</file>

<file path=xl/sharedStrings.xml><?xml version="1.0" encoding="utf-8"?>
<sst xmlns="http://schemas.openxmlformats.org/spreadsheetml/2006/main" count="2337" uniqueCount="179">
  <si>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</si>
  <si>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</si>
  <si>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</si>
  <si>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</si>
  <si>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</si>
  <si>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</si>
  <si>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</si>
  <si>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</si>
  <si>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</si>
  <si>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</si>
  <si>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</si>
  <si>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</si>
  <si>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</si>
  <si>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</si>
  <si>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</si>
  <si>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</si>
  <si>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</si>
  <si>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</si>
  <si>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</si>
  <si>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</si>
  <si>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</si>
  <si>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</si>
  <si>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</si>
  <si>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</si>
  <si>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</si>
  <si>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</si>
  <si>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</si>
  <si>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</si>
  <si>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</si>
  <si>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</si>
  <si>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</si>
  <si>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</si>
  <si>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</si>
  <si>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</si>
  <si>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</si>
  <si>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</si>
  <si>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</si>
  <si>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</si>
  <si>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</si>
  <si>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</si>
  <si>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</si>
  <si>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</si>
  <si>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</si>
  <si>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</si>
  <si>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</si>
  <si>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</si>
  <si>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</si>
  <si>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</si>
  <si>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</si>
  <si>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</si>
  <si>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</si>
  <si>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</si>
  <si>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</si>
  <si>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</si>
  <si>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</si>
  <si>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</si>
  <si>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</si>
  <si>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</si>
  <si>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</si>
  <si>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</si>
  <si>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</si>
  <si>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</si>
  <si>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</si>
  <si>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</si>
  <si>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</si>
  <si>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</si>
  <si>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</si>
  <si>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</si>
  <si>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</si>
  <si>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</si>
  <si>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</si>
  <si>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</si>
  <si>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</si>
  <si>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</si>
  <si>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</si>
  <si>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</si>
  <si>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</si>
  <si>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</si>
  <si>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</si>
  <si>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</si>
  <si>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</si>
  <si>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</si>
  <si>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</si>
  <si>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</si>
  <si>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</si>
  <si>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</si>
  <si>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</si>
  <si>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</si>
  <si>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</si>
  <si>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</si>
  <si>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</si>
  <si>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</si>
  <si>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</si>
  <si>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</si>
  <si>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</si>
  <si>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</si>
  <si>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</si>
  <si>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</si>
  <si>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</si>
  <si>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</si>
  <si>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</si>
  <si>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</si>
  <si>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</si>
  <si>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</si>
  <si>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</si>
  <si>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</si>
  <si>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</si>
  <si>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</si>
  <si>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</si>
  <si>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</si>
  <si>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</si>
  <si>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</si>
  <si>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</si>
  <si>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</si>
  <si>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</si>
  <si>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</si>
  <si>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</si>
  <si>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</si>
  <si>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</si>
  <si>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</si>
  <si>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</si>
  <si>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</si>
  <si>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</si>
  <si>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</si>
  <si>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</si>
  <si>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</si>
  <si>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</si>
  <si>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</si>
  <si>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</si>
  <si>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</si>
  <si>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</si>
  <si>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</si>
  <si>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</si>
  <si>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</si>
  <si>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</si>
  <si>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</si>
  <si>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</si>
  <si>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</si>
  <si>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</si>
  <si>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</si>
  <si>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</si>
  <si>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</si>
  <si>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</si>
  <si>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</si>
  <si>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</si>
  <si>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</si>
  <si>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</si>
  <si>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</si>
  <si>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</si>
  <si>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</si>
  <si>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</si>
  <si>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</si>
  <si>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</si>
  <si>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</si>
  <si>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</si>
  <si>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</si>
  <si>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</si>
  <si>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</si>
  <si>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</si>
  <si>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</si>
  <si>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</si>
  <si>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</si>
  <si>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</si>
  <si>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</si>
  <si>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</si>
  <si>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</si>
  <si>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</si>
  <si>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</si>
  <si>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</si>
  <si>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</si>
  <si>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MCC - C1 - STN05 - KABUSU ROAD</t>
  </si>
  <si>
    <t>KABUSU</t>
  </si>
  <si>
    <t>DENIS</t>
  </si>
  <si>
    <t>EMMANUEL EGIMU</t>
  </si>
  <si>
    <t>CHAD SUPERMARKET</t>
  </si>
  <si>
    <t>MBERE IVAN</t>
  </si>
  <si>
    <t>RUBAGA</t>
  </si>
  <si>
    <t>29*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</si>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</sst>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RUBAGA-KABUSU'!$AE$9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RUBAGA-KABUSU'!$AE$10:$AE$21</c:f>
              <c:numCache>
                <c:formatCode>0</c:formatCode>
                <c:ptCount val="12"/>
                <c:pt idx="0">
                  <c:v>171</c:v>
                </c:pt>
                <c:pt idx="1">
                  <c:v>241</c:v>
                </c:pt>
                <c:pt idx="2">
                  <c:v>234</c:v>
                </c:pt>
                <c:pt idx="3">
                  <c:v>252</c:v>
                </c:pt>
                <c:pt idx="4">
                  <c:v>251</c:v>
                </c:pt>
                <c:pt idx="5">
                  <c:v>258</c:v>
                </c:pt>
                <c:pt idx="6">
                  <c:v>290</c:v>
                </c:pt>
                <c:pt idx="7">
                  <c:v>258</c:v>
                </c:pt>
                <c:pt idx="8">
                  <c:v>252</c:v>
                </c:pt>
                <c:pt idx="9">
                  <c:v>318</c:v>
                </c:pt>
                <c:pt idx="10">
                  <c:v>415</c:v>
                </c:pt>
                <c:pt idx="11">
                  <c:v>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RUBAGA-KABUSU'!$AF$9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RUBAGA-KABUSU'!$AF$10:$AF$21</c:f>
              <c:numCache>
                <c:formatCode>0</c:formatCode>
                <c:ptCount val="12"/>
                <c:pt idx="0">
                  <c:v>564</c:v>
                </c:pt>
                <c:pt idx="1">
                  <c:v>1375</c:v>
                </c:pt>
                <c:pt idx="2">
                  <c:v>1199</c:v>
                </c:pt>
                <c:pt idx="3">
                  <c:v>966</c:v>
                </c:pt>
                <c:pt idx="4">
                  <c:v>848</c:v>
                </c:pt>
                <c:pt idx="5">
                  <c:v>894</c:v>
                </c:pt>
                <c:pt idx="6">
                  <c:v>867</c:v>
                </c:pt>
                <c:pt idx="7">
                  <c:v>818</c:v>
                </c:pt>
                <c:pt idx="8">
                  <c:v>401</c:v>
                </c:pt>
                <c:pt idx="9">
                  <c:v>899</c:v>
                </c:pt>
                <c:pt idx="10">
                  <c:v>983</c:v>
                </c:pt>
                <c:pt idx="11">
                  <c:v>1169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98320"/>
        <c:axId val="265903760"/>
      </c:lineChart>
      <c:catAx>
        <c:axId val="26589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903760"/>
        <c:crosses val="autoZero"/>
        <c:auto val="1"/>
        <c:lblAlgn val="ctr"/>
        <c:lblOffset val="100"/>
        <c:noMultiLvlLbl val="0"/>
      </c:catAx>
      <c:valAx>
        <c:axId val="265903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RUBAGA-KABUSU'!$C$59:$N$59</c:f>
              <c:numCache>
                <c:formatCode>0.0%</c:formatCode>
                <c:ptCount val="12"/>
                <c:pt idx="0">
                  <c:v>0.16279704998634253</c:v>
                </c:pt>
                <c:pt idx="1">
                  <c:v>2.9591186378949284E-2</c:v>
                </c:pt>
                <c:pt idx="2">
                  <c:v>1.4750068287353183E-2</c:v>
                </c:pt>
                <c:pt idx="3">
                  <c:v>7.1656195939178727E-2</c:v>
                </c:pt>
                <c:pt idx="4">
                  <c:v>2.9135937357734681E-3</c:v>
                </c:pt>
                <c:pt idx="5">
                  <c:v>1.0015478466721297E-3</c:v>
                </c:pt>
                <c:pt idx="6">
                  <c:v>1.666211417645452E-2</c:v>
                </c:pt>
                <c:pt idx="7">
                  <c:v>1.3566420832195211E-2</c:v>
                </c:pt>
                <c:pt idx="8">
                  <c:v>2.3672949103159427E-3</c:v>
                </c:pt>
                <c:pt idx="9">
                  <c:v>1.0925976509150504E-3</c:v>
                </c:pt>
                <c:pt idx="10">
                  <c:v>0.68351088045160702</c:v>
                </c:pt>
                <c:pt idx="11">
                  <c:v>9.1049804242920878E-5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RUBAGA-KABUSU'!$C$60:$N$60</c:f>
              <c:numCache>
                <c:formatCode>0.00%</c:formatCode>
                <c:ptCount val="12"/>
                <c:pt idx="0">
                  <c:v>0.51438434982738779</c:v>
                </c:pt>
                <c:pt idx="1">
                  <c:v>9.3498273878020718E-2</c:v>
                </c:pt>
                <c:pt idx="2">
                  <c:v>4.6605293440736481E-2</c:v>
                </c:pt>
                <c:pt idx="3">
                  <c:v>0.22640966628308401</c:v>
                </c:pt>
                <c:pt idx="4">
                  <c:v>9.2059838895281933E-3</c:v>
                </c:pt>
                <c:pt idx="5">
                  <c:v>3.1645569620253164E-3</c:v>
                </c:pt>
                <c:pt idx="6">
                  <c:v>5.2646720368239357E-2</c:v>
                </c:pt>
                <c:pt idx="7">
                  <c:v>4.2865362485615649E-2</c:v>
                </c:pt>
                <c:pt idx="8">
                  <c:v>7.4798619102416572E-3</c:v>
                </c:pt>
                <c:pt idx="9">
                  <c:v>3.4522439585730723E-3</c:v>
                </c:pt>
                <c:pt idx="11">
                  <c:v>2.8768699654775604E-4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KABUSU-RUBAGA'!$AE$9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KABUSU-RUBAGA'!$AE$10:$AE$21</c:f>
              <c:numCache>
                <c:formatCode>0</c:formatCode>
                <c:ptCount val="12"/>
                <c:pt idx="0">
                  <c:v>395</c:v>
                </c:pt>
                <c:pt idx="1">
                  <c:v>509</c:v>
                </c:pt>
                <c:pt idx="2">
                  <c:v>448</c:v>
                </c:pt>
                <c:pt idx="3">
                  <c:v>426</c:v>
                </c:pt>
                <c:pt idx="4">
                  <c:v>363</c:v>
                </c:pt>
                <c:pt idx="5">
                  <c:v>393</c:v>
                </c:pt>
                <c:pt idx="6">
                  <c:v>333</c:v>
                </c:pt>
                <c:pt idx="7">
                  <c:v>278</c:v>
                </c:pt>
                <c:pt idx="8">
                  <c:v>299</c:v>
                </c:pt>
                <c:pt idx="9">
                  <c:v>328</c:v>
                </c:pt>
                <c:pt idx="10">
                  <c:v>368</c:v>
                </c:pt>
                <c:pt idx="11">
                  <c:v>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KABUSU-RUBAGA'!$AF$9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KABUSU-RUBAGA'!$AF$10:$AF$21</c:f>
              <c:numCache>
                <c:formatCode>0</c:formatCode>
                <c:ptCount val="12"/>
                <c:pt idx="0">
                  <c:v>1131</c:v>
                </c:pt>
                <c:pt idx="1">
                  <c:v>1589</c:v>
                </c:pt>
                <c:pt idx="2">
                  <c:v>1408</c:v>
                </c:pt>
                <c:pt idx="3">
                  <c:v>1097</c:v>
                </c:pt>
                <c:pt idx="4">
                  <c:v>1034</c:v>
                </c:pt>
                <c:pt idx="5">
                  <c:v>1141</c:v>
                </c:pt>
                <c:pt idx="6">
                  <c:v>927</c:v>
                </c:pt>
                <c:pt idx="7">
                  <c:v>878</c:v>
                </c:pt>
                <c:pt idx="8">
                  <c:v>523</c:v>
                </c:pt>
                <c:pt idx="9">
                  <c:v>1070</c:v>
                </c:pt>
                <c:pt idx="10">
                  <c:v>1184</c:v>
                </c:pt>
                <c:pt idx="11">
                  <c:v>1399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95056"/>
        <c:axId val="265904304"/>
      </c:lineChart>
      <c:catAx>
        <c:axId val="265895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904304"/>
        <c:crosses val="autoZero"/>
        <c:auto val="1"/>
        <c:lblAlgn val="ctr"/>
        <c:lblOffset val="100"/>
        <c:noMultiLvlLbl val="0"/>
      </c:catAx>
      <c:valAx>
        <c:axId val="265904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KABUSU-RUBAGA'!$C$59:$N$59</c:f>
              <c:numCache>
                <c:formatCode>0.0%</c:formatCode>
                <c:ptCount val="12"/>
                <c:pt idx="0">
                  <c:v>0.10380390105373291</c:v>
                </c:pt>
                <c:pt idx="1">
                  <c:v>9.0351991629923023E-2</c:v>
                </c:pt>
                <c:pt idx="2">
                  <c:v>1.8085344892011062E-2</c:v>
                </c:pt>
                <c:pt idx="3">
                  <c:v>9.5433824078917873E-2</c:v>
                </c:pt>
                <c:pt idx="4">
                  <c:v>1.3451909423809879E-3</c:v>
                </c:pt>
                <c:pt idx="5">
                  <c:v>1.1957252821164336E-3</c:v>
                </c:pt>
                <c:pt idx="6">
                  <c:v>1.6740153949630073E-2</c:v>
                </c:pt>
                <c:pt idx="7">
                  <c:v>5.9038935804498916E-3</c:v>
                </c:pt>
                <c:pt idx="8">
                  <c:v>2.7651147148942531E-3</c:v>
                </c:pt>
                <c:pt idx="9">
                  <c:v>1.4946566026455422E-3</c:v>
                </c:pt>
                <c:pt idx="10">
                  <c:v>0.662880203273298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KABUSU-RUBAGA'!$S$9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KABUSU-RUBAGA'!$S$10:$S$21</c:f>
              <c:numCache>
                <c:formatCode>0</c:formatCode>
                <c:ptCount val="12"/>
                <c:pt idx="0">
                  <c:v>160</c:v>
                </c:pt>
                <c:pt idx="1">
                  <c:v>153</c:v>
                </c:pt>
                <c:pt idx="2">
                  <c:v>158</c:v>
                </c:pt>
                <c:pt idx="3">
                  <c:v>132</c:v>
                </c:pt>
                <c:pt idx="4">
                  <c:v>109</c:v>
                </c:pt>
                <c:pt idx="5">
                  <c:v>111</c:v>
                </c:pt>
                <c:pt idx="6">
                  <c:v>92</c:v>
                </c:pt>
                <c:pt idx="7">
                  <c:v>85</c:v>
                </c:pt>
                <c:pt idx="8">
                  <c:v>89</c:v>
                </c:pt>
                <c:pt idx="9">
                  <c:v>96</c:v>
                </c:pt>
                <c:pt idx="10">
                  <c:v>104</c:v>
                </c:pt>
                <c:pt idx="11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KABUSU-RUBAGA'!$T$9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KABUSU-RUBAGA'!$T$10:$T$21</c:f>
              <c:numCache>
                <c:formatCode>0</c:formatCode>
                <c:ptCount val="12"/>
                <c:pt idx="0">
                  <c:v>111</c:v>
                </c:pt>
                <c:pt idx="1">
                  <c:v>176</c:v>
                </c:pt>
                <c:pt idx="2">
                  <c:v>136</c:v>
                </c:pt>
                <c:pt idx="3">
                  <c:v>117</c:v>
                </c:pt>
                <c:pt idx="4">
                  <c:v>79</c:v>
                </c:pt>
                <c:pt idx="5">
                  <c:v>113</c:v>
                </c:pt>
                <c:pt idx="6">
                  <c:v>71</c:v>
                </c:pt>
                <c:pt idx="7">
                  <c:v>68</c:v>
                </c:pt>
                <c:pt idx="8">
                  <c:v>73</c:v>
                </c:pt>
                <c:pt idx="9">
                  <c:v>88</c:v>
                </c:pt>
                <c:pt idx="10">
                  <c:v>99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KABUSU-RUBAGA'!$U$9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KABUSU-RUBAGA'!$U$10:$U$21</c:f>
              <c:numCache>
                <c:formatCode>0</c:formatCode>
                <c:ptCount val="12"/>
                <c:pt idx="0">
                  <c:v>7</c:v>
                </c:pt>
                <c:pt idx="1">
                  <c:v>24</c:v>
                </c:pt>
                <c:pt idx="2">
                  <c:v>29</c:v>
                </c:pt>
                <c:pt idx="3">
                  <c:v>40</c:v>
                </c:pt>
                <c:pt idx="4">
                  <c:v>23</c:v>
                </c:pt>
                <c:pt idx="5">
                  <c:v>11</c:v>
                </c:pt>
                <c:pt idx="6">
                  <c:v>26</c:v>
                </c:pt>
                <c:pt idx="7">
                  <c:v>13</c:v>
                </c:pt>
                <c:pt idx="8">
                  <c:v>16</c:v>
                </c:pt>
                <c:pt idx="9">
                  <c:v>18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KABUSU-RUBAGA'!$V$9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KABUSU-RUBAGA'!$V$10:$V$21</c:f>
              <c:numCache>
                <c:formatCode>0</c:formatCode>
                <c:ptCount val="12"/>
                <c:pt idx="0">
                  <c:v>102</c:v>
                </c:pt>
                <c:pt idx="1">
                  <c:v>129</c:v>
                </c:pt>
                <c:pt idx="2">
                  <c:v>89</c:v>
                </c:pt>
                <c:pt idx="3">
                  <c:v>108</c:v>
                </c:pt>
                <c:pt idx="4">
                  <c:v>125</c:v>
                </c:pt>
                <c:pt idx="5">
                  <c:v>127</c:v>
                </c:pt>
                <c:pt idx="6">
                  <c:v>113</c:v>
                </c:pt>
                <c:pt idx="7">
                  <c:v>72</c:v>
                </c:pt>
                <c:pt idx="8">
                  <c:v>79</c:v>
                </c:pt>
                <c:pt idx="9">
                  <c:v>91</c:v>
                </c:pt>
                <c:pt idx="10">
                  <c:v>108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KABUSU-RUBAGA'!$W$9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KABUSU-RUBAGA'!$X$9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KABUSU-RUBAGA'!$Y$9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KABUSU-RUBAGA'!$Y$10:$Y$21</c:f>
              <c:numCache>
                <c:formatCode>0</c:formatCode>
                <c:ptCount val="12"/>
                <c:pt idx="0">
                  <c:v>11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14</c:v>
                </c:pt>
                <c:pt idx="5">
                  <c:v>15</c:v>
                </c:pt>
                <c:pt idx="6">
                  <c:v>17</c:v>
                </c:pt>
                <c:pt idx="7">
                  <c:v>18</c:v>
                </c:pt>
                <c:pt idx="8">
                  <c:v>24</c:v>
                </c:pt>
                <c:pt idx="9">
                  <c:v>20</c:v>
                </c:pt>
                <c:pt idx="10">
                  <c:v>26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KABUSU-RUBAGA'!$Z$9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KABUSU-RUBAGA'!$Z$10:$Z$21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12</c:v>
                </c:pt>
                <c:pt idx="8">
                  <c:v>10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KABUSU-RUBAGA'!$AA$9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KABUSU-RUBAGA'!$AB$9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KABUSU-RUBAGA'!$AC$9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KABUSU-RUBAGA'!$AC$10:$AC$21</c:f>
              <c:numCache>
                <c:formatCode>0</c:formatCode>
                <c:ptCount val="12"/>
                <c:pt idx="0">
                  <c:v>736</c:v>
                </c:pt>
                <c:pt idx="1">
                  <c:v>1080</c:v>
                </c:pt>
                <c:pt idx="2">
                  <c:v>960</c:v>
                </c:pt>
                <c:pt idx="3">
                  <c:v>671</c:v>
                </c:pt>
                <c:pt idx="4">
                  <c:v>671</c:v>
                </c:pt>
                <c:pt idx="5">
                  <c:v>748</c:v>
                </c:pt>
                <c:pt idx="6">
                  <c:v>594</c:v>
                </c:pt>
                <c:pt idx="7">
                  <c:v>600</c:v>
                </c:pt>
                <c:pt idx="8">
                  <c:v>224</c:v>
                </c:pt>
                <c:pt idx="9">
                  <c:v>742</c:v>
                </c:pt>
                <c:pt idx="10">
                  <c:v>816</c:v>
                </c:pt>
                <c:pt idx="11">
                  <c:v>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KABUSU-RUBAGA'!$AD$9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KABUSU-RUBAGA'!$AD$10:$AD$21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894512"/>
        <c:axId val="265895600"/>
      </c:lineChart>
      <c:catAx>
        <c:axId val="26589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5600"/>
        <c:crosses val="autoZero"/>
        <c:auto val="1"/>
        <c:lblAlgn val="ctr"/>
        <c:lblOffset val="100"/>
        <c:noMultiLvlLbl val="0"/>
      </c:catAx>
      <c:valAx>
        <c:axId val="2658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KABUSU-RUBAGA'!$C$60:$N$60</c:f>
              <c:numCache>
                <c:formatCode>0.00%</c:formatCode>
                <c:ptCount val="12"/>
                <c:pt idx="0">
                  <c:v>0.30791398802926179</c:v>
                </c:pt>
                <c:pt idx="1">
                  <c:v>0.2680115273775216</c:v>
                </c:pt>
                <c:pt idx="2">
                  <c:v>5.3646641542895147E-2</c:v>
                </c:pt>
                <c:pt idx="3">
                  <c:v>0.28308579029040126</c:v>
                </c:pt>
                <c:pt idx="4">
                  <c:v>3.9902460651740192E-3</c:v>
                </c:pt>
                <c:pt idx="5">
                  <c:v>3.5468853912657946E-3</c:v>
                </c:pt>
                <c:pt idx="6">
                  <c:v>4.9656395477721126E-2</c:v>
                </c:pt>
                <c:pt idx="7">
                  <c:v>1.7512746619374863E-2</c:v>
                </c:pt>
                <c:pt idx="8">
                  <c:v>8.2021724673021507E-3</c:v>
                </c:pt>
                <c:pt idx="9">
                  <c:v>4.433606739082243E-3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RUBAGA-KABUSU'!$AE$9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RUBAGA-KABUSU'!$AE$10:$AE$21</c:f>
              <c:numCache>
                <c:formatCode>0</c:formatCode>
                <c:ptCount val="12"/>
                <c:pt idx="0">
                  <c:v>279</c:v>
                </c:pt>
                <c:pt idx="1">
                  <c:v>187</c:v>
                </c:pt>
                <c:pt idx="2">
                  <c:v>375</c:v>
                </c:pt>
                <c:pt idx="3">
                  <c:v>254</c:v>
                </c:pt>
                <c:pt idx="4">
                  <c:v>260</c:v>
                </c:pt>
                <c:pt idx="5">
                  <c:v>269</c:v>
                </c:pt>
                <c:pt idx="6">
                  <c:v>255</c:v>
                </c:pt>
                <c:pt idx="7">
                  <c:v>228</c:v>
                </c:pt>
                <c:pt idx="8">
                  <c:v>284</c:v>
                </c:pt>
                <c:pt idx="9">
                  <c:v>331</c:v>
                </c:pt>
                <c:pt idx="10">
                  <c:v>419</c:v>
                </c:pt>
                <c:pt idx="11">
                  <c:v>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RUBAGA-KABUSU'!$AF$9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RUBAGA-KABUSU'!$AF$10:$AF$21</c:f>
              <c:numCache>
                <c:formatCode>0</c:formatCode>
                <c:ptCount val="12"/>
                <c:pt idx="0">
                  <c:v>809</c:v>
                </c:pt>
                <c:pt idx="1">
                  <c:v>928</c:v>
                </c:pt>
                <c:pt idx="2">
                  <c:v>919</c:v>
                </c:pt>
                <c:pt idx="3">
                  <c:v>827</c:v>
                </c:pt>
                <c:pt idx="4">
                  <c:v>916</c:v>
                </c:pt>
                <c:pt idx="5">
                  <c:v>734</c:v>
                </c:pt>
                <c:pt idx="6">
                  <c:v>759</c:v>
                </c:pt>
                <c:pt idx="7">
                  <c:v>757</c:v>
                </c:pt>
                <c:pt idx="8">
                  <c:v>868</c:v>
                </c:pt>
                <c:pt idx="9">
                  <c:v>916</c:v>
                </c:pt>
                <c:pt idx="10">
                  <c:v>1121</c:v>
                </c:pt>
                <c:pt idx="11">
                  <c:v>910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907024"/>
        <c:axId val="363231344"/>
      </c:lineChart>
      <c:catAx>
        <c:axId val="265907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31344"/>
        <c:crosses val="autoZero"/>
        <c:auto val="1"/>
        <c:lblAlgn val="ctr"/>
        <c:lblOffset val="100"/>
        <c:noMultiLvlLbl val="0"/>
      </c:catAx>
      <c:valAx>
        <c:axId val="363231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90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RUBAGA-KABUSU'!$C$59:$N$59</c:f>
              <c:numCache>
                <c:formatCode>0.0%</c:formatCode>
                <c:ptCount val="12"/>
                <c:pt idx="0">
                  <c:v>0.16637996941896024</c:v>
                </c:pt>
                <c:pt idx="1">
                  <c:v>3.0294342507645261E-2</c:v>
                </c:pt>
                <c:pt idx="2">
                  <c:v>1.6150611620795109E-2</c:v>
                </c:pt>
                <c:pt idx="3">
                  <c:v>6.8520642201834861E-2</c:v>
                </c:pt>
                <c:pt idx="4">
                  <c:v>1.5290519877675841E-3</c:v>
                </c:pt>
                <c:pt idx="5">
                  <c:v>7.6452599388379206E-4</c:v>
                </c:pt>
                <c:pt idx="6">
                  <c:v>1.2710244648318042E-2</c:v>
                </c:pt>
                <c:pt idx="7">
                  <c:v>1.7297400611620797E-2</c:v>
                </c:pt>
                <c:pt idx="8">
                  <c:v>2.8669724770642203E-3</c:v>
                </c:pt>
                <c:pt idx="9">
                  <c:v>1.834862385321101E-2</c:v>
                </c:pt>
                <c:pt idx="10">
                  <c:v>0.66513761467889909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RUBAGA-KABUSU'!$S$9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RUBAGA-KABUSU'!$S$10:$S$21</c:f>
              <c:numCache>
                <c:formatCode>0</c:formatCode>
                <c:ptCount val="12"/>
                <c:pt idx="0">
                  <c:v>130</c:v>
                </c:pt>
                <c:pt idx="1">
                  <c:v>74</c:v>
                </c:pt>
                <c:pt idx="2">
                  <c:v>80</c:v>
                </c:pt>
                <c:pt idx="3">
                  <c:v>113</c:v>
                </c:pt>
                <c:pt idx="4">
                  <c:v>115</c:v>
                </c:pt>
                <c:pt idx="5">
                  <c:v>111</c:v>
                </c:pt>
                <c:pt idx="6">
                  <c:v>119</c:v>
                </c:pt>
                <c:pt idx="7">
                  <c:v>115</c:v>
                </c:pt>
                <c:pt idx="8">
                  <c:v>158</c:v>
                </c:pt>
                <c:pt idx="9">
                  <c:v>199</c:v>
                </c:pt>
                <c:pt idx="10">
                  <c:v>294</c:v>
                </c:pt>
                <c:pt idx="11">
                  <c:v>233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RUBAGA-KABUSU'!$T$9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RUBAGA-KABUSU'!$T$10:$T$21</c:f>
              <c:numCache>
                <c:formatCode>0</c:formatCode>
                <c:ptCount val="12"/>
                <c:pt idx="0">
                  <c:v>18</c:v>
                </c:pt>
                <c:pt idx="1">
                  <c:v>13</c:v>
                </c:pt>
                <c:pt idx="2">
                  <c:v>22</c:v>
                </c:pt>
                <c:pt idx="3">
                  <c:v>18</c:v>
                </c:pt>
                <c:pt idx="4">
                  <c:v>30</c:v>
                </c:pt>
                <c:pt idx="5">
                  <c:v>26</c:v>
                </c:pt>
                <c:pt idx="6">
                  <c:v>21</c:v>
                </c:pt>
                <c:pt idx="7">
                  <c:v>15</c:v>
                </c:pt>
                <c:pt idx="8">
                  <c:v>25</c:v>
                </c:pt>
                <c:pt idx="9">
                  <c:v>26</c:v>
                </c:pt>
                <c:pt idx="10">
                  <c:v>39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RUBAGA-KABUSU'!$U$9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RUBAGA-KABUSU'!$U$10:$U$21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18</c:v>
                </c:pt>
                <c:pt idx="4">
                  <c:v>22</c:v>
                </c:pt>
                <c:pt idx="5">
                  <c:v>15</c:v>
                </c:pt>
                <c:pt idx="6">
                  <c:v>13</c:v>
                </c:pt>
                <c:pt idx="7">
                  <c:v>21</c:v>
                </c:pt>
                <c:pt idx="8">
                  <c:v>10</c:v>
                </c:pt>
                <c:pt idx="9">
                  <c:v>19</c:v>
                </c:pt>
                <c:pt idx="10">
                  <c:v>11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RUBAGA-KABUSU'!$V$9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RUBAGA-KABUSU'!$V$10:$V$21</c:f>
              <c:numCache>
                <c:formatCode>0</c:formatCode>
                <c:ptCount val="12"/>
                <c:pt idx="0">
                  <c:v>108</c:v>
                </c:pt>
                <c:pt idx="1">
                  <c:v>67</c:v>
                </c:pt>
                <c:pt idx="2">
                  <c:v>68</c:v>
                </c:pt>
                <c:pt idx="3">
                  <c:v>74</c:v>
                </c:pt>
                <c:pt idx="4">
                  <c:v>53</c:v>
                </c:pt>
                <c:pt idx="5">
                  <c:v>69</c:v>
                </c:pt>
                <c:pt idx="6">
                  <c:v>63</c:v>
                </c:pt>
                <c:pt idx="7">
                  <c:v>53</c:v>
                </c:pt>
                <c:pt idx="8">
                  <c:v>46</c:v>
                </c:pt>
                <c:pt idx="9">
                  <c:v>50</c:v>
                </c:pt>
                <c:pt idx="10">
                  <c:v>45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RUBAGA-KABUSU'!$W$9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RUBAGA-KABUSU'!$X$9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RUBAGA-KABUSU'!$X$10:$X$21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RUBAGA-KABUSU'!$Y$9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RUBAGA-KABUSU'!$Y$10:$Y$21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  <c:pt idx="7">
                  <c:v>7</c:v>
                </c:pt>
                <c:pt idx="8">
                  <c:v>18</c:v>
                </c:pt>
                <c:pt idx="9">
                  <c:v>15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RUBAGA-KABUSU'!$Z$9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RUBAGA-KABUSU'!$Z$10:$Z$21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21</c:v>
                </c:pt>
                <c:pt idx="3">
                  <c:v>13</c:v>
                </c:pt>
                <c:pt idx="4">
                  <c:v>18</c:v>
                </c:pt>
                <c:pt idx="5">
                  <c:v>23</c:v>
                </c:pt>
                <c:pt idx="6">
                  <c:v>21</c:v>
                </c:pt>
                <c:pt idx="7">
                  <c:v>10</c:v>
                </c:pt>
                <c:pt idx="8">
                  <c:v>19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RUBAGA-KABUSU'!$AA$9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RUBAGA-KABUSU'!$AB$9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169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RUBAGA-KABUSU'!$AC$9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RUBAGA-KABUSU'!$AC$10:$AC$21</c:f>
              <c:numCache>
                <c:formatCode>0</c:formatCode>
                <c:ptCount val="12"/>
                <c:pt idx="0">
                  <c:v>530</c:v>
                </c:pt>
                <c:pt idx="1">
                  <c:v>741</c:v>
                </c:pt>
                <c:pt idx="2">
                  <c:v>544</c:v>
                </c:pt>
                <c:pt idx="3">
                  <c:v>573</c:v>
                </c:pt>
                <c:pt idx="4">
                  <c:v>656</c:v>
                </c:pt>
                <c:pt idx="5">
                  <c:v>465</c:v>
                </c:pt>
                <c:pt idx="6">
                  <c:v>504</c:v>
                </c:pt>
                <c:pt idx="7">
                  <c:v>529</c:v>
                </c:pt>
                <c:pt idx="8">
                  <c:v>584</c:v>
                </c:pt>
                <c:pt idx="9">
                  <c:v>585</c:v>
                </c:pt>
                <c:pt idx="10">
                  <c:v>702</c:v>
                </c:pt>
                <c:pt idx="11">
                  <c:v>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RUBAGA-KABUSU'!$AD$9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RUBAGA-KABUSU'!$AD$10:$AD$21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237872"/>
        <c:axId val="363225904"/>
      </c:lineChart>
      <c:catAx>
        <c:axId val="36323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25904"/>
        <c:crosses val="autoZero"/>
        <c:auto val="1"/>
        <c:lblAlgn val="ctr"/>
        <c:lblOffset val="100"/>
        <c:noMultiLvlLbl val="0"/>
      </c:catAx>
      <c:valAx>
        <c:axId val="3632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3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RUBAGA-KABUSU'!$C$60:$N$60</c:f>
              <c:numCache>
                <c:formatCode>0.00%</c:formatCode>
                <c:ptCount val="12"/>
                <c:pt idx="0">
                  <c:v>0.4968607305936073</c:v>
                </c:pt>
                <c:pt idx="1">
                  <c:v>9.0468036529680371E-2</c:v>
                </c:pt>
                <c:pt idx="2">
                  <c:v>4.8230593607305937E-2</c:v>
                </c:pt>
                <c:pt idx="3">
                  <c:v>0.20462328767123289</c:v>
                </c:pt>
                <c:pt idx="4">
                  <c:v>4.5662100456621002E-3</c:v>
                </c:pt>
                <c:pt idx="5">
                  <c:v>2.2831050228310501E-3</c:v>
                </c:pt>
                <c:pt idx="6">
                  <c:v>3.7956621004566211E-2</c:v>
                </c:pt>
                <c:pt idx="7">
                  <c:v>5.1655251141552512E-2</c:v>
                </c:pt>
                <c:pt idx="8">
                  <c:v>8.5616438356164379E-3</c:v>
                </c:pt>
                <c:pt idx="9">
                  <c:v>5.4794520547945202E-2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KABUSU-RUBAGA'!$AE$9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KABUSU-RUBAGA'!$AE$10:$AE$21</c:f>
              <c:numCache>
                <c:formatCode>0</c:formatCode>
                <c:ptCount val="12"/>
                <c:pt idx="0">
                  <c:v>756</c:v>
                </c:pt>
                <c:pt idx="1">
                  <c:v>572</c:v>
                </c:pt>
                <c:pt idx="2">
                  <c:v>461</c:v>
                </c:pt>
                <c:pt idx="3">
                  <c:v>409</c:v>
                </c:pt>
                <c:pt idx="4">
                  <c:v>366</c:v>
                </c:pt>
                <c:pt idx="5">
                  <c:v>358</c:v>
                </c:pt>
                <c:pt idx="6">
                  <c:v>304</c:v>
                </c:pt>
                <c:pt idx="7">
                  <c:v>317</c:v>
                </c:pt>
                <c:pt idx="8">
                  <c:v>258</c:v>
                </c:pt>
                <c:pt idx="9">
                  <c:v>340</c:v>
                </c:pt>
                <c:pt idx="10">
                  <c:v>321</c:v>
                </c:pt>
                <c:pt idx="11">
                  <c:v>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KABUSU-RUBAGA'!$AF$9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KABUSU-RUBAGA'!$AF$10:$AF$21</c:f>
              <c:numCache>
                <c:formatCode>0</c:formatCode>
                <c:ptCount val="12"/>
                <c:pt idx="0">
                  <c:v>2021</c:v>
                </c:pt>
                <c:pt idx="1">
                  <c:v>1853</c:v>
                </c:pt>
                <c:pt idx="2">
                  <c:v>1314</c:v>
                </c:pt>
                <c:pt idx="3">
                  <c:v>1121</c:v>
                </c:pt>
                <c:pt idx="4">
                  <c:v>1056</c:v>
                </c:pt>
                <c:pt idx="5">
                  <c:v>1074</c:v>
                </c:pt>
                <c:pt idx="6">
                  <c:v>896</c:v>
                </c:pt>
                <c:pt idx="7">
                  <c:v>906</c:v>
                </c:pt>
                <c:pt idx="8">
                  <c:v>831</c:v>
                </c:pt>
                <c:pt idx="9">
                  <c:v>1024</c:v>
                </c:pt>
                <c:pt idx="10">
                  <c:v>983</c:v>
                </c:pt>
                <c:pt idx="11">
                  <c:v>1284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236240"/>
        <c:axId val="363227536"/>
      </c:lineChart>
      <c:catAx>
        <c:axId val="36323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27536"/>
        <c:crosses val="autoZero"/>
        <c:auto val="1"/>
        <c:lblAlgn val="ctr"/>
        <c:lblOffset val="100"/>
        <c:noMultiLvlLbl val="0"/>
      </c:catAx>
      <c:valAx>
        <c:axId val="363227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KABUSU-RUBAGA'!$C$59:$N$59</c:f>
              <c:numCache>
                <c:formatCode>0.0%</c:formatCode>
                <c:ptCount val="12"/>
                <c:pt idx="0">
                  <c:v>0.10603634338230175</c:v>
                </c:pt>
                <c:pt idx="1">
                  <c:v>8.6959548840771422E-2</c:v>
                </c:pt>
                <c:pt idx="2">
                  <c:v>1.6709601058274733E-2</c:v>
                </c:pt>
                <c:pt idx="3">
                  <c:v>0.10241592981967555</c:v>
                </c:pt>
                <c:pt idx="4">
                  <c:v>1.1139734038849822E-3</c:v>
                </c:pt>
                <c:pt idx="5">
                  <c:v>1.0443500661421708E-3</c:v>
                </c:pt>
                <c:pt idx="6">
                  <c:v>1.5526004316646941E-2</c:v>
                </c:pt>
                <c:pt idx="7">
                  <c:v>6.9623337742811394E-3</c:v>
                </c:pt>
                <c:pt idx="8">
                  <c:v>2.5760634964840214E-3</c:v>
                </c:pt>
                <c:pt idx="9">
                  <c:v>3.2026735361693238E-3</c:v>
                </c:pt>
                <c:pt idx="10">
                  <c:v>0.67527675276752763</c:v>
                </c:pt>
                <c:pt idx="11">
                  <c:v>9.7472672839935947E-4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KABUSU-RUBAGA'!$S$9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KABUSU-RUBAGA'!$S$10:$S$21</c:f>
              <c:numCache>
                <c:formatCode>0</c:formatCode>
                <c:ptCount val="12"/>
                <c:pt idx="0">
                  <c:v>222</c:v>
                </c:pt>
                <c:pt idx="1">
                  <c:v>199</c:v>
                </c:pt>
                <c:pt idx="2">
                  <c:v>163</c:v>
                </c:pt>
                <c:pt idx="3">
                  <c:v>114</c:v>
                </c:pt>
                <c:pt idx="4">
                  <c:v>101</c:v>
                </c:pt>
                <c:pt idx="5">
                  <c:v>87</c:v>
                </c:pt>
                <c:pt idx="6">
                  <c:v>95</c:v>
                </c:pt>
                <c:pt idx="7">
                  <c:v>91</c:v>
                </c:pt>
                <c:pt idx="8">
                  <c:v>105</c:v>
                </c:pt>
                <c:pt idx="9">
                  <c:v>113</c:v>
                </c:pt>
                <c:pt idx="10">
                  <c:v>97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KABUSU-RUBAGA'!$T$9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KABUSU-RUBAGA'!$T$10:$T$21</c:f>
              <c:numCache>
                <c:formatCode>0</c:formatCode>
                <c:ptCount val="12"/>
                <c:pt idx="0">
                  <c:v>215</c:v>
                </c:pt>
                <c:pt idx="1">
                  <c:v>174</c:v>
                </c:pt>
                <c:pt idx="2">
                  <c:v>130</c:v>
                </c:pt>
                <c:pt idx="3">
                  <c:v>98</c:v>
                </c:pt>
                <c:pt idx="4">
                  <c:v>90</c:v>
                </c:pt>
                <c:pt idx="5">
                  <c:v>80</c:v>
                </c:pt>
                <c:pt idx="6">
                  <c:v>66</c:v>
                </c:pt>
                <c:pt idx="7">
                  <c:v>77</c:v>
                </c:pt>
                <c:pt idx="8">
                  <c:v>79</c:v>
                </c:pt>
                <c:pt idx="9">
                  <c:v>82</c:v>
                </c:pt>
                <c:pt idx="10">
                  <c:v>85</c:v>
                </c:pt>
                <c:pt idx="11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KABUSU-RUBAGA'!$U$9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KABUSU-RUBAGA'!$U$10:$U$21</c:f>
              <c:numCache>
                <c:formatCode>0</c:formatCode>
                <c:ptCount val="12"/>
                <c:pt idx="0">
                  <c:v>25</c:v>
                </c:pt>
                <c:pt idx="1">
                  <c:v>24</c:v>
                </c:pt>
                <c:pt idx="2">
                  <c:v>20</c:v>
                </c:pt>
                <c:pt idx="3">
                  <c:v>24</c:v>
                </c:pt>
                <c:pt idx="4">
                  <c:v>19</c:v>
                </c:pt>
                <c:pt idx="5">
                  <c:v>34</c:v>
                </c:pt>
                <c:pt idx="6">
                  <c:v>10</c:v>
                </c:pt>
                <c:pt idx="7">
                  <c:v>24</c:v>
                </c:pt>
                <c:pt idx="8">
                  <c:v>17</c:v>
                </c:pt>
                <c:pt idx="9">
                  <c:v>16</c:v>
                </c:pt>
                <c:pt idx="10">
                  <c:v>10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KABUSU-RUBAGA'!$V$9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KABUSU-RUBAGA'!$V$10:$V$21</c:f>
              <c:numCache>
                <c:formatCode>0</c:formatCode>
                <c:ptCount val="12"/>
                <c:pt idx="0">
                  <c:v>270</c:v>
                </c:pt>
                <c:pt idx="1">
                  <c:v>148</c:v>
                </c:pt>
                <c:pt idx="2">
                  <c:v>124</c:v>
                </c:pt>
                <c:pt idx="3">
                  <c:v>130</c:v>
                </c:pt>
                <c:pt idx="4">
                  <c:v>113</c:v>
                </c:pt>
                <c:pt idx="5">
                  <c:v>117</c:v>
                </c:pt>
                <c:pt idx="6">
                  <c:v>95</c:v>
                </c:pt>
                <c:pt idx="7">
                  <c:v>79</c:v>
                </c:pt>
                <c:pt idx="8">
                  <c:v>95</c:v>
                </c:pt>
                <c:pt idx="9">
                  <c:v>82</c:v>
                </c:pt>
                <c:pt idx="10">
                  <c:v>95</c:v>
                </c:pt>
                <c:pt idx="11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KABUSU-RUBAGA'!$W$9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KABUSU-RUBAGA'!$X$9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KABUSU-RUBAGA'!$Y$9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KABUSU-RUBAGA'!$Y$10:$Y$21</c:f>
              <c:numCache>
                <c:formatCode>0</c:formatCode>
                <c:ptCount val="12"/>
                <c:pt idx="0">
                  <c:v>13</c:v>
                </c:pt>
                <c:pt idx="1">
                  <c:v>19</c:v>
                </c:pt>
                <c:pt idx="2">
                  <c:v>15</c:v>
                </c:pt>
                <c:pt idx="3">
                  <c:v>22</c:v>
                </c:pt>
                <c:pt idx="4">
                  <c:v>22</c:v>
                </c:pt>
                <c:pt idx="5">
                  <c:v>25</c:v>
                </c:pt>
                <c:pt idx="6">
                  <c:v>13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KABUSU-RUBAGA'!$Z$9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KABUSU-RUBAGA'!$Z$10:$Z$21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6</c:v>
                </c:pt>
                <c:pt idx="8">
                  <c:v>12</c:v>
                </c:pt>
                <c:pt idx="9">
                  <c:v>11</c:v>
                </c:pt>
                <c:pt idx="10">
                  <c:v>13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KABUSU-RUBAGA'!$AA$9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KABUSU-RUBAGA'!$AB$9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KABUSU-RUBAGA'!$AB$10:$AB$21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8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KABUSU-RUBAGA'!$AC$9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KABUSU-RUBAGA'!$AC$10:$AC$21</c:f>
              <c:numCache>
                <c:formatCode>0</c:formatCode>
                <c:ptCount val="12"/>
                <c:pt idx="0">
                  <c:v>1265</c:v>
                </c:pt>
                <c:pt idx="1">
                  <c:v>1281</c:v>
                </c:pt>
                <c:pt idx="2">
                  <c:v>853</c:v>
                </c:pt>
                <c:pt idx="3">
                  <c:v>712</c:v>
                </c:pt>
                <c:pt idx="4">
                  <c:v>690</c:v>
                </c:pt>
                <c:pt idx="5">
                  <c:v>716</c:v>
                </c:pt>
                <c:pt idx="6">
                  <c:v>592</c:v>
                </c:pt>
                <c:pt idx="7">
                  <c:v>589</c:v>
                </c:pt>
                <c:pt idx="8">
                  <c:v>747</c:v>
                </c:pt>
                <c:pt idx="9">
                  <c:v>684</c:v>
                </c:pt>
                <c:pt idx="10">
                  <c:v>662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KABUSU-RUBAGA'!$AD$9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KABUSU-RUBAGA'!$AD$10:$AD$21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239504"/>
        <c:axId val="363240048"/>
      </c:lineChart>
      <c:catAx>
        <c:axId val="36323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40048"/>
        <c:crosses val="autoZero"/>
        <c:auto val="1"/>
        <c:lblAlgn val="ctr"/>
        <c:lblOffset val="100"/>
        <c:noMultiLvlLbl val="0"/>
      </c:catAx>
      <c:valAx>
        <c:axId val="36324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3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KABUSU-RUBAGA'!$C$60:$N$60</c:f>
              <c:numCache>
                <c:formatCode>0.00%</c:formatCode>
                <c:ptCount val="12"/>
                <c:pt idx="0">
                  <c:v>0.31479950392724265</c:v>
                </c:pt>
                <c:pt idx="1">
                  <c:v>0.25816453079785034</c:v>
                </c:pt>
                <c:pt idx="2">
                  <c:v>4.9607275733774284E-2</c:v>
                </c:pt>
                <c:pt idx="3">
                  <c:v>0.30405126085159156</c:v>
                </c:pt>
                <c:pt idx="4">
                  <c:v>3.3071517155849523E-3</c:v>
                </c:pt>
                <c:pt idx="5">
                  <c:v>3.1004547333608927E-3</c:v>
                </c:pt>
                <c:pt idx="6">
                  <c:v>4.6093427035965272E-2</c:v>
                </c:pt>
                <c:pt idx="7">
                  <c:v>2.0669698222405952E-2</c:v>
                </c:pt>
                <c:pt idx="8">
                  <c:v>7.6477883422902022E-3</c:v>
                </c:pt>
                <c:pt idx="9">
                  <c:v>9.5080611823067391E-3</c:v>
                </c:pt>
                <c:pt idx="11">
                  <c:v>2.8937577511368336E-3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RUBAGA-KABUSU'!$AE$9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RUBAGA-KABUSU'!$AE$10:$AE$21</c:f>
              <c:numCache>
                <c:formatCode>0</c:formatCode>
                <c:ptCount val="12"/>
                <c:pt idx="0">
                  <c:v>246</c:v>
                </c:pt>
                <c:pt idx="1">
                  <c:v>245</c:v>
                </c:pt>
                <c:pt idx="2">
                  <c:v>208</c:v>
                </c:pt>
                <c:pt idx="3">
                  <c:v>237</c:v>
                </c:pt>
                <c:pt idx="4">
                  <c:v>243</c:v>
                </c:pt>
                <c:pt idx="5">
                  <c:v>243</c:v>
                </c:pt>
                <c:pt idx="6">
                  <c:v>227</c:v>
                </c:pt>
                <c:pt idx="7">
                  <c:v>229</c:v>
                </c:pt>
                <c:pt idx="8">
                  <c:v>303</c:v>
                </c:pt>
                <c:pt idx="9">
                  <c:v>332</c:v>
                </c:pt>
                <c:pt idx="10">
                  <c:v>389</c:v>
                </c:pt>
                <c:pt idx="11">
                  <c:v>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RUBAGA-KABUSU'!$AF$9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RUBAGA-KABUSU'!$AF$10:$AF$21</c:f>
              <c:numCache>
                <c:formatCode>0</c:formatCode>
                <c:ptCount val="12"/>
                <c:pt idx="0">
                  <c:v>581</c:v>
                </c:pt>
                <c:pt idx="1">
                  <c:v>795</c:v>
                </c:pt>
                <c:pt idx="2">
                  <c:v>762</c:v>
                </c:pt>
                <c:pt idx="3">
                  <c:v>1032</c:v>
                </c:pt>
                <c:pt idx="4">
                  <c:v>845</c:v>
                </c:pt>
                <c:pt idx="5">
                  <c:v>776</c:v>
                </c:pt>
                <c:pt idx="6">
                  <c:v>702</c:v>
                </c:pt>
                <c:pt idx="7">
                  <c:v>748</c:v>
                </c:pt>
                <c:pt idx="8">
                  <c:v>1103</c:v>
                </c:pt>
                <c:pt idx="9">
                  <c:v>881</c:v>
                </c:pt>
                <c:pt idx="10">
                  <c:v>843</c:v>
                </c:pt>
                <c:pt idx="11">
                  <c:v>682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229168"/>
        <c:axId val="363231888"/>
      </c:lineChart>
      <c:catAx>
        <c:axId val="363229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31888"/>
        <c:crosses val="autoZero"/>
        <c:auto val="1"/>
        <c:lblAlgn val="ctr"/>
        <c:lblOffset val="100"/>
        <c:noMultiLvlLbl val="0"/>
      </c:catAx>
      <c:valAx>
        <c:axId val="363231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322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RUBAGA-KABUSU'!$C$59:$N$59</c:f>
              <c:numCache>
                <c:formatCode>0.0%</c:formatCode>
                <c:ptCount val="12"/>
                <c:pt idx="0">
                  <c:v>0.17497435897435898</c:v>
                </c:pt>
                <c:pt idx="1">
                  <c:v>3.6615384615384612E-2</c:v>
                </c:pt>
                <c:pt idx="2">
                  <c:v>1.7743589743589742E-2</c:v>
                </c:pt>
                <c:pt idx="3">
                  <c:v>7.3538461538461539E-2</c:v>
                </c:pt>
                <c:pt idx="4">
                  <c:v>2.0512820512820513E-3</c:v>
                </c:pt>
                <c:pt idx="5">
                  <c:v>1.435897435897436E-3</c:v>
                </c:pt>
                <c:pt idx="6">
                  <c:v>1.2307692307692308E-2</c:v>
                </c:pt>
                <c:pt idx="7">
                  <c:v>1.682051282051282E-2</c:v>
                </c:pt>
                <c:pt idx="8">
                  <c:v>3.1794871794871794E-3</c:v>
                </c:pt>
                <c:pt idx="9">
                  <c:v>1.8461538461538461E-3</c:v>
                </c:pt>
                <c:pt idx="10">
                  <c:v>0.6594871794871795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RUBAGA-KABUSU'!$S$9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RUBAGA-KABUSU'!$S$10:$S$21</c:f>
              <c:numCache>
                <c:formatCode>0</c:formatCode>
                <c:ptCount val="12"/>
                <c:pt idx="0">
                  <c:v>127</c:v>
                </c:pt>
                <c:pt idx="1">
                  <c:v>84</c:v>
                </c:pt>
                <c:pt idx="2">
                  <c:v>64</c:v>
                </c:pt>
                <c:pt idx="3">
                  <c:v>91</c:v>
                </c:pt>
                <c:pt idx="4">
                  <c:v>110</c:v>
                </c:pt>
                <c:pt idx="5">
                  <c:v>113</c:v>
                </c:pt>
                <c:pt idx="6">
                  <c:v>105</c:v>
                </c:pt>
                <c:pt idx="7">
                  <c:v>118</c:v>
                </c:pt>
                <c:pt idx="8">
                  <c:v>152</c:v>
                </c:pt>
                <c:pt idx="9">
                  <c:v>184</c:v>
                </c:pt>
                <c:pt idx="10">
                  <c:v>260</c:v>
                </c:pt>
                <c:pt idx="11">
                  <c:v>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RUBAGA-KABUSU'!$T$9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RUBAGA-KABUSU'!$T$10:$T$21</c:f>
              <c:numCache>
                <c:formatCode>0</c:formatCode>
                <c:ptCount val="12"/>
                <c:pt idx="0">
                  <c:v>17</c:v>
                </c:pt>
                <c:pt idx="1">
                  <c:v>22</c:v>
                </c:pt>
                <c:pt idx="2">
                  <c:v>19</c:v>
                </c:pt>
                <c:pt idx="3">
                  <c:v>34</c:v>
                </c:pt>
                <c:pt idx="4">
                  <c:v>26</c:v>
                </c:pt>
                <c:pt idx="5">
                  <c:v>23</c:v>
                </c:pt>
                <c:pt idx="6">
                  <c:v>22</c:v>
                </c:pt>
                <c:pt idx="7">
                  <c:v>14</c:v>
                </c:pt>
                <c:pt idx="8">
                  <c:v>27</c:v>
                </c:pt>
                <c:pt idx="9">
                  <c:v>47</c:v>
                </c:pt>
                <c:pt idx="10">
                  <c:v>38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RUBAGA-KABUSU'!$U$9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RUBAGA-KABUSU'!$U$10:$U$21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19</c:v>
                </c:pt>
                <c:pt idx="3">
                  <c:v>10</c:v>
                </c:pt>
                <c:pt idx="4">
                  <c:v>9</c:v>
                </c:pt>
                <c:pt idx="5">
                  <c:v>16</c:v>
                </c:pt>
                <c:pt idx="6">
                  <c:v>9</c:v>
                </c:pt>
                <c:pt idx="7">
                  <c:v>21</c:v>
                </c:pt>
                <c:pt idx="8">
                  <c:v>22</c:v>
                </c:pt>
                <c:pt idx="9">
                  <c:v>19</c:v>
                </c:pt>
                <c:pt idx="10">
                  <c:v>18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RUBAGA-KABUSU'!$V$9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RUBAGA-KABUSU'!$V$10:$V$21</c:f>
              <c:numCache>
                <c:formatCode>0</c:formatCode>
                <c:ptCount val="12"/>
                <c:pt idx="0">
                  <c:v>76</c:v>
                </c:pt>
                <c:pt idx="1">
                  <c:v>92</c:v>
                </c:pt>
                <c:pt idx="2">
                  <c:v>84</c:v>
                </c:pt>
                <c:pt idx="3">
                  <c:v>69</c:v>
                </c:pt>
                <c:pt idx="4">
                  <c:v>69</c:v>
                </c:pt>
                <c:pt idx="5">
                  <c:v>48</c:v>
                </c:pt>
                <c:pt idx="6">
                  <c:v>57</c:v>
                </c:pt>
                <c:pt idx="7">
                  <c:v>43</c:v>
                </c:pt>
                <c:pt idx="8">
                  <c:v>67</c:v>
                </c:pt>
                <c:pt idx="9">
                  <c:v>45</c:v>
                </c:pt>
                <c:pt idx="10">
                  <c:v>41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RUBAGA-KABUSU'!$W$9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RUBAGA-KABUSU'!$W$10:$W$21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RUBAGA-KABUSU'!$X$9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RUBAGA-KABUSU'!$Y$9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RUBAGA-KABUSU'!$Y$10:$Y$21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8</c:v>
                </c:pt>
                <c:pt idx="7">
                  <c:v>18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RUBAGA-KABUSU'!$Z$9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RUBAGA-KABUSU'!$Z$10:$Z$21</c:f>
              <c:numCache>
                <c:formatCode>0</c:formatCode>
                <c:ptCount val="12"/>
                <c:pt idx="0">
                  <c:v>5</c:v>
                </c:pt>
                <c:pt idx="1">
                  <c:v>14</c:v>
                </c:pt>
                <c:pt idx="2">
                  <c:v>11</c:v>
                </c:pt>
                <c:pt idx="3">
                  <c:v>21</c:v>
                </c:pt>
                <c:pt idx="4">
                  <c:v>16</c:v>
                </c:pt>
                <c:pt idx="5">
                  <c:v>22</c:v>
                </c:pt>
                <c:pt idx="6">
                  <c:v>13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RUBAGA-KABUSU'!$AA$9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RUBAGA-KABUSU'!$AA$10:$AA$21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RUBAGA-KABUSU'!$AB$9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RUBAGA-KABUSU'!$AB$10:$AB$21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RUBAGA-KABUSU'!$AC$9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RUBAGA-KABUSU'!$AC$10:$AC$21</c:f>
              <c:numCache>
                <c:formatCode>0</c:formatCode>
                <c:ptCount val="12"/>
                <c:pt idx="0">
                  <c:v>335</c:v>
                </c:pt>
                <c:pt idx="1">
                  <c:v>550</c:v>
                </c:pt>
                <c:pt idx="2">
                  <c:v>554</c:v>
                </c:pt>
                <c:pt idx="3">
                  <c:v>795</c:v>
                </c:pt>
                <c:pt idx="4">
                  <c:v>602</c:v>
                </c:pt>
                <c:pt idx="5">
                  <c:v>533</c:v>
                </c:pt>
                <c:pt idx="6">
                  <c:v>475</c:v>
                </c:pt>
                <c:pt idx="7">
                  <c:v>519</c:v>
                </c:pt>
                <c:pt idx="8">
                  <c:v>800</c:v>
                </c:pt>
                <c:pt idx="9">
                  <c:v>549</c:v>
                </c:pt>
                <c:pt idx="10">
                  <c:v>454</c:v>
                </c:pt>
                <c:pt idx="11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RUBAGA-KABUSU'!$AD$9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RUBAGA-KABUSU'!$AD$10:$AD$21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615008"/>
        <c:axId val="403615552"/>
      </c:lineChart>
      <c:catAx>
        <c:axId val="40361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15552"/>
        <c:crosses val="autoZero"/>
        <c:auto val="1"/>
        <c:lblAlgn val="ctr"/>
        <c:lblOffset val="100"/>
        <c:noMultiLvlLbl val="0"/>
      </c:catAx>
      <c:valAx>
        <c:axId val="4036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1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RUBAGA-KABUSU'!$C$60:$N$60</c:f>
              <c:numCache>
                <c:formatCode>0.00%</c:formatCode>
                <c:ptCount val="12"/>
                <c:pt idx="0">
                  <c:v>0.51385542168674703</c:v>
                </c:pt>
                <c:pt idx="1">
                  <c:v>0.10753012048192771</c:v>
                </c:pt>
                <c:pt idx="2">
                  <c:v>5.2108433734939757E-2</c:v>
                </c:pt>
                <c:pt idx="3">
                  <c:v>0.21596385542168675</c:v>
                </c:pt>
                <c:pt idx="4">
                  <c:v>6.024096385542169E-3</c:v>
                </c:pt>
                <c:pt idx="5">
                  <c:v>4.2168674698795181E-3</c:v>
                </c:pt>
                <c:pt idx="6">
                  <c:v>3.614457831325301E-2</c:v>
                </c:pt>
                <c:pt idx="7">
                  <c:v>4.9397590361445781E-2</c:v>
                </c:pt>
                <c:pt idx="8">
                  <c:v>9.3373493975903617E-3</c:v>
                </c:pt>
                <c:pt idx="9">
                  <c:v>5.4216867469879517E-3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KABUSU-RUBAGA'!$AE$9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KABUSU-RUBAGA'!$AE$10:$AE$21</c:f>
              <c:numCache>
                <c:formatCode>0</c:formatCode>
                <c:ptCount val="12"/>
                <c:pt idx="0">
                  <c:v>687</c:v>
                </c:pt>
                <c:pt idx="1">
                  <c:v>499</c:v>
                </c:pt>
                <c:pt idx="2">
                  <c:v>504</c:v>
                </c:pt>
                <c:pt idx="3">
                  <c:v>397</c:v>
                </c:pt>
                <c:pt idx="4">
                  <c:v>348</c:v>
                </c:pt>
                <c:pt idx="5">
                  <c:v>320</c:v>
                </c:pt>
                <c:pt idx="6">
                  <c:v>329</c:v>
                </c:pt>
                <c:pt idx="7">
                  <c:v>270</c:v>
                </c:pt>
                <c:pt idx="8">
                  <c:v>305</c:v>
                </c:pt>
                <c:pt idx="9">
                  <c:v>297</c:v>
                </c:pt>
                <c:pt idx="10">
                  <c:v>477</c:v>
                </c:pt>
                <c:pt idx="11">
                  <c:v>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KABUSU-RUBAGA'!$AF$9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KABUSU-RUBAGA'!$AF$10:$AF$21</c:f>
              <c:numCache>
                <c:formatCode>0</c:formatCode>
                <c:ptCount val="12"/>
                <c:pt idx="0">
                  <c:v>1811</c:v>
                </c:pt>
                <c:pt idx="1">
                  <c:v>1685</c:v>
                </c:pt>
                <c:pt idx="2">
                  <c:v>1375</c:v>
                </c:pt>
                <c:pt idx="3">
                  <c:v>1159</c:v>
                </c:pt>
                <c:pt idx="4">
                  <c:v>1092</c:v>
                </c:pt>
                <c:pt idx="5">
                  <c:v>1101</c:v>
                </c:pt>
                <c:pt idx="6">
                  <c:v>917</c:v>
                </c:pt>
                <c:pt idx="7">
                  <c:v>798</c:v>
                </c:pt>
                <c:pt idx="8">
                  <c:v>864</c:v>
                </c:pt>
                <c:pt idx="9">
                  <c:v>936</c:v>
                </c:pt>
                <c:pt idx="10">
                  <c:v>1312</c:v>
                </c:pt>
                <c:pt idx="11">
                  <c:v>1420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625344"/>
        <c:axId val="403617728"/>
      </c:lineChart>
      <c:catAx>
        <c:axId val="403625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17728"/>
        <c:crosses val="autoZero"/>
        <c:auto val="1"/>
        <c:lblAlgn val="ctr"/>
        <c:lblOffset val="100"/>
        <c:noMultiLvlLbl val="0"/>
      </c:catAx>
      <c:valAx>
        <c:axId val="403617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2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KABUSU-RUBAGA'!$C$59:$N$59</c:f>
              <c:numCache>
                <c:formatCode>0.0%</c:formatCode>
                <c:ptCount val="12"/>
                <c:pt idx="0">
                  <c:v>0.10663441603317209</c:v>
                </c:pt>
                <c:pt idx="1">
                  <c:v>8.9771941948859707E-2</c:v>
                </c:pt>
                <c:pt idx="2">
                  <c:v>2.0248790601243953E-2</c:v>
                </c:pt>
                <c:pt idx="3">
                  <c:v>9.3572909467864548E-2</c:v>
                </c:pt>
                <c:pt idx="4">
                  <c:v>1.1748445058742225E-3</c:v>
                </c:pt>
                <c:pt idx="5">
                  <c:v>1.7277125086385626E-3</c:v>
                </c:pt>
                <c:pt idx="6">
                  <c:v>1.5411195577055978E-2</c:v>
                </c:pt>
                <c:pt idx="7">
                  <c:v>5.2522460262612305E-3</c:v>
                </c:pt>
                <c:pt idx="8">
                  <c:v>2.2114720110573602E-3</c:v>
                </c:pt>
                <c:pt idx="9">
                  <c:v>1.5203870076019351E-3</c:v>
                </c:pt>
                <c:pt idx="10">
                  <c:v>0.66247408431237043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KABUSU-RUBAGA'!$C$60:$N$60</c:f>
              <c:numCache>
                <c:formatCode>0.00%</c:formatCode>
                <c:ptCount val="12"/>
                <c:pt idx="0">
                  <c:v>0.31592956592956595</c:v>
                </c:pt>
                <c:pt idx="1">
                  <c:v>0.26597051597051596</c:v>
                </c:pt>
                <c:pt idx="2">
                  <c:v>5.9991809991809988E-2</c:v>
                </c:pt>
                <c:pt idx="3">
                  <c:v>0.27723177723177722</c:v>
                </c:pt>
                <c:pt idx="4">
                  <c:v>3.4807534807534809E-3</c:v>
                </c:pt>
                <c:pt idx="5">
                  <c:v>5.1187551187551186E-3</c:v>
                </c:pt>
                <c:pt idx="6">
                  <c:v>4.5659295659295662E-2</c:v>
                </c:pt>
                <c:pt idx="7">
                  <c:v>1.5561015561015561E-2</c:v>
                </c:pt>
                <c:pt idx="8">
                  <c:v>6.5520065520065524E-3</c:v>
                </c:pt>
                <c:pt idx="9">
                  <c:v>4.5045045045045045E-3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RUBAGA-KABUSU'!$AE$9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RUBAGA-KABUSU'!$AE$10:$AE$21</c:f>
              <c:numCache>
                <c:formatCode>0</c:formatCode>
                <c:ptCount val="12"/>
                <c:pt idx="0">
                  <c:v>274</c:v>
                </c:pt>
                <c:pt idx="1">
                  <c:v>206</c:v>
                </c:pt>
                <c:pt idx="2">
                  <c:v>229</c:v>
                </c:pt>
                <c:pt idx="3">
                  <c:v>191</c:v>
                </c:pt>
                <c:pt idx="4">
                  <c:v>249</c:v>
                </c:pt>
                <c:pt idx="5">
                  <c:v>259</c:v>
                </c:pt>
                <c:pt idx="6">
                  <c:v>208</c:v>
                </c:pt>
                <c:pt idx="7">
                  <c:v>213</c:v>
                </c:pt>
                <c:pt idx="8">
                  <c:v>250</c:v>
                </c:pt>
                <c:pt idx="9">
                  <c:v>249</c:v>
                </c:pt>
                <c:pt idx="10">
                  <c:v>304</c:v>
                </c:pt>
                <c:pt idx="11">
                  <c:v>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RUBAGA-KABUSU'!$AF$9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RUBAGA-KABUSU'!$AF$10:$AF$21</c:f>
              <c:numCache>
                <c:formatCode>0</c:formatCode>
                <c:ptCount val="12"/>
                <c:pt idx="0">
                  <c:v>667</c:v>
                </c:pt>
                <c:pt idx="1">
                  <c:v>918</c:v>
                </c:pt>
                <c:pt idx="2">
                  <c:v>674</c:v>
                </c:pt>
                <c:pt idx="3">
                  <c:v>734</c:v>
                </c:pt>
                <c:pt idx="4">
                  <c:v>924</c:v>
                </c:pt>
                <c:pt idx="5">
                  <c:v>838</c:v>
                </c:pt>
                <c:pt idx="6">
                  <c:v>484</c:v>
                </c:pt>
                <c:pt idx="7">
                  <c:v>538</c:v>
                </c:pt>
                <c:pt idx="8">
                  <c:v>561</c:v>
                </c:pt>
                <c:pt idx="9">
                  <c:v>638</c:v>
                </c:pt>
                <c:pt idx="10">
                  <c:v>692</c:v>
                </c:pt>
                <c:pt idx="11">
                  <c:v>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619904"/>
        <c:axId val="403626976"/>
      </c:lineChart>
      <c:catAx>
        <c:axId val="403619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26976"/>
        <c:crosses val="autoZero"/>
        <c:auto val="1"/>
        <c:lblAlgn val="ctr"/>
        <c:lblOffset val="100"/>
        <c:noMultiLvlLbl val="0"/>
      </c:catAx>
      <c:valAx>
        <c:axId val="403626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RUBAGA-KABUSU'!$C$59:$N$59</c:f>
              <c:numCache>
                <c:formatCode>0.0%</c:formatCode>
                <c:ptCount val="12"/>
                <c:pt idx="0">
                  <c:v>0.18340139322603891</c:v>
                </c:pt>
                <c:pt idx="1">
                  <c:v>3.7352870526062933E-2</c:v>
                </c:pt>
                <c:pt idx="2">
                  <c:v>1.7895748258467452E-2</c:v>
                </c:pt>
                <c:pt idx="3">
                  <c:v>7.7227960605332699E-2</c:v>
                </c:pt>
                <c:pt idx="4">
                  <c:v>2.4021138601969735E-3</c:v>
                </c:pt>
                <c:pt idx="5">
                  <c:v>1.9216910881575786E-3</c:v>
                </c:pt>
                <c:pt idx="6">
                  <c:v>1.5133317319240933E-2</c:v>
                </c:pt>
                <c:pt idx="7">
                  <c:v>1.3692049003122748E-2</c:v>
                </c:pt>
                <c:pt idx="8">
                  <c:v>4.0835935623348548E-3</c:v>
                </c:pt>
                <c:pt idx="9">
                  <c:v>2.522219553206822E-3</c:v>
                </c:pt>
                <c:pt idx="10">
                  <c:v>0.64436704299783809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RUBAGA-KABUSU'!$S$9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RUBAGA-KABUSU'!$S$10:$S$21</c:f>
              <c:numCache>
                <c:formatCode>0</c:formatCode>
                <c:ptCount val="12"/>
                <c:pt idx="0">
                  <c:v>138</c:v>
                </c:pt>
                <c:pt idx="1">
                  <c:v>78</c:v>
                </c:pt>
                <c:pt idx="2">
                  <c:v>85</c:v>
                </c:pt>
                <c:pt idx="3">
                  <c:v>91</c:v>
                </c:pt>
                <c:pt idx="4">
                  <c:v>122</c:v>
                </c:pt>
                <c:pt idx="5">
                  <c:v>121</c:v>
                </c:pt>
                <c:pt idx="6">
                  <c:v>111</c:v>
                </c:pt>
                <c:pt idx="7">
                  <c:v>107</c:v>
                </c:pt>
                <c:pt idx="8">
                  <c:v>144</c:v>
                </c:pt>
                <c:pt idx="9">
                  <c:v>132</c:v>
                </c:pt>
                <c:pt idx="10">
                  <c:v>198</c:v>
                </c:pt>
                <c:pt idx="11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RUBAGA-KABUSU'!$T$9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RUBAGA-KABUSU'!$T$10:$T$21</c:f>
              <c:numCache>
                <c:formatCode>0</c:formatCode>
                <c:ptCount val="12"/>
                <c:pt idx="0">
                  <c:v>28</c:v>
                </c:pt>
                <c:pt idx="1">
                  <c:v>15</c:v>
                </c:pt>
                <c:pt idx="2">
                  <c:v>15</c:v>
                </c:pt>
                <c:pt idx="3">
                  <c:v>17</c:v>
                </c:pt>
                <c:pt idx="4">
                  <c:v>23</c:v>
                </c:pt>
                <c:pt idx="5">
                  <c:v>18</c:v>
                </c:pt>
                <c:pt idx="6">
                  <c:v>15</c:v>
                </c:pt>
                <c:pt idx="7">
                  <c:v>28</c:v>
                </c:pt>
                <c:pt idx="8">
                  <c:v>24</c:v>
                </c:pt>
                <c:pt idx="9">
                  <c:v>33</c:v>
                </c:pt>
                <c:pt idx="10">
                  <c:v>47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RUBAGA-KABUSU'!$U$9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RUBAGA-KABUSU'!$U$10:$U$21</c:f>
              <c:numCache>
                <c:formatCode>0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10</c:v>
                </c:pt>
                <c:pt idx="9">
                  <c:v>13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RUBAGA-KABUSU'!$V$9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RUBAGA-KABUSU'!$V$10:$V$21</c:f>
              <c:numCache>
                <c:formatCode>0</c:formatCode>
                <c:ptCount val="12"/>
                <c:pt idx="0">
                  <c:v>82</c:v>
                </c:pt>
                <c:pt idx="1">
                  <c:v>87</c:v>
                </c:pt>
                <c:pt idx="2">
                  <c:v>85</c:v>
                </c:pt>
                <c:pt idx="3">
                  <c:v>45</c:v>
                </c:pt>
                <c:pt idx="4">
                  <c:v>60</c:v>
                </c:pt>
                <c:pt idx="5">
                  <c:v>61</c:v>
                </c:pt>
                <c:pt idx="6">
                  <c:v>47</c:v>
                </c:pt>
                <c:pt idx="7">
                  <c:v>38</c:v>
                </c:pt>
                <c:pt idx="8">
                  <c:v>43</c:v>
                </c:pt>
                <c:pt idx="9">
                  <c:v>44</c:v>
                </c:pt>
                <c:pt idx="10">
                  <c:v>33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RUBAGA-KABUSU'!$W$9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RUBAGA-KABUSU'!$W$10:$W$21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RUBAGA-KABUSU'!$X$9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RUBAGA-KABUSU'!$Y$9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RUBAGA-KABUSU'!$Y$10:$Y$21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17</c:v>
                </c:pt>
                <c:pt idx="5">
                  <c:v>19</c:v>
                </c:pt>
                <c:pt idx="6">
                  <c:v>5</c:v>
                </c:pt>
                <c:pt idx="7">
                  <c:v>9</c:v>
                </c:pt>
                <c:pt idx="8">
                  <c:v>15</c:v>
                </c:pt>
                <c:pt idx="9">
                  <c:v>11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RUBAGA-KABUSU'!$Z$9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RUBAGA-KABUSU'!$Z$10:$Z$21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11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9</c:v>
                </c:pt>
                <c:pt idx="10">
                  <c:v>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RUBAGA-KABUSU'!$AA$9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RUBAGA-KABUSU'!$AB$9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RUBAGA-KABUSU'!$AC$9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RUBAGA-KABUSU'!$AC$10:$AC$21</c:f>
              <c:numCache>
                <c:formatCode>0</c:formatCode>
                <c:ptCount val="12"/>
                <c:pt idx="0">
                  <c:v>393</c:v>
                </c:pt>
                <c:pt idx="1">
                  <c:v>712</c:v>
                </c:pt>
                <c:pt idx="2">
                  <c:v>445</c:v>
                </c:pt>
                <c:pt idx="3">
                  <c:v>543</c:v>
                </c:pt>
                <c:pt idx="4">
                  <c:v>675</c:v>
                </c:pt>
                <c:pt idx="5">
                  <c:v>579</c:v>
                </c:pt>
                <c:pt idx="6">
                  <c:v>276</c:v>
                </c:pt>
                <c:pt idx="7">
                  <c:v>325</c:v>
                </c:pt>
                <c:pt idx="8">
                  <c:v>311</c:v>
                </c:pt>
                <c:pt idx="9">
                  <c:v>389</c:v>
                </c:pt>
                <c:pt idx="10">
                  <c:v>388</c:v>
                </c:pt>
                <c:pt idx="11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RUBAGA-KABUSU'!$AD$9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RUBAGA-KABUSU'!$AD$10:$AD$21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628064"/>
        <c:axId val="403616096"/>
      </c:lineChart>
      <c:catAx>
        <c:axId val="40362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16096"/>
        <c:crosses val="autoZero"/>
        <c:auto val="1"/>
        <c:lblAlgn val="ctr"/>
        <c:lblOffset val="100"/>
        <c:noMultiLvlLbl val="0"/>
      </c:catAx>
      <c:valAx>
        <c:axId val="4036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2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RUBAGA-KABUSU'!$C$60:$N$60</c:f>
              <c:numCache>
                <c:formatCode>0.00%</c:formatCode>
                <c:ptCount val="12"/>
                <c:pt idx="0">
                  <c:v>0.51570415400202629</c:v>
                </c:pt>
                <c:pt idx="1">
                  <c:v>0.10503208375548802</c:v>
                </c:pt>
                <c:pt idx="2">
                  <c:v>5.0320837554880107E-2</c:v>
                </c:pt>
                <c:pt idx="3">
                  <c:v>0.2171563660925363</c:v>
                </c:pt>
                <c:pt idx="4">
                  <c:v>6.7544748395812221E-3</c:v>
                </c:pt>
                <c:pt idx="5">
                  <c:v>5.4035798716649784E-3</c:v>
                </c:pt>
                <c:pt idx="6">
                  <c:v>4.2553191489361701E-2</c:v>
                </c:pt>
                <c:pt idx="7">
                  <c:v>3.8500506585612972E-2</c:v>
                </c:pt>
                <c:pt idx="8">
                  <c:v>1.1482607227288078E-2</c:v>
                </c:pt>
                <c:pt idx="9">
                  <c:v>7.0921985815602835E-3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KABUSU-RUBAGA'!$AE$9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KABUSU-RUBAGA'!$AE$10:$AE$21</c:f>
              <c:numCache>
                <c:formatCode>0</c:formatCode>
                <c:ptCount val="12"/>
                <c:pt idx="0">
                  <c:v>675</c:v>
                </c:pt>
                <c:pt idx="1">
                  <c:v>527</c:v>
                </c:pt>
                <c:pt idx="2">
                  <c:v>464</c:v>
                </c:pt>
                <c:pt idx="3">
                  <c:v>345</c:v>
                </c:pt>
                <c:pt idx="4">
                  <c:v>335</c:v>
                </c:pt>
                <c:pt idx="5">
                  <c:v>324</c:v>
                </c:pt>
                <c:pt idx="6">
                  <c:v>339</c:v>
                </c:pt>
                <c:pt idx="7">
                  <c:v>303</c:v>
                </c:pt>
                <c:pt idx="8">
                  <c:v>308</c:v>
                </c:pt>
                <c:pt idx="9">
                  <c:v>287</c:v>
                </c:pt>
                <c:pt idx="10">
                  <c:v>321</c:v>
                </c:pt>
                <c:pt idx="11">
                  <c:v>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KABUSU-RUBAGA'!$AF$9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KABUSU-RUBAGA'!$AF$10:$AF$21</c:f>
              <c:numCache>
                <c:formatCode>0</c:formatCode>
                <c:ptCount val="12"/>
                <c:pt idx="0">
                  <c:v>1585</c:v>
                </c:pt>
                <c:pt idx="1">
                  <c:v>1727</c:v>
                </c:pt>
                <c:pt idx="2">
                  <c:v>1342</c:v>
                </c:pt>
                <c:pt idx="3">
                  <c:v>1025</c:v>
                </c:pt>
                <c:pt idx="4">
                  <c:v>1105</c:v>
                </c:pt>
                <c:pt idx="5">
                  <c:v>1072</c:v>
                </c:pt>
                <c:pt idx="6">
                  <c:v>1075</c:v>
                </c:pt>
                <c:pt idx="7">
                  <c:v>1011</c:v>
                </c:pt>
                <c:pt idx="8">
                  <c:v>874</c:v>
                </c:pt>
                <c:pt idx="9">
                  <c:v>790</c:v>
                </c:pt>
                <c:pt idx="10">
                  <c:v>792</c:v>
                </c:pt>
                <c:pt idx="11">
                  <c:v>1123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623168"/>
        <c:axId val="403623712"/>
      </c:lineChart>
      <c:catAx>
        <c:axId val="403623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23712"/>
        <c:crosses val="autoZero"/>
        <c:auto val="1"/>
        <c:lblAlgn val="ctr"/>
        <c:lblOffset val="100"/>
        <c:noMultiLvlLbl val="0"/>
      </c:catAx>
      <c:valAx>
        <c:axId val="403623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36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KABUSU-RUBAGA'!$C$59:$N$59</c:f>
              <c:numCache>
                <c:formatCode>0.0%</c:formatCode>
                <c:ptCount val="12"/>
                <c:pt idx="0">
                  <c:v>0.11108645810221138</c:v>
                </c:pt>
                <c:pt idx="1">
                  <c:v>9.0821684786628207E-2</c:v>
                </c:pt>
                <c:pt idx="2">
                  <c:v>1.8415797648102951E-2</c:v>
                </c:pt>
                <c:pt idx="3">
                  <c:v>9.0451889653132167E-2</c:v>
                </c:pt>
                <c:pt idx="4">
                  <c:v>1.1093854004881295E-3</c:v>
                </c:pt>
                <c:pt idx="5">
                  <c:v>8.8750832039050369E-4</c:v>
                </c:pt>
                <c:pt idx="6">
                  <c:v>1.4717846313142519E-2</c:v>
                </c:pt>
                <c:pt idx="7">
                  <c:v>6.8781894830264034E-3</c:v>
                </c:pt>
                <c:pt idx="8">
                  <c:v>3.6979513349604319E-3</c:v>
                </c:pt>
                <c:pt idx="9">
                  <c:v>1.8489756674802159E-3</c:v>
                </c:pt>
                <c:pt idx="10">
                  <c:v>0.66008431329043715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KABUSU-RUBAGA'!$S$9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KABUSU-RUBAGA'!$S$10:$S$21</c:f>
              <c:numCache>
                <c:formatCode>0</c:formatCode>
                <c:ptCount val="12"/>
                <c:pt idx="0">
                  <c:v>244</c:v>
                </c:pt>
                <c:pt idx="1">
                  <c:v>188</c:v>
                </c:pt>
                <c:pt idx="2">
                  <c:v>163</c:v>
                </c:pt>
                <c:pt idx="3">
                  <c:v>122</c:v>
                </c:pt>
                <c:pt idx="4">
                  <c:v>101</c:v>
                </c:pt>
                <c:pt idx="5">
                  <c:v>82</c:v>
                </c:pt>
                <c:pt idx="6">
                  <c:v>105</c:v>
                </c:pt>
                <c:pt idx="7">
                  <c:v>104</c:v>
                </c:pt>
                <c:pt idx="8">
                  <c:v>94</c:v>
                </c:pt>
                <c:pt idx="9">
                  <c:v>91</c:v>
                </c:pt>
                <c:pt idx="10">
                  <c:v>97</c:v>
                </c:pt>
                <c:pt idx="11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KABUSU-RUBAGA'!$T$9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KABUSU-RUBAGA'!$T$10:$T$21</c:f>
              <c:numCache>
                <c:formatCode>0</c:formatCode>
                <c:ptCount val="12"/>
                <c:pt idx="0">
                  <c:v>201</c:v>
                </c:pt>
                <c:pt idx="1">
                  <c:v>165</c:v>
                </c:pt>
                <c:pt idx="2">
                  <c:v>128</c:v>
                </c:pt>
                <c:pt idx="3">
                  <c:v>85</c:v>
                </c:pt>
                <c:pt idx="4">
                  <c:v>81</c:v>
                </c:pt>
                <c:pt idx="5">
                  <c:v>90</c:v>
                </c:pt>
                <c:pt idx="6">
                  <c:v>96</c:v>
                </c:pt>
                <c:pt idx="7">
                  <c:v>56</c:v>
                </c:pt>
                <c:pt idx="8">
                  <c:v>92</c:v>
                </c:pt>
                <c:pt idx="9">
                  <c:v>63</c:v>
                </c:pt>
                <c:pt idx="10">
                  <c:v>79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KABUSU-RUBAGA'!$U$9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KABUSU-RUBAGA'!$U$10:$U$21</c:f>
              <c:numCache>
                <c:formatCode>0</c:formatCode>
                <c:ptCount val="12"/>
                <c:pt idx="0">
                  <c:v>27</c:v>
                </c:pt>
                <c:pt idx="1">
                  <c:v>24</c:v>
                </c:pt>
                <c:pt idx="2">
                  <c:v>26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23</c:v>
                </c:pt>
                <c:pt idx="7">
                  <c:v>10</c:v>
                </c:pt>
                <c:pt idx="8">
                  <c:v>22</c:v>
                </c:pt>
                <c:pt idx="9">
                  <c:v>15</c:v>
                </c:pt>
                <c:pt idx="10">
                  <c:v>17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KABUSU-RUBAGA'!$V$9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KABUSU-RUBAGA'!$V$10:$V$21</c:f>
              <c:numCache>
                <c:formatCode>0</c:formatCode>
                <c:ptCount val="12"/>
                <c:pt idx="0">
                  <c:v>169</c:v>
                </c:pt>
                <c:pt idx="1">
                  <c:v>118</c:v>
                </c:pt>
                <c:pt idx="2">
                  <c:v>118</c:v>
                </c:pt>
                <c:pt idx="3">
                  <c:v>91</c:v>
                </c:pt>
                <c:pt idx="4">
                  <c:v>101</c:v>
                </c:pt>
                <c:pt idx="5">
                  <c:v>89</c:v>
                </c:pt>
                <c:pt idx="6">
                  <c:v>71</c:v>
                </c:pt>
                <c:pt idx="7">
                  <c:v>82</c:v>
                </c:pt>
                <c:pt idx="8">
                  <c:v>79</c:v>
                </c:pt>
                <c:pt idx="9">
                  <c:v>77</c:v>
                </c:pt>
                <c:pt idx="10">
                  <c:v>99</c:v>
                </c:pt>
                <c:pt idx="11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KABUSU-RUBAGA'!$W$9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KABUSU-RUBAGA'!$X$9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KABUSU-RUBAGA'!$Y$9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KABUSU-RUBAGA'!$Y$10:$Y$21</c:f>
              <c:numCache>
                <c:formatCode>0</c:formatCode>
                <c:ptCount val="12"/>
                <c:pt idx="0">
                  <c:v>20</c:v>
                </c:pt>
                <c:pt idx="1">
                  <c:v>15</c:v>
                </c:pt>
                <c:pt idx="2">
                  <c:v>16</c:v>
                </c:pt>
                <c:pt idx="3">
                  <c:v>9</c:v>
                </c:pt>
                <c:pt idx="4">
                  <c:v>14</c:v>
                </c:pt>
                <c:pt idx="5">
                  <c:v>18</c:v>
                </c:pt>
                <c:pt idx="6">
                  <c:v>17</c:v>
                </c:pt>
                <c:pt idx="7">
                  <c:v>29</c:v>
                </c:pt>
                <c:pt idx="8">
                  <c:v>14</c:v>
                </c:pt>
                <c:pt idx="9">
                  <c:v>24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KABUSU-RUBAGA'!$Z$9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KABUSU-RUBAGA'!$Z$10:$Z$21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3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17</c:v>
                </c:pt>
                <c:pt idx="7">
                  <c:v>8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KABUSU-RUBAGA'!$AA$9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KABUSU-RUBAGA'!$AA$10:$AA$21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KABUSU-RUBAGA'!$AB$9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KABUSU-RUBAGA'!$AB$10:$AB$21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KABUSU-RUBAGA'!$AC$9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KABUSU-RUBAGA'!$AC$10:$AC$21</c:f>
              <c:numCache>
                <c:formatCode>0</c:formatCode>
                <c:ptCount val="12"/>
                <c:pt idx="0">
                  <c:v>910</c:v>
                </c:pt>
                <c:pt idx="1">
                  <c:v>1200</c:v>
                </c:pt>
                <c:pt idx="2">
                  <c:v>878</c:v>
                </c:pt>
                <c:pt idx="3">
                  <c:v>680</c:v>
                </c:pt>
                <c:pt idx="4">
                  <c:v>770</c:v>
                </c:pt>
                <c:pt idx="5">
                  <c:v>748</c:v>
                </c:pt>
                <c:pt idx="6">
                  <c:v>736</c:v>
                </c:pt>
                <c:pt idx="7">
                  <c:v>708</c:v>
                </c:pt>
                <c:pt idx="8">
                  <c:v>566</c:v>
                </c:pt>
                <c:pt idx="9">
                  <c:v>503</c:v>
                </c:pt>
                <c:pt idx="10">
                  <c:v>471</c:v>
                </c:pt>
                <c:pt idx="11">
                  <c:v>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KABUSU-RUBAGA'!$AD$9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KABUSU-RUBAGA'!$AD$10:$AD$21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551072"/>
        <c:axId val="404559232"/>
      </c:lineChart>
      <c:catAx>
        <c:axId val="4045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9232"/>
        <c:crosses val="autoZero"/>
        <c:auto val="1"/>
        <c:lblAlgn val="ctr"/>
        <c:lblOffset val="100"/>
        <c:noMultiLvlLbl val="0"/>
      </c:catAx>
      <c:valAx>
        <c:axId val="4045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KABUSU-RUBAGA'!$C$60:$N$60</c:f>
              <c:numCache>
                <c:formatCode>0.00%</c:formatCode>
                <c:ptCount val="12"/>
                <c:pt idx="0">
                  <c:v>0.3268059181897302</c:v>
                </c:pt>
                <c:pt idx="1">
                  <c:v>0.26718885987815494</c:v>
                </c:pt>
                <c:pt idx="2">
                  <c:v>5.4177545691906005E-2</c:v>
                </c:pt>
                <c:pt idx="3">
                  <c:v>0.26610095735422107</c:v>
                </c:pt>
                <c:pt idx="4">
                  <c:v>3.2637075718015664E-3</c:v>
                </c:pt>
                <c:pt idx="5">
                  <c:v>2.6109660574412533E-3</c:v>
                </c:pt>
                <c:pt idx="6">
                  <c:v>4.3298520452567449E-2</c:v>
                </c:pt>
                <c:pt idx="7">
                  <c:v>2.0234986945169713E-2</c:v>
                </c:pt>
                <c:pt idx="8">
                  <c:v>1.0879025239338555E-2</c:v>
                </c:pt>
                <c:pt idx="9">
                  <c:v>5.4395126196692773E-3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RUBAGA-KABUSU-24h'!$AE$9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RUBAGA-KABUSU-24h'!$R$10:$R$33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RUBAGA-KABUSU-24h'!$AE$10:$AE$33</c:f>
              <c:numCache>
                <c:formatCode>0</c:formatCode>
                <c:ptCount val="24"/>
                <c:pt idx="0">
                  <c:v>261</c:v>
                </c:pt>
                <c:pt idx="1">
                  <c:v>211</c:v>
                </c:pt>
                <c:pt idx="2">
                  <c:v>228</c:v>
                </c:pt>
                <c:pt idx="3">
                  <c:v>128</c:v>
                </c:pt>
                <c:pt idx="4">
                  <c:v>182</c:v>
                </c:pt>
                <c:pt idx="5">
                  <c:v>159</c:v>
                </c:pt>
                <c:pt idx="6">
                  <c:v>211</c:v>
                </c:pt>
                <c:pt idx="7">
                  <c:v>207</c:v>
                </c:pt>
                <c:pt idx="8">
                  <c:v>252</c:v>
                </c:pt>
                <c:pt idx="9">
                  <c:v>326</c:v>
                </c:pt>
                <c:pt idx="10">
                  <c:v>387</c:v>
                </c:pt>
                <c:pt idx="11">
                  <c:v>485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218</c:v>
                </c:pt>
                <c:pt idx="16">
                  <c:v>241</c:v>
                </c:pt>
                <c:pt idx="17">
                  <c:v>205</c:v>
                </c:pt>
                <c:pt idx="18">
                  <c:v>78</c:v>
                </c:pt>
                <c:pt idx="19">
                  <c:v>51</c:v>
                </c:pt>
                <c:pt idx="20">
                  <c:v>38</c:v>
                </c:pt>
                <c:pt idx="21">
                  <c:v>33</c:v>
                </c:pt>
                <c:pt idx="22">
                  <c:v>95</c:v>
                </c:pt>
                <c:pt idx="23">
                  <c:v>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RUBAGA-KABUSU-24h'!$AF$9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RUBAGA-KABUSU-24h'!$R$10:$R$33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RUBAGA-KABUSU-24h'!$AF$10:$AF$33</c:f>
              <c:numCache>
                <c:formatCode>0</c:formatCode>
                <c:ptCount val="24"/>
                <c:pt idx="0">
                  <c:v>666</c:v>
                </c:pt>
                <c:pt idx="1">
                  <c:v>858</c:v>
                </c:pt>
                <c:pt idx="2">
                  <c:v>873</c:v>
                </c:pt>
                <c:pt idx="3">
                  <c:v>516</c:v>
                </c:pt>
                <c:pt idx="4">
                  <c:v>570</c:v>
                </c:pt>
                <c:pt idx="5">
                  <c:v>505</c:v>
                </c:pt>
                <c:pt idx="6">
                  <c:v>649</c:v>
                </c:pt>
                <c:pt idx="7">
                  <c:v>610</c:v>
                </c:pt>
                <c:pt idx="8">
                  <c:v>612</c:v>
                </c:pt>
                <c:pt idx="9">
                  <c:v>1176</c:v>
                </c:pt>
                <c:pt idx="10">
                  <c:v>901</c:v>
                </c:pt>
                <c:pt idx="11">
                  <c:v>907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464</c:v>
                </c:pt>
                <c:pt idx="16">
                  <c:v>598</c:v>
                </c:pt>
                <c:pt idx="17">
                  <c:v>442</c:v>
                </c:pt>
                <c:pt idx="18">
                  <c:v>222</c:v>
                </c:pt>
                <c:pt idx="19">
                  <c:v>113</c:v>
                </c:pt>
                <c:pt idx="20">
                  <c:v>120</c:v>
                </c:pt>
                <c:pt idx="21">
                  <c:v>109</c:v>
                </c:pt>
                <c:pt idx="22">
                  <c:v>176</c:v>
                </c:pt>
                <c:pt idx="23">
                  <c:v>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52704"/>
        <c:axId val="404553792"/>
      </c:lineChart>
      <c:catAx>
        <c:axId val="404552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3792"/>
        <c:crosses val="autoZero"/>
        <c:auto val="1"/>
        <c:lblAlgn val="ctr"/>
        <c:lblOffset val="100"/>
        <c:noMultiLvlLbl val="0"/>
      </c:catAx>
      <c:valAx>
        <c:axId val="404553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RUBAGA-KABUSU-24h'!$C$9:$N$9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RUBAGA-KABUSU-24h'!$C$107:$N$107</c:f>
              <c:numCache>
                <c:formatCode>0.0%</c:formatCode>
                <c:ptCount val="12"/>
                <c:pt idx="0">
                  <c:v>0.19942196531791909</c:v>
                </c:pt>
                <c:pt idx="1">
                  <c:v>3.5207566999474513E-2</c:v>
                </c:pt>
                <c:pt idx="2">
                  <c:v>1.8041688561919775E-2</c:v>
                </c:pt>
                <c:pt idx="3">
                  <c:v>7.5582413732702747E-2</c:v>
                </c:pt>
                <c:pt idx="4">
                  <c:v>2.277106323349098E-3</c:v>
                </c:pt>
                <c:pt idx="5">
                  <c:v>2.4522683482221053E-3</c:v>
                </c:pt>
                <c:pt idx="6">
                  <c:v>1.8304431599229287E-2</c:v>
                </c:pt>
                <c:pt idx="7">
                  <c:v>7.6195480819758275E-3</c:v>
                </c:pt>
                <c:pt idx="8">
                  <c:v>3.4156594850236468E-3</c:v>
                </c:pt>
                <c:pt idx="9">
                  <c:v>1.9267822736030828E-3</c:v>
                </c:pt>
                <c:pt idx="10">
                  <c:v>0.6354002452268348</c:v>
                </c:pt>
                <c:pt idx="11">
                  <c:v>3.5032404974601509E-4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RUBAGA-KABUSU-24h'!$C$9:$N$9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RUBAGA-KABUSU-24h'!$C$108:$N$108</c:f>
              <c:numCache>
                <c:formatCode>0.00%</c:formatCode>
                <c:ptCount val="12"/>
                <c:pt idx="0">
                  <c:v>0.54696132596685088</c:v>
                </c:pt>
                <c:pt idx="1">
                  <c:v>9.6564977179918327E-2</c:v>
                </c:pt>
                <c:pt idx="2">
                  <c:v>4.9483545520057653E-2</c:v>
                </c:pt>
                <c:pt idx="3">
                  <c:v>0.2073024261349988</c:v>
                </c:pt>
                <c:pt idx="4">
                  <c:v>6.2454960365121307E-3</c:v>
                </c:pt>
                <c:pt idx="5">
                  <c:v>6.7259188085515252E-3</c:v>
                </c:pt>
                <c:pt idx="6">
                  <c:v>5.0204179678116745E-2</c:v>
                </c:pt>
                <c:pt idx="7">
                  <c:v>2.0898390583713667E-2</c:v>
                </c:pt>
                <c:pt idx="8">
                  <c:v>9.3682440547681965E-3</c:v>
                </c:pt>
                <c:pt idx="9">
                  <c:v>5.2846504924333416E-3</c:v>
                </c:pt>
                <c:pt idx="11">
                  <c:v>9.6084554407878929E-4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KABUSU-RUBAGA-24h'!$AE$9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KABUSU-RUBAGA-24h'!$R$10:$R$33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KABUSU-RUBAGA-24h'!$AE$10:$AE$33</c:f>
              <c:numCache>
                <c:formatCode>0</c:formatCode>
                <c:ptCount val="24"/>
                <c:pt idx="0">
                  <c:v>653</c:v>
                </c:pt>
                <c:pt idx="1">
                  <c:v>541</c:v>
                </c:pt>
                <c:pt idx="2">
                  <c:v>442</c:v>
                </c:pt>
                <c:pt idx="3">
                  <c:v>403</c:v>
                </c:pt>
                <c:pt idx="4">
                  <c:v>352</c:v>
                </c:pt>
                <c:pt idx="5">
                  <c:v>332</c:v>
                </c:pt>
                <c:pt idx="6">
                  <c:v>356</c:v>
                </c:pt>
                <c:pt idx="7">
                  <c:v>306</c:v>
                </c:pt>
                <c:pt idx="8">
                  <c:v>363</c:v>
                </c:pt>
                <c:pt idx="9">
                  <c:v>354</c:v>
                </c:pt>
                <c:pt idx="10">
                  <c:v>312</c:v>
                </c:pt>
                <c:pt idx="11">
                  <c:v>384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147</c:v>
                </c:pt>
                <c:pt idx="17">
                  <c:v>84</c:v>
                </c:pt>
                <c:pt idx="18">
                  <c:v>60</c:v>
                </c:pt>
                <c:pt idx="19">
                  <c:v>60</c:v>
                </c:pt>
                <c:pt idx="20">
                  <c:v>106</c:v>
                </c:pt>
                <c:pt idx="21">
                  <c:v>59</c:v>
                </c:pt>
                <c:pt idx="22">
                  <c:v>213</c:v>
                </c:pt>
                <c:pt idx="23">
                  <c:v>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KABUSU-RUBAGA-24h'!$AF$9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KABUSU-RUBAGA-24h'!$R$10:$R$33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KABUSU-RUBAGA-24h'!$AF$10:$AF$33</c:f>
              <c:numCache>
                <c:formatCode>0</c:formatCode>
                <c:ptCount val="24"/>
                <c:pt idx="0">
                  <c:v>1687</c:v>
                </c:pt>
                <c:pt idx="1">
                  <c:v>1601</c:v>
                </c:pt>
                <c:pt idx="2">
                  <c:v>1530</c:v>
                </c:pt>
                <c:pt idx="3">
                  <c:v>1355</c:v>
                </c:pt>
                <c:pt idx="4">
                  <c:v>1251</c:v>
                </c:pt>
                <c:pt idx="5">
                  <c:v>1231</c:v>
                </c:pt>
                <c:pt idx="6">
                  <c:v>1007</c:v>
                </c:pt>
                <c:pt idx="7">
                  <c:v>853</c:v>
                </c:pt>
                <c:pt idx="8">
                  <c:v>780</c:v>
                </c:pt>
                <c:pt idx="9">
                  <c:v>1029</c:v>
                </c:pt>
                <c:pt idx="10">
                  <c:v>1112</c:v>
                </c:pt>
                <c:pt idx="11">
                  <c:v>1360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632</c:v>
                </c:pt>
                <c:pt idx="16">
                  <c:v>526</c:v>
                </c:pt>
                <c:pt idx="17">
                  <c:v>308</c:v>
                </c:pt>
                <c:pt idx="18">
                  <c:v>189</c:v>
                </c:pt>
                <c:pt idx="19">
                  <c:v>170</c:v>
                </c:pt>
                <c:pt idx="20">
                  <c:v>205</c:v>
                </c:pt>
                <c:pt idx="21">
                  <c:v>185</c:v>
                </c:pt>
                <c:pt idx="22">
                  <c:v>358</c:v>
                </c:pt>
                <c:pt idx="23">
                  <c:v>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62496"/>
        <c:axId val="404555968"/>
      </c:lineChart>
      <c:catAx>
        <c:axId val="404562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5968"/>
        <c:crosses val="autoZero"/>
        <c:auto val="1"/>
        <c:lblAlgn val="ctr"/>
        <c:lblOffset val="100"/>
        <c:noMultiLvlLbl val="0"/>
      </c:catAx>
      <c:valAx>
        <c:axId val="404555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KABUSU-RUBAGA-24h'!$C$9:$N$9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KABUSU-RUBAGA-24h'!$C$107:$N$107</c:f>
              <c:numCache>
                <c:formatCode>0.0%</c:formatCode>
                <c:ptCount val="12"/>
                <c:pt idx="0">
                  <c:v>0.11949896549795895</c:v>
                </c:pt>
                <c:pt idx="1">
                  <c:v>7.8118883856176255E-2</c:v>
                </c:pt>
                <c:pt idx="2">
                  <c:v>1.660795168595873E-2</c:v>
                </c:pt>
                <c:pt idx="3">
                  <c:v>9.3943969132695856E-2</c:v>
                </c:pt>
                <c:pt idx="4">
                  <c:v>2.1808421405804393E-3</c:v>
                </c:pt>
                <c:pt idx="5">
                  <c:v>1.4538947603869596E-3</c:v>
                </c:pt>
                <c:pt idx="6">
                  <c:v>1.364424313593916E-2</c:v>
                </c:pt>
                <c:pt idx="7">
                  <c:v>7.6609070066543643E-3</c:v>
                </c:pt>
                <c:pt idx="8">
                  <c:v>2.9077895207739192E-3</c:v>
                </c:pt>
                <c:pt idx="9">
                  <c:v>1.3979757311413073E-3</c:v>
                </c:pt>
                <c:pt idx="10">
                  <c:v>0.66258457753173405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KABUSU-RUBAGA-24h'!$C$9:$N$9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KABUSU-RUBAGA-24h'!$C$108:$N$108</c:f>
              <c:numCache>
                <c:formatCode>0.00%</c:formatCode>
                <c:ptCount val="12"/>
                <c:pt idx="0">
                  <c:v>0.35415976135233673</c:v>
                </c:pt>
                <c:pt idx="1">
                  <c:v>0.2315213788531654</c:v>
                </c:pt>
                <c:pt idx="2">
                  <c:v>4.9221080543586343E-2</c:v>
                </c:pt>
                <c:pt idx="3">
                  <c:v>0.27842227378190254</c:v>
                </c:pt>
                <c:pt idx="4">
                  <c:v>6.463374212794166E-3</c:v>
                </c:pt>
                <c:pt idx="5">
                  <c:v>4.3089161418627779E-3</c:v>
                </c:pt>
                <c:pt idx="6">
                  <c:v>4.043752071594299E-2</c:v>
                </c:pt>
                <c:pt idx="7">
                  <c:v>2.2704673516738483E-2</c:v>
                </c:pt>
                <c:pt idx="8">
                  <c:v>8.6178322837255558E-3</c:v>
                </c:pt>
                <c:pt idx="9">
                  <c:v>4.1431885979449782E-3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RUBAGA-KABUSU-24h'!$AE$9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RUBAGA-KABUSU-24h'!$R$10:$R$33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RUBAGA-KABUSU-24h'!$AE$10:$AE$33</c:f>
              <c:numCache>
                <c:formatCode>0</c:formatCode>
                <c:ptCount val="24"/>
                <c:pt idx="0">
                  <c:v>244</c:v>
                </c:pt>
                <c:pt idx="1">
                  <c:v>226</c:v>
                </c:pt>
                <c:pt idx="2">
                  <c:v>207</c:v>
                </c:pt>
                <c:pt idx="3">
                  <c:v>201</c:v>
                </c:pt>
                <c:pt idx="4">
                  <c:v>276</c:v>
                </c:pt>
                <c:pt idx="5">
                  <c:v>268</c:v>
                </c:pt>
                <c:pt idx="6">
                  <c:v>306</c:v>
                </c:pt>
                <c:pt idx="7">
                  <c:v>358</c:v>
                </c:pt>
                <c:pt idx="8">
                  <c:v>344</c:v>
                </c:pt>
                <c:pt idx="9">
                  <c:v>305</c:v>
                </c:pt>
                <c:pt idx="10">
                  <c:v>327</c:v>
                </c:pt>
                <c:pt idx="11">
                  <c:v>226</c:v>
                </c:pt>
                <c:pt idx="12">
                  <c:v>246</c:v>
                </c:pt>
                <c:pt idx="13">
                  <c:v>292</c:v>
                </c:pt>
                <c:pt idx="14">
                  <c:v>163</c:v>
                </c:pt>
                <c:pt idx="15">
                  <c:v>228</c:v>
                </c:pt>
                <c:pt idx="16">
                  <c:v>156</c:v>
                </c:pt>
                <c:pt idx="17">
                  <c:v>122</c:v>
                </c:pt>
                <c:pt idx="18">
                  <c:v>72</c:v>
                </c:pt>
                <c:pt idx="19">
                  <c:v>92</c:v>
                </c:pt>
                <c:pt idx="20">
                  <c:v>160</c:v>
                </c:pt>
                <c:pt idx="21">
                  <c:v>57</c:v>
                </c:pt>
                <c:pt idx="22">
                  <c:v>73</c:v>
                </c:pt>
                <c:pt idx="23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RUBAGA-KABUSU-24h'!$AF$9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RUBAGA-KABUSU-24h'!$R$10:$R$33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RUBAGA-KABUSU-24h'!$AF$10:$AF$33</c:f>
              <c:numCache>
                <c:formatCode>0</c:formatCode>
                <c:ptCount val="24"/>
                <c:pt idx="0">
                  <c:v>672</c:v>
                </c:pt>
                <c:pt idx="1">
                  <c:v>1012</c:v>
                </c:pt>
                <c:pt idx="2">
                  <c:v>913</c:v>
                </c:pt>
                <c:pt idx="3">
                  <c:v>701</c:v>
                </c:pt>
                <c:pt idx="4">
                  <c:v>790</c:v>
                </c:pt>
                <c:pt idx="5">
                  <c:v>581</c:v>
                </c:pt>
                <c:pt idx="6">
                  <c:v>770</c:v>
                </c:pt>
                <c:pt idx="7">
                  <c:v>885</c:v>
                </c:pt>
                <c:pt idx="8">
                  <c:v>706</c:v>
                </c:pt>
                <c:pt idx="9">
                  <c:v>728</c:v>
                </c:pt>
                <c:pt idx="10">
                  <c:v>603</c:v>
                </c:pt>
                <c:pt idx="11">
                  <c:v>452</c:v>
                </c:pt>
                <c:pt idx="12">
                  <c:v>585</c:v>
                </c:pt>
                <c:pt idx="13">
                  <c:v>705</c:v>
                </c:pt>
                <c:pt idx="14">
                  <c:v>430</c:v>
                </c:pt>
                <c:pt idx="15">
                  <c:v>547</c:v>
                </c:pt>
                <c:pt idx="16">
                  <c:v>413</c:v>
                </c:pt>
                <c:pt idx="17">
                  <c:v>297</c:v>
                </c:pt>
                <c:pt idx="18">
                  <c:v>196</c:v>
                </c:pt>
                <c:pt idx="19">
                  <c:v>187</c:v>
                </c:pt>
                <c:pt idx="20">
                  <c:v>251</c:v>
                </c:pt>
                <c:pt idx="21">
                  <c:v>167</c:v>
                </c:pt>
                <c:pt idx="22">
                  <c:v>168</c:v>
                </c:pt>
                <c:pt idx="23">
                  <c:v>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48896"/>
        <c:axId val="404549440"/>
      </c:lineChart>
      <c:catAx>
        <c:axId val="404548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49440"/>
        <c:crosses val="autoZero"/>
        <c:auto val="1"/>
        <c:lblAlgn val="ctr"/>
        <c:lblOffset val="100"/>
        <c:noMultiLvlLbl val="0"/>
      </c:catAx>
      <c:valAx>
        <c:axId val="404549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4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RUBAGA-KABUSU-24h'!$C$9:$N$9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RUBAGA-KABUSU-24h'!$C$107:$N$107</c:f>
              <c:numCache>
                <c:formatCode>0.0%</c:formatCode>
                <c:ptCount val="12"/>
                <c:pt idx="0">
                  <c:v>0.23025961019952237</c:v>
                </c:pt>
                <c:pt idx="1">
                  <c:v>3.4126800708728144E-2</c:v>
                </c:pt>
                <c:pt idx="2">
                  <c:v>1.6639704183036747E-2</c:v>
                </c:pt>
                <c:pt idx="3">
                  <c:v>6.6789923734689158E-2</c:v>
                </c:pt>
                <c:pt idx="4">
                  <c:v>3.5436407056467145E-3</c:v>
                </c:pt>
                <c:pt idx="5">
                  <c:v>2.4651413604498884E-3</c:v>
                </c:pt>
                <c:pt idx="6">
                  <c:v>2.0029273553655344E-2</c:v>
                </c:pt>
                <c:pt idx="7">
                  <c:v>8.7820660966027274E-3</c:v>
                </c:pt>
                <c:pt idx="8">
                  <c:v>4.3910330483013637E-3</c:v>
                </c:pt>
                <c:pt idx="9">
                  <c:v>1.3866420152530623E-3</c:v>
                </c:pt>
                <c:pt idx="10">
                  <c:v>0.61135505739157225</c:v>
                </c:pt>
                <c:pt idx="11">
                  <c:v>2.3110700254217703E-4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RUBAGA-KABUSU-24h'!$C$9:$N$9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RUBAGA-KABUSU-24h'!$C$108:$N$108</c:f>
              <c:numCache>
                <c:formatCode>0.00%</c:formatCode>
                <c:ptCount val="12"/>
                <c:pt idx="0">
                  <c:v>0.59246778989098114</c:v>
                </c:pt>
                <c:pt idx="1">
                  <c:v>8.7809712586719518E-2</c:v>
                </c:pt>
                <c:pt idx="2">
                  <c:v>4.2814667988107034E-2</c:v>
                </c:pt>
                <c:pt idx="3">
                  <c:v>0.17185332011892962</c:v>
                </c:pt>
                <c:pt idx="4">
                  <c:v>9.117938553022795E-3</c:v>
                </c:pt>
                <c:pt idx="5">
                  <c:v>6.342913776015857E-3</c:v>
                </c:pt>
                <c:pt idx="6">
                  <c:v>5.1536174430128839E-2</c:v>
                </c:pt>
                <c:pt idx="7">
                  <c:v>2.2596630327056492E-2</c:v>
                </c:pt>
                <c:pt idx="8">
                  <c:v>1.1298315163528246E-2</c:v>
                </c:pt>
                <c:pt idx="9">
                  <c:v>3.5678889990089198E-3</c:v>
                </c:pt>
                <c:pt idx="11">
                  <c:v>5.9464816650148667E-4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KABUSU-RUBAGA-24h'!$AE$9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KABUSU-RUBAGA-24h'!$R$10:$R$33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KABUSU-RUBAGA-24h'!$AE$10:$AE$33</c:f>
              <c:numCache>
                <c:formatCode>0</c:formatCode>
                <c:ptCount val="24"/>
                <c:pt idx="0">
                  <c:v>514</c:v>
                </c:pt>
                <c:pt idx="1">
                  <c:v>519</c:v>
                </c:pt>
                <c:pt idx="2">
                  <c:v>521</c:v>
                </c:pt>
                <c:pt idx="3">
                  <c:v>469</c:v>
                </c:pt>
                <c:pt idx="4">
                  <c:v>467</c:v>
                </c:pt>
                <c:pt idx="5">
                  <c:v>350</c:v>
                </c:pt>
                <c:pt idx="6">
                  <c:v>312</c:v>
                </c:pt>
                <c:pt idx="7">
                  <c:v>308</c:v>
                </c:pt>
                <c:pt idx="8">
                  <c:v>308</c:v>
                </c:pt>
                <c:pt idx="9">
                  <c:v>317</c:v>
                </c:pt>
                <c:pt idx="10">
                  <c:v>344</c:v>
                </c:pt>
                <c:pt idx="11">
                  <c:v>350</c:v>
                </c:pt>
                <c:pt idx="12">
                  <c:v>356</c:v>
                </c:pt>
                <c:pt idx="13">
                  <c:v>351</c:v>
                </c:pt>
                <c:pt idx="14">
                  <c:v>316</c:v>
                </c:pt>
                <c:pt idx="15">
                  <c:v>184</c:v>
                </c:pt>
                <c:pt idx="16">
                  <c:v>140</c:v>
                </c:pt>
                <c:pt idx="17">
                  <c:v>105</c:v>
                </c:pt>
                <c:pt idx="18">
                  <c:v>78</c:v>
                </c:pt>
                <c:pt idx="19">
                  <c:v>42</c:v>
                </c:pt>
                <c:pt idx="20">
                  <c:v>64</c:v>
                </c:pt>
                <c:pt idx="21">
                  <c:v>68</c:v>
                </c:pt>
                <c:pt idx="22">
                  <c:v>84</c:v>
                </c:pt>
                <c:pt idx="23">
                  <c:v>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KABUSU-RUBAGA-24h'!$AF$9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KABUSU-RUBAGA-24h'!$R$10:$R$33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KABUSU-RUBAGA-24h'!$AF$10:$AF$33</c:f>
              <c:numCache>
                <c:formatCode>0</c:formatCode>
                <c:ptCount val="24"/>
                <c:pt idx="0">
                  <c:v>1438</c:v>
                </c:pt>
                <c:pt idx="1">
                  <c:v>1566</c:v>
                </c:pt>
                <c:pt idx="2">
                  <c:v>1505</c:v>
                </c:pt>
                <c:pt idx="3">
                  <c:v>1136</c:v>
                </c:pt>
                <c:pt idx="4">
                  <c:v>962</c:v>
                </c:pt>
                <c:pt idx="5">
                  <c:v>940</c:v>
                </c:pt>
                <c:pt idx="6">
                  <c:v>803</c:v>
                </c:pt>
                <c:pt idx="7">
                  <c:v>803</c:v>
                </c:pt>
                <c:pt idx="8">
                  <c:v>829</c:v>
                </c:pt>
                <c:pt idx="9">
                  <c:v>915</c:v>
                </c:pt>
                <c:pt idx="10">
                  <c:v>1020</c:v>
                </c:pt>
                <c:pt idx="11">
                  <c:v>800</c:v>
                </c:pt>
                <c:pt idx="12">
                  <c:v>877</c:v>
                </c:pt>
                <c:pt idx="13">
                  <c:v>846</c:v>
                </c:pt>
                <c:pt idx="14">
                  <c:v>706</c:v>
                </c:pt>
                <c:pt idx="15">
                  <c:v>519</c:v>
                </c:pt>
                <c:pt idx="16">
                  <c:v>409</c:v>
                </c:pt>
                <c:pt idx="17">
                  <c:v>287</c:v>
                </c:pt>
                <c:pt idx="18">
                  <c:v>229</c:v>
                </c:pt>
                <c:pt idx="19">
                  <c:v>170</c:v>
                </c:pt>
                <c:pt idx="20">
                  <c:v>155</c:v>
                </c:pt>
                <c:pt idx="21">
                  <c:v>184</c:v>
                </c:pt>
                <c:pt idx="22">
                  <c:v>203</c:v>
                </c:pt>
                <c:pt idx="23">
                  <c:v>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88432"/>
        <c:axId val="406290608"/>
      </c:lineChart>
      <c:catAx>
        <c:axId val="406288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90608"/>
        <c:crosses val="autoZero"/>
        <c:auto val="1"/>
        <c:lblAlgn val="ctr"/>
        <c:lblOffset val="100"/>
        <c:noMultiLvlLbl val="0"/>
      </c:catAx>
      <c:valAx>
        <c:axId val="406290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KABUSU-RUBAGA-24h'!$C$9:$N$9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KABUSU-RUBAGA-24h'!$C$107:$N$107</c:f>
              <c:numCache>
                <c:formatCode>0.0%</c:formatCode>
                <c:ptCount val="12"/>
                <c:pt idx="0">
                  <c:v>0.1551518592108998</c:v>
                </c:pt>
                <c:pt idx="1">
                  <c:v>8.1237581606585299E-2</c:v>
                </c:pt>
                <c:pt idx="2">
                  <c:v>1.6349701958558047E-2</c:v>
                </c:pt>
                <c:pt idx="3">
                  <c:v>9.9630996309963096E-2</c:v>
                </c:pt>
                <c:pt idx="4">
                  <c:v>1.7030939540164632E-3</c:v>
                </c:pt>
                <c:pt idx="5">
                  <c:v>2.6681805279591257E-3</c:v>
                </c:pt>
                <c:pt idx="6">
                  <c:v>1.4305989213738291E-2</c:v>
                </c:pt>
                <c:pt idx="7">
                  <c:v>7.2665342038035763E-3</c:v>
                </c:pt>
                <c:pt idx="8">
                  <c:v>2.327561737155833E-3</c:v>
                </c:pt>
                <c:pt idx="9">
                  <c:v>1.0218563724098779E-3</c:v>
                </c:pt>
                <c:pt idx="10">
                  <c:v>0.61833664490491058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KABUSU-RUBAGA-24h'!$C$9:$N$9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KABUSU-RUBAGA-24h'!$C$108:$N$108</c:f>
              <c:numCache>
                <c:formatCode>0.00%</c:formatCode>
                <c:ptCount val="12"/>
                <c:pt idx="0">
                  <c:v>0.40651494868362337</c:v>
                </c:pt>
                <c:pt idx="1">
                  <c:v>0.21285140562248997</c:v>
                </c:pt>
                <c:pt idx="2">
                  <c:v>4.2838018741633198E-2</c:v>
                </c:pt>
                <c:pt idx="3">
                  <c:v>0.26104417670682734</c:v>
                </c:pt>
                <c:pt idx="4">
                  <c:v>4.4622936189201252E-3</c:v>
                </c:pt>
                <c:pt idx="5">
                  <c:v>6.9909266696415295E-3</c:v>
                </c:pt>
                <c:pt idx="6">
                  <c:v>3.7483266398929051E-2</c:v>
                </c:pt>
                <c:pt idx="7">
                  <c:v>1.9039119440725866E-2</c:v>
                </c:pt>
                <c:pt idx="8">
                  <c:v>6.0984679458575041E-3</c:v>
                </c:pt>
                <c:pt idx="9">
                  <c:v>2.6773761713520749E-3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RUBAGA-KABUSU'!$AE$9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RUBAGA-KABUSU'!$AE$10:$AE$21</c:f>
              <c:numCache>
                <c:formatCode>0</c:formatCode>
                <c:ptCount val="12"/>
                <c:pt idx="0">
                  <c:v>128</c:v>
                </c:pt>
                <c:pt idx="1">
                  <c:v>163</c:v>
                </c:pt>
                <c:pt idx="2">
                  <c:v>206</c:v>
                </c:pt>
                <c:pt idx="3">
                  <c:v>177</c:v>
                </c:pt>
                <c:pt idx="4">
                  <c:v>253</c:v>
                </c:pt>
                <c:pt idx="5">
                  <c:v>226</c:v>
                </c:pt>
                <c:pt idx="6">
                  <c:v>241</c:v>
                </c:pt>
                <c:pt idx="7">
                  <c:v>268</c:v>
                </c:pt>
                <c:pt idx="8">
                  <c:v>272</c:v>
                </c:pt>
                <c:pt idx="9">
                  <c:v>291</c:v>
                </c:pt>
                <c:pt idx="10">
                  <c:v>234</c:v>
                </c:pt>
                <c:pt idx="11">
                  <c:v>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RUBAGA-KABUSU'!$AF$9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RUBAGA-KABUSU'!$AF$10:$AF$21</c:f>
              <c:numCache>
                <c:formatCode>0</c:formatCode>
                <c:ptCount val="12"/>
                <c:pt idx="0">
                  <c:v>353</c:v>
                </c:pt>
                <c:pt idx="1">
                  <c:v>491</c:v>
                </c:pt>
                <c:pt idx="2">
                  <c:v>668</c:v>
                </c:pt>
                <c:pt idx="3">
                  <c:v>574</c:v>
                </c:pt>
                <c:pt idx="4">
                  <c:v>639</c:v>
                </c:pt>
                <c:pt idx="5">
                  <c:v>634</c:v>
                </c:pt>
                <c:pt idx="6">
                  <c:v>528</c:v>
                </c:pt>
                <c:pt idx="7">
                  <c:v>693</c:v>
                </c:pt>
                <c:pt idx="8">
                  <c:v>545</c:v>
                </c:pt>
                <c:pt idx="9">
                  <c:v>521</c:v>
                </c:pt>
                <c:pt idx="10">
                  <c:v>589</c:v>
                </c:pt>
                <c:pt idx="11">
                  <c:v>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91152"/>
        <c:axId val="406285712"/>
      </c:lineChart>
      <c:catAx>
        <c:axId val="406291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85712"/>
        <c:crosses val="autoZero"/>
        <c:auto val="1"/>
        <c:lblAlgn val="ctr"/>
        <c:lblOffset val="100"/>
        <c:noMultiLvlLbl val="0"/>
      </c:catAx>
      <c:valAx>
        <c:axId val="406285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9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RUBAGA-KABUSU'!$C$59:$N$59</c:f>
              <c:numCache>
                <c:formatCode>0.0%</c:formatCode>
                <c:ptCount val="12"/>
                <c:pt idx="0">
                  <c:v>0.22613504074505239</c:v>
                </c:pt>
                <c:pt idx="1">
                  <c:v>3.5942956926658907E-2</c:v>
                </c:pt>
                <c:pt idx="2">
                  <c:v>2.2409778812572757E-2</c:v>
                </c:pt>
                <c:pt idx="3">
                  <c:v>9.8079161816065186E-2</c:v>
                </c:pt>
                <c:pt idx="4">
                  <c:v>2.3282887077997671E-3</c:v>
                </c:pt>
                <c:pt idx="5">
                  <c:v>3.3469150174621652E-3</c:v>
                </c:pt>
                <c:pt idx="6">
                  <c:v>1.1350407450523865E-2</c:v>
                </c:pt>
                <c:pt idx="7">
                  <c:v>6.8393480791618163E-3</c:v>
                </c:pt>
                <c:pt idx="8">
                  <c:v>3.0558789289871946E-3</c:v>
                </c:pt>
                <c:pt idx="9">
                  <c:v>1.1641443538998836E-3</c:v>
                </c:pt>
                <c:pt idx="10">
                  <c:v>0.58934807916181609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RUBAGA-KABUSU'!$S$9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RUBAGA-KABUSU'!$S$10:$S$21</c:f>
              <c:numCache>
                <c:formatCode>0</c:formatCode>
                <c:ptCount val="12"/>
                <c:pt idx="0">
                  <c:v>59</c:v>
                </c:pt>
                <c:pt idx="1">
                  <c:v>52</c:v>
                </c:pt>
                <c:pt idx="2">
                  <c:v>86</c:v>
                </c:pt>
                <c:pt idx="3">
                  <c:v>60</c:v>
                </c:pt>
                <c:pt idx="4">
                  <c:v>132</c:v>
                </c:pt>
                <c:pt idx="5">
                  <c:v>119</c:v>
                </c:pt>
                <c:pt idx="6">
                  <c:v>140</c:v>
                </c:pt>
                <c:pt idx="7">
                  <c:v>155</c:v>
                </c:pt>
                <c:pt idx="8">
                  <c:v>174</c:v>
                </c:pt>
                <c:pt idx="9">
                  <c:v>182</c:v>
                </c:pt>
                <c:pt idx="10">
                  <c:v>133</c:v>
                </c:pt>
                <c:pt idx="11">
                  <c:v>262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RUBAGA-KABUSU'!$T$9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RUBAGA-KABUSU'!$R$10:$R$21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RUBAGA-KABUSU'!$T$10:$T$21</c:f>
              <c:numCache>
                <c:formatCode>0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20</c:v>
                </c:pt>
                <c:pt idx="5">
                  <c:v>26</c:v>
                </c:pt>
                <c:pt idx="6">
                  <c:v>28</c:v>
                </c:pt>
                <c:pt idx="7">
                  <c:v>31</c:v>
                </c:pt>
                <c:pt idx="8">
                  <c:v>22</c:v>
                </c:pt>
                <c:pt idx="9">
                  <c:v>22</c:v>
                </c:pt>
                <c:pt idx="10">
                  <c:v>31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RUBAGA-KABUSU'!$U$9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RUBAGA-KABUSU'!$U$10:$U$21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11</c:v>
                </c:pt>
                <c:pt idx="3">
                  <c:v>9</c:v>
                </c:pt>
                <c:pt idx="4">
                  <c:v>20</c:v>
                </c:pt>
                <c:pt idx="5">
                  <c:v>16</c:v>
                </c:pt>
                <c:pt idx="6">
                  <c:v>13</c:v>
                </c:pt>
                <c:pt idx="7">
                  <c:v>17</c:v>
                </c:pt>
                <c:pt idx="8">
                  <c:v>13</c:v>
                </c:pt>
                <c:pt idx="9">
                  <c:v>18</c:v>
                </c:pt>
                <c:pt idx="10">
                  <c:v>17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RUBAGA-KABUSU'!$V$9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RUBAGA-KABUSU'!$V$10:$V$21</c:f>
              <c:numCache>
                <c:formatCode>0</c:formatCode>
                <c:ptCount val="12"/>
                <c:pt idx="0">
                  <c:v>52</c:v>
                </c:pt>
                <c:pt idx="1">
                  <c:v>70</c:v>
                </c:pt>
                <c:pt idx="2">
                  <c:v>83</c:v>
                </c:pt>
                <c:pt idx="3">
                  <c:v>77</c:v>
                </c:pt>
                <c:pt idx="4">
                  <c:v>67</c:v>
                </c:pt>
                <c:pt idx="5">
                  <c:v>51</c:v>
                </c:pt>
                <c:pt idx="6">
                  <c:v>46</c:v>
                </c:pt>
                <c:pt idx="7">
                  <c:v>47</c:v>
                </c:pt>
                <c:pt idx="8">
                  <c:v>52</c:v>
                </c:pt>
                <c:pt idx="9">
                  <c:v>55</c:v>
                </c:pt>
                <c:pt idx="10">
                  <c:v>37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RUBAGA-KABUSU'!$W$9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RUBAGA-KABUSU'!$X$9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RUBAGA-KABUSU'!$X$10:$X$21</c:f>
              <c:numCache>
                <c:formatCode>0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RUBAGA-KABUSU'!$Y$9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RUBAGA-KABUSU'!$Y$10:$Y$21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4</c:v>
                </c:pt>
                <c:pt idx="3">
                  <c:v>10</c:v>
                </c:pt>
                <c:pt idx="4">
                  <c:v>2</c:v>
                </c:pt>
                <c:pt idx="5">
                  <c:v>11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RUBAGA-KABUSU'!$Z$9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RUBAGA-KABUSU'!$AA$9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RUBAGA-KABUSU'!$AB$9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RUBAGA-KABUSU'!$AC$9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RUBAGA-KABUSU'!$AC$10:$AC$21</c:f>
              <c:numCache>
                <c:formatCode>0</c:formatCode>
                <c:ptCount val="12"/>
                <c:pt idx="0">
                  <c:v>225</c:v>
                </c:pt>
                <c:pt idx="1">
                  <c:v>328</c:v>
                </c:pt>
                <c:pt idx="2">
                  <c:v>462</c:v>
                </c:pt>
                <c:pt idx="3">
                  <c:v>397</c:v>
                </c:pt>
                <c:pt idx="4">
                  <c:v>386</c:v>
                </c:pt>
                <c:pt idx="5">
                  <c:v>408</c:v>
                </c:pt>
                <c:pt idx="6">
                  <c:v>287</c:v>
                </c:pt>
                <c:pt idx="7">
                  <c:v>425</c:v>
                </c:pt>
                <c:pt idx="8">
                  <c:v>273</c:v>
                </c:pt>
                <c:pt idx="9">
                  <c:v>230</c:v>
                </c:pt>
                <c:pt idx="10">
                  <c:v>355</c:v>
                </c:pt>
                <c:pt idx="11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RUBAGA-KABUSU'!$AD$9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RUBAGA-KABUSU'!$AD$10:$AD$21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292240"/>
        <c:axId val="406293328"/>
      </c:lineChart>
      <c:catAx>
        <c:axId val="40629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93328"/>
        <c:crosses val="autoZero"/>
        <c:auto val="1"/>
        <c:lblAlgn val="ctr"/>
        <c:lblOffset val="100"/>
        <c:noMultiLvlLbl val="0"/>
      </c:catAx>
      <c:valAx>
        <c:axId val="4062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RUBAGA-KABUSU'!$C$60:$N$60</c:f>
              <c:numCache>
                <c:formatCode>0.00%</c:formatCode>
                <c:ptCount val="12"/>
                <c:pt idx="0">
                  <c:v>0.55067328136073712</c:v>
                </c:pt>
                <c:pt idx="1">
                  <c:v>8.7526576895818567E-2</c:v>
                </c:pt>
                <c:pt idx="2">
                  <c:v>5.4571226080793761E-2</c:v>
                </c:pt>
                <c:pt idx="3">
                  <c:v>0.23883770375620128</c:v>
                </c:pt>
                <c:pt idx="4">
                  <c:v>5.6697377746279237E-3</c:v>
                </c:pt>
                <c:pt idx="5">
                  <c:v>8.1502480510276393E-3</c:v>
                </c:pt>
                <c:pt idx="6">
                  <c:v>2.7639971651311126E-2</c:v>
                </c:pt>
                <c:pt idx="7">
                  <c:v>1.6654854712969524E-2</c:v>
                </c:pt>
                <c:pt idx="8">
                  <c:v>7.4415308291991495E-3</c:v>
                </c:pt>
                <c:pt idx="9">
                  <c:v>2.8348688873139618E-3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KABUSU-RUBAGA'!$AE$9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KABUSU-RUBAGA'!$AE$10:$AE$21</c:f>
              <c:numCache>
                <c:formatCode>0</c:formatCode>
                <c:ptCount val="12"/>
                <c:pt idx="0">
                  <c:v>258</c:v>
                </c:pt>
                <c:pt idx="1">
                  <c:v>298</c:v>
                </c:pt>
                <c:pt idx="2">
                  <c:v>335</c:v>
                </c:pt>
                <c:pt idx="3">
                  <c:v>389</c:v>
                </c:pt>
                <c:pt idx="4">
                  <c:v>361</c:v>
                </c:pt>
                <c:pt idx="5">
                  <c:v>334</c:v>
                </c:pt>
                <c:pt idx="6">
                  <c:v>353</c:v>
                </c:pt>
                <c:pt idx="7">
                  <c:v>288</c:v>
                </c:pt>
                <c:pt idx="8">
                  <c:v>310</c:v>
                </c:pt>
                <c:pt idx="9">
                  <c:v>265</c:v>
                </c:pt>
                <c:pt idx="10">
                  <c:v>354</c:v>
                </c:pt>
                <c:pt idx="11">
                  <c:v>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KABUSU-RUBAGA'!$AF$9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KABUSU-RUBAGA'!$AF$10:$AF$21</c:f>
              <c:numCache>
                <c:formatCode>0</c:formatCode>
                <c:ptCount val="12"/>
                <c:pt idx="0">
                  <c:v>743</c:v>
                </c:pt>
                <c:pt idx="1">
                  <c:v>876</c:v>
                </c:pt>
                <c:pt idx="2">
                  <c:v>1038</c:v>
                </c:pt>
                <c:pt idx="3">
                  <c:v>1135</c:v>
                </c:pt>
                <c:pt idx="4">
                  <c:v>1041</c:v>
                </c:pt>
                <c:pt idx="5">
                  <c:v>927</c:v>
                </c:pt>
                <c:pt idx="6">
                  <c:v>925</c:v>
                </c:pt>
                <c:pt idx="7">
                  <c:v>794</c:v>
                </c:pt>
                <c:pt idx="8">
                  <c:v>952</c:v>
                </c:pt>
                <c:pt idx="9">
                  <c:v>941</c:v>
                </c:pt>
                <c:pt idx="10">
                  <c:v>1122</c:v>
                </c:pt>
                <c:pt idx="11">
                  <c:v>1257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84624"/>
        <c:axId val="406283536"/>
      </c:lineChart>
      <c:catAx>
        <c:axId val="4062846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83536"/>
        <c:crosses val="autoZero"/>
        <c:auto val="1"/>
        <c:lblAlgn val="ctr"/>
        <c:lblOffset val="100"/>
        <c:noMultiLvlLbl val="0"/>
      </c:catAx>
      <c:valAx>
        <c:axId val="406283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28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KABUSU-RUBAGA'!$C$59:$N$59</c:f>
              <c:numCache>
                <c:formatCode>0.0%</c:formatCode>
                <c:ptCount val="12"/>
                <c:pt idx="0">
                  <c:v>0.13020168496298187</c:v>
                </c:pt>
                <c:pt idx="1">
                  <c:v>6.9440898646923668E-2</c:v>
                </c:pt>
                <c:pt idx="2">
                  <c:v>1.5062547868266531E-2</c:v>
                </c:pt>
                <c:pt idx="3">
                  <c:v>0.10407624882988682</c:v>
                </c:pt>
                <c:pt idx="4">
                  <c:v>1.2764871074802144E-3</c:v>
                </c:pt>
                <c:pt idx="5">
                  <c:v>1.5317845289762573E-3</c:v>
                </c:pt>
                <c:pt idx="6">
                  <c:v>1.404135818228236E-2</c:v>
                </c:pt>
                <c:pt idx="7">
                  <c:v>5.1059484299208575E-3</c:v>
                </c:pt>
                <c:pt idx="8">
                  <c:v>1.2764871074802144E-3</c:v>
                </c:pt>
                <c:pt idx="9">
                  <c:v>1.3615862479788954E-3</c:v>
                </c:pt>
                <c:pt idx="10">
                  <c:v>0.65662496808782234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KABUSU-RUBAGA'!$S$9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KABUSU-RUBAGA'!$S$10:$S$21</c:f>
              <c:numCache>
                <c:formatCode>0</c:formatCode>
                <c:ptCount val="12"/>
                <c:pt idx="0">
                  <c:v>78</c:v>
                </c:pt>
                <c:pt idx="1">
                  <c:v>92</c:v>
                </c:pt>
                <c:pt idx="2">
                  <c:v>122</c:v>
                </c:pt>
                <c:pt idx="3">
                  <c:v>167</c:v>
                </c:pt>
                <c:pt idx="4">
                  <c:v>122</c:v>
                </c:pt>
                <c:pt idx="5">
                  <c:v>128</c:v>
                </c:pt>
                <c:pt idx="6">
                  <c:v>129</c:v>
                </c:pt>
                <c:pt idx="7">
                  <c:v>110</c:v>
                </c:pt>
                <c:pt idx="8">
                  <c:v>115</c:v>
                </c:pt>
                <c:pt idx="9">
                  <c:v>107</c:v>
                </c:pt>
                <c:pt idx="10">
                  <c:v>144</c:v>
                </c:pt>
                <c:pt idx="11">
                  <c:v>216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KABUSU-RUBAGA'!$T$9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KABUSU-RUBAGA'!$R$10:$R$21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KABUSU-RUBAGA'!$T$10:$T$21</c:f>
              <c:numCache>
                <c:formatCode>0</c:formatCode>
                <c:ptCount val="12"/>
                <c:pt idx="0">
                  <c:v>61</c:v>
                </c:pt>
                <c:pt idx="1">
                  <c:v>39</c:v>
                </c:pt>
                <c:pt idx="2">
                  <c:v>69</c:v>
                </c:pt>
                <c:pt idx="3">
                  <c:v>74</c:v>
                </c:pt>
                <c:pt idx="4">
                  <c:v>92</c:v>
                </c:pt>
                <c:pt idx="5">
                  <c:v>76</c:v>
                </c:pt>
                <c:pt idx="6">
                  <c:v>85</c:v>
                </c:pt>
                <c:pt idx="7">
                  <c:v>60</c:v>
                </c:pt>
                <c:pt idx="8">
                  <c:v>65</c:v>
                </c:pt>
                <c:pt idx="9">
                  <c:v>28</c:v>
                </c:pt>
                <c:pt idx="10">
                  <c:v>80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KABUSU-RUBAGA'!$U$9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KABUSU-RUBAGA'!$U$10:$U$21</c:f>
              <c:numCache>
                <c:formatCode>0</c:formatCode>
                <c:ptCount val="12"/>
                <c:pt idx="0">
                  <c:v>15</c:v>
                </c:pt>
                <c:pt idx="1">
                  <c:v>10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7</c:v>
                </c:pt>
                <c:pt idx="6">
                  <c:v>14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10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KABUSU-RUBAGA'!$V$9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KABUSU-RUBAGA'!$V$10:$V$21</c:f>
              <c:numCache>
                <c:formatCode>0</c:formatCode>
                <c:ptCount val="12"/>
                <c:pt idx="0">
                  <c:v>79</c:v>
                </c:pt>
                <c:pt idx="1">
                  <c:v>137</c:v>
                </c:pt>
                <c:pt idx="2">
                  <c:v>110</c:v>
                </c:pt>
                <c:pt idx="3">
                  <c:v>106</c:v>
                </c:pt>
                <c:pt idx="4">
                  <c:v>105</c:v>
                </c:pt>
                <c:pt idx="5">
                  <c:v>88</c:v>
                </c:pt>
                <c:pt idx="6">
                  <c:v>109</c:v>
                </c:pt>
                <c:pt idx="7">
                  <c:v>78</c:v>
                </c:pt>
                <c:pt idx="8">
                  <c:v>94</c:v>
                </c:pt>
                <c:pt idx="9">
                  <c:v>92</c:v>
                </c:pt>
                <c:pt idx="10">
                  <c:v>95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KABUSU-RUBAGA'!$W$9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KABUSU-RUBAGA'!$X$9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KABUSU-RUBAGA'!$Y$9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KABUSU-RUBAGA'!$Y$10:$Y$21</c:f>
              <c:numCache>
                <c:formatCode>0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9</c:v>
                </c:pt>
                <c:pt idx="3">
                  <c:v>17</c:v>
                </c:pt>
                <c:pt idx="4">
                  <c:v>14</c:v>
                </c:pt>
                <c:pt idx="5">
                  <c:v>25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KABUSU-RUBAGA'!$Z$9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KABUSU-RUBAGA'!$Z$10:$Z$21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2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KABUSU-RUBAGA'!$AA$9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KABUSU-RUBAGA'!$AB$9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KABUSU-RUBAGA'!$AC$9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KABUSU-RUBAGA'!$AC$10:$AC$21</c:f>
              <c:numCache>
                <c:formatCode>0</c:formatCode>
                <c:ptCount val="12"/>
                <c:pt idx="0">
                  <c:v>485</c:v>
                </c:pt>
                <c:pt idx="1">
                  <c:v>578</c:v>
                </c:pt>
                <c:pt idx="2">
                  <c:v>703</c:v>
                </c:pt>
                <c:pt idx="3">
                  <c:v>746</c:v>
                </c:pt>
                <c:pt idx="4">
                  <c:v>680</c:v>
                </c:pt>
                <c:pt idx="5">
                  <c:v>593</c:v>
                </c:pt>
                <c:pt idx="6">
                  <c:v>572</c:v>
                </c:pt>
                <c:pt idx="7">
                  <c:v>506</c:v>
                </c:pt>
                <c:pt idx="8">
                  <c:v>642</c:v>
                </c:pt>
                <c:pt idx="9">
                  <c:v>676</c:v>
                </c:pt>
                <c:pt idx="10">
                  <c:v>768</c:v>
                </c:pt>
                <c:pt idx="11">
                  <c:v>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KABUSU-RUBAGA'!$AD$9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KABUSU-RUBAGA'!$AD$10:$AD$21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708800"/>
        <c:axId val="409707168"/>
      </c:lineChart>
      <c:catAx>
        <c:axId val="40970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9707168"/>
        <c:crosses val="autoZero"/>
        <c:auto val="1"/>
        <c:lblAlgn val="ctr"/>
        <c:lblOffset val="100"/>
        <c:noMultiLvlLbl val="0"/>
      </c:catAx>
      <c:valAx>
        <c:axId val="4097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97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KABUSU-RUBAGA'!$C$60:$N$60</c:f>
              <c:numCache>
                <c:formatCode>0.00%</c:formatCode>
                <c:ptCount val="12"/>
                <c:pt idx="0">
                  <c:v>0.379182156133829</c:v>
                </c:pt>
                <c:pt idx="1">
                  <c:v>0.20223048327137547</c:v>
                </c:pt>
                <c:pt idx="2">
                  <c:v>4.3866171003717473E-2</c:v>
                </c:pt>
                <c:pt idx="3">
                  <c:v>0.3030978934324659</c:v>
                </c:pt>
                <c:pt idx="4">
                  <c:v>3.7174721189591076E-3</c:v>
                </c:pt>
                <c:pt idx="5">
                  <c:v>4.4609665427509295E-3</c:v>
                </c:pt>
                <c:pt idx="6">
                  <c:v>4.0892193308550186E-2</c:v>
                </c:pt>
                <c:pt idx="7">
                  <c:v>1.4869888475836431E-2</c:v>
                </c:pt>
                <c:pt idx="8">
                  <c:v>3.7174721189591076E-3</c:v>
                </c:pt>
                <c:pt idx="9">
                  <c:v>3.9653035935563819E-3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RUBAGA-KABUSU'!$AE$9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RUBAGA-KABUSU'!$R$10:$R$33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RUBAGA-KABUSU'!$AE$10:$AE$33</c:f>
              <c:numCache>
                <c:formatCode>0</c:formatCode>
                <c:ptCount val="24"/>
                <c:pt idx="0">
                  <c:v>229</c:v>
                </c:pt>
                <c:pt idx="1">
                  <c:v>211.28571428571431</c:v>
                </c:pt>
                <c:pt idx="2">
                  <c:v>241</c:v>
                </c:pt>
                <c:pt idx="3">
                  <c:v>205.71428571428572</c:v>
                </c:pt>
                <c:pt idx="4">
                  <c:v>244.85714285714283</c:v>
                </c:pt>
                <c:pt idx="5">
                  <c:v>240.28571428571425</c:v>
                </c:pt>
                <c:pt idx="6">
                  <c:v>248.28571428571425</c:v>
                </c:pt>
                <c:pt idx="7">
                  <c:v>251.57142857142856</c:v>
                </c:pt>
                <c:pt idx="8">
                  <c:v>279.57142857142856</c:v>
                </c:pt>
                <c:pt idx="9">
                  <c:v>307.42857142857144</c:v>
                </c:pt>
                <c:pt idx="10">
                  <c:v>353.57142857142856</c:v>
                </c:pt>
                <c:pt idx="11">
                  <c:v>388.57142857142856</c:v>
                </c:pt>
                <c:pt idx="12">
                  <c:v>123</c:v>
                </c:pt>
                <c:pt idx="13">
                  <c:v>146</c:v>
                </c:pt>
                <c:pt idx="14">
                  <c:v>81.5</c:v>
                </c:pt>
                <c:pt idx="15">
                  <c:v>223</c:v>
                </c:pt>
                <c:pt idx="16">
                  <c:v>198.5</c:v>
                </c:pt>
                <c:pt idx="17">
                  <c:v>163.5</c:v>
                </c:pt>
                <c:pt idx="18">
                  <c:v>75</c:v>
                </c:pt>
                <c:pt idx="19">
                  <c:v>71.5</c:v>
                </c:pt>
                <c:pt idx="20">
                  <c:v>99</c:v>
                </c:pt>
                <c:pt idx="21">
                  <c:v>45</c:v>
                </c:pt>
                <c:pt idx="22">
                  <c:v>84</c:v>
                </c:pt>
                <c:pt idx="23">
                  <c:v>131.5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RUBAGA-KABUSU'!$AF$9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RUBAGA-KABUSU'!$R$10:$R$33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RUBAGA-KABUSU'!$AF$10:$AF$33</c:f>
              <c:numCache>
                <c:formatCode>0</c:formatCode>
                <c:ptCount val="24"/>
                <c:pt idx="0">
                  <c:v>616</c:v>
                </c:pt>
                <c:pt idx="1">
                  <c:v>911</c:v>
                </c:pt>
                <c:pt idx="2">
                  <c:v>858.28571428571433</c:v>
                </c:pt>
                <c:pt idx="3">
                  <c:v>764.28571428571433</c:v>
                </c:pt>
                <c:pt idx="4">
                  <c:v>790.28571428571433</c:v>
                </c:pt>
                <c:pt idx="5">
                  <c:v>708.85714285714289</c:v>
                </c:pt>
                <c:pt idx="6">
                  <c:v>679.85714285714278</c:v>
                </c:pt>
                <c:pt idx="7">
                  <c:v>721.28571428571422</c:v>
                </c:pt>
                <c:pt idx="8">
                  <c:v>685.14285714285711</c:v>
                </c:pt>
                <c:pt idx="9">
                  <c:v>822.71428571428567</c:v>
                </c:pt>
                <c:pt idx="10">
                  <c:v>818.85714285714289</c:v>
                </c:pt>
                <c:pt idx="11">
                  <c:v>773.57142857142844</c:v>
                </c:pt>
                <c:pt idx="12">
                  <c:v>292.5</c:v>
                </c:pt>
                <c:pt idx="13">
                  <c:v>352.5</c:v>
                </c:pt>
                <c:pt idx="14">
                  <c:v>215</c:v>
                </c:pt>
                <c:pt idx="15">
                  <c:v>505.5</c:v>
                </c:pt>
                <c:pt idx="16">
                  <c:v>505.5</c:v>
                </c:pt>
                <c:pt idx="17">
                  <c:v>369.5</c:v>
                </c:pt>
                <c:pt idx="18">
                  <c:v>209</c:v>
                </c:pt>
                <c:pt idx="19">
                  <c:v>150</c:v>
                </c:pt>
                <c:pt idx="20">
                  <c:v>185.5</c:v>
                </c:pt>
                <c:pt idx="21">
                  <c:v>138</c:v>
                </c:pt>
                <c:pt idx="22">
                  <c:v>172</c:v>
                </c:pt>
                <c:pt idx="23">
                  <c:v>276.5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714784"/>
        <c:axId val="409713152"/>
      </c:lineChart>
      <c:catAx>
        <c:axId val="409714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9713152"/>
        <c:crosses val="autoZero"/>
        <c:auto val="1"/>
        <c:lblAlgn val="ctr"/>
        <c:lblOffset val="100"/>
        <c:noMultiLvlLbl val="0"/>
      </c:catAx>
      <c:valAx>
        <c:axId val="409713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97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360245357418423E-4"/>
          <c:y val="9.1392739991504615E-2"/>
          <c:w val="0.81840844993968154"/>
          <c:h val="0.7582167043582056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RUBAGA-KABUSU'!$C$107:$N$107</c:f>
              <c:numCache>
                <c:formatCode>0.0%</c:formatCode>
                <c:ptCount val="12"/>
                <c:pt idx="0">
                  <c:v>0.18319776428158818</c:v>
                </c:pt>
                <c:pt idx="1">
                  <c:v>3.3848027353202928E-2</c:v>
                </c:pt>
                <c:pt idx="2">
                  <c:v>1.7610966261260561E-2</c:v>
                </c:pt>
                <c:pt idx="3">
                  <c:v>7.5689684782438996E-2</c:v>
                </c:pt>
                <c:pt idx="4">
                  <c:v>2.1701456651730656E-3</c:v>
                </c:pt>
                <c:pt idx="5">
                  <c:v>1.670543785420993E-3</c:v>
                </c:pt>
                <c:pt idx="6">
                  <c:v>1.5721846653448033E-2</c:v>
                </c:pt>
                <c:pt idx="7">
                  <c:v>1.2427596758832805E-2</c:v>
                </c:pt>
                <c:pt idx="8">
                  <c:v>3.1225117484504554E-3</c:v>
                </c:pt>
                <c:pt idx="9">
                  <c:v>4.32467877160388E-3</c:v>
                </c:pt>
                <c:pt idx="10">
                  <c:v>0.65015378370361143</c:v>
                </c:pt>
                <c:pt idx="11">
                  <c:v>6.245023496900908E-5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401498449057506"/>
          <c:y val="0.23855473284224252"/>
          <c:w val="0.82166700071581966"/>
          <c:h val="0.75846013964569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RUBAGA-KABUSU'!$C$9:$N$9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RUBAGA-KABUSU'!$C$108:$N$108</c:f>
              <c:numCache>
                <c:formatCode>0.00%</c:formatCode>
                <c:ptCount val="12"/>
                <c:pt idx="0">
                  <c:v>0.52365226704748302</c:v>
                </c:pt>
                <c:pt idx="1">
                  <c:v>9.6751160299892891E-2</c:v>
                </c:pt>
                <c:pt idx="2">
                  <c:v>5.0339164584077112E-2</c:v>
                </c:pt>
                <c:pt idx="3">
                  <c:v>0.21635130310603351</c:v>
                </c:pt>
                <c:pt idx="4">
                  <c:v>6.2031417350946081E-3</c:v>
                </c:pt>
                <c:pt idx="5">
                  <c:v>4.7750803284541234E-3</c:v>
                </c:pt>
                <c:pt idx="6">
                  <c:v>4.4939307390217766E-2</c:v>
                </c:pt>
                <c:pt idx="7">
                  <c:v>3.5523027490182067E-2</c:v>
                </c:pt>
                <c:pt idx="8">
                  <c:v>8.925383791503037E-3</c:v>
                </c:pt>
                <c:pt idx="9">
                  <c:v>1.2361656551231703E-2</c:v>
                </c:pt>
                <c:pt idx="11">
                  <c:v>1.7850767583006067E-4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KABUSU-RUBAGA'!$AE$9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KABUSU-RUBAGA'!$R$10:$R$33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KABUSU-RUBAGA'!$AE$10:$AE$33</c:f>
              <c:numCache>
                <c:formatCode>0</c:formatCode>
                <c:ptCount val="24"/>
                <c:pt idx="0">
                  <c:v>571.09523809523796</c:v>
                </c:pt>
                <c:pt idx="1">
                  <c:v>495</c:v>
                </c:pt>
                <c:pt idx="2">
                  <c:v>453.57142857142861</c:v>
                </c:pt>
                <c:pt idx="3">
                  <c:v>405.42857142857144</c:v>
                </c:pt>
                <c:pt idx="4">
                  <c:v>370.28571428571433</c:v>
                </c:pt>
                <c:pt idx="5">
                  <c:v>344.42857142857144</c:v>
                </c:pt>
                <c:pt idx="6">
                  <c:v>332.28571428571428</c:v>
                </c:pt>
                <c:pt idx="7">
                  <c:v>295.71428571428572</c:v>
                </c:pt>
                <c:pt idx="8">
                  <c:v>321</c:v>
                </c:pt>
                <c:pt idx="9">
                  <c:v>312.57142857142856</c:v>
                </c:pt>
                <c:pt idx="10">
                  <c:v>356.71428571428567</c:v>
                </c:pt>
                <c:pt idx="11">
                  <c:v>398.57142857142861</c:v>
                </c:pt>
                <c:pt idx="12">
                  <c:v>180.5</c:v>
                </c:pt>
                <c:pt idx="13">
                  <c:v>175.5</c:v>
                </c:pt>
                <c:pt idx="14">
                  <c:v>158</c:v>
                </c:pt>
                <c:pt idx="15">
                  <c:v>184.5</c:v>
                </c:pt>
                <c:pt idx="16">
                  <c:v>143.5</c:v>
                </c:pt>
                <c:pt idx="17">
                  <c:v>94.5</c:v>
                </c:pt>
                <c:pt idx="18">
                  <c:v>69</c:v>
                </c:pt>
                <c:pt idx="19">
                  <c:v>51</c:v>
                </c:pt>
                <c:pt idx="20">
                  <c:v>85</c:v>
                </c:pt>
                <c:pt idx="21">
                  <c:v>63.5</c:v>
                </c:pt>
                <c:pt idx="22">
                  <c:v>148.5</c:v>
                </c:pt>
                <c:pt idx="23">
                  <c:v>236.5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KABUSU-RUBAGA'!$AF$9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KABUSU-RUBAGA'!$R$10:$R$33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KABUSU-RUBAGA'!$AF$10:$AF$33</c:f>
              <c:numCache>
                <c:formatCode>0</c:formatCode>
                <c:ptCount val="24"/>
                <c:pt idx="0">
                  <c:v>1496.5238095238094</c:v>
                </c:pt>
                <c:pt idx="1">
                  <c:v>1556.7142857142858</c:v>
                </c:pt>
                <c:pt idx="2">
                  <c:v>1358.8571428571429</c:v>
                </c:pt>
                <c:pt idx="3">
                  <c:v>1146.8571428571427</c:v>
                </c:pt>
                <c:pt idx="4">
                  <c:v>1077.2857142857142</c:v>
                </c:pt>
                <c:pt idx="5">
                  <c:v>1069.4285714285716</c:v>
                </c:pt>
                <c:pt idx="6">
                  <c:v>935.71428571428555</c:v>
                </c:pt>
                <c:pt idx="7">
                  <c:v>863.28571428571433</c:v>
                </c:pt>
                <c:pt idx="8">
                  <c:v>846.14285714285711</c:v>
                </c:pt>
                <c:pt idx="9">
                  <c:v>957.85714285714289</c:v>
                </c:pt>
                <c:pt idx="10">
                  <c:v>1075</c:v>
                </c:pt>
                <c:pt idx="11">
                  <c:v>1234.7142857142858</c:v>
                </c:pt>
                <c:pt idx="12">
                  <c:v>446</c:v>
                </c:pt>
                <c:pt idx="13">
                  <c:v>423</c:v>
                </c:pt>
                <c:pt idx="14">
                  <c:v>353</c:v>
                </c:pt>
                <c:pt idx="15">
                  <c:v>575.5</c:v>
                </c:pt>
                <c:pt idx="16">
                  <c:v>467.5</c:v>
                </c:pt>
                <c:pt idx="17">
                  <c:v>297.5</c:v>
                </c:pt>
                <c:pt idx="18">
                  <c:v>209</c:v>
                </c:pt>
                <c:pt idx="19">
                  <c:v>170</c:v>
                </c:pt>
                <c:pt idx="20">
                  <c:v>180</c:v>
                </c:pt>
                <c:pt idx="21">
                  <c:v>184.5</c:v>
                </c:pt>
                <c:pt idx="22">
                  <c:v>280.5</c:v>
                </c:pt>
                <c:pt idx="23">
                  <c:v>406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710976"/>
        <c:axId val="409713696"/>
      </c:lineChart>
      <c:catAx>
        <c:axId val="409710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9713696"/>
        <c:crosses val="autoZero"/>
        <c:auto val="1"/>
        <c:lblAlgn val="ctr"/>
        <c:lblOffset val="100"/>
        <c:noMultiLvlLbl val="0"/>
      </c:catAx>
      <c:valAx>
        <c:axId val="409713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97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0896426408237475E-3"/>
          <c:y val="8.29707208928981E-2"/>
          <c:w val="0.81858994548758324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KABUSU-RUBAGA'!$C$107:$N$107</c:f>
              <c:numCache>
                <c:formatCode>0.0%</c:formatCode>
                <c:ptCount val="12"/>
                <c:pt idx="0">
                  <c:v>0.11075367325673285</c:v>
                </c:pt>
                <c:pt idx="1">
                  <c:v>8.9259614106984284E-2</c:v>
                </c:pt>
                <c:pt idx="2">
                  <c:v>1.7633730322463341E-2</c:v>
                </c:pt>
                <c:pt idx="3">
                  <c:v>9.602218290405827E-2</c:v>
                </c:pt>
                <c:pt idx="4">
                  <c:v>1.2797829264369585E-3</c:v>
                </c:pt>
                <c:pt idx="5">
                  <c:v>1.2902729504241466E-3</c:v>
                </c:pt>
                <c:pt idx="6">
                  <c:v>1.4864363989845659E-2</c:v>
                </c:pt>
                <c:pt idx="7">
                  <c:v>6.4198946801591683E-3</c:v>
                </c:pt>
                <c:pt idx="8">
                  <c:v>2.5071157329379762E-3</c:v>
                </c:pt>
                <c:pt idx="9">
                  <c:v>1.7623240298476148E-3</c:v>
                </c:pt>
                <c:pt idx="10">
                  <c:v>0.65806018476428929</c:v>
                </c:pt>
                <c:pt idx="11">
                  <c:v>1.4686033582063461E-4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58895548189166"/>
          <c:y val="0.25735608048993874"/>
          <c:w val="0.82192414729823426"/>
          <c:h val="0.741811708989303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KABUSU-RUBAGA'!$C$9:$N$9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KABUSU-RUBAGA'!$C$108:$N$108</c:f>
              <c:numCache>
                <c:formatCode>0.00%</c:formatCode>
                <c:ptCount val="12"/>
                <c:pt idx="0">
                  <c:v>0.32389814909499953</c:v>
                </c:pt>
                <c:pt idx="1">
                  <c:v>0.26103896103896107</c:v>
                </c:pt>
                <c:pt idx="2">
                  <c:v>5.1569690152367328E-2</c:v>
                </c:pt>
                <c:pt idx="3">
                  <c:v>0.28081603435934155</c:v>
                </c:pt>
                <c:pt idx="4">
                  <c:v>3.7427139789344517E-3</c:v>
                </c:pt>
                <c:pt idx="5">
                  <c:v>3.7733919623683405E-3</c:v>
                </c:pt>
                <c:pt idx="6">
                  <c:v>4.3470702525820637E-2</c:v>
                </c:pt>
                <c:pt idx="7">
                  <c:v>1.8774925861540035E-2</c:v>
                </c:pt>
                <c:pt idx="8">
                  <c:v>7.3320380406994585E-3</c:v>
                </c:pt>
                <c:pt idx="9">
                  <c:v>5.1539012168933425E-3</c:v>
                </c:pt>
                <c:pt idx="11">
                  <c:v>4.294917680744453E-4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RUBAGA-KABUSU-2Dir'!$AE$9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4"/>
              <c:pt idx="0">
                <c:v>0700-0800</c:v>
              </c:pt>
              <c:pt idx="1">
                <c:v>0800-0900</c:v>
              </c:pt>
              <c:pt idx="2">
                <c:v>0900-1000</c:v>
              </c:pt>
              <c:pt idx="3">
                <c:v>1000-1100</c:v>
              </c:pt>
              <c:pt idx="4">
                <c:v>1100-1200</c:v>
              </c:pt>
              <c:pt idx="5">
                <c:v>1200-1300</c:v>
              </c:pt>
              <c:pt idx="6">
                <c:v>1300-1400</c:v>
              </c:pt>
              <c:pt idx="7">
                <c:v>1400-1500</c:v>
              </c:pt>
              <c:pt idx="8">
                <c:v>1500-1600</c:v>
              </c:pt>
              <c:pt idx="9">
                <c:v>1600-1700</c:v>
              </c:pt>
              <c:pt idx="10">
                <c:v>1700-1800</c:v>
              </c:pt>
              <c:pt idx="11">
                <c:v>1800-1900</c:v>
              </c:pt>
              <c:pt idx="12">
                <c:v>1900-2000</c:v>
              </c:pt>
              <c:pt idx="13">
                <c:v>2000-2100</c:v>
              </c:pt>
              <c:pt idx="14">
                <c:v>2100-2200</c:v>
              </c:pt>
              <c:pt idx="15">
                <c:v>2200-2300</c:v>
              </c:pt>
              <c:pt idx="16">
                <c:v>2300-0000</c:v>
              </c:pt>
              <c:pt idx="17">
                <c:v>0000-0100</c:v>
              </c:pt>
              <c:pt idx="18">
                <c:v>0100-0200</c:v>
              </c:pt>
              <c:pt idx="19">
                <c:v>0200-0300</c:v>
              </c:pt>
              <c:pt idx="20">
                <c:v>0300-0400</c:v>
              </c:pt>
              <c:pt idx="21">
                <c:v>0400-0500</c:v>
              </c:pt>
              <c:pt idx="22">
                <c:v>0500-0600</c:v>
              </c:pt>
              <c:pt idx="23">
                <c:v>0600-0700</c:v>
              </c:pt>
            </c:strLit>
          </c:cat>
          <c:val>
            <c:numRef>
              <c:f>'Avg Week RUBAGA-KABUSU-2Dir'!$AE$10:$AE$33</c:f>
              <c:numCache>
                <c:formatCode>0</c:formatCode>
                <c:ptCount val="24"/>
                <c:pt idx="0">
                  <c:v>800.09523809523807</c:v>
                </c:pt>
                <c:pt idx="1">
                  <c:v>706.28571428571433</c:v>
                </c:pt>
                <c:pt idx="2">
                  <c:v>694.57142857142856</c:v>
                </c:pt>
                <c:pt idx="3">
                  <c:v>611.14285714285711</c:v>
                </c:pt>
                <c:pt idx="4">
                  <c:v>615.14285714285711</c:v>
                </c:pt>
                <c:pt idx="5">
                  <c:v>584.71428571428567</c:v>
                </c:pt>
                <c:pt idx="6">
                  <c:v>580.57142857142856</c:v>
                </c:pt>
                <c:pt idx="7">
                  <c:v>547.28571428571422</c:v>
                </c:pt>
                <c:pt idx="8">
                  <c:v>600.57142857142844</c:v>
                </c:pt>
                <c:pt idx="9">
                  <c:v>620</c:v>
                </c:pt>
                <c:pt idx="10">
                  <c:v>710.28571428571433</c:v>
                </c:pt>
                <c:pt idx="11">
                  <c:v>787.14285714285722</c:v>
                </c:pt>
                <c:pt idx="12">
                  <c:v>303.5</c:v>
                </c:pt>
                <c:pt idx="13">
                  <c:v>321.5</c:v>
                </c:pt>
                <c:pt idx="14">
                  <c:v>239.5</c:v>
                </c:pt>
                <c:pt idx="15">
                  <c:v>407.5</c:v>
                </c:pt>
                <c:pt idx="16">
                  <c:v>342</c:v>
                </c:pt>
                <c:pt idx="17">
                  <c:v>258</c:v>
                </c:pt>
                <c:pt idx="18">
                  <c:v>144</c:v>
                </c:pt>
                <c:pt idx="19">
                  <c:v>122.5</c:v>
                </c:pt>
                <c:pt idx="20">
                  <c:v>184</c:v>
                </c:pt>
                <c:pt idx="21">
                  <c:v>108.5</c:v>
                </c:pt>
                <c:pt idx="22">
                  <c:v>232.5</c:v>
                </c:pt>
                <c:pt idx="23">
                  <c:v>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RUBAGA-KABUSU-2Dir'!$AF$9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24"/>
              <c:pt idx="0">
                <c:v>0700-0800</c:v>
              </c:pt>
              <c:pt idx="1">
                <c:v>0800-0900</c:v>
              </c:pt>
              <c:pt idx="2">
                <c:v>0900-1000</c:v>
              </c:pt>
              <c:pt idx="3">
                <c:v>1000-1100</c:v>
              </c:pt>
              <c:pt idx="4">
                <c:v>1100-1200</c:v>
              </c:pt>
              <c:pt idx="5">
                <c:v>1200-1300</c:v>
              </c:pt>
              <c:pt idx="6">
                <c:v>1300-1400</c:v>
              </c:pt>
              <c:pt idx="7">
                <c:v>1400-1500</c:v>
              </c:pt>
              <c:pt idx="8">
                <c:v>1500-1600</c:v>
              </c:pt>
              <c:pt idx="9">
                <c:v>1600-1700</c:v>
              </c:pt>
              <c:pt idx="10">
                <c:v>1700-1800</c:v>
              </c:pt>
              <c:pt idx="11">
                <c:v>1800-1900</c:v>
              </c:pt>
              <c:pt idx="12">
                <c:v>1900-2000</c:v>
              </c:pt>
              <c:pt idx="13">
                <c:v>2000-2100</c:v>
              </c:pt>
              <c:pt idx="14">
                <c:v>2100-2200</c:v>
              </c:pt>
              <c:pt idx="15">
                <c:v>2200-2300</c:v>
              </c:pt>
              <c:pt idx="16">
                <c:v>2300-0000</c:v>
              </c:pt>
              <c:pt idx="17">
                <c:v>0000-0100</c:v>
              </c:pt>
              <c:pt idx="18">
                <c:v>0100-0200</c:v>
              </c:pt>
              <c:pt idx="19">
                <c:v>0200-0300</c:v>
              </c:pt>
              <c:pt idx="20">
                <c:v>0300-0400</c:v>
              </c:pt>
              <c:pt idx="21">
                <c:v>0400-0500</c:v>
              </c:pt>
              <c:pt idx="22">
                <c:v>0500-0600</c:v>
              </c:pt>
              <c:pt idx="23">
                <c:v>0600-0700</c:v>
              </c:pt>
            </c:strLit>
          </c:cat>
          <c:val>
            <c:numRef>
              <c:f>'Avg Week RUBAGA-KABUSU-2Dir'!$AF$10:$AF$33</c:f>
              <c:numCache>
                <c:formatCode>0</c:formatCode>
                <c:ptCount val="24"/>
                <c:pt idx="0">
                  <c:v>2112.5238095238092</c:v>
                </c:pt>
                <c:pt idx="1">
                  <c:v>2467.7142857142858</c:v>
                </c:pt>
                <c:pt idx="2">
                  <c:v>2217.1428571428569</c:v>
                </c:pt>
                <c:pt idx="3">
                  <c:v>1911.1428571428569</c:v>
                </c:pt>
                <c:pt idx="4">
                  <c:v>1867.5714285714284</c:v>
                </c:pt>
                <c:pt idx="5">
                  <c:v>1778.2857142857142</c:v>
                </c:pt>
                <c:pt idx="6">
                  <c:v>1615.5714285714284</c:v>
                </c:pt>
                <c:pt idx="7">
                  <c:v>1584.5714285714284</c:v>
                </c:pt>
                <c:pt idx="8">
                  <c:v>1531.2857142857142</c:v>
                </c:pt>
                <c:pt idx="9">
                  <c:v>1780.5714285714287</c:v>
                </c:pt>
                <c:pt idx="10">
                  <c:v>1893.8571428571429</c:v>
                </c:pt>
                <c:pt idx="11">
                  <c:v>2008.2857142857142</c:v>
                </c:pt>
                <c:pt idx="12">
                  <c:v>738.5</c:v>
                </c:pt>
                <c:pt idx="13">
                  <c:v>775.5</c:v>
                </c:pt>
                <c:pt idx="14">
                  <c:v>568</c:v>
                </c:pt>
                <c:pt idx="15">
                  <c:v>1081</c:v>
                </c:pt>
                <c:pt idx="16">
                  <c:v>973</c:v>
                </c:pt>
                <c:pt idx="17">
                  <c:v>667</c:v>
                </c:pt>
                <c:pt idx="18">
                  <c:v>418</c:v>
                </c:pt>
                <c:pt idx="19">
                  <c:v>320</c:v>
                </c:pt>
                <c:pt idx="20">
                  <c:v>365.5</c:v>
                </c:pt>
                <c:pt idx="21">
                  <c:v>322.5</c:v>
                </c:pt>
                <c:pt idx="22">
                  <c:v>452.5</c:v>
                </c:pt>
                <c:pt idx="23">
                  <c:v>682.5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v>11. Motorcycles</c:v>
          </c:tx>
          <c:val>
            <c:numRef>
              <c:f>'Avg Week RUBAGA-KABUSU-2Dir'!$AC$10:$AC$33</c:f>
              <c:numCache>
                <c:formatCode>0</c:formatCode>
                <c:ptCount val="24"/>
                <c:pt idx="0">
                  <c:v>1312.4285714285716</c:v>
                </c:pt>
                <c:pt idx="1">
                  <c:v>1761.4285714285716</c:v>
                </c:pt>
                <c:pt idx="2">
                  <c:v>1522.5714285714284</c:v>
                </c:pt>
                <c:pt idx="3">
                  <c:v>1300</c:v>
                </c:pt>
                <c:pt idx="4">
                  <c:v>1252.4285714285713</c:v>
                </c:pt>
                <c:pt idx="5">
                  <c:v>1193.5714285714287</c:v>
                </c:pt>
                <c:pt idx="6">
                  <c:v>1035</c:v>
                </c:pt>
                <c:pt idx="7">
                  <c:v>1037.2857142857142</c:v>
                </c:pt>
                <c:pt idx="8">
                  <c:v>930.71428571428567</c:v>
                </c:pt>
                <c:pt idx="9">
                  <c:v>1160.5714285714287</c:v>
                </c:pt>
                <c:pt idx="10">
                  <c:v>1183.5714285714287</c:v>
                </c:pt>
                <c:pt idx="11">
                  <c:v>1221.1428571428571</c:v>
                </c:pt>
                <c:pt idx="12">
                  <c:v>435</c:v>
                </c:pt>
                <c:pt idx="13">
                  <c:v>454</c:v>
                </c:pt>
                <c:pt idx="14">
                  <c:v>328.5</c:v>
                </c:pt>
                <c:pt idx="15">
                  <c:v>673.5</c:v>
                </c:pt>
                <c:pt idx="16">
                  <c:v>631</c:v>
                </c:pt>
                <c:pt idx="17">
                  <c:v>409</c:v>
                </c:pt>
                <c:pt idx="18">
                  <c:v>274</c:v>
                </c:pt>
                <c:pt idx="19">
                  <c:v>197.5</c:v>
                </c:pt>
                <c:pt idx="20">
                  <c:v>181.5</c:v>
                </c:pt>
                <c:pt idx="21">
                  <c:v>214</c:v>
                </c:pt>
                <c:pt idx="22">
                  <c:v>220</c:v>
                </c:pt>
                <c:pt idx="23">
                  <c:v>314.5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562032"/>
        <c:axId val="502141856"/>
      </c:lineChart>
      <c:catAx>
        <c:axId val="498562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41856"/>
        <c:crosses val="autoZero"/>
        <c:auto val="1"/>
        <c:lblAlgn val="ctr"/>
        <c:lblOffset val="100"/>
        <c:noMultiLvlLbl val="0"/>
      </c:catAx>
      <c:valAx>
        <c:axId val="50214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856203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862766740250188E-2"/>
          <c:y val="8.013560502587487E-2"/>
          <c:w val="0.82827446651949965"/>
          <c:h val="0.7590239920770097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2"/>
              <c:pt idx="0">
                <c:v>1. Car</c:v>
              </c:pt>
              <c:pt idx="1">
                <c:v>2. Station Wagon</c:v>
              </c:pt>
              <c:pt idx="2">
                <c:v>3. Pickups</c:v>
              </c:pt>
              <c:pt idx="3">
                <c:v>4. Minibus, matatu</c:v>
              </c:pt>
              <c:pt idx="4">
                <c:v>5. Medium bus </c:v>
              </c:pt>
              <c:pt idx="5">
                <c:v>6. Large Bus</c:v>
              </c:pt>
              <c:pt idx="6">
                <c:v>7. Light Truck </c:v>
              </c:pt>
              <c:pt idx="7">
                <c:v>8. Medium Truck </c:v>
              </c:pt>
              <c:pt idx="8">
                <c:v>9. Heavy truck </c:v>
              </c:pt>
              <c:pt idx="9">
                <c:v>10. Truck Trailer </c:v>
              </c:pt>
              <c:pt idx="10">
                <c:v>11. Motor cycles</c:v>
              </c:pt>
              <c:pt idx="11">
                <c:v>12. Tractors</c:v>
              </c:pt>
            </c:strLit>
          </c:cat>
          <c:val>
            <c:numRef>
              <c:f>'Avg Week RUBAGA-KABUSU-2Dir'!$C$107:$N$107</c:f>
              <c:numCache>
                <c:formatCode>0.0%</c:formatCode>
                <c:ptCount val="12"/>
                <c:pt idx="0">
                  <c:v>0.13986727708888</c:v>
                </c:pt>
                <c:pt idx="1">
                  <c:v>6.6990979610531617E-2</c:v>
                </c:pt>
                <c:pt idx="2">
                  <c:v>1.7624581973024574E-2</c:v>
                </c:pt>
                <c:pt idx="3">
                  <c:v>8.7851022401435538E-2</c:v>
                </c:pt>
                <c:pt idx="4">
                  <c:v>1.6375991082091185E-3</c:v>
                </c:pt>
                <c:pt idx="5">
                  <c:v>1.4430949995712541E-3</c:v>
                </c:pt>
                <c:pt idx="6">
                  <c:v>1.5208966430264002E-2</c:v>
                </c:pt>
                <c:pt idx="7">
                  <c:v>8.834251127810111E-3</c:v>
                </c:pt>
                <c:pt idx="8">
                  <c:v>2.7544291513555675E-3</c:v>
                </c:pt>
                <c:pt idx="9">
                  <c:v>2.792075107866122E-3</c:v>
                </c:pt>
                <c:pt idx="10">
                  <c:v>0.65488278513151998</c:v>
                </c:pt>
                <c:pt idx="11">
                  <c:v>1.1293786953166334E-4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2"/>
              <c:pt idx="0">
                <c:v>1. Car</c:v>
              </c:pt>
              <c:pt idx="1">
                <c:v>2. Station Wagon</c:v>
              </c:pt>
              <c:pt idx="2">
                <c:v>3. Pickups</c:v>
              </c:pt>
              <c:pt idx="3">
                <c:v>4. Minibus, matatu</c:v>
              </c:pt>
              <c:pt idx="4">
                <c:v>5. Medium bus </c:v>
              </c:pt>
              <c:pt idx="5">
                <c:v>6. Large Bus</c:v>
              </c:pt>
              <c:pt idx="6">
                <c:v>7. Light Truck </c:v>
              </c:pt>
              <c:pt idx="7">
                <c:v>8. Medium Truck </c:v>
              </c:pt>
              <c:pt idx="8">
                <c:v>9. Heavy truck </c:v>
              </c:pt>
              <c:pt idx="9">
                <c:v>10. Truck Trailer </c:v>
              </c:pt>
              <c:pt idx="10">
                <c:v>11. Motor cycles</c:v>
              </c:pt>
              <c:pt idx="11">
                <c:v>12. Tractors</c:v>
              </c:pt>
            </c:strLit>
          </c:cat>
          <c:val>
            <c:numRef>
              <c:f>'Avg Week RUBAGA-KABUSU-2Dir'!$C$108:$N$108</c:f>
              <c:numCache>
                <c:formatCode>0.00%</c:formatCode>
                <c:ptCount val="12"/>
                <c:pt idx="0">
                  <c:v>0.40527470396451226</c:v>
                </c:pt>
                <c:pt idx="1">
                  <c:v>0.19411080271976919</c:v>
                </c:pt>
                <c:pt idx="2">
                  <c:v>5.1068394196856028E-2</c:v>
                </c:pt>
                <c:pt idx="3">
                  <c:v>0.25455415904105111</c:v>
                </c:pt>
                <c:pt idx="4">
                  <c:v>4.7450519349873351E-3</c:v>
                </c:pt>
                <c:pt idx="5">
                  <c:v>4.1814633909850081E-3</c:v>
                </c:pt>
                <c:pt idx="6">
                  <c:v>4.4068988085859399E-2</c:v>
                </c:pt>
                <c:pt idx="7">
                  <c:v>2.5597828063073438E-2</c:v>
                </c:pt>
                <c:pt idx="8">
                  <c:v>7.9811409940974722E-3</c:v>
                </c:pt>
                <c:pt idx="9">
                  <c:v>8.0902226477753414E-3</c:v>
                </c:pt>
                <c:pt idx="11">
                  <c:v>3.2724496103360927E-4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RUBAGA-KABUSU-2Dir'!$S$9:$AF$9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RUBAGA-KABUSU-2Dir'!$S$41:$AF$41</c:f>
              <c:numCache>
                <c:formatCode>_(* #,##0_);_(* \(#,##0\);_(* "-"_);_(@_)</c:formatCode>
                <c:ptCount val="14"/>
                <c:pt idx="0">
                  <c:v>5008.0714285714284</c:v>
                </c:pt>
                <c:pt idx="1">
                  <c:v>1702.285714285714</c:v>
                </c:pt>
                <c:pt idx="2">
                  <c:v>504.28571428571433</c:v>
                </c:pt>
                <c:pt idx="3">
                  <c:v>2654.7380952380954</c:v>
                </c:pt>
                <c:pt idx="4">
                  <c:v>69.785714285714278</c:v>
                </c:pt>
                <c:pt idx="5">
                  <c:v>63.357142857142861</c:v>
                </c:pt>
                <c:pt idx="6">
                  <c:v>453.78571428571428</c:v>
                </c:pt>
                <c:pt idx="7">
                  <c:v>261.64285714285717</c:v>
                </c:pt>
                <c:pt idx="8">
                  <c:v>94.214285714285722</c:v>
                </c:pt>
                <c:pt idx="9">
                  <c:v>72.571428571428555</c:v>
                </c:pt>
                <c:pt idx="10">
                  <c:v>19243.21428571429</c:v>
                </c:pt>
                <c:pt idx="11">
                  <c:v>4.5714285714285712</c:v>
                </c:pt>
                <c:pt idx="12">
                  <c:v>10889.309523809523</c:v>
                </c:pt>
                <c:pt idx="13">
                  <c:v>30132.523809523802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02139136"/>
        <c:axId val="502140224"/>
      </c:barChart>
      <c:catAx>
        <c:axId val="5021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40224"/>
        <c:crosses val="autoZero"/>
        <c:auto val="1"/>
        <c:lblAlgn val="ctr"/>
        <c:lblOffset val="100"/>
        <c:noMultiLvlLbl val="0"/>
      </c:catAx>
      <c:valAx>
        <c:axId val="50214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3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RUBAGA-KABUSU-2Dir'!$S$42:$AF$42</c:f>
              <c:numCache>
                <c:formatCode>0.000</c:formatCode>
                <c:ptCount val="14"/>
                <c:pt idx="0">
                  <c:v>1.5726045218015432</c:v>
                </c:pt>
                <c:pt idx="1">
                  <c:v>1.1160438325372295</c:v>
                </c:pt>
                <c:pt idx="2">
                  <c:v>1.2566749733001068</c:v>
                </c:pt>
                <c:pt idx="3">
                  <c:v>1.3272110463040114</c:v>
                </c:pt>
                <c:pt idx="4">
                  <c:v>1.8716475095785443</c:v>
                </c:pt>
                <c:pt idx="5">
                  <c:v>1.9282608695652173</c:v>
                </c:pt>
                <c:pt idx="6">
                  <c:v>1.3104372937293729</c:v>
                </c:pt>
                <c:pt idx="7">
                  <c:v>1.30078125</c:v>
                </c:pt>
                <c:pt idx="8">
                  <c:v>1.5022779043280183</c:v>
                </c:pt>
                <c:pt idx="9">
                  <c:v>1.1415730337078651</c:v>
                </c:pt>
                <c:pt idx="10">
                  <c:v>1.2905628742514972</c:v>
                </c:pt>
                <c:pt idx="11">
                  <c:v>1.7777777777777779</c:v>
                </c:pt>
                <c:pt idx="12">
                  <c:v>1.385794538645206</c:v>
                </c:pt>
                <c:pt idx="13">
                  <c:v>1.3234289610343437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582-8F6A-86BA5BD2A5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9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20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20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22224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279401</xdr:rowOff>
    </xdr:from>
    <xdr:to>
      <xdr:col>31</xdr:col>
      <xdr:colOff>650875</xdr:colOff>
      <xdr:row>74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59</xdr:row>
      <xdr:rowOff>0</xdr:rowOff>
    </xdr:from>
    <xdr:to>
      <xdr:col>24</xdr:col>
      <xdr:colOff>0</xdr:colOff>
      <xdr:row>74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666751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59</xdr:row>
      <xdr:rowOff>0</xdr:rowOff>
    </xdr:from>
    <xdr:to>
      <xdr:col>23</xdr:col>
      <xdr:colOff>714374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156488</xdr:colOff>
      <xdr:row>43</xdr:row>
      <xdr:rowOff>0</xdr:rowOff>
    </xdr:from>
    <xdr:to>
      <xdr:col>28</xdr:col>
      <xdr:colOff>1</xdr:colOff>
      <xdr:row>60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142875</xdr:colOff>
      <xdr:row>75</xdr:row>
      <xdr:rowOff>273053</xdr:rowOff>
    </xdr:from>
    <xdr:to>
      <xdr:col>24</xdr:col>
      <xdr:colOff>709100</xdr:colOff>
      <xdr:row>92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6351</xdr:colOff>
      <xdr:row>59</xdr:row>
      <xdr:rowOff>282579</xdr:rowOff>
    </xdr:from>
    <xdr:to>
      <xdr:col>24</xdr:col>
      <xdr:colOff>698500</xdr:colOff>
      <xdr:row>75</xdr:row>
      <xdr:rowOff>279403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692151</xdr:colOff>
      <xdr:row>59</xdr:row>
      <xdr:rowOff>280990</xdr:rowOff>
    </xdr:from>
    <xdr:to>
      <xdr:col>31</xdr:col>
      <xdr:colOff>587375</xdr:colOff>
      <xdr:row>75</xdr:row>
      <xdr:rowOff>279403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15876</xdr:colOff>
      <xdr:row>75</xdr:row>
      <xdr:rowOff>269875</xdr:rowOff>
    </xdr:from>
    <xdr:to>
      <xdr:col>31</xdr:col>
      <xdr:colOff>587376</xdr:colOff>
      <xdr:row>92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LAN/Desktop/C-1%20Analysis%20Complete/STN-C1-RD-1A-SALAMA%20ROAD/MCC%20DATA/MCC-C1-STN1A-%20SALA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6" sqref="D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170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54" t="s">
        <v>174</v>
      </c>
      <c r="H5" s="55"/>
      <c r="I5" s="14"/>
      <c r="J5" s="2" t="s">
        <v>5</v>
      </c>
      <c r="K5" s="54" t="s">
        <v>173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176</v>
      </c>
      <c r="E6" s="55"/>
      <c r="F6" s="2" t="s">
        <v>2</v>
      </c>
      <c r="G6" s="54" t="s">
        <v>171</v>
      </c>
      <c r="H6" s="55"/>
      <c r="J6" s="2" t="s">
        <v>21</v>
      </c>
      <c r="K6" s="54" t="s">
        <v>172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9</v>
      </c>
      <c r="E10" s="50">
        <v>1</v>
      </c>
      <c r="F10" s="50">
        <v>10</v>
      </c>
      <c r="G10" s="50">
        <v>2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57" si="0">SUM(C10:L10,N10)</f>
        <v>32</v>
      </c>
      <c r="P10" s="15">
        <f t="shared" ref="P10:P57" si="1">SUM(C10:N10)</f>
        <v>92</v>
      </c>
      <c r="R10" s="1" t="s">
        <v>6</v>
      </c>
      <c r="S10" s="17">
        <f t="shared" ref="S10:AF10" si="2">SUM(C10:C13)</f>
        <v>63</v>
      </c>
      <c r="T10" s="17">
        <f t="shared" si="2"/>
        <v>17</v>
      </c>
      <c r="U10" s="17">
        <f t="shared" si="2"/>
        <v>6</v>
      </c>
      <c r="V10" s="17">
        <f t="shared" si="2"/>
        <v>72</v>
      </c>
      <c r="W10" s="17">
        <f t="shared" si="2"/>
        <v>3</v>
      </c>
      <c r="X10" s="17">
        <f t="shared" si="2"/>
        <v>0</v>
      </c>
      <c r="Y10" s="17">
        <f t="shared" si="2"/>
        <v>7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393</v>
      </c>
      <c r="AD10" s="17">
        <f t="shared" si="2"/>
        <v>0</v>
      </c>
      <c r="AE10" s="31">
        <f t="shared" si="2"/>
        <v>171</v>
      </c>
      <c r="AF10" s="31">
        <f t="shared" si="2"/>
        <v>564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1</v>
      </c>
      <c r="F11" s="50">
        <v>14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58</v>
      </c>
      <c r="N11" s="50">
        <v>0</v>
      </c>
      <c r="O11" s="15">
        <f t="shared" si="0"/>
        <v>24</v>
      </c>
      <c r="P11" s="15">
        <f t="shared" si="1"/>
        <v>82</v>
      </c>
      <c r="R11" s="1" t="s">
        <v>7</v>
      </c>
      <c r="S11" s="17">
        <f t="shared" ref="S11:AF11" si="3">SUM(C14:C17)</f>
        <v>77</v>
      </c>
      <c r="T11" s="17">
        <f t="shared" si="3"/>
        <v>21</v>
      </c>
      <c r="U11" s="17">
        <f t="shared" si="3"/>
        <v>9</v>
      </c>
      <c r="V11" s="17">
        <f t="shared" si="3"/>
        <v>106</v>
      </c>
      <c r="W11" s="17">
        <f t="shared" si="3"/>
        <v>2</v>
      </c>
      <c r="X11" s="17">
        <f t="shared" si="3"/>
        <v>1</v>
      </c>
      <c r="Y11" s="17">
        <f t="shared" si="3"/>
        <v>17</v>
      </c>
      <c r="Z11" s="17">
        <f t="shared" si="3"/>
        <v>7</v>
      </c>
      <c r="AA11" s="17">
        <f t="shared" si="3"/>
        <v>0</v>
      </c>
      <c r="AB11" s="17">
        <f t="shared" si="3"/>
        <v>1</v>
      </c>
      <c r="AC11" s="17">
        <f t="shared" si="3"/>
        <v>1134</v>
      </c>
      <c r="AD11" s="17">
        <f t="shared" si="3"/>
        <v>0</v>
      </c>
      <c r="AE11" s="31">
        <f t="shared" si="3"/>
        <v>241</v>
      </c>
      <c r="AF11" s="31">
        <f t="shared" si="3"/>
        <v>1375</v>
      </c>
    </row>
    <row r="12" spans="2:32" ht="23.1" customHeight="1" x14ac:dyDescent="0.25">
      <c r="B12" s="23" t="s">
        <v>39</v>
      </c>
      <c r="C12" s="50">
        <v>15</v>
      </c>
      <c r="D12" s="50">
        <v>3</v>
      </c>
      <c r="E12" s="50">
        <v>3</v>
      </c>
      <c r="F12" s="50">
        <v>20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70</v>
      </c>
      <c r="N12" s="50">
        <v>0</v>
      </c>
      <c r="O12" s="15">
        <f t="shared" si="0"/>
        <v>44</v>
      </c>
      <c r="P12" s="15">
        <f t="shared" si="1"/>
        <v>114</v>
      </c>
      <c r="R12" s="1" t="s">
        <v>8</v>
      </c>
      <c r="S12" s="17">
        <f t="shared" ref="S12:AF12" si="4">SUM(C18:C21)</f>
        <v>81</v>
      </c>
      <c r="T12" s="17">
        <f t="shared" si="4"/>
        <v>17</v>
      </c>
      <c r="U12" s="17">
        <f t="shared" si="4"/>
        <v>11</v>
      </c>
      <c r="V12" s="17">
        <f t="shared" si="4"/>
        <v>94</v>
      </c>
      <c r="W12" s="17">
        <f t="shared" si="4"/>
        <v>7</v>
      </c>
      <c r="X12" s="17">
        <f t="shared" si="4"/>
        <v>3</v>
      </c>
      <c r="Y12" s="17">
        <f t="shared" si="4"/>
        <v>10</v>
      </c>
      <c r="Z12" s="17">
        <f t="shared" si="4"/>
        <v>10</v>
      </c>
      <c r="AA12" s="17">
        <f t="shared" si="4"/>
        <v>1</v>
      </c>
      <c r="AB12" s="17">
        <f t="shared" si="4"/>
        <v>0</v>
      </c>
      <c r="AC12" s="17">
        <f t="shared" si="4"/>
        <v>965</v>
      </c>
      <c r="AD12" s="17">
        <f t="shared" si="4"/>
        <v>0</v>
      </c>
      <c r="AE12" s="31">
        <f t="shared" si="4"/>
        <v>234</v>
      </c>
      <c r="AF12" s="31">
        <f t="shared" si="4"/>
        <v>1199</v>
      </c>
    </row>
    <row r="13" spans="2:32" ht="23.1" customHeight="1" x14ac:dyDescent="0.25">
      <c r="B13" s="23" t="s">
        <v>40</v>
      </c>
      <c r="C13" s="50">
        <v>31</v>
      </c>
      <c r="D13" s="50">
        <v>5</v>
      </c>
      <c r="E13" s="50">
        <v>1</v>
      </c>
      <c r="F13" s="50">
        <v>28</v>
      </c>
      <c r="G13" s="50">
        <v>1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205</v>
      </c>
      <c r="N13" s="50">
        <v>0</v>
      </c>
      <c r="O13" s="15">
        <f t="shared" si="0"/>
        <v>71</v>
      </c>
      <c r="P13" s="15">
        <f t="shared" si="1"/>
        <v>276</v>
      </c>
      <c r="R13" s="1" t="s">
        <v>9</v>
      </c>
      <c r="S13" s="17">
        <f t="shared" ref="S13:AF13" si="5">SUM(C22:C25)</f>
        <v>91</v>
      </c>
      <c r="T13" s="17">
        <f t="shared" si="5"/>
        <v>28</v>
      </c>
      <c r="U13" s="17">
        <f t="shared" si="5"/>
        <v>14</v>
      </c>
      <c r="V13" s="17">
        <f t="shared" si="5"/>
        <v>84</v>
      </c>
      <c r="W13" s="17">
        <f t="shared" si="5"/>
        <v>1</v>
      </c>
      <c r="X13" s="17">
        <f t="shared" si="5"/>
        <v>2</v>
      </c>
      <c r="Y13" s="17">
        <f t="shared" si="5"/>
        <v>21</v>
      </c>
      <c r="Z13" s="17">
        <f t="shared" si="5"/>
        <v>10</v>
      </c>
      <c r="AA13" s="17">
        <f t="shared" si="5"/>
        <v>1</v>
      </c>
      <c r="AB13" s="17">
        <f t="shared" si="5"/>
        <v>0</v>
      </c>
      <c r="AC13" s="17">
        <f t="shared" si="5"/>
        <v>714</v>
      </c>
      <c r="AD13" s="17">
        <f t="shared" si="5"/>
        <v>0</v>
      </c>
      <c r="AE13" s="31">
        <f t="shared" si="5"/>
        <v>252</v>
      </c>
      <c r="AF13" s="31">
        <f t="shared" si="5"/>
        <v>966</v>
      </c>
    </row>
    <row r="14" spans="2:32" ht="23.1" customHeight="1" x14ac:dyDescent="0.25">
      <c r="B14" s="23" t="s">
        <v>41</v>
      </c>
      <c r="C14" s="50">
        <v>18</v>
      </c>
      <c r="D14" s="50">
        <v>7</v>
      </c>
      <c r="E14" s="50">
        <v>2</v>
      </c>
      <c r="F14" s="50">
        <v>21</v>
      </c>
      <c r="G14" s="50">
        <v>0</v>
      </c>
      <c r="H14" s="50">
        <v>0</v>
      </c>
      <c r="I14" s="50">
        <v>5</v>
      </c>
      <c r="J14" s="50">
        <v>2</v>
      </c>
      <c r="K14" s="50">
        <v>0</v>
      </c>
      <c r="L14" s="50">
        <v>0</v>
      </c>
      <c r="M14" s="50">
        <v>252</v>
      </c>
      <c r="N14" s="50">
        <v>0</v>
      </c>
      <c r="O14" s="15">
        <f t="shared" si="0"/>
        <v>55</v>
      </c>
      <c r="P14" s="15">
        <f t="shared" si="1"/>
        <v>307</v>
      </c>
      <c r="R14" s="1" t="s">
        <v>10</v>
      </c>
      <c r="S14" s="17">
        <f t="shared" ref="S14:AF14" si="6">SUM(C26:C29)</f>
        <v>107</v>
      </c>
      <c r="T14" s="17">
        <f t="shared" si="6"/>
        <v>17</v>
      </c>
      <c r="U14" s="17">
        <f t="shared" si="6"/>
        <v>9</v>
      </c>
      <c r="V14" s="17">
        <f t="shared" si="6"/>
        <v>68</v>
      </c>
      <c r="W14" s="17">
        <f t="shared" si="6"/>
        <v>1</v>
      </c>
      <c r="X14" s="17">
        <f t="shared" si="6"/>
        <v>0</v>
      </c>
      <c r="Y14" s="17">
        <f t="shared" si="6"/>
        <v>23</v>
      </c>
      <c r="Z14" s="17">
        <f t="shared" si="6"/>
        <v>17</v>
      </c>
      <c r="AA14" s="17">
        <f t="shared" si="6"/>
        <v>8</v>
      </c>
      <c r="AB14" s="17">
        <f t="shared" si="6"/>
        <v>1</v>
      </c>
      <c r="AC14" s="17">
        <f t="shared" si="6"/>
        <v>597</v>
      </c>
      <c r="AD14" s="17">
        <f t="shared" si="6"/>
        <v>0</v>
      </c>
      <c r="AE14" s="31">
        <f t="shared" si="6"/>
        <v>251</v>
      </c>
      <c r="AF14" s="31">
        <f t="shared" si="6"/>
        <v>848</v>
      </c>
    </row>
    <row r="15" spans="2:32" ht="23.1" customHeight="1" x14ac:dyDescent="0.25">
      <c r="B15" s="23" t="s">
        <v>42</v>
      </c>
      <c r="C15" s="50">
        <v>22</v>
      </c>
      <c r="D15" s="50">
        <v>4</v>
      </c>
      <c r="E15" s="50">
        <v>4</v>
      </c>
      <c r="F15" s="50">
        <v>19</v>
      </c>
      <c r="G15" s="50">
        <v>1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241</v>
      </c>
      <c r="N15" s="50">
        <v>0</v>
      </c>
      <c r="O15" s="15">
        <f t="shared" si="0"/>
        <v>55</v>
      </c>
      <c r="P15" s="15">
        <f t="shared" si="1"/>
        <v>296</v>
      </c>
      <c r="R15" s="1" t="s">
        <v>11</v>
      </c>
      <c r="S15" s="17">
        <f t="shared" ref="S15:AF15" si="7">SUM(C30:C33)</f>
        <v>107</v>
      </c>
      <c r="T15" s="17">
        <f t="shared" si="7"/>
        <v>29</v>
      </c>
      <c r="U15" s="17">
        <f t="shared" si="7"/>
        <v>20</v>
      </c>
      <c r="V15" s="17">
        <f t="shared" si="7"/>
        <v>61</v>
      </c>
      <c r="W15" s="17">
        <f t="shared" si="7"/>
        <v>0</v>
      </c>
      <c r="X15" s="17">
        <f t="shared" si="7"/>
        <v>2</v>
      </c>
      <c r="Y15" s="17">
        <f t="shared" si="7"/>
        <v>19</v>
      </c>
      <c r="Z15" s="17">
        <f t="shared" si="7"/>
        <v>14</v>
      </c>
      <c r="AA15" s="17">
        <f t="shared" si="7"/>
        <v>5</v>
      </c>
      <c r="AB15" s="17">
        <f t="shared" si="7"/>
        <v>1</v>
      </c>
      <c r="AC15" s="17">
        <f t="shared" si="7"/>
        <v>636</v>
      </c>
      <c r="AD15" s="17">
        <f t="shared" si="7"/>
        <v>0</v>
      </c>
      <c r="AE15" s="31">
        <f t="shared" si="7"/>
        <v>258</v>
      </c>
      <c r="AF15" s="31">
        <f t="shared" si="7"/>
        <v>894</v>
      </c>
    </row>
    <row r="16" spans="2:32" ht="23.1" customHeight="1" x14ac:dyDescent="0.25">
      <c r="B16" s="23" t="s">
        <v>43</v>
      </c>
      <c r="C16" s="50">
        <v>18</v>
      </c>
      <c r="D16" s="50">
        <v>1</v>
      </c>
      <c r="E16" s="50">
        <v>1</v>
      </c>
      <c r="F16" s="50">
        <v>47</v>
      </c>
      <c r="G16" s="50">
        <v>0</v>
      </c>
      <c r="H16" s="50">
        <v>0</v>
      </c>
      <c r="I16" s="50">
        <v>5</v>
      </c>
      <c r="J16" s="50">
        <v>2</v>
      </c>
      <c r="K16" s="50">
        <v>0</v>
      </c>
      <c r="L16" s="50">
        <v>0</v>
      </c>
      <c r="M16" s="50">
        <v>286</v>
      </c>
      <c r="N16" s="50">
        <v>0</v>
      </c>
      <c r="O16" s="15">
        <f t="shared" si="0"/>
        <v>74</v>
      </c>
      <c r="P16" s="15">
        <f t="shared" si="1"/>
        <v>360</v>
      </c>
      <c r="R16" s="1" t="s">
        <v>12</v>
      </c>
      <c r="S16" s="17">
        <f t="shared" ref="S16:AF16" si="8">SUM(C34:C37)</f>
        <v>140</v>
      </c>
      <c r="T16" s="17">
        <f t="shared" si="8"/>
        <v>19</v>
      </c>
      <c r="U16" s="17">
        <f t="shared" si="8"/>
        <v>9</v>
      </c>
      <c r="V16" s="17">
        <f t="shared" si="8"/>
        <v>75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22</v>
      </c>
      <c r="AA16" s="17">
        <f t="shared" si="8"/>
        <v>4</v>
      </c>
      <c r="AB16" s="17">
        <f t="shared" si="8"/>
        <v>0</v>
      </c>
      <c r="AC16" s="17">
        <f t="shared" si="8"/>
        <v>577</v>
      </c>
      <c r="AD16" s="17">
        <f t="shared" si="8"/>
        <v>0</v>
      </c>
      <c r="AE16" s="31">
        <f t="shared" si="8"/>
        <v>290</v>
      </c>
      <c r="AF16" s="31">
        <f t="shared" si="8"/>
        <v>867</v>
      </c>
    </row>
    <row r="17" spans="2:32" ht="23.1" customHeight="1" x14ac:dyDescent="0.25">
      <c r="B17" s="23" t="s">
        <v>44</v>
      </c>
      <c r="C17" s="50">
        <v>19</v>
      </c>
      <c r="D17" s="50">
        <v>9</v>
      </c>
      <c r="E17" s="50">
        <v>2</v>
      </c>
      <c r="F17" s="50">
        <v>19</v>
      </c>
      <c r="G17" s="50">
        <v>1</v>
      </c>
      <c r="H17" s="50">
        <v>1</v>
      </c>
      <c r="I17" s="50">
        <v>3</v>
      </c>
      <c r="J17" s="50">
        <v>2</v>
      </c>
      <c r="K17" s="50">
        <v>0</v>
      </c>
      <c r="L17" s="50">
        <v>1</v>
      </c>
      <c r="M17" s="50">
        <v>355</v>
      </c>
      <c r="N17" s="50">
        <v>0</v>
      </c>
      <c r="O17" s="15">
        <f t="shared" si="0"/>
        <v>57</v>
      </c>
      <c r="P17" s="15">
        <f t="shared" si="1"/>
        <v>412</v>
      </c>
      <c r="R17" s="1" t="s">
        <v>13</v>
      </c>
      <c r="S17" s="17">
        <f t="shared" ref="S17:AF17" si="9">SUM(C38:C41)</f>
        <v>132</v>
      </c>
      <c r="T17" s="17">
        <f t="shared" si="9"/>
        <v>22</v>
      </c>
      <c r="U17" s="17">
        <f t="shared" si="9"/>
        <v>8</v>
      </c>
      <c r="V17" s="17">
        <f t="shared" si="9"/>
        <v>62</v>
      </c>
      <c r="W17" s="17">
        <f t="shared" si="9"/>
        <v>1</v>
      </c>
      <c r="X17" s="17">
        <f t="shared" si="9"/>
        <v>1</v>
      </c>
      <c r="Y17" s="17">
        <f t="shared" si="9"/>
        <v>15</v>
      </c>
      <c r="Z17" s="17">
        <f t="shared" si="9"/>
        <v>13</v>
      </c>
      <c r="AA17" s="17">
        <f t="shared" si="9"/>
        <v>1</v>
      </c>
      <c r="AB17" s="17">
        <f t="shared" si="9"/>
        <v>3</v>
      </c>
      <c r="AC17" s="17">
        <f t="shared" si="9"/>
        <v>560</v>
      </c>
      <c r="AD17" s="17">
        <f t="shared" si="9"/>
        <v>0</v>
      </c>
      <c r="AE17" s="31">
        <f t="shared" si="9"/>
        <v>258</v>
      </c>
      <c r="AF17" s="31">
        <f t="shared" si="9"/>
        <v>818</v>
      </c>
    </row>
    <row r="18" spans="2:32" ht="23.1" customHeight="1" x14ac:dyDescent="0.25">
      <c r="B18" s="23" t="s">
        <v>45</v>
      </c>
      <c r="C18" s="50">
        <v>16</v>
      </c>
      <c r="D18" s="50">
        <v>4</v>
      </c>
      <c r="E18" s="50">
        <v>3</v>
      </c>
      <c r="F18" s="50">
        <v>35</v>
      </c>
      <c r="G18" s="50">
        <v>1</v>
      </c>
      <c r="H18" s="50">
        <v>0</v>
      </c>
      <c r="I18" s="50">
        <v>2</v>
      </c>
      <c r="J18" s="50">
        <v>3</v>
      </c>
      <c r="K18" s="50">
        <v>0</v>
      </c>
      <c r="L18" s="50">
        <v>0</v>
      </c>
      <c r="M18" s="50">
        <v>315</v>
      </c>
      <c r="N18" s="50">
        <v>0</v>
      </c>
      <c r="O18" s="15">
        <f t="shared" si="0"/>
        <v>64</v>
      </c>
      <c r="P18" s="15">
        <f t="shared" si="1"/>
        <v>379</v>
      </c>
      <c r="R18" s="1" t="s">
        <v>14</v>
      </c>
      <c r="S18" s="17">
        <f t="shared" ref="S18:AF18" si="10">SUM(C42:C45)</f>
        <v>143</v>
      </c>
      <c r="T18" s="17">
        <f t="shared" si="10"/>
        <v>27</v>
      </c>
      <c r="U18" s="17">
        <f t="shared" si="10"/>
        <v>11</v>
      </c>
      <c r="V18" s="17">
        <f t="shared" si="10"/>
        <v>43</v>
      </c>
      <c r="W18" s="17">
        <f t="shared" si="10"/>
        <v>4</v>
      </c>
      <c r="X18" s="17">
        <f t="shared" si="10"/>
        <v>1</v>
      </c>
      <c r="Y18" s="17">
        <f t="shared" si="10"/>
        <v>7</v>
      </c>
      <c r="Z18" s="17">
        <f t="shared" si="10"/>
        <v>13</v>
      </c>
      <c r="AA18" s="17">
        <f t="shared" si="10"/>
        <v>2</v>
      </c>
      <c r="AB18" s="17">
        <f t="shared" si="10"/>
        <v>1</v>
      </c>
      <c r="AC18" s="17">
        <f t="shared" si="10"/>
        <v>149</v>
      </c>
      <c r="AD18" s="17">
        <f t="shared" si="10"/>
        <v>0</v>
      </c>
      <c r="AE18" s="31">
        <f t="shared" si="10"/>
        <v>252</v>
      </c>
      <c r="AF18" s="31">
        <f t="shared" si="10"/>
        <v>401</v>
      </c>
    </row>
    <row r="19" spans="2:32" ht="23.1" customHeight="1" x14ac:dyDescent="0.25">
      <c r="B19" s="23" t="s">
        <v>46</v>
      </c>
      <c r="C19" s="50">
        <v>16</v>
      </c>
      <c r="D19" s="50">
        <v>7</v>
      </c>
      <c r="E19" s="50">
        <v>1</v>
      </c>
      <c r="F19" s="50">
        <v>14</v>
      </c>
      <c r="G19" s="50">
        <v>1</v>
      </c>
      <c r="H19" s="50">
        <v>0</v>
      </c>
      <c r="I19" s="50">
        <v>1</v>
      </c>
      <c r="J19" s="50">
        <v>4</v>
      </c>
      <c r="K19" s="50">
        <v>0</v>
      </c>
      <c r="L19" s="50">
        <v>0</v>
      </c>
      <c r="M19" s="50">
        <v>182</v>
      </c>
      <c r="N19" s="50">
        <v>0</v>
      </c>
      <c r="O19" s="15">
        <f t="shared" si="0"/>
        <v>44</v>
      </c>
      <c r="P19" s="15">
        <f t="shared" si="1"/>
        <v>226</v>
      </c>
      <c r="R19" s="1" t="s">
        <v>15</v>
      </c>
      <c r="S19" s="17">
        <f t="shared" ref="S19:AF19" si="11">SUM(C46:C49)</f>
        <v>188</v>
      </c>
      <c r="T19" s="17">
        <f t="shared" si="11"/>
        <v>30</v>
      </c>
      <c r="U19" s="17">
        <f t="shared" si="11"/>
        <v>16</v>
      </c>
      <c r="V19" s="17">
        <f t="shared" si="11"/>
        <v>52</v>
      </c>
      <c r="W19" s="17">
        <f t="shared" si="11"/>
        <v>1</v>
      </c>
      <c r="X19" s="17">
        <f t="shared" si="11"/>
        <v>1</v>
      </c>
      <c r="Y19" s="17">
        <f t="shared" si="11"/>
        <v>14</v>
      </c>
      <c r="Z19" s="17">
        <f t="shared" si="11"/>
        <v>11</v>
      </c>
      <c r="AA19" s="17">
        <f t="shared" si="11"/>
        <v>2</v>
      </c>
      <c r="AB19" s="17">
        <f t="shared" si="11"/>
        <v>2</v>
      </c>
      <c r="AC19" s="17">
        <f t="shared" si="11"/>
        <v>581</v>
      </c>
      <c r="AD19" s="17">
        <f t="shared" si="11"/>
        <v>1</v>
      </c>
      <c r="AE19" s="31">
        <f t="shared" si="11"/>
        <v>318</v>
      </c>
      <c r="AF19" s="31">
        <f t="shared" si="11"/>
        <v>899</v>
      </c>
    </row>
    <row r="20" spans="2:32" ht="23.1" customHeight="1" x14ac:dyDescent="0.25">
      <c r="B20" s="23" t="s">
        <v>47</v>
      </c>
      <c r="C20" s="50">
        <v>25</v>
      </c>
      <c r="D20" s="50">
        <v>1</v>
      </c>
      <c r="E20" s="50">
        <v>3</v>
      </c>
      <c r="F20" s="50">
        <v>22</v>
      </c>
      <c r="G20" s="50">
        <v>1</v>
      </c>
      <c r="H20" s="50">
        <v>2</v>
      </c>
      <c r="I20" s="50">
        <v>3</v>
      </c>
      <c r="J20" s="50">
        <v>1</v>
      </c>
      <c r="K20" s="50">
        <v>0</v>
      </c>
      <c r="L20" s="50">
        <v>0</v>
      </c>
      <c r="M20" s="50">
        <v>235</v>
      </c>
      <c r="N20" s="50">
        <v>0</v>
      </c>
      <c r="O20" s="15">
        <f t="shared" si="0"/>
        <v>58</v>
      </c>
      <c r="P20" s="15">
        <f t="shared" si="1"/>
        <v>293</v>
      </c>
      <c r="R20" s="1" t="s">
        <v>16</v>
      </c>
      <c r="S20" s="17">
        <f t="shared" ref="S20:AF20" si="12">SUM(C50:C53)</f>
        <v>271</v>
      </c>
      <c r="T20" s="17">
        <f t="shared" si="12"/>
        <v>41</v>
      </c>
      <c r="U20" s="17">
        <f t="shared" si="12"/>
        <v>19</v>
      </c>
      <c r="V20" s="17">
        <f t="shared" si="12"/>
        <v>45</v>
      </c>
      <c r="W20" s="17">
        <f t="shared" si="12"/>
        <v>1</v>
      </c>
      <c r="X20" s="17">
        <f t="shared" si="12"/>
        <v>0</v>
      </c>
      <c r="Y20" s="17">
        <f t="shared" si="12"/>
        <v>14</v>
      </c>
      <c r="Z20" s="17">
        <f t="shared" si="12"/>
        <v>21</v>
      </c>
      <c r="AA20" s="17">
        <f t="shared" si="12"/>
        <v>2</v>
      </c>
      <c r="AB20" s="17">
        <f t="shared" si="12"/>
        <v>1</v>
      </c>
      <c r="AC20" s="17">
        <f t="shared" si="12"/>
        <v>568</v>
      </c>
      <c r="AD20" s="17">
        <f t="shared" si="12"/>
        <v>0</v>
      </c>
      <c r="AE20" s="31">
        <f t="shared" si="12"/>
        <v>415</v>
      </c>
      <c r="AF20" s="31">
        <f t="shared" si="12"/>
        <v>983</v>
      </c>
    </row>
    <row r="21" spans="2:32" ht="23.1" customHeight="1" x14ac:dyDescent="0.25">
      <c r="B21" s="23" t="s">
        <v>48</v>
      </c>
      <c r="C21" s="50">
        <v>24</v>
      </c>
      <c r="D21" s="50">
        <v>5</v>
      </c>
      <c r="E21" s="50">
        <v>4</v>
      </c>
      <c r="F21" s="50">
        <v>23</v>
      </c>
      <c r="G21" s="50">
        <v>4</v>
      </c>
      <c r="H21" s="50">
        <v>1</v>
      </c>
      <c r="I21" s="50">
        <v>4</v>
      </c>
      <c r="J21" s="50">
        <v>2</v>
      </c>
      <c r="K21" s="50">
        <v>1</v>
      </c>
      <c r="L21" s="50">
        <v>0</v>
      </c>
      <c r="M21" s="50">
        <v>233</v>
      </c>
      <c r="N21" s="50">
        <v>0</v>
      </c>
      <c r="O21" s="15">
        <f t="shared" si="0"/>
        <v>68</v>
      </c>
      <c r="P21" s="15">
        <f t="shared" si="1"/>
        <v>301</v>
      </c>
      <c r="R21" s="36" t="s">
        <v>20</v>
      </c>
      <c r="S21" s="34">
        <f t="shared" ref="S21:AF21" si="13">SUM(C54:C57)</f>
        <v>388</v>
      </c>
      <c r="T21" s="17">
        <f t="shared" si="13"/>
        <v>57</v>
      </c>
      <c r="U21" s="17">
        <f t="shared" si="13"/>
        <v>30</v>
      </c>
      <c r="V21" s="17">
        <f t="shared" si="13"/>
        <v>25</v>
      </c>
      <c r="W21" s="17">
        <f t="shared" si="13"/>
        <v>11</v>
      </c>
      <c r="X21" s="17">
        <f t="shared" si="13"/>
        <v>0</v>
      </c>
      <c r="Y21" s="17">
        <f t="shared" si="13"/>
        <v>15</v>
      </c>
      <c r="Z21" s="17">
        <f t="shared" si="13"/>
        <v>8</v>
      </c>
      <c r="AA21" s="17">
        <f t="shared" si="13"/>
        <v>0</v>
      </c>
      <c r="AB21" s="17">
        <f t="shared" si="13"/>
        <v>2</v>
      </c>
      <c r="AC21" s="17">
        <f t="shared" si="13"/>
        <v>633</v>
      </c>
      <c r="AD21" s="17">
        <f t="shared" si="13"/>
        <v>0</v>
      </c>
      <c r="AE21" s="31">
        <f t="shared" si="13"/>
        <v>536</v>
      </c>
      <c r="AF21" s="31">
        <f t="shared" si="13"/>
        <v>1169</v>
      </c>
    </row>
    <row r="22" spans="2:32" ht="23.1" customHeight="1" x14ac:dyDescent="0.25">
      <c r="B22" s="23" t="s">
        <v>49</v>
      </c>
      <c r="C22" s="50">
        <v>19</v>
      </c>
      <c r="D22" s="50">
        <v>13</v>
      </c>
      <c r="E22" s="50">
        <v>4</v>
      </c>
      <c r="F22" s="50">
        <v>27</v>
      </c>
      <c r="G22" s="50">
        <v>1</v>
      </c>
      <c r="H22" s="50">
        <v>1</v>
      </c>
      <c r="I22" s="50">
        <v>4</v>
      </c>
      <c r="J22" s="50">
        <v>1</v>
      </c>
      <c r="K22" s="50">
        <v>0</v>
      </c>
      <c r="L22" s="50">
        <v>0</v>
      </c>
      <c r="M22" s="50">
        <v>181</v>
      </c>
      <c r="N22" s="50">
        <v>0</v>
      </c>
      <c r="O22" s="15">
        <f t="shared" si="0"/>
        <v>70</v>
      </c>
      <c r="P22" s="15">
        <f t="shared" si="1"/>
        <v>251</v>
      </c>
      <c r="R22" s="38" t="s">
        <v>90</v>
      </c>
      <c r="S22" s="39">
        <f>MAX(S10:S12)</f>
        <v>81</v>
      </c>
      <c r="T22" s="39">
        <f t="shared" ref="T22:AF22" si="14">MAX(T10:T12)</f>
        <v>21</v>
      </c>
      <c r="U22" s="39">
        <f t="shared" si="14"/>
        <v>11</v>
      </c>
      <c r="V22" s="39">
        <f t="shared" si="14"/>
        <v>106</v>
      </c>
      <c r="W22" s="39">
        <f t="shared" si="14"/>
        <v>7</v>
      </c>
      <c r="X22" s="39">
        <f t="shared" si="14"/>
        <v>3</v>
      </c>
      <c r="Y22" s="39">
        <f t="shared" si="14"/>
        <v>17</v>
      </c>
      <c r="Z22" s="39">
        <f t="shared" si="14"/>
        <v>10</v>
      </c>
      <c r="AA22" s="39">
        <f t="shared" si="14"/>
        <v>1</v>
      </c>
      <c r="AB22" s="39">
        <f t="shared" si="14"/>
        <v>1</v>
      </c>
      <c r="AC22" s="39">
        <f t="shared" si="14"/>
        <v>1134</v>
      </c>
      <c r="AD22" s="39">
        <f t="shared" si="14"/>
        <v>0</v>
      </c>
      <c r="AE22" s="40">
        <f t="shared" si="14"/>
        <v>241</v>
      </c>
      <c r="AF22" s="40">
        <f t="shared" si="14"/>
        <v>1375</v>
      </c>
    </row>
    <row r="23" spans="2:32" ht="23.1" customHeight="1" x14ac:dyDescent="0.25">
      <c r="B23" s="23" t="s">
        <v>50</v>
      </c>
      <c r="C23" s="50">
        <v>18</v>
      </c>
      <c r="D23" s="50">
        <v>3</v>
      </c>
      <c r="E23" s="50">
        <v>2</v>
      </c>
      <c r="F23" s="50">
        <v>21</v>
      </c>
      <c r="G23" s="50">
        <v>0</v>
      </c>
      <c r="H23" s="50">
        <v>0</v>
      </c>
      <c r="I23" s="50">
        <v>3</v>
      </c>
      <c r="J23" s="50">
        <v>5</v>
      </c>
      <c r="K23" s="50">
        <v>0</v>
      </c>
      <c r="L23" s="50">
        <v>0</v>
      </c>
      <c r="M23" s="50">
        <v>168</v>
      </c>
      <c r="N23" s="50">
        <v>0</v>
      </c>
      <c r="O23" s="15">
        <f t="shared" si="0"/>
        <v>52</v>
      </c>
      <c r="P23" s="15">
        <f t="shared" si="1"/>
        <v>220</v>
      </c>
      <c r="R23" s="38" t="s">
        <v>91</v>
      </c>
      <c r="S23" s="39">
        <f>MAX(S13:S18)</f>
        <v>143</v>
      </c>
      <c r="T23" s="39">
        <f t="shared" ref="T23:AF23" si="15">MAX(T13:T18)</f>
        <v>29</v>
      </c>
      <c r="U23" s="39">
        <f t="shared" si="15"/>
        <v>20</v>
      </c>
      <c r="V23" s="39">
        <f t="shared" si="15"/>
        <v>84</v>
      </c>
      <c r="W23" s="39">
        <f t="shared" si="15"/>
        <v>4</v>
      </c>
      <c r="X23" s="39">
        <f t="shared" si="15"/>
        <v>2</v>
      </c>
      <c r="Y23" s="39">
        <f t="shared" si="15"/>
        <v>23</v>
      </c>
      <c r="Z23" s="39">
        <f t="shared" si="15"/>
        <v>22</v>
      </c>
      <c r="AA23" s="39">
        <f t="shared" si="15"/>
        <v>8</v>
      </c>
      <c r="AB23" s="39">
        <f t="shared" si="15"/>
        <v>3</v>
      </c>
      <c r="AC23" s="39">
        <f t="shared" si="15"/>
        <v>714</v>
      </c>
      <c r="AD23" s="39">
        <f t="shared" si="15"/>
        <v>0</v>
      </c>
      <c r="AE23" s="40">
        <f t="shared" si="15"/>
        <v>290</v>
      </c>
      <c r="AF23" s="40">
        <f t="shared" si="15"/>
        <v>966</v>
      </c>
    </row>
    <row r="24" spans="2:32" ht="23.1" customHeight="1" x14ac:dyDescent="0.25">
      <c r="B24" s="23" t="s">
        <v>51</v>
      </c>
      <c r="C24" s="50">
        <v>22</v>
      </c>
      <c r="D24" s="50">
        <v>5</v>
      </c>
      <c r="E24" s="50">
        <v>2</v>
      </c>
      <c r="F24" s="50">
        <v>15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180</v>
      </c>
      <c r="N24" s="50">
        <v>0</v>
      </c>
      <c r="O24" s="15">
        <f t="shared" si="0"/>
        <v>49</v>
      </c>
      <c r="P24" s="15">
        <f t="shared" si="1"/>
        <v>229</v>
      </c>
      <c r="R24" s="38" t="s">
        <v>92</v>
      </c>
      <c r="S24" s="39">
        <f>MAX(S19:S21)</f>
        <v>388</v>
      </c>
      <c r="T24" s="39">
        <f t="shared" ref="T24:AF24" si="16">MAX(T19:T21)</f>
        <v>57</v>
      </c>
      <c r="U24" s="39">
        <f t="shared" si="16"/>
        <v>30</v>
      </c>
      <c r="V24" s="39">
        <f t="shared" si="16"/>
        <v>52</v>
      </c>
      <c r="W24" s="39">
        <f t="shared" si="16"/>
        <v>11</v>
      </c>
      <c r="X24" s="39">
        <f t="shared" si="16"/>
        <v>1</v>
      </c>
      <c r="Y24" s="39">
        <f t="shared" si="16"/>
        <v>15</v>
      </c>
      <c r="Z24" s="39">
        <f t="shared" si="16"/>
        <v>21</v>
      </c>
      <c r="AA24" s="39">
        <f t="shared" si="16"/>
        <v>2</v>
      </c>
      <c r="AB24" s="39">
        <f t="shared" si="16"/>
        <v>2</v>
      </c>
      <c r="AC24" s="39">
        <f t="shared" si="16"/>
        <v>633</v>
      </c>
      <c r="AD24" s="39">
        <f t="shared" si="16"/>
        <v>1</v>
      </c>
      <c r="AE24" s="40">
        <f t="shared" si="16"/>
        <v>536</v>
      </c>
      <c r="AF24" s="40">
        <f t="shared" si="16"/>
        <v>1169</v>
      </c>
    </row>
    <row r="25" spans="2:32" ht="23.1" customHeight="1" x14ac:dyDescent="0.25">
      <c r="B25" s="23" t="s">
        <v>52</v>
      </c>
      <c r="C25" s="50">
        <v>32</v>
      </c>
      <c r="D25" s="50">
        <v>7</v>
      </c>
      <c r="E25" s="50">
        <v>6</v>
      </c>
      <c r="F25" s="50">
        <v>21</v>
      </c>
      <c r="G25" s="50">
        <v>0</v>
      </c>
      <c r="H25" s="50">
        <v>1</v>
      </c>
      <c r="I25" s="50">
        <v>9</v>
      </c>
      <c r="J25" s="50">
        <v>4</v>
      </c>
      <c r="K25" s="50">
        <v>1</v>
      </c>
      <c r="L25" s="50">
        <v>0</v>
      </c>
      <c r="M25" s="50">
        <v>185</v>
      </c>
      <c r="N25" s="50">
        <v>0</v>
      </c>
      <c r="O25" s="15">
        <f t="shared" si="0"/>
        <v>81</v>
      </c>
      <c r="P25" s="15">
        <f t="shared" si="1"/>
        <v>266</v>
      </c>
      <c r="R25" s="37" t="s">
        <v>85</v>
      </c>
      <c r="S25" s="35">
        <f t="shared" ref="S25:AF25" si="17">SUM(S10:S12)</f>
        <v>221</v>
      </c>
      <c r="T25" s="16">
        <f t="shared" si="17"/>
        <v>55</v>
      </c>
      <c r="U25" s="16">
        <f t="shared" si="17"/>
        <v>26</v>
      </c>
      <c r="V25" s="16">
        <f t="shared" si="17"/>
        <v>272</v>
      </c>
      <c r="W25" s="16">
        <f t="shared" si="17"/>
        <v>12</v>
      </c>
      <c r="X25" s="16">
        <f t="shared" si="17"/>
        <v>4</v>
      </c>
      <c r="Y25" s="16">
        <f t="shared" si="17"/>
        <v>34</v>
      </c>
      <c r="Z25" s="16">
        <f t="shared" si="17"/>
        <v>20</v>
      </c>
      <c r="AA25" s="16">
        <f t="shared" si="17"/>
        <v>1</v>
      </c>
      <c r="AB25" s="16">
        <f t="shared" si="17"/>
        <v>1</v>
      </c>
      <c r="AC25" s="16">
        <f t="shared" si="17"/>
        <v>2492</v>
      </c>
      <c r="AD25" s="16">
        <f t="shared" si="17"/>
        <v>0</v>
      </c>
      <c r="AE25" s="32">
        <f t="shared" si="17"/>
        <v>646</v>
      </c>
      <c r="AF25" s="32">
        <f t="shared" si="17"/>
        <v>3138</v>
      </c>
    </row>
    <row r="26" spans="2:32" ht="23.1" customHeight="1" x14ac:dyDescent="0.25">
      <c r="B26" s="23" t="s">
        <v>53</v>
      </c>
      <c r="C26" s="50">
        <v>26</v>
      </c>
      <c r="D26" s="50">
        <v>2</v>
      </c>
      <c r="E26" s="50">
        <v>2</v>
      </c>
      <c r="F26" s="50">
        <v>18</v>
      </c>
      <c r="G26" s="50">
        <v>0</v>
      </c>
      <c r="H26" s="50">
        <v>0</v>
      </c>
      <c r="I26" s="50">
        <v>7</v>
      </c>
      <c r="J26" s="50">
        <v>4</v>
      </c>
      <c r="K26" s="50">
        <v>2</v>
      </c>
      <c r="L26" s="50">
        <v>1</v>
      </c>
      <c r="M26" s="50">
        <v>177</v>
      </c>
      <c r="N26" s="50">
        <v>0</v>
      </c>
      <c r="O26" s="15">
        <f t="shared" si="0"/>
        <v>62</v>
      </c>
      <c r="P26" s="15">
        <f t="shared" si="1"/>
        <v>239</v>
      </c>
      <c r="R26" s="28" t="s">
        <v>86</v>
      </c>
      <c r="S26" s="16">
        <f t="shared" ref="S26:AF26" si="18">SUM(S13:S18)</f>
        <v>720</v>
      </c>
      <c r="T26" s="16">
        <f t="shared" si="18"/>
        <v>142</v>
      </c>
      <c r="U26" s="16">
        <f t="shared" si="18"/>
        <v>71</v>
      </c>
      <c r="V26" s="16">
        <f t="shared" si="18"/>
        <v>393</v>
      </c>
      <c r="W26" s="16">
        <f t="shared" si="18"/>
        <v>7</v>
      </c>
      <c r="X26" s="16">
        <f t="shared" si="18"/>
        <v>6</v>
      </c>
      <c r="Y26" s="16">
        <f t="shared" si="18"/>
        <v>106</v>
      </c>
      <c r="Z26" s="16">
        <f t="shared" si="18"/>
        <v>89</v>
      </c>
      <c r="AA26" s="16">
        <f t="shared" si="18"/>
        <v>21</v>
      </c>
      <c r="AB26" s="16">
        <f t="shared" si="18"/>
        <v>6</v>
      </c>
      <c r="AC26" s="16">
        <f t="shared" si="18"/>
        <v>3233</v>
      </c>
      <c r="AD26" s="16">
        <f t="shared" si="18"/>
        <v>0</v>
      </c>
      <c r="AE26" s="32">
        <f t="shared" si="18"/>
        <v>1561</v>
      </c>
      <c r="AF26" s="32">
        <f t="shared" si="18"/>
        <v>4794</v>
      </c>
    </row>
    <row r="27" spans="2:32" ht="23.1" customHeight="1" x14ac:dyDescent="0.25">
      <c r="B27" s="23" t="s">
        <v>54</v>
      </c>
      <c r="C27" s="50">
        <v>26</v>
      </c>
      <c r="D27" s="50">
        <v>5</v>
      </c>
      <c r="E27" s="50">
        <v>2</v>
      </c>
      <c r="F27" s="50">
        <v>12</v>
      </c>
      <c r="G27" s="50">
        <v>0</v>
      </c>
      <c r="H27" s="50">
        <v>0</v>
      </c>
      <c r="I27" s="50">
        <v>3</v>
      </c>
      <c r="J27" s="50">
        <v>9</v>
      </c>
      <c r="K27" s="50">
        <v>2</v>
      </c>
      <c r="L27" s="50">
        <v>0</v>
      </c>
      <c r="M27" s="50">
        <v>146</v>
      </c>
      <c r="N27" s="50">
        <v>0</v>
      </c>
      <c r="O27" s="15">
        <f t="shared" si="0"/>
        <v>59</v>
      </c>
      <c r="P27" s="15">
        <f t="shared" si="1"/>
        <v>205</v>
      </c>
      <c r="R27" s="29" t="s">
        <v>87</v>
      </c>
      <c r="S27" s="16">
        <f t="shared" ref="S27:AF27" si="19">SUM(S19:S21)</f>
        <v>847</v>
      </c>
      <c r="T27" s="16">
        <f t="shared" si="19"/>
        <v>128</v>
      </c>
      <c r="U27" s="16">
        <f t="shared" si="19"/>
        <v>65</v>
      </c>
      <c r="V27" s="16">
        <f t="shared" si="19"/>
        <v>122</v>
      </c>
      <c r="W27" s="16">
        <f t="shared" si="19"/>
        <v>13</v>
      </c>
      <c r="X27" s="16">
        <f t="shared" si="19"/>
        <v>1</v>
      </c>
      <c r="Y27" s="16">
        <f t="shared" si="19"/>
        <v>43</v>
      </c>
      <c r="Z27" s="16">
        <f t="shared" si="19"/>
        <v>40</v>
      </c>
      <c r="AA27" s="16">
        <f t="shared" si="19"/>
        <v>4</v>
      </c>
      <c r="AB27" s="16">
        <f t="shared" si="19"/>
        <v>5</v>
      </c>
      <c r="AC27" s="16">
        <f t="shared" si="19"/>
        <v>1782</v>
      </c>
      <c r="AD27" s="16">
        <f t="shared" si="19"/>
        <v>1</v>
      </c>
      <c r="AE27" s="32">
        <f t="shared" si="19"/>
        <v>1269</v>
      </c>
      <c r="AF27" s="32">
        <f t="shared" si="19"/>
        <v>3051</v>
      </c>
    </row>
    <row r="28" spans="2:32" ht="23.1" customHeight="1" x14ac:dyDescent="0.25">
      <c r="B28" s="23" t="s">
        <v>55</v>
      </c>
      <c r="C28" s="50">
        <v>23</v>
      </c>
      <c r="D28" s="50">
        <v>3</v>
      </c>
      <c r="E28" s="50">
        <v>2</v>
      </c>
      <c r="F28" s="50">
        <v>17</v>
      </c>
      <c r="G28" s="50">
        <v>1</v>
      </c>
      <c r="H28" s="50">
        <v>0</v>
      </c>
      <c r="I28" s="50">
        <v>10</v>
      </c>
      <c r="J28" s="50">
        <v>1</v>
      </c>
      <c r="K28" s="50">
        <v>1</v>
      </c>
      <c r="L28" s="50">
        <v>0</v>
      </c>
      <c r="M28" s="50">
        <v>134</v>
      </c>
      <c r="N28" s="50">
        <v>0</v>
      </c>
      <c r="O28" s="15">
        <f t="shared" si="0"/>
        <v>58</v>
      </c>
      <c r="P28" s="15">
        <f t="shared" si="1"/>
        <v>192</v>
      </c>
      <c r="R28" s="5" t="s">
        <v>17</v>
      </c>
      <c r="S28" s="16">
        <f t="shared" ref="S28:AF28" si="20">SUM(S10:S21)</f>
        <v>1788</v>
      </c>
      <c r="T28" s="16">
        <f t="shared" si="20"/>
        <v>325</v>
      </c>
      <c r="U28" s="16">
        <f t="shared" si="20"/>
        <v>162</v>
      </c>
      <c r="V28" s="16">
        <f t="shared" si="20"/>
        <v>787</v>
      </c>
      <c r="W28" s="16">
        <f t="shared" si="20"/>
        <v>32</v>
      </c>
      <c r="X28" s="16">
        <f t="shared" si="20"/>
        <v>11</v>
      </c>
      <c r="Y28" s="16">
        <f t="shared" si="20"/>
        <v>183</v>
      </c>
      <c r="Z28" s="16">
        <f t="shared" si="20"/>
        <v>149</v>
      </c>
      <c r="AA28" s="16">
        <f t="shared" si="20"/>
        <v>26</v>
      </c>
      <c r="AB28" s="16">
        <f t="shared" si="20"/>
        <v>12</v>
      </c>
      <c r="AC28" s="16">
        <f t="shared" si="20"/>
        <v>7507</v>
      </c>
      <c r="AD28" s="16">
        <f t="shared" si="20"/>
        <v>1</v>
      </c>
      <c r="AE28" s="32">
        <f t="shared" si="20"/>
        <v>3476</v>
      </c>
      <c r="AF28" s="32">
        <f t="shared" si="20"/>
        <v>10983</v>
      </c>
    </row>
    <row r="29" spans="2:32" ht="23.1" customHeight="1" x14ac:dyDescent="0.25">
      <c r="B29" s="23" t="s">
        <v>56</v>
      </c>
      <c r="C29" s="50">
        <v>32</v>
      </c>
      <c r="D29" s="50">
        <v>7</v>
      </c>
      <c r="E29" s="50">
        <v>3</v>
      </c>
      <c r="F29" s="50">
        <v>21</v>
      </c>
      <c r="G29" s="50">
        <v>0</v>
      </c>
      <c r="H29" s="50">
        <v>0</v>
      </c>
      <c r="I29" s="50">
        <v>3</v>
      </c>
      <c r="J29" s="50">
        <v>3</v>
      </c>
      <c r="K29" s="50">
        <v>3</v>
      </c>
      <c r="L29" s="50">
        <v>0</v>
      </c>
      <c r="M29" s="50">
        <v>140</v>
      </c>
      <c r="N29" s="50">
        <v>0</v>
      </c>
      <c r="O29" s="15">
        <f t="shared" si="0"/>
        <v>72</v>
      </c>
      <c r="P29" s="15">
        <f t="shared" si="1"/>
        <v>212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4</v>
      </c>
      <c r="E30" s="50">
        <v>6</v>
      </c>
      <c r="F30" s="50">
        <v>19</v>
      </c>
      <c r="G30" s="50">
        <v>0</v>
      </c>
      <c r="H30" s="50">
        <v>0</v>
      </c>
      <c r="I30" s="50">
        <v>2</v>
      </c>
      <c r="J30" s="50">
        <v>4</v>
      </c>
      <c r="K30" s="50">
        <v>1</v>
      </c>
      <c r="L30" s="50">
        <v>1</v>
      </c>
      <c r="M30" s="50">
        <v>181</v>
      </c>
      <c r="N30" s="50">
        <v>0</v>
      </c>
      <c r="O30" s="15">
        <f t="shared" si="0"/>
        <v>60</v>
      </c>
      <c r="P30" s="15">
        <f t="shared" si="1"/>
        <v>241</v>
      </c>
    </row>
    <row r="31" spans="2:32" ht="23.1" customHeight="1" x14ac:dyDescent="0.25">
      <c r="B31" s="24" t="s">
        <v>58</v>
      </c>
      <c r="C31" s="50">
        <v>22</v>
      </c>
      <c r="D31" s="50">
        <v>10</v>
      </c>
      <c r="E31" s="50">
        <v>3</v>
      </c>
      <c r="F31" s="50">
        <v>10</v>
      </c>
      <c r="G31" s="50">
        <v>0</v>
      </c>
      <c r="H31" s="50">
        <v>1</v>
      </c>
      <c r="I31" s="50">
        <v>6</v>
      </c>
      <c r="J31" s="50">
        <v>6</v>
      </c>
      <c r="K31" s="50">
        <v>2</v>
      </c>
      <c r="L31" s="50">
        <v>0</v>
      </c>
      <c r="M31" s="50">
        <v>150</v>
      </c>
      <c r="N31" s="50">
        <v>0</v>
      </c>
      <c r="O31" s="15">
        <f t="shared" si="0"/>
        <v>60</v>
      </c>
      <c r="P31" s="15">
        <f t="shared" si="1"/>
        <v>210</v>
      </c>
    </row>
    <row r="32" spans="2:32" ht="23.1" customHeight="1" x14ac:dyDescent="0.25">
      <c r="B32" s="24" t="s">
        <v>59</v>
      </c>
      <c r="C32" s="50">
        <v>27</v>
      </c>
      <c r="D32" s="50">
        <v>10</v>
      </c>
      <c r="E32" s="50">
        <v>4</v>
      </c>
      <c r="F32" s="50">
        <v>22</v>
      </c>
      <c r="G32" s="50">
        <v>0</v>
      </c>
      <c r="H32" s="50">
        <v>0</v>
      </c>
      <c r="I32" s="50">
        <v>6</v>
      </c>
      <c r="J32" s="50">
        <v>1</v>
      </c>
      <c r="K32" s="50">
        <v>1</v>
      </c>
      <c r="L32" s="50">
        <v>0</v>
      </c>
      <c r="M32" s="50">
        <v>147</v>
      </c>
      <c r="N32" s="50">
        <v>0</v>
      </c>
      <c r="O32" s="15">
        <f t="shared" si="0"/>
        <v>71</v>
      </c>
      <c r="P32" s="15">
        <f t="shared" si="1"/>
        <v>218</v>
      </c>
    </row>
    <row r="33" spans="2:20" ht="23.1" customHeight="1" x14ac:dyDescent="0.25">
      <c r="B33" s="23" t="s">
        <v>60</v>
      </c>
      <c r="C33" s="50">
        <v>35</v>
      </c>
      <c r="D33" s="50">
        <v>5</v>
      </c>
      <c r="E33" s="50">
        <v>7</v>
      </c>
      <c r="F33" s="50">
        <v>10</v>
      </c>
      <c r="G33" s="50">
        <v>0</v>
      </c>
      <c r="H33" s="50">
        <v>1</v>
      </c>
      <c r="I33" s="50">
        <v>5</v>
      </c>
      <c r="J33" s="50">
        <v>3</v>
      </c>
      <c r="K33" s="50">
        <v>1</v>
      </c>
      <c r="L33" s="50">
        <v>0</v>
      </c>
      <c r="M33" s="50">
        <v>158</v>
      </c>
      <c r="N33" s="50">
        <v>0</v>
      </c>
      <c r="O33" s="15">
        <f t="shared" si="0"/>
        <v>67</v>
      </c>
      <c r="P33" s="15">
        <f t="shared" si="1"/>
        <v>225</v>
      </c>
    </row>
    <row r="34" spans="2:20" ht="23.1" customHeight="1" x14ac:dyDescent="0.25">
      <c r="B34" s="24" t="s">
        <v>61</v>
      </c>
      <c r="C34" s="50">
        <v>31</v>
      </c>
      <c r="D34" s="50">
        <v>3</v>
      </c>
      <c r="E34" s="50">
        <v>3</v>
      </c>
      <c r="F34" s="50">
        <v>18</v>
      </c>
      <c r="G34" s="50">
        <v>0</v>
      </c>
      <c r="H34" s="50">
        <v>0</v>
      </c>
      <c r="I34" s="50">
        <v>6</v>
      </c>
      <c r="J34" s="50">
        <v>9</v>
      </c>
      <c r="K34" s="50">
        <v>2</v>
      </c>
      <c r="L34" s="50">
        <v>0</v>
      </c>
      <c r="M34" s="50">
        <v>148</v>
      </c>
      <c r="N34" s="50">
        <v>0</v>
      </c>
      <c r="O34" s="15">
        <f t="shared" si="0"/>
        <v>72</v>
      </c>
      <c r="P34" s="15">
        <f t="shared" si="1"/>
        <v>220</v>
      </c>
    </row>
    <row r="35" spans="2:20" ht="23.1" customHeight="1" x14ac:dyDescent="0.25">
      <c r="B35" s="24" t="s">
        <v>62</v>
      </c>
      <c r="C35" s="50">
        <v>39</v>
      </c>
      <c r="D35" s="50">
        <v>7</v>
      </c>
      <c r="E35" s="50">
        <v>0</v>
      </c>
      <c r="F35" s="50">
        <v>22</v>
      </c>
      <c r="G35" s="50">
        <v>0</v>
      </c>
      <c r="H35" s="50">
        <v>0</v>
      </c>
      <c r="I35" s="50">
        <v>1</v>
      </c>
      <c r="J35" s="50">
        <v>4</v>
      </c>
      <c r="K35" s="50">
        <v>1</v>
      </c>
      <c r="L35" s="50">
        <v>0</v>
      </c>
      <c r="M35" s="50">
        <v>144</v>
      </c>
      <c r="N35" s="50">
        <v>0</v>
      </c>
      <c r="O35" s="15">
        <f t="shared" si="0"/>
        <v>74</v>
      </c>
      <c r="P35" s="15">
        <f t="shared" si="1"/>
        <v>218</v>
      </c>
    </row>
    <row r="36" spans="2:20" ht="23.1" customHeight="1" x14ac:dyDescent="0.25">
      <c r="B36" s="24" t="s">
        <v>63</v>
      </c>
      <c r="C36" s="50">
        <v>30</v>
      </c>
      <c r="D36" s="50">
        <v>3</v>
      </c>
      <c r="E36" s="50">
        <v>5</v>
      </c>
      <c r="F36" s="50">
        <v>11</v>
      </c>
      <c r="G36" s="50">
        <v>0</v>
      </c>
      <c r="H36" s="50">
        <v>0</v>
      </c>
      <c r="I36" s="50">
        <v>5</v>
      </c>
      <c r="J36" s="50">
        <v>2</v>
      </c>
      <c r="K36" s="50">
        <v>1</v>
      </c>
      <c r="L36" s="50">
        <v>0</v>
      </c>
      <c r="M36" s="50">
        <v>120</v>
      </c>
      <c r="N36" s="50">
        <v>0</v>
      </c>
      <c r="O36" s="15">
        <f t="shared" si="0"/>
        <v>57</v>
      </c>
      <c r="P36" s="15">
        <f t="shared" si="1"/>
        <v>177</v>
      </c>
    </row>
    <row r="37" spans="2:20" ht="23.1" customHeight="1" x14ac:dyDescent="0.25">
      <c r="B37" s="23" t="s">
        <v>64</v>
      </c>
      <c r="C37" s="50">
        <v>40</v>
      </c>
      <c r="D37" s="50">
        <v>6</v>
      </c>
      <c r="E37" s="50">
        <v>1</v>
      </c>
      <c r="F37" s="50">
        <v>24</v>
      </c>
      <c r="G37" s="50">
        <v>0</v>
      </c>
      <c r="H37" s="50">
        <v>0</v>
      </c>
      <c r="I37" s="50">
        <v>9</v>
      </c>
      <c r="J37" s="50">
        <v>7</v>
      </c>
      <c r="K37" s="50">
        <v>0</v>
      </c>
      <c r="L37" s="50">
        <v>0</v>
      </c>
      <c r="M37" s="50">
        <v>165</v>
      </c>
      <c r="N37" s="50">
        <v>0</v>
      </c>
      <c r="O37" s="15">
        <f t="shared" si="0"/>
        <v>87</v>
      </c>
      <c r="P37" s="15">
        <f t="shared" si="1"/>
        <v>252</v>
      </c>
    </row>
    <row r="38" spans="2:20" ht="23.1" customHeight="1" x14ac:dyDescent="0.25">
      <c r="B38" s="24" t="s">
        <v>65</v>
      </c>
      <c r="C38" s="50">
        <v>24</v>
      </c>
      <c r="D38" s="50">
        <v>2</v>
      </c>
      <c r="E38" s="50">
        <v>3</v>
      </c>
      <c r="F38" s="50">
        <v>15</v>
      </c>
      <c r="G38" s="50">
        <v>0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115</v>
      </c>
      <c r="N38" s="50">
        <v>0</v>
      </c>
      <c r="O38" s="15">
        <f t="shared" si="0"/>
        <v>49</v>
      </c>
      <c r="P38" s="15">
        <f t="shared" si="1"/>
        <v>164</v>
      </c>
    </row>
    <row r="39" spans="2:20" ht="23.1" customHeight="1" x14ac:dyDescent="0.25">
      <c r="B39" s="24" t="s">
        <v>66</v>
      </c>
      <c r="C39" s="50">
        <v>31</v>
      </c>
      <c r="D39" s="50">
        <v>6</v>
      </c>
      <c r="E39" s="50">
        <v>0</v>
      </c>
      <c r="F39" s="50">
        <v>13</v>
      </c>
      <c r="G39" s="50">
        <v>1</v>
      </c>
      <c r="H39" s="50">
        <v>0</v>
      </c>
      <c r="I39" s="50">
        <v>3</v>
      </c>
      <c r="J39" s="50">
        <v>5</v>
      </c>
      <c r="K39" s="50">
        <v>1</v>
      </c>
      <c r="L39" s="50">
        <v>3</v>
      </c>
      <c r="M39" s="50">
        <v>138</v>
      </c>
      <c r="N39" s="50">
        <v>0</v>
      </c>
      <c r="O39" s="15">
        <f t="shared" si="0"/>
        <v>63</v>
      </c>
      <c r="P39" s="15">
        <f t="shared" si="1"/>
        <v>201</v>
      </c>
    </row>
    <row r="40" spans="2:20" ht="23.1" customHeight="1" x14ac:dyDescent="0.25">
      <c r="B40" s="24" t="s">
        <v>67</v>
      </c>
      <c r="C40" s="50">
        <v>35</v>
      </c>
      <c r="D40" s="50">
        <v>5</v>
      </c>
      <c r="E40" s="50">
        <v>1</v>
      </c>
      <c r="F40" s="50">
        <v>14</v>
      </c>
      <c r="G40" s="50">
        <v>0</v>
      </c>
      <c r="H40" s="50">
        <v>0</v>
      </c>
      <c r="I40" s="50">
        <v>6</v>
      </c>
      <c r="J40" s="50">
        <v>5</v>
      </c>
      <c r="K40" s="50">
        <v>0</v>
      </c>
      <c r="L40" s="50">
        <v>0</v>
      </c>
      <c r="M40" s="50">
        <v>150</v>
      </c>
      <c r="N40" s="50">
        <v>0</v>
      </c>
      <c r="O40" s="15">
        <f t="shared" si="0"/>
        <v>66</v>
      </c>
      <c r="P40" s="15">
        <f t="shared" si="1"/>
        <v>216</v>
      </c>
    </row>
    <row r="41" spans="2:20" ht="23.1" customHeight="1" x14ac:dyDescent="0.25">
      <c r="B41" s="23" t="s">
        <v>68</v>
      </c>
      <c r="C41" s="50">
        <v>42</v>
      </c>
      <c r="D41" s="50">
        <v>9</v>
      </c>
      <c r="E41" s="50">
        <v>4</v>
      </c>
      <c r="F41" s="50">
        <v>20</v>
      </c>
      <c r="G41" s="50">
        <v>0</v>
      </c>
      <c r="H41" s="50">
        <v>1</v>
      </c>
      <c r="I41" s="50">
        <v>3</v>
      </c>
      <c r="J41" s="50">
        <v>1</v>
      </c>
      <c r="K41" s="50">
        <v>0</v>
      </c>
      <c r="L41" s="50">
        <v>0</v>
      </c>
      <c r="M41" s="50">
        <v>157</v>
      </c>
      <c r="N41" s="50">
        <v>0</v>
      </c>
      <c r="O41" s="15">
        <f t="shared" si="0"/>
        <v>80</v>
      </c>
      <c r="P41" s="15">
        <f t="shared" si="1"/>
        <v>237</v>
      </c>
    </row>
    <row r="42" spans="2:20" ht="23.1" customHeight="1" x14ac:dyDescent="0.25">
      <c r="B42" s="24" t="s">
        <v>69</v>
      </c>
      <c r="C42" s="50">
        <v>38</v>
      </c>
      <c r="D42" s="50">
        <v>9</v>
      </c>
      <c r="E42" s="50">
        <v>6</v>
      </c>
      <c r="F42" s="50">
        <v>14</v>
      </c>
      <c r="G42" s="50">
        <v>1</v>
      </c>
      <c r="H42" s="50">
        <v>0</v>
      </c>
      <c r="I42" s="50">
        <v>2</v>
      </c>
      <c r="J42" s="50">
        <v>3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73</v>
      </c>
      <c r="P42" s="15">
        <f t="shared" si="1"/>
        <v>93</v>
      </c>
    </row>
    <row r="43" spans="2:20" ht="23.1" customHeight="1" x14ac:dyDescent="0.25">
      <c r="B43" s="23" t="s">
        <v>70</v>
      </c>
      <c r="C43" s="50">
        <v>42</v>
      </c>
      <c r="D43" s="50">
        <v>6</v>
      </c>
      <c r="E43" s="50">
        <v>3</v>
      </c>
      <c r="F43" s="50">
        <v>11</v>
      </c>
      <c r="G43" s="50">
        <v>1</v>
      </c>
      <c r="H43" s="50">
        <v>1</v>
      </c>
      <c r="I43" s="50">
        <v>0</v>
      </c>
      <c r="J43" s="50">
        <v>3</v>
      </c>
      <c r="K43" s="50">
        <v>2</v>
      </c>
      <c r="L43" s="50">
        <v>0</v>
      </c>
      <c r="M43" s="50">
        <v>13</v>
      </c>
      <c r="N43" s="50">
        <v>0</v>
      </c>
      <c r="O43" s="15">
        <f t="shared" si="0"/>
        <v>69</v>
      </c>
      <c r="P43" s="15">
        <f t="shared" si="1"/>
        <v>82</v>
      </c>
    </row>
    <row r="44" spans="2:20" ht="23.1" customHeight="1" x14ac:dyDescent="0.25">
      <c r="B44" s="25" t="s">
        <v>71</v>
      </c>
      <c r="C44" s="50">
        <v>33</v>
      </c>
      <c r="D44" s="50">
        <v>8</v>
      </c>
      <c r="E44" s="50">
        <v>1</v>
      </c>
      <c r="F44" s="50">
        <v>6</v>
      </c>
      <c r="G44" s="50">
        <v>1</v>
      </c>
      <c r="H44" s="50">
        <v>0</v>
      </c>
      <c r="I44" s="50">
        <v>4</v>
      </c>
      <c r="J44" s="50">
        <v>3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56</v>
      </c>
      <c r="P44" s="15">
        <f t="shared" si="1"/>
        <v>64</v>
      </c>
    </row>
    <row r="45" spans="2:20" ht="23.1" customHeight="1" x14ac:dyDescent="0.25">
      <c r="B45" s="23" t="s">
        <v>72</v>
      </c>
      <c r="C45" s="50">
        <v>30</v>
      </c>
      <c r="D45" s="50">
        <v>4</v>
      </c>
      <c r="E45" s="50">
        <v>1</v>
      </c>
      <c r="F45" s="50">
        <v>12</v>
      </c>
      <c r="G45" s="50">
        <v>1</v>
      </c>
      <c r="H45" s="50">
        <v>0</v>
      </c>
      <c r="I45" s="50">
        <v>1</v>
      </c>
      <c r="J45" s="50">
        <v>4</v>
      </c>
      <c r="K45" s="50">
        <v>0</v>
      </c>
      <c r="L45" s="50">
        <v>1</v>
      </c>
      <c r="M45" s="50">
        <v>108</v>
      </c>
      <c r="N45" s="50">
        <v>0</v>
      </c>
      <c r="O45" s="15">
        <f t="shared" si="0"/>
        <v>54</v>
      </c>
      <c r="P45" s="15">
        <f t="shared" si="1"/>
        <v>162</v>
      </c>
    </row>
    <row r="46" spans="2:20" ht="23.1" customHeight="1" x14ac:dyDescent="0.25">
      <c r="B46" s="24" t="s">
        <v>73</v>
      </c>
      <c r="C46" s="50">
        <v>42</v>
      </c>
      <c r="D46" s="50">
        <v>7</v>
      </c>
      <c r="E46" s="50">
        <v>2</v>
      </c>
      <c r="F46" s="50">
        <v>14</v>
      </c>
      <c r="G46" s="50">
        <v>0</v>
      </c>
      <c r="H46" s="50">
        <v>0</v>
      </c>
      <c r="I46" s="50">
        <v>4</v>
      </c>
      <c r="J46" s="50">
        <v>3</v>
      </c>
      <c r="K46" s="50">
        <v>0</v>
      </c>
      <c r="L46" s="50">
        <v>0</v>
      </c>
      <c r="M46" s="50">
        <v>140</v>
      </c>
      <c r="N46" s="50">
        <v>0</v>
      </c>
      <c r="O46" s="15">
        <f t="shared" si="0"/>
        <v>72</v>
      </c>
      <c r="P46" s="15">
        <f t="shared" si="1"/>
        <v>212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8</v>
      </c>
      <c r="E47" s="50">
        <v>5</v>
      </c>
      <c r="F47" s="50">
        <v>10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1</v>
      </c>
      <c r="M47" s="50">
        <v>143</v>
      </c>
      <c r="N47" s="50">
        <v>0</v>
      </c>
      <c r="O47" s="15">
        <f t="shared" si="0"/>
        <v>77</v>
      </c>
      <c r="P47" s="15">
        <f t="shared" si="1"/>
        <v>220</v>
      </c>
      <c r="R47" s="8"/>
      <c r="T47"/>
    </row>
    <row r="48" spans="2:20" ht="23.1" customHeight="1" x14ac:dyDescent="0.25">
      <c r="B48" s="24" t="s">
        <v>75</v>
      </c>
      <c r="C48" s="50">
        <v>52</v>
      </c>
      <c r="D48" s="50">
        <v>9</v>
      </c>
      <c r="E48" s="50">
        <v>3</v>
      </c>
      <c r="F48" s="50">
        <v>13</v>
      </c>
      <c r="G48" s="50">
        <v>1</v>
      </c>
      <c r="H48" s="50">
        <v>1</v>
      </c>
      <c r="I48" s="50">
        <v>6</v>
      </c>
      <c r="J48" s="50">
        <v>3</v>
      </c>
      <c r="K48" s="50">
        <v>1</v>
      </c>
      <c r="L48" s="50">
        <v>1</v>
      </c>
      <c r="M48" s="50">
        <v>163</v>
      </c>
      <c r="N48" s="50">
        <v>1</v>
      </c>
      <c r="O48" s="15">
        <f t="shared" si="0"/>
        <v>91</v>
      </c>
      <c r="P48" s="15">
        <f t="shared" si="1"/>
        <v>254</v>
      </c>
      <c r="R48" s="8"/>
      <c r="T48"/>
    </row>
    <row r="49" spans="2:20" ht="23.1" customHeight="1" x14ac:dyDescent="0.25">
      <c r="B49" s="23" t="s">
        <v>76</v>
      </c>
      <c r="C49" s="50">
        <v>44</v>
      </c>
      <c r="D49" s="50">
        <v>6</v>
      </c>
      <c r="E49" s="50">
        <v>6</v>
      </c>
      <c r="F49" s="50">
        <v>15</v>
      </c>
      <c r="G49" s="50">
        <v>0</v>
      </c>
      <c r="H49" s="50">
        <v>0</v>
      </c>
      <c r="I49" s="50">
        <v>2</v>
      </c>
      <c r="J49" s="50">
        <v>4</v>
      </c>
      <c r="K49" s="50">
        <v>1</v>
      </c>
      <c r="L49" s="50">
        <v>0</v>
      </c>
      <c r="M49" s="50">
        <v>135</v>
      </c>
      <c r="N49" s="50">
        <v>0</v>
      </c>
      <c r="O49" s="15">
        <f t="shared" si="0"/>
        <v>78</v>
      </c>
      <c r="P49" s="15">
        <f t="shared" si="1"/>
        <v>213</v>
      </c>
      <c r="R49" s="8"/>
      <c r="T49"/>
    </row>
    <row r="50" spans="2:20" ht="23.1" customHeight="1" x14ac:dyDescent="0.25">
      <c r="B50" s="24" t="s">
        <v>77</v>
      </c>
      <c r="C50" s="50">
        <v>58</v>
      </c>
      <c r="D50" s="50">
        <v>10</v>
      </c>
      <c r="E50" s="50">
        <v>7</v>
      </c>
      <c r="F50" s="50">
        <v>8</v>
      </c>
      <c r="G50" s="50">
        <v>1</v>
      </c>
      <c r="H50" s="50">
        <v>0</v>
      </c>
      <c r="I50" s="50">
        <v>1</v>
      </c>
      <c r="J50" s="50">
        <v>3</v>
      </c>
      <c r="K50" s="50">
        <v>1</v>
      </c>
      <c r="L50" s="50">
        <v>0</v>
      </c>
      <c r="M50" s="50">
        <v>140</v>
      </c>
      <c r="N50" s="50">
        <v>0</v>
      </c>
      <c r="O50" s="15">
        <f t="shared" si="0"/>
        <v>89</v>
      </c>
      <c r="P50" s="15">
        <f t="shared" si="1"/>
        <v>229</v>
      </c>
      <c r="R50" s="8"/>
      <c r="T50"/>
    </row>
    <row r="51" spans="2:20" ht="23.1" customHeight="1" x14ac:dyDescent="0.25">
      <c r="B51" s="24" t="s">
        <v>78</v>
      </c>
      <c r="C51" s="50">
        <v>68</v>
      </c>
      <c r="D51" s="50">
        <v>6</v>
      </c>
      <c r="E51" s="50">
        <v>4</v>
      </c>
      <c r="F51" s="50">
        <v>13</v>
      </c>
      <c r="G51" s="50">
        <v>0</v>
      </c>
      <c r="H51" s="50">
        <v>0</v>
      </c>
      <c r="I51" s="50">
        <v>4</v>
      </c>
      <c r="J51" s="50">
        <v>8</v>
      </c>
      <c r="K51" s="50">
        <v>1</v>
      </c>
      <c r="L51" s="50">
        <v>0</v>
      </c>
      <c r="M51" s="50">
        <v>150</v>
      </c>
      <c r="N51" s="50">
        <v>0</v>
      </c>
      <c r="O51" s="15">
        <f t="shared" si="0"/>
        <v>104</v>
      </c>
      <c r="P51" s="15">
        <f t="shared" si="1"/>
        <v>254</v>
      </c>
      <c r="R51" s="8"/>
      <c r="T51"/>
    </row>
    <row r="52" spans="2:20" ht="23.1" customHeight="1" x14ac:dyDescent="0.25">
      <c r="B52" s="24" t="s">
        <v>79</v>
      </c>
      <c r="C52" s="50">
        <v>76</v>
      </c>
      <c r="D52" s="50">
        <v>15</v>
      </c>
      <c r="E52" s="50">
        <v>5</v>
      </c>
      <c r="F52" s="50">
        <v>10</v>
      </c>
      <c r="G52" s="50">
        <v>0</v>
      </c>
      <c r="H52" s="50">
        <v>0</v>
      </c>
      <c r="I52" s="50">
        <v>6</v>
      </c>
      <c r="J52" s="50">
        <v>8</v>
      </c>
      <c r="K52" s="50">
        <v>0</v>
      </c>
      <c r="L52" s="50">
        <v>0</v>
      </c>
      <c r="M52" s="50">
        <v>165</v>
      </c>
      <c r="N52" s="50">
        <v>0</v>
      </c>
      <c r="O52" s="15">
        <f t="shared" si="0"/>
        <v>120</v>
      </c>
      <c r="P52" s="15">
        <f t="shared" si="1"/>
        <v>285</v>
      </c>
      <c r="R52" s="8"/>
      <c r="T52"/>
    </row>
    <row r="53" spans="2:20" ht="23.1" customHeight="1" x14ac:dyDescent="0.25">
      <c r="B53" s="23" t="s">
        <v>80</v>
      </c>
      <c r="C53" s="50">
        <v>69</v>
      </c>
      <c r="D53" s="50">
        <v>10</v>
      </c>
      <c r="E53" s="50">
        <v>3</v>
      </c>
      <c r="F53" s="50">
        <v>14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1</v>
      </c>
      <c r="M53" s="50">
        <v>113</v>
      </c>
      <c r="N53" s="50">
        <v>0</v>
      </c>
      <c r="O53" s="15">
        <f t="shared" si="0"/>
        <v>102</v>
      </c>
      <c r="P53" s="15">
        <f t="shared" si="1"/>
        <v>215</v>
      </c>
      <c r="R53" s="8"/>
      <c r="T53"/>
    </row>
    <row r="54" spans="2:20" ht="23.1" customHeight="1" x14ac:dyDescent="0.25">
      <c r="B54" s="23" t="s">
        <v>81</v>
      </c>
      <c r="C54" s="50">
        <v>92</v>
      </c>
      <c r="D54" s="50">
        <v>16</v>
      </c>
      <c r="E54" s="50">
        <v>2</v>
      </c>
      <c r="F54" s="50">
        <v>6</v>
      </c>
      <c r="G54" s="50">
        <v>0</v>
      </c>
      <c r="H54" s="50">
        <v>0</v>
      </c>
      <c r="I54" s="50">
        <v>4</v>
      </c>
      <c r="J54" s="50">
        <v>2</v>
      </c>
      <c r="K54" s="50">
        <v>0</v>
      </c>
      <c r="L54" s="50">
        <v>1</v>
      </c>
      <c r="M54" s="50">
        <v>171</v>
      </c>
      <c r="N54" s="50">
        <v>0</v>
      </c>
      <c r="O54" s="15">
        <f t="shared" si="0"/>
        <v>123</v>
      </c>
      <c r="P54" s="15">
        <f t="shared" si="1"/>
        <v>294</v>
      </c>
      <c r="R54" s="8"/>
      <c r="T54"/>
    </row>
    <row r="55" spans="2:20" ht="23.1" customHeight="1" x14ac:dyDescent="0.25">
      <c r="B55" s="23" t="s">
        <v>82</v>
      </c>
      <c r="C55" s="50">
        <v>112</v>
      </c>
      <c r="D55" s="50">
        <v>11</v>
      </c>
      <c r="E55" s="50">
        <v>6</v>
      </c>
      <c r="F55" s="50">
        <v>9</v>
      </c>
      <c r="G55" s="50">
        <v>0</v>
      </c>
      <c r="H55" s="50">
        <v>0</v>
      </c>
      <c r="I55" s="50">
        <v>5</v>
      </c>
      <c r="J55" s="50">
        <v>2</v>
      </c>
      <c r="K55" s="50">
        <v>0</v>
      </c>
      <c r="L55" s="50">
        <v>1</v>
      </c>
      <c r="M55" s="50">
        <v>157</v>
      </c>
      <c r="N55" s="50">
        <v>0</v>
      </c>
      <c r="O55" s="15">
        <f t="shared" si="0"/>
        <v>146</v>
      </c>
      <c r="P55" s="15">
        <f t="shared" si="1"/>
        <v>303</v>
      </c>
      <c r="R55" s="8"/>
      <c r="T55"/>
    </row>
    <row r="56" spans="2:20" ht="23.1" customHeight="1" x14ac:dyDescent="0.25">
      <c r="B56" s="23" t="s">
        <v>83</v>
      </c>
      <c r="C56" s="50">
        <v>96</v>
      </c>
      <c r="D56" s="50">
        <v>18</v>
      </c>
      <c r="E56" s="50">
        <v>5</v>
      </c>
      <c r="F56" s="50">
        <v>4</v>
      </c>
      <c r="G56" s="50">
        <v>11</v>
      </c>
      <c r="H56" s="50">
        <v>0</v>
      </c>
      <c r="I56" s="50">
        <v>6</v>
      </c>
      <c r="J56" s="50">
        <v>1</v>
      </c>
      <c r="K56" s="50">
        <v>0</v>
      </c>
      <c r="L56" s="50">
        <v>0</v>
      </c>
      <c r="M56" s="50">
        <v>139</v>
      </c>
      <c r="N56" s="50">
        <v>0</v>
      </c>
      <c r="O56" s="15">
        <f t="shared" si="0"/>
        <v>141</v>
      </c>
      <c r="P56" s="15">
        <f t="shared" si="1"/>
        <v>280</v>
      </c>
      <c r="R56" s="8"/>
      <c r="T56"/>
    </row>
    <row r="57" spans="2:20" ht="23.1" customHeight="1" x14ac:dyDescent="0.25">
      <c r="B57" s="23" t="s">
        <v>84</v>
      </c>
      <c r="C57" s="50">
        <v>88</v>
      </c>
      <c r="D57" s="50">
        <v>12</v>
      </c>
      <c r="E57" s="50">
        <v>17</v>
      </c>
      <c r="F57" s="50">
        <v>6</v>
      </c>
      <c r="G57" s="50">
        <v>0</v>
      </c>
      <c r="H57" s="50">
        <v>0</v>
      </c>
      <c r="I57" s="50">
        <v>0</v>
      </c>
      <c r="J57" s="50">
        <v>3</v>
      </c>
      <c r="K57" s="50">
        <v>0</v>
      </c>
      <c r="L57" s="50">
        <v>0</v>
      </c>
      <c r="M57" s="50">
        <v>166</v>
      </c>
      <c r="N57" s="50">
        <v>0</v>
      </c>
      <c r="O57" s="15">
        <f t="shared" si="0"/>
        <v>126</v>
      </c>
      <c r="P57" s="15">
        <f t="shared" si="1"/>
        <v>292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1788</v>
      </c>
      <c r="D58" s="16">
        <f t="shared" si="21"/>
        <v>325</v>
      </c>
      <c r="E58" s="16">
        <f t="shared" si="21"/>
        <v>162</v>
      </c>
      <c r="F58" s="16">
        <f t="shared" si="21"/>
        <v>787</v>
      </c>
      <c r="G58" s="16">
        <f t="shared" si="21"/>
        <v>32</v>
      </c>
      <c r="H58" s="16">
        <f t="shared" si="21"/>
        <v>11</v>
      </c>
      <c r="I58" s="16">
        <f t="shared" si="21"/>
        <v>183</v>
      </c>
      <c r="J58" s="16">
        <f t="shared" si="21"/>
        <v>149</v>
      </c>
      <c r="K58" s="16">
        <f t="shared" si="21"/>
        <v>26</v>
      </c>
      <c r="L58" s="16">
        <f t="shared" si="21"/>
        <v>12</v>
      </c>
      <c r="M58" s="16">
        <f t="shared" si="21"/>
        <v>7507</v>
      </c>
      <c r="N58" s="16">
        <f t="shared" si="21"/>
        <v>1</v>
      </c>
      <c r="O58" s="16">
        <f t="shared" si="21"/>
        <v>3476</v>
      </c>
      <c r="P58" s="16">
        <f t="shared" si="21"/>
        <v>10983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0.16279704998634253</v>
      </c>
      <c r="D59" s="43">
        <f t="shared" si="22"/>
        <v>2.9591186378949284E-2</v>
      </c>
      <c r="E59" s="43">
        <f t="shared" si="22"/>
        <v>1.4750068287353183E-2</v>
      </c>
      <c r="F59" s="43">
        <f t="shared" si="22"/>
        <v>7.1656195939178727E-2</v>
      </c>
      <c r="G59" s="43">
        <f t="shared" si="22"/>
        <v>2.9135937357734681E-3</v>
      </c>
      <c r="H59" s="43">
        <f t="shared" si="22"/>
        <v>1.0015478466721297E-3</v>
      </c>
      <c r="I59" s="43">
        <f t="shared" si="22"/>
        <v>1.666211417645452E-2</v>
      </c>
      <c r="J59" s="43">
        <f t="shared" si="22"/>
        <v>1.3566420832195211E-2</v>
      </c>
      <c r="K59" s="43">
        <f t="shared" si="22"/>
        <v>2.3672949103159427E-3</v>
      </c>
      <c r="L59" s="43">
        <f t="shared" si="22"/>
        <v>1.0925976509150504E-3</v>
      </c>
      <c r="M59" s="43">
        <f t="shared" si="22"/>
        <v>0.68351088045160702</v>
      </c>
      <c r="N59" s="43">
        <f t="shared" si="22"/>
        <v>9.1049804242920878E-5</v>
      </c>
      <c r="R59" s="8"/>
      <c r="T59"/>
    </row>
    <row r="60" spans="2:20" ht="23.1" customHeight="1" x14ac:dyDescent="0.25">
      <c r="B60" s="42" t="s">
        <v>94</v>
      </c>
      <c r="C60" s="44">
        <f>C58/$O$58</f>
        <v>0.51438434982738779</v>
      </c>
      <c r="D60" s="44">
        <f t="shared" ref="D60:N60" si="23">D58/$O$58</f>
        <v>9.3498273878020718E-2</v>
      </c>
      <c r="E60" s="44">
        <f t="shared" si="23"/>
        <v>4.6605293440736481E-2</v>
      </c>
      <c r="F60" s="44">
        <f t="shared" si="23"/>
        <v>0.22640966628308401</v>
      </c>
      <c r="G60" s="44">
        <f t="shared" si="23"/>
        <v>9.2059838895281933E-3</v>
      </c>
      <c r="H60" s="44">
        <f t="shared" si="23"/>
        <v>3.1645569620253164E-3</v>
      </c>
      <c r="I60" s="44">
        <f t="shared" si="23"/>
        <v>5.2646720368239357E-2</v>
      </c>
      <c r="J60" s="44">
        <f t="shared" si="23"/>
        <v>4.2865362485615649E-2</v>
      </c>
      <c r="K60" s="44">
        <f t="shared" si="23"/>
        <v>7.4798619102416572E-3</v>
      </c>
      <c r="L60" s="44">
        <f t="shared" si="23"/>
        <v>3.4522439585730723E-3</v>
      </c>
      <c r="M60" s="44"/>
      <c r="N60" s="44">
        <f t="shared" si="23"/>
        <v>2.8768699654775604E-4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F14" sqref="F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RUBAGA-KABUSU'!D5</f>
        <v>22.07.19</v>
      </c>
      <c r="E5" s="3"/>
      <c r="F5" s="41" t="s">
        <v>1</v>
      </c>
      <c r="G5" s="60" t="str">
        <f>'22.07 RUBAGA-KABUSU'!G5:H5</f>
        <v>CHAD SUPERMARKET</v>
      </c>
      <c r="H5" s="61"/>
      <c r="I5" s="14"/>
      <c r="J5" s="2" t="s">
        <v>5</v>
      </c>
      <c r="K5" s="60" t="s">
        <v>175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171</v>
      </c>
      <c r="E6" s="55"/>
      <c r="F6" s="2" t="s">
        <v>2</v>
      </c>
      <c r="G6" s="54" t="s">
        <v>176</v>
      </c>
      <c r="H6" s="55"/>
      <c r="J6" s="2" t="s">
        <v>21</v>
      </c>
      <c r="K6" s="60" t="str">
        <f>'22.07 RUBAGA-KABUSU'!K6:L6</f>
        <v>DENIS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25</v>
      </c>
      <c r="E10" s="50">
        <v>1</v>
      </c>
      <c r="F10" s="50">
        <v>26</v>
      </c>
      <c r="G10" s="50">
        <v>0</v>
      </c>
      <c r="H10" s="50">
        <v>1</v>
      </c>
      <c r="I10" s="50">
        <v>1</v>
      </c>
      <c r="J10" s="50">
        <v>0</v>
      </c>
      <c r="K10" s="50">
        <v>0</v>
      </c>
      <c r="L10" s="50">
        <v>0</v>
      </c>
      <c r="M10" s="50">
        <v>146</v>
      </c>
      <c r="N10" s="50">
        <v>0</v>
      </c>
      <c r="O10" s="15">
        <f t="shared" ref="O10:O57" si="0">SUM(C10:L10,N10)</f>
        <v>89</v>
      </c>
      <c r="P10" s="15">
        <f t="shared" ref="P10:P57" si="1">SUM(C10:N10)</f>
        <v>235</v>
      </c>
      <c r="R10" s="1" t="s">
        <v>6</v>
      </c>
      <c r="S10" s="17">
        <f t="shared" ref="S10:AF10" si="2">SUM(C10:C13)</f>
        <v>160</v>
      </c>
      <c r="T10" s="17">
        <f t="shared" si="2"/>
        <v>111</v>
      </c>
      <c r="U10" s="17">
        <f t="shared" si="2"/>
        <v>7</v>
      </c>
      <c r="V10" s="17">
        <f t="shared" si="2"/>
        <v>102</v>
      </c>
      <c r="W10" s="17">
        <f t="shared" si="2"/>
        <v>1</v>
      </c>
      <c r="X10" s="17">
        <f t="shared" si="2"/>
        <v>1</v>
      </c>
      <c r="Y10" s="17">
        <f t="shared" si="2"/>
        <v>11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736</v>
      </c>
      <c r="AD10" s="17">
        <f t="shared" si="2"/>
        <v>0</v>
      </c>
      <c r="AE10" s="31">
        <f t="shared" si="2"/>
        <v>395</v>
      </c>
      <c r="AF10" s="31">
        <f t="shared" si="2"/>
        <v>1131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4</v>
      </c>
      <c r="E11" s="50">
        <v>2</v>
      </c>
      <c r="F11" s="50">
        <v>2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155</v>
      </c>
      <c r="N11" s="50">
        <v>0</v>
      </c>
      <c r="O11" s="15">
        <f t="shared" si="0"/>
        <v>20</v>
      </c>
      <c r="P11" s="15">
        <f t="shared" si="1"/>
        <v>175</v>
      </c>
      <c r="R11" s="1" t="s">
        <v>7</v>
      </c>
      <c r="S11" s="17">
        <f t="shared" ref="S11:AF11" si="3">SUM(C14:C17)</f>
        <v>153</v>
      </c>
      <c r="T11" s="17">
        <f t="shared" si="3"/>
        <v>176</v>
      </c>
      <c r="U11" s="17">
        <f t="shared" si="3"/>
        <v>24</v>
      </c>
      <c r="V11" s="17">
        <f t="shared" si="3"/>
        <v>129</v>
      </c>
      <c r="W11" s="17">
        <f t="shared" si="3"/>
        <v>0</v>
      </c>
      <c r="X11" s="17">
        <f t="shared" si="3"/>
        <v>0</v>
      </c>
      <c r="Y11" s="17">
        <f t="shared" si="3"/>
        <v>21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1080</v>
      </c>
      <c r="AD11" s="17">
        <f t="shared" si="3"/>
        <v>0</v>
      </c>
      <c r="AE11" s="31">
        <f t="shared" si="3"/>
        <v>509</v>
      </c>
      <c r="AF11" s="31">
        <f t="shared" si="3"/>
        <v>1589</v>
      </c>
    </row>
    <row r="12" spans="2:32" ht="23.1" customHeight="1" x14ac:dyDescent="0.25">
      <c r="B12" s="23" t="s">
        <v>39</v>
      </c>
      <c r="C12" s="50">
        <v>54</v>
      </c>
      <c r="D12" s="50">
        <v>28</v>
      </c>
      <c r="E12" s="50">
        <v>2</v>
      </c>
      <c r="F12" s="50">
        <v>29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175</v>
      </c>
      <c r="N12" s="50">
        <v>0</v>
      </c>
      <c r="O12" s="15">
        <f t="shared" si="0"/>
        <v>117</v>
      </c>
      <c r="P12" s="15">
        <f t="shared" si="1"/>
        <v>292</v>
      </c>
      <c r="R12" s="1" t="s">
        <v>8</v>
      </c>
      <c r="S12" s="17">
        <f t="shared" ref="S12:AF12" si="4">SUM(C18:C21)</f>
        <v>158</v>
      </c>
      <c r="T12" s="17">
        <f t="shared" si="4"/>
        <v>136</v>
      </c>
      <c r="U12" s="17">
        <f t="shared" si="4"/>
        <v>29</v>
      </c>
      <c r="V12" s="17">
        <f t="shared" si="4"/>
        <v>89</v>
      </c>
      <c r="W12" s="17">
        <f t="shared" si="4"/>
        <v>1</v>
      </c>
      <c r="X12" s="17">
        <f t="shared" si="4"/>
        <v>0</v>
      </c>
      <c r="Y12" s="17">
        <f t="shared" si="4"/>
        <v>21</v>
      </c>
      <c r="Z12" s="17">
        <f t="shared" si="4"/>
        <v>12</v>
      </c>
      <c r="AA12" s="17">
        <f t="shared" si="4"/>
        <v>0</v>
      </c>
      <c r="AB12" s="17">
        <f t="shared" si="4"/>
        <v>2</v>
      </c>
      <c r="AC12" s="17">
        <f t="shared" si="4"/>
        <v>960</v>
      </c>
      <c r="AD12" s="17">
        <f t="shared" si="4"/>
        <v>0</v>
      </c>
      <c r="AE12" s="31">
        <f t="shared" si="4"/>
        <v>448</v>
      </c>
      <c r="AF12" s="31">
        <f t="shared" si="4"/>
        <v>1408</v>
      </c>
    </row>
    <row r="13" spans="2:32" ht="23.1" customHeight="1" x14ac:dyDescent="0.25">
      <c r="B13" s="23" t="s">
        <v>40</v>
      </c>
      <c r="C13" s="50">
        <v>60</v>
      </c>
      <c r="D13" s="50">
        <v>54</v>
      </c>
      <c r="E13" s="50">
        <v>2</v>
      </c>
      <c r="F13" s="50">
        <v>45</v>
      </c>
      <c r="G13" s="50">
        <v>1</v>
      </c>
      <c r="H13" s="50">
        <v>0</v>
      </c>
      <c r="I13" s="50">
        <v>6</v>
      </c>
      <c r="J13" s="50">
        <v>1</v>
      </c>
      <c r="K13" s="50">
        <v>0</v>
      </c>
      <c r="L13" s="50">
        <v>0</v>
      </c>
      <c r="M13" s="50">
        <v>260</v>
      </c>
      <c r="N13" s="50">
        <v>0</v>
      </c>
      <c r="O13" s="15">
        <f t="shared" si="0"/>
        <v>169</v>
      </c>
      <c r="P13" s="15">
        <f t="shared" si="1"/>
        <v>429</v>
      </c>
      <c r="R13" s="1" t="s">
        <v>9</v>
      </c>
      <c r="S13" s="17">
        <f t="shared" ref="S13:AF13" si="5">SUM(C22:C25)</f>
        <v>132</v>
      </c>
      <c r="T13" s="17">
        <f t="shared" si="5"/>
        <v>117</v>
      </c>
      <c r="U13" s="17">
        <f t="shared" si="5"/>
        <v>40</v>
      </c>
      <c r="V13" s="17">
        <f t="shared" si="5"/>
        <v>108</v>
      </c>
      <c r="W13" s="17">
        <f t="shared" si="5"/>
        <v>0</v>
      </c>
      <c r="X13" s="17">
        <f t="shared" si="5"/>
        <v>0</v>
      </c>
      <c r="Y13" s="17">
        <f t="shared" si="5"/>
        <v>21</v>
      </c>
      <c r="Z13" s="17">
        <f t="shared" si="5"/>
        <v>5</v>
      </c>
      <c r="AA13" s="17">
        <f t="shared" si="5"/>
        <v>2</v>
      </c>
      <c r="AB13" s="17">
        <f t="shared" si="5"/>
        <v>1</v>
      </c>
      <c r="AC13" s="17">
        <f t="shared" si="5"/>
        <v>671</v>
      </c>
      <c r="AD13" s="17">
        <f t="shared" si="5"/>
        <v>0</v>
      </c>
      <c r="AE13" s="31">
        <f t="shared" si="5"/>
        <v>426</v>
      </c>
      <c r="AF13" s="31">
        <f t="shared" si="5"/>
        <v>1097</v>
      </c>
    </row>
    <row r="14" spans="2:32" ht="23.1" customHeight="1" x14ac:dyDescent="0.25">
      <c r="B14" s="23" t="s">
        <v>41</v>
      </c>
      <c r="C14" s="50">
        <v>40</v>
      </c>
      <c r="D14" s="50">
        <v>58</v>
      </c>
      <c r="E14" s="50">
        <v>6</v>
      </c>
      <c r="F14" s="50">
        <v>38</v>
      </c>
      <c r="G14" s="50">
        <v>0</v>
      </c>
      <c r="H14" s="50">
        <v>0</v>
      </c>
      <c r="I14" s="50">
        <v>5</v>
      </c>
      <c r="J14" s="50">
        <v>2</v>
      </c>
      <c r="K14" s="50">
        <v>0</v>
      </c>
      <c r="L14" s="50">
        <v>0</v>
      </c>
      <c r="M14" s="50">
        <v>320</v>
      </c>
      <c r="N14" s="50">
        <v>0</v>
      </c>
      <c r="O14" s="15">
        <f t="shared" si="0"/>
        <v>149</v>
      </c>
      <c r="P14" s="15">
        <f t="shared" si="1"/>
        <v>469</v>
      </c>
      <c r="R14" s="1" t="s">
        <v>10</v>
      </c>
      <c r="S14" s="17">
        <f t="shared" ref="S14:AF14" si="6">SUM(C26:C29)</f>
        <v>109</v>
      </c>
      <c r="T14" s="17">
        <f t="shared" si="6"/>
        <v>79</v>
      </c>
      <c r="U14" s="17">
        <f t="shared" si="6"/>
        <v>23</v>
      </c>
      <c r="V14" s="17">
        <f t="shared" si="6"/>
        <v>125</v>
      </c>
      <c r="W14" s="17">
        <f t="shared" si="6"/>
        <v>2</v>
      </c>
      <c r="X14" s="17">
        <f t="shared" si="6"/>
        <v>0</v>
      </c>
      <c r="Y14" s="17">
        <f t="shared" si="6"/>
        <v>14</v>
      </c>
      <c r="Z14" s="17">
        <f t="shared" si="6"/>
        <v>6</v>
      </c>
      <c r="AA14" s="17">
        <f t="shared" si="6"/>
        <v>3</v>
      </c>
      <c r="AB14" s="17">
        <f t="shared" si="6"/>
        <v>2</v>
      </c>
      <c r="AC14" s="17">
        <f t="shared" si="6"/>
        <v>671</v>
      </c>
      <c r="AD14" s="17">
        <f t="shared" si="6"/>
        <v>0</v>
      </c>
      <c r="AE14" s="31">
        <f t="shared" si="6"/>
        <v>363</v>
      </c>
      <c r="AF14" s="31">
        <f t="shared" si="6"/>
        <v>1034</v>
      </c>
    </row>
    <row r="15" spans="2:32" ht="23.1" customHeight="1" x14ac:dyDescent="0.25">
      <c r="B15" s="23" t="s">
        <v>42</v>
      </c>
      <c r="C15" s="50">
        <v>35</v>
      </c>
      <c r="D15" s="50">
        <v>30</v>
      </c>
      <c r="E15" s="50">
        <v>3</v>
      </c>
      <c r="F15" s="50">
        <v>26</v>
      </c>
      <c r="G15" s="50">
        <v>0</v>
      </c>
      <c r="H15" s="50">
        <v>0</v>
      </c>
      <c r="I15" s="50">
        <v>5</v>
      </c>
      <c r="J15" s="50">
        <v>2</v>
      </c>
      <c r="K15" s="50">
        <v>1</v>
      </c>
      <c r="L15" s="50">
        <v>0</v>
      </c>
      <c r="M15" s="50">
        <v>261</v>
      </c>
      <c r="N15" s="50">
        <v>0</v>
      </c>
      <c r="O15" s="15">
        <f t="shared" si="0"/>
        <v>102</v>
      </c>
      <c r="P15" s="15">
        <f t="shared" si="1"/>
        <v>363</v>
      </c>
      <c r="R15" s="1" t="s">
        <v>11</v>
      </c>
      <c r="S15" s="17">
        <f t="shared" ref="S15:AF15" si="7">SUM(C30:C33)</f>
        <v>111</v>
      </c>
      <c r="T15" s="17">
        <f t="shared" si="7"/>
        <v>113</v>
      </c>
      <c r="U15" s="17">
        <f t="shared" si="7"/>
        <v>11</v>
      </c>
      <c r="V15" s="17">
        <f t="shared" si="7"/>
        <v>127</v>
      </c>
      <c r="W15" s="17">
        <f t="shared" si="7"/>
        <v>2</v>
      </c>
      <c r="X15" s="17">
        <f t="shared" si="7"/>
        <v>1</v>
      </c>
      <c r="Y15" s="17">
        <f t="shared" si="7"/>
        <v>15</v>
      </c>
      <c r="Z15" s="17">
        <f t="shared" si="7"/>
        <v>7</v>
      </c>
      <c r="AA15" s="17">
        <f t="shared" si="7"/>
        <v>5</v>
      </c>
      <c r="AB15" s="17">
        <f t="shared" si="7"/>
        <v>1</v>
      </c>
      <c r="AC15" s="17">
        <f t="shared" si="7"/>
        <v>748</v>
      </c>
      <c r="AD15" s="17">
        <f t="shared" si="7"/>
        <v>0</v>
      </c>
      <c r="AE15" s="31">
        <f t="shared" si="7"/>
        <v>393</v>
      </c>
      <c r="AF15" s="31">
        <f t="shared" si="7"/>
        <v>1141</v>
      </c>
    </row>
    <row r="16" spans="2:32" ht="23.1" customHeight="1" x14ac:dyDescent="0.25">
      <c r="B16" s="23" t="s">
        <v>43</v>
      </c>
      <c r="C16" s="50">
        <v>42</v>
      </c>
      <c r="D16" s="50">
        <v>46</v>
      </c>
      <c r="E16" s="50">
        <v>3</v>
      </c>
      <c r="F16" s="50">
        <v>36</v>
      </c>
      <c r="G16" s="50">
        <v>0</v>
      </c>
      <c r="H16" s="50">
        <v>0</v>
      </c>
      <c r="I16" s="50">
        <v>10</v>
      </c>
      <c r="J16" s="50">
        <v>0</v>
      </c>
      <c r="K16" s="50">
        <v>1</v>
      </c>
      <c r="L16" s="50">
        <v>0</v>
      </c>
      <c r="M16" s="50">
        <v>299</v>
      </c>
      <c r="N16" s="50">
        <v>0</v>
      </c>
      <c r="O16" s="15">
        <f t="shared" si="0"/>
        <v>138</v>
      </c>
      <c r="P16" s="15">
        <f t="shared" si="1"/>
        <v>437</v>
      </c>
      <c r="R16" s="1" t="s">
        <v>12</v>
      </c>
      <c r="S16" s="17">
        <f t="shared" ref="S16:AF16" si="8">SUM(C34:C37)</f>
        <v>92</v>
      </c>
      <c r="T16" s="17">
        <f t="shared" si="8"/>
        <v>71</v>
      </c>
      <c r="U16" s="17">
        <f t="shared" si="8"/>
        <v>26</v>
      </c>
      <c r="V16" s="17">
        <f t="shared" si="8"/>
        <v>113</v>
      </c>
      <c r="W16" s="17">
        <f t="shared" si="8"/>
        <v>1</v>
      </c>
      <c r="X16" s="17">
        <f t="shared" si="8"/>
        <v>2</v>
      </c>
      <c r="Y16" s="17">
        <f t="shared" si="8"/>
        <v>17</v>
      </c>
      <c r="Z16" s="17">
        <f t="shared" si="8"/>
        <v>4</v>
      </c>
      <c r="AA16" s="17">
        <f t="shared" si="8"/>
        <v>4</v>
      </c>
      <c r="AB16" s="17">
        <f t="shared" si="8"/>
        <v>3</v>
      </c>
      <c r="AC16" s="17">
        <f t="shared" si="8"/>
        <v>594</v>
      </c>
      <c r="AD16" s="17">
        <f t="shared" si="8"/>
        <v>0</v>
      </c>
      <c r="AE16" s="31">
        <f t="shared" si="8"/>
        <v>333</v>
      </c>
      <c r="AF16" s="31">
        <f t="shared" si="8"/>
        <v>927</v>
      </c>
    </row>
    <row r="17" spans="2:32" ht="23.1" customHeight="1" x14ac:dyDescent="0.25">
      <c r="B17" s="23" t="s">
        <v>44</v>
      </c>
      <c r="C17" s="50">
        <v>36</v>
      </c>
      <c r="D17" s="50">
        <v>42</v>
      </c>
      <c r="E17" s="50">
        <v>12</v>
      </c>
      <c r="F17" s="50">
        <v>29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200</v>
      </c>
      <c r="N17" s="50">
        <v>0</v>
      </c>
      <c r="O17" s="15">
        <f t="shared" si="0"/>
        <v>120</v>
      </c>
      <c r="P17" s="15">
        <f t="shared" si="1"/>
        <v>320</v>
      </c>
      <c r="R17" s="1" t="s">
        <v>13</v>
      </c>
      <c r="S17" s="17">
        <f t="shared" ref="S17:AF17" si="9">SUM(C38:C41)</f>
        <v>85</v>
      </c>
      <c r="T17" s="17">
        <f t="shared" si="9"/>
        <v>68</v>
      </c>
      <c r="U17" s="17">
        <f t="shared" si="9"/>
        <v>13</v>
      </c>
      <c r="V17" s="17">
        <f t="shared" si="9"/>
        <v>72</v>
      </c>
      <c r="W17" s="17">
        <f t="shared" si="9"/>
        <v>2</v>
      </c>
      <c r="X17" s="17">
        <f t="shared" si="9"/>
        <v>3</v>
      </c>
      <c r="Y17" s="17">
        <f t="shared" si="9"/>
        <v>18</v>
      </c>
      <c r="Z17" s="17">
        <f t="shared" si="9"/>
        <v>12</v>
      </c>
      <c r="AA17" s="17">
        <f t="shared" si="9"/>
        <v>4</v>
      </c>
      <c r="AB17" s="17">
        <f t="shared" si="9"/>
        <v>1</v>
      </c>
      <c r="AC17" s="17">
        <f t="shared" si="9"/>
        <v>600</v>
      </c>
      <c r="AD17" s="17">
        <f t="shared" si="9"/>
        <v>0</v>
      </c>
      <c r="AE17" s="31">
        <f t="shared" si="9"/>
        <v>278</v>
      </c>
      <c r="AF17" s="31">
        <f t="shared" si="9"/>
        <v>878</v>
      </c>
    </row>
    <row r="18" spans="2:32" ht="23.1" customHeight="1" x14ac:dyDescent="0.25">
      <c r="B18" s="23" t="s">
        <v>45</v>
      </c>
      <c r="C18" s="50">
        <v>41</v>
      </c>
      <c r="D18" s="50">
        <v>34</v>
      </c>
      <c r="E18" s="50">
        <v>8</v>
      </c>
      <c r="F18" s="50">
        <v>25</v>
      </c>
      <c r="G18" s="50">
        <v>1</v>
      </c>
      <c r="H18" s="50">
        <v>0</v>
      </c>
      <c r="I18" s="50">
        <v>6</v>
      </c>
      <c r="J18" s="50">
        <v>0</v>
      </c>
      <c r="K18" s="50">
        <v>0</v>
      </c>
      <c r="L18" s="50">
        <v>0</v>
      </c>
      <c r="M18" s="50">
        <v>232</v>
      </c>
      <c r="N18" s="50">
        <v>0</v>
      </c>
      <c r="O18" s="15">
        <f t="shared" si="0"/>
        <v>115</v>
      </c>
      <c r="P18" s="15">
        <f t="shared" si="1"/>
        <v>347</v>
      </c>
      <c r="R18" s="1" t="s">
        <v>14</v>
      </c>
      <c r="S18" s="17">
        <f t="shared" ref="S18:AF18" si="10">SUM(C42:C45)</f>
        <v>89</v>
      </c>
      <c r="T18" s="17">
        <f t="shared" si="10"/>
        <v>73</v>
      </c>
      <c r="U18" s="17">
        <f t="shared" si="10"/>
        <v>16</v>
      </c>
      <c r="V18" s="17">
        <f t="shared" si="10"/>
        <v>79</v>
      </c>
      <c r="W18" s="17">
        <f t="shared" si="10"/>
        <v>2</v>
      </c>
      <c r="X18" s="17">
        <f t="shared" si="10"/>
        <v>2</v>
      </c>
      <c r="Y18" s="17">
        <f t="shared" si="10"/>
        <v>24</v>
      </c>
      <c r="Z18" s="17">
        <f t="shared" si="10"/>
        <v>10</v>
      </c>
      <c r="AA18" s="17">
        <f t="shared" si="10"/>
        <v>3</v>
      </c>
      <c r="AB18" s="17">
        <f t="shared" si="10"/>
        <v>1</v>
      </c>
      <c r="AC18" s="17">
        <f t="shared" si="10"/>
        <v>224</v>
      </c>
      <c r="AD18" s="17">
        <f t="shared" si="10"/>
        <v>0</v>
      </c>
      <c r="AE18" s="31">
        <f t="shared" si="10"/>
        <v>299</v>
      </c>
      <c r="AF18" s="31">
        <f t="shared" si="10"/>
        <v>523</v>
      </c>
    </row>
    <row r="19" spans="2:32" ht="23.1" customHeight="1" x14ac:dyDescent="0.25">
      <c r="B19" s="23" t="s">
        <v>46</v>
      </c>
      <c r="C19" s="50">
        <v>35</v>
      </c>
      <c r="D19" s="50">
        <v>31</v>
      </c>
      <c r="E19" s="50">
        <v>8</v>
      </c>
      <c r="F19" s="50">
        <v>2</v>
      </c>
      <c r="G19" s="50">
        <v>0</v>
      </c>
      <c r="H19" s="50">
        <v>0</v>
      </c>
      <c r="I19" s="50">
        <v>5</v>
      </c>
      <c r="J19" s="50">
        <v>4</v>
      </c>
      <c r="K19" s="50">
        <v>0</v>
      </c>
      <c r="L19" s="50">
        <v>0</v>
      </c>
      <c r="M19" s="50">
        <v>207</v>
      </c>
      <c r="N19" s="50">
        <v>0</v>
      </c>
      <c r="O19" s="15">
        <f t="shared" si="0"/>
        <v>85</v>
      </c>
      <c r="P19" s="15">
        <f t="shared" si="1"/>
        <v>292</v>
      </c>
      <c r="R19" s="1" t="s">
        <v>15</v>
      </c>
      <c r="S19" s="17">
        <f t="shared" ref="S19:AF19" si="11">SUM(C46:C49)</f>
        <v>96</v>
      </c>
      <c r="T19" s="17">
        <f t="shared" si="11"/>
        <v>88</v>
      </c>
      <c r="U19" s="17">
        <f t="shared" si="11"/>
        <v>18</v>
      </c>
      <c r="V19" s="17">
        <f t="shared" si="11"/>
        <v>91</v>
      </c>
      <c r="W19" s="17">
        <f t="shared" si="11"/>
        <v>1</v>
      </c>
      <c r="X19" s="17">
        <f t="shared" si="11"/>
        <v>2</v>
      </c>
      <c r="Y19" s="17">
        <f t="shared" si="11"/>
        <v>20</v>
      </c>
      <c r="Z19" s="17">
        <f t="shared" si="11"/>
        <v>4</v>
      </c>
      <c r="AA19" s="17">
        <f t="shared" si="11"/>
        <v>4</v>
      </c>
      <c r="AB19" s="17">
        <f t="shared" si="11"/>
        <v>4</v>
      </c>
      <c r="AC19" s="17">
        <f t="shared" si="11"/>
        <v>742</v>
      </c>
      <c r="AD19" s="17">
        <f t="shared" si="11"/>
        <v>0</v>
      </c>
      <c r="AE19" s="31">
        <f t="shared" si="11"/>
        <v>328</v>
      </c>
      <c r="AF19" s="31">
        <f t="shared" si="11"/>
        <v>1070</v>
      </c>
    </row>
    <row r="20" spans="2:32" ht="23.1" customHeight="1" x14ac:dyDescent="0.25">
      <c r="B20" s="23" t="s">
        <v>47</v>
      </c>
      <c r="C20" s="50">
        <v>49</v>
      </c>
      <c r="D20" s="50">
        <v>41</v>
      </c>
      <c r="E20" s="50">
        <v>7</v>
      </c>
      <c r="F20" s="50">
        <v>26</v>
      </c>
      <c r="G20" s="50">
        <v>0</v>
      </c>
      <c r="H20" s="50">
        <v>0</v>
      </c>
      <c r="I20" s="50">
        <v>4</v>
      </c>
      <c r="J20" s="50">
        <v>4</v>
      </c>
      <c r="K20" s="50">
        <v>0</v>
      </c>
      <c r="L20" s="50">
        <v>1</v>
      </c>
      <c r="M20" s="50">
        <v>260</v>
      </c>
      <c r="N20" s="50">
        <v>0</v>
      </c>
      <c r="O20" s="15">
        <f t="shared" si="0"/>
        <v>132</v>
      </c>
      <c r="P20" s="15">
        <f t="shared" si="1"/>
        <v>392</v>
      </c>
      <c r="R20" s="1" t="s">
        <v>16</v>
      </c>
      <c r="S20" s="17">
        <f t="shared" ref="S20:AF20" si="12">SUM(C50:C53)</f>
        <v>104</v>
      </c>
      <c r="T20" s="17">
        <f t="shared" si="12"/>
        <v>99</v>
      </c>
      <c r="U20" s="17">
        <f t="shared" si="12"/>
        <v>15</v>
      </c>
      <c r="V20" s="17">
        <f t="shared" si="12"/>
        <v>108</v>
      </c>
      <c r="W20" s="17">
        <f t="shared" si="12"/>
        <v>1</v>
      </c>
      <c r="X20" s="17">
        <f t="shared" si="12"/>
        <v>0</v>
      </c>
      <c r="Y20" s="17">
        <f t="shared" si="12"/>
        <v>26</v>
      </c>
      <c r="Z20" s="17">
        <f t="shared" si="12"/>
        <v>6</v>
      </c>
      <c r="AA20" s="17">
        <f t="shared" si="12"/>
        <v>6</v>
      </c>
      <c r="AB20" s="17">
        <f t="shared" si="12"/>
        <v>3</v>
      </c>
      <c r="AC20" s="17">
        <f t="shared" si="12"/>
        <v>816</v>
      </c>
      <c r="AD20" s="17">
        <f t="shared" si="12"/>
        <v>0</v>
      </c>
      <c r="AE20" s="31">
        <f t="shared" si="12"/>
        <v>368</v>
      </c>
      <c r="AF20" s="31">
        <f t="shared" si="12"/>
        <v>1184</v>
      </c>
    </row>
    <row r="21" spans="2:32" ht="23.1" customHeight="1" x14ac:dyDescent="0.25">
      <c r="B21" s="23" t="s">
        <v>48</v>
      </c>
      <c r="C21" s="50">
        <v>33</v>
      </c>
      <c r="D21" s="50">
        <v>30</v>
      </c>
      <c r="E21" s="50">
        <v>6</v>
      </c>
      <c r="F21" s="50">
        <v>36</v>
      </c>
      <c r="G21" s="50">
        <v>0</v>
      </c>
      <c r="H21" s="50">
        <v>0</v>
      </c>
      <c r="I21" s="50">
        <v>6</v>
      </c>
      <c r="J21" s="50">
        <v>4</v>
      </c>
      <c r="K21" s="50">
        <v>0</v>
      </c>
      <c r="L21" s="50">
        <v>1</v>
      </c>
      <c r="M21" s="50">
        <v>261</v>
      </c>
      <c r="N21" s="50">
        <v>0</v>
      </c>
      <c r="O21" s="15">
        <f t="shared" si="0"/>
        <v>116</v>
      </c>
      <c r="P21" s="15">
        <f t="shared" si="1"/>
        <v>377</v>
      </c>
      <c r="R21" s="36" t="s">
        <v>20</v>
      </c>
      <c r="S21" s="34">
        <f t="shared" ref="S21:AF21" si="13">SUM(C54:C57)</f>
        <v>100</v>
      </c>
      <c r="T21" s="17">
        <f t="shared" si="13"/>
        <v>78</v>
      </c>
      <c r="U21" s="17">
        <f t="shared" si="13"/>
        <v>20</v>
      </c>
      <c r="V21" s="17">
        <f t="shared" si="13"/>
        <v>134</v>
      </c>
      <c r="W21" s="17">
        <f t="shared" si="13"/>
        <v>5</v>
      </c>
      <c r="X21" s="17">
        <f t="shared" si="13"/>
        <v>5</v>
      </c>
      <c r="Y21" s="17">
        <f t="shared" si="13"/>
        <v>16</v>
      </c>
      <c r="Z21" s="17">
        <f t="shared" si="13"/>
        <v>7</v>
      </c>
      <c r="AA21" s="17">
        <f t="shared" si="13"/>
        <v>4</v>
      </c>
      <c r="AB21" s="17">
        <f t="shared" si="13"/>
        <v>2</v>
      </c>
      <c r="AC21" s="17">
        <f t="shared" si="13"/>
        <v>1028</v>
      </c>
      <c r="AD21" s="17">
        <f t="shared" si="13"/>
        <v>0</v>
      </c>
      <c r="AE21" s="31">
        <f t="shared" si="13"/>
        <v>371</v>
      </c>
      <c r="AF21" s="31">
        <f t="shared" si="13"/>
        <v>1399</v>
      </c>
    </row>
    <row r="22" spans="2:32" ht="23.1" customHeight="1" x14ac:dyDescent="0.25">
      <c r="B22" s="23" t="s">
        <v>49</v>
      </c>
      <c r="C22" s="50">
        <v>28</v>
      </c>
      <c r="D22" s="50">
        <v>29</v>
      </c>
      <c r="E22" s="50">
        <v>10</v>
      </c>
      <c r="F22" s="50">
        <v>34</v>
      </c>
      <c r="G22" s="50">
        <v>0</v>
      </c>
      <c r="H22" s="50">
        <v>0</v>
      </c>
      <c r="I22" s="50">
        <v>3</v>
      </c>
      <c r="J22" s="50">
        <v>2</v>
      </c>
      <c r="K22" s="50">
        <v>0</v>
      </c>
      <c r="L22" s="50">
        <v>0</v>
      </c>
      <c r="M22" s="50">
        <v>115</v>
      </c>
      <c r="N22" s="50">
        <v>0</v>
      </c>
      <c r="O22" s="15">
        <f t="shared" si="0"/>
        <v>106</v>
      </c>
      <c r="P22" s="15">
        <f t="shared" si="1"/>
        <v>221</v>
      </c>
      <c r="R22" s="38" t="s">
        <v>90</v>
      </c>
      <c r="S22" s="39">
        <f>MAX(S10:S12)</f>
        <v>160</v>
      </c>
      <c r="T22" s="39">
        <f t="shared" ref="T22:AF22" si="14">MAX(T10:T12)</f>
        <v>176</v>
      </c>
      <c r="U22" s="39">
        <f t="shared" si="14"/>
        <v>29</v>
      </c>
      <c r="V22" s="39">
        <f t="shared" si="14"/>
        <v>129</v>
      </c>
      <c r="W22" s="39">
        <f t="shared" si="14"/>
        <v>1</v>
      </c>
      <c r="X22" s="39">
        <f t="shared" si="14"/>
        <v>1</v>
      </c>
      <c r="Y22" s="39">
        <f t="shared" si="14"/>
        <v>21</v>
      </c>
      <c r="Z22" s="39">
        <f t="shared" si="14"/>
        <v>12</v>
      </c>
      <c r="AA22" s="39">
        <f t="shared" si="14"/>
        <v>2</v>
      </c>
      <c r="AB22" s="39">
        <f t="shared" si="14"/>
        <v>2</v>
      </c>
      <c r="AC22" s="39">
        <f t="shared" si="14"/>
        <v>1080</v>
      </c>
      <c r="AD22" s="39">
        <f t="shared" si="14"/>
        <v>0</v>
      </c>
      <c r="AE22" s="40">
        <f t="shared" si="14"/>
        <v>509</v>
      </c>
      <c r="AF22" s="40">
        <f t="shared" si="14"/>
        <v>1589</v>
      </c>
    </row>
    <row r="23" spans="2:32" ht="23.1" customHeight="1" x14ac:dyDescent="0.25">
      <c r="B23" s="23" t="s">
        <v>50</v>
      </c>
      <c r="C23" s="50">
        <v>32</v>
      </c>
      <c r="D23" s="50">
        <v>26</v>
      </c>
      <c r="E23" s="50">
        <v>11</v>
      </c>
      <c r="F23" s="50">
        <v>21</v>
      </c>
      <c r="G23" s="50">
        <v>0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214</v>
      </c>
      <c r="N23" s="50">
        <v>0</v>
      </c>
      <c r="O23" s="15">
        <f t="shared" si="0"/>
        <v>96</v>
      </c>
      <c r="P23" s="15">
        <f t="shared" si="1"/>
        <v>310</v>
      </c>
      <c r="R23" s="38" t="s">
        <v>91</v>
      </c>
      <c r="S23" s="39">
        <f>MAX(S13:S18)</f>
        <v>132</v>
      </c>
      <c r="T23" s="39">
        <f t="shared" ref="T23:AF23" si="15">MAX(T13:T18)</f>
        <v>117</v>
      </c>
      <c r="U23" s="39">
        <f t="shared" si="15"/>
        <v>40</v>
      </c>
      <c r="V23" s="39">
        <f t="shared" si="15"/>
        <v>127</v>
      </c>
      <c r="W23" s="39">
        <f t="shared" si="15"/>
        <v>2</v>
      </c>
      <c r="X23" s="39">
        <f t="shared" si="15"/>
        <v>3</v>
      </c>
      <c r="Y23" s="39">
        <f t="shared" si="15"/>
        <v>24</v>
      </c>
      <c r="Z23" s="39">
        <f t="shared" si="15"/>
        <v>12</v>
      </c>
      <c r="AA23" s="39">
        <f t="shared" si="15"/>
        <v>5</v>
      </c>
      <c r="AB23" s="39">
        <f t="shared" si="15"/>
        <v>3</v>
      </c>
      <c r="AC23" s="39">
        <f t="shared" si="15"/>
        <v>748</v>
      </c>
      <c r="AD23" s="39">
        <f t="shared" si="15"/>
        <v>0</v>
      </c>
      <c r="AE23" s="40">
        <f t="shared" si="15"/>
        <v>426</v>
      </c>
      <c r="AF23" s="40">
        <f t="shared" si="15"/>
        <v>1141</v>
      </c>
    </row>
    <row r="24" spans="2:32" ht="23.1" customHeight="1" x14ac:dyDescent="0.25">
      <c r="B24" s="23" t="s">
        <v>51</v>
      </c>
      <c r="C24" s="50">
        <v>29</v>
      </c>
      <c r="D24" s="50">
        <v>29</v>
      </c>
      <c r="E24" s="50">
        <v>13</v>
      </c>
      <c r="F24" s="50">
        <v>26</v>
      </c>
      <c r="G24" s="50">
        <v>0</v>
      </c>
      <c r="H24" s="50">
        <v>0</v>
      </c>
      <c r="I24" s="50">
        <v>4</v>
      </c>
      <c r="J24" s="50">
        <v>3</v>
      </c>
      <c r="K24" s="50">
        <v>1</v>
      </c>
      <c r="L24" s="50">
        <v>0</v>
      </c>
      <c r="M24" s="50">
        <v>157</v>
      </c>
      <c r="N24" s="50">
        <v>0</v>
      </c>
      <c r="O24" s="15">
        <f t="shared" si="0"/>
        <v>105</v>
      </c>
      <c r="P24" s="15">
        <f t="shared" si="1"/>
        <v>262</v>
      </c>
      <c r="R24" s="38" t="s">
        <v>92</v>
      </c>
      <c r="S24" s="39">
        <f>MAX(S19:S21)</f>
        <v>104</v>
      </c>
      <c r="T24" s="39">
        <f t="shared" ref="T24:AF24" si="16">MAX(T19:T21)</f>
        <v>99</v>
      </c>
      <c r="U24" s="39">
        <f t="shared" si="16"/>
        <v>20</v>
      </c>
      <c r="V24" s="39">
        <f t="shared" si="16"/>
        <v>134</v>
      </c>
      <c r="W24" s="39">
        <f t="shared" si="16"/>
        <v>5</v>
      </c>
      <c r="X24" s="39">
        <f t="shared" si="16"/>
        <v>5</v>
      </c>
      <c r="Y24" s="39">
        <f t="shared" si="16"/>
        <v>26</v>
      </c>
      <c r="Z24" s="39">
        <f t="shared" si="16"/>
        <v>7</v>
      </c>
      <c r="AA24" s="39">
        <f t="shared" si="16"/>
        <v>6</v>
      </c>
      <c r="AB24" s="39">
        <f t="shared" si="16"/>
        <v>4</v>
      </c>
      <c r="AC24" s="39">
        <f t="shared" si="16"/>
        <v>1028</v>
      </c>
      <c r="AD24" s="39">
        <f t="shared" si="16"/>
        <v>0</v>
      </c>
      <c r="AE24" s="40">
        <f t="shared" si="16"/>
        <v>371</v>
      </c>
      <c r="AF24" s="40">
        <f t="shared" si="16"/>
        <v>1399</v>
      </c>
    </row>
    <row r="25" spans="2:32" ht="23.1" customHeight="1" x14ac:dyDescent="0.25">
      <c r="B25" s="23" t="s">
        <v>52</v>
      </c>
      <c r="C25" s="50">
        <v>43</v>
      </c>
      <c r="D25" s="50">
        <v>33</v>
      </c>
      <c r="E25" s="50">
        <v>6</v>
      </c>
      <c r="F25" s="50">
        <v>27</v>
      </c>
      <c r="G25" s="50">
        <v>0</v>
      </c>
      <c r="H25" s="50">
        <v>0</v>
      </c>
      <c r="I25" s="50">
        <v>8</v>
      </c>
      <c r="J25" s="50">
        <v>0</v>
      </c>
      <c r="K25" s="50">
        <v>1</v>
      </c>
      <c r="L25" s="50">
        <v>1</v>
      </c>
      <c r="M25" s="50">
        <v>185</v>
      </c>
      <c r="N25" s="50">
        <v>0</v>
      </c>
      <c r="O25" s="15">
        <f t="shared" si="0"/>
        <v>119</v>
      </c>
      <c r="P25" s="15">
        <f t="shared" si="1"/>
        <v>304</v>
      </c>
      <c r="R25" s="37" t="s">
        <v>85</v>
      </c>
      <c r="S25" s="35">
        <f t="shared" ref="S25:AF25" si="17">SUM(S10:S12)</f>
        <v>471</v>
      </c>
      <c r="T25" s="16">
        <f t="shared" si="17"/>
        <v>423</v>
      </c>
      <c r="U25" s="16">
        <f t="shared" si="17"/>
        <v>60</v>
      </c>
      <c r="V25" s="16">
        <f t="shared" si="17"/>
        <v>320</v>
      </c>
      <c r="W25" s="16">
        <f t="shared" si="17"/>
        <v>2</v>
      </c>
      <c r="X25" s="16">
        <f t="shared" si="17"/>
        <v>1</v>
      </c>
      <c r="Y25" s="16">
        <f t="shared" si="17"/>
        <v>53</v>
      </c>
      <c r="Z25" s="16">
        <f t="shared" si="17"/>
        <v>18</v>
      </c>
      <c r="AA25" s="16">
        <f t="shared" si="17"/>
        <v>2</v>
      </c>
      <c r="AB25" s="16">
        <f t="shared" si="17"/>
        <v>2</v>
      </c>
      <c r="AC25" s="16">
        <f t="shared" si="17"/>
        <v>2776</v>
      </c>
      <c r="AD25" s="16">
        <f t="shared" si="17"/>
        <v>0</v>
      </c>
      <c r="AE25" s="32">
        <f t="shared" si="17"/>
        <v>1352</v>
      </c>
      <c r="AF25" s="32">
        <f t="shared" si="17"/>
        <v>4128</v>
      </c>
    </row>
    <row r="26" spans="2:32" ht="23.1" customHeight="1" x14ac:dyDescent="0.25">
      <c r="B26" s="23" t="s">
        <v>53</v>
      </c>
      <c r="C26" s="50">
        <v>27</v>
      </c>
      <c r="D26" s="50">
        <v>21</v>
      </c>
      <c r="E26" s="50">
        <v>8</v>
      </c>
      <c r="F26" s="50">
        <v>37</v>
      </c>
      <c r="G26" s="50">
        <v>0</v>
      </c>
      <c r="H26" s="50">
        <v>0</v>
      </c>
      <c r="I26" s="50">
        <v>6</v>
      </c>
      <c r="J26" s="50">
        <v>2</v>
      </c>
      <c r="K26" s="50">
        <v>1</v>
      </c>
      <c r="L26" s="50">
        <v>1</v>
      </c>
      <c r="M26" s="50">
        <v>175</v>
      </c>
      <c r="N26" s="50">
        <v>0</v>
      </c>
      <c r="O26" s="15">
        <f t="shared" si="0"/>
        <v>103</v>
      </c>
      <c r="P26" s="15">
        <f t="shared" si="1"/>
        <v>278</v>
      </c>
      <c r="R26" s="28" t="s">
        <v>86</v>
      </c>
      <c r="S26" s="16">
        <f t="shared" ref="S26:AF26" si="18">SUM(S13:S18)</f>
        <v>618</v>
      </c>
      <c r="T26" s="16">
        <f t="shared" si="18"/>
        <v>521</v>
      </c>
      <c r="U26" s="16">
        <f t="shared" si="18"/>
        <v>129</v>
      </c>
      <c r="V26" s="16">
        <f t="shared" si="18"/>
        <v>624</v>
      </c>
      <c r="W26" s="16">
        <f t="shared" si="18"/>
        <v>9</v>
      </c>
      <c r="X26" s="16">
        <f t="shared" si="18"/>
        <v>8</v>
      </c>
      <c r="Y26" s="16">
        <f t="shared" si="18"/>
        <v>109</v>
      </c>
      <c r="Z26" s="16">
        <f t="shared" si="18"/>
        <v>44</v>
      </c>
      <c r="AA26" s="16">
        <f t="shared" si="18"/>
        <v>21</v>
      </c>
      <c r="AB26" s="16">
        <f t="shared" si="18"/>
        <v>9</v>
      </c>
      <c r="AC26" s="16">
        <f t="shared" si="18"/>
        <v>3508</v>
      </c>
      <c r="AD26" s="16">
        <f t="shared" si="18"/>
        <v>0</v>
      </c>
      <c r="AE26" s="32">
        <f t="shared" si="18"/>
        <v>2092</v>
      </c>
      <c r="AF26" s="32">
        <f t="shared" si="18"/>
        <v>5600</v>
      </c>
    </row>
    <row r="27" spans="2:32" ht="23.1" customHeight="1" x14ac:dyDescent="0.25">
      <c r="B27" s="23" t="s">
        <v>54</v>
      </c>
      <c r="C27" s="50">
        <v>37</v>
      </c>
      <c r="D27" s="50">
        <v>11</v>
      </c>
      <c r="E27" s="50">
        <v>5</v>
      </c>
      <c r="F27" s="50">
        <v>27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144</v>
      </c>
      <c r="N27" s="50">
        <v>0</v>
      </c>
      <c r="O27" s="15">
        <f t="shared" si="0"/>
        <v>80</v>
      </c>
      <c r="P27" s="15">
        <f t="shared" si="1"/>
        <v>224</v>
      </c>
      <c r="R27" s="29" t="s">
        <v>87</v>
      </c>
      <c r="S27" s="16">
        <f t="shared" ref="S27:AF27" si="19">SUM(S19:S21)</f>
        <v>300</v>
      </c>
      <c r="T27" s="16">
        <f t="shared" si="19"/>
        <v>265</v>
      </c>
      <c r="U27" s="16">
        <f t="shared" si="19"/>
        <v>53</v>
      </c>
      <c r="V27" s="16">
        <f t="shared" si="19"/>
        <v>333</v>
      </c>
      <c r="W27" s="16">
        <f t="shared" si="19"/>
        <v>7</v>
      </c>
      <c r="X27" s="16">
        <f t="shared" si="19"/>
        <v>7</v>
      </c>
      <c r="Y27" s="16">
        <f t="shared" si="19"/>
        <v>62</v>
      </c>
      <c r="Z27" s="16">
        <f t="shared" si="19"/>
        <v>17</v>
      </c>
      <c r="AA27" s="16">
        <f t="shared" si="19"/>
        <v>14</v>
      </c>
      <c r="AB27" s="16">
        <f t="shared" si="19"/>
        <v>9</v>
      </c>
      <c r="AC27" s="16">
        <f t="shared" si="19"/>
        <v>2586</v>
      </c>
      <c r="AD27" s="16">
        <f t="shared" si="19"/>
        <v>0</v>
      </c>
      <c r="AE27" s="32">
        <f t="shared" si="19"/>
        <v>1067</v>
      </c>
      <c r="AF27" s="32">
        <f t="shared" si="19"/>
        <v>3653</v>
      </c>
    </row>
    <row r="28" spans="2:32" ht="23.1" customHeight="1" x14ac:dyDescent="0.25">
      <c r="B28" s="23" t="s">
        <v>55</v>
      </c>
      <c r="C28" s="50">
        <v>23</v>
      </c>
      <c r="D28" s="50">
        <v>28</v>
      </c>
      <c r="E28" s="50">
        <v>9</v>
      </c>
      <c r="F28" s="50">
        <v>36</v>
      </c>
      <c r="G28" s="50">
        <v>0</v>
      </c>
      <c r="H28" s="50">
        <v>0</v>
      </c>
      <c r="I28" s="50">
        <v>5</v>
      </c>
      <c r="J28" s="50">
        <v>3</v>
      </c>
      <c r="K28" s="50">
        <v>1</v>
      </c>
      <c r="L28" s="50">
        <v>0</v>
      </c>
      <c r="M28" s="50">
        <v>161</v>
      </c>
      <c r="N28" s="50">
        <v>0</v>
      </c>
      <c r="O28" s="15">
        <f t="shared" si="0"/>
        <v>105</v>
      </c>
      <c r="P28" s="15">
        <f t="shared" si="1"/>
        <v>266</v>
      </c>
      <c r="R28" s="5" t="s">
        <v>17</v>
      </c>
      <c r="S28" s="16">
        <f t="shared" ref="S28:AF28" si="20">SUM(S10:S21)</f>
        <v>1389</v>
      </c>
      <c r="T28" s="16">
        <f t="shared" si="20"/>
        <v>1209</v>
      </c>
      <c r="U28" s="16">
        <f t="shared" si="20"/>
        <v>242</v>
      </c>
      <c r="V28" s="16">
        <f t="shared" si="20"/>
        <v>1277</v>
      </c>
      <c r="W28" s="16">
        <f t="shared" si="20"/>
        <v>18</v>
      </c>
      <c r="X28" s="16">
        <f t="shared" si="20"/>
        <v>16</v>
      </c>
      <c r="Y28" s="16">
        <f t="shared" si="20"/>
        <v>224</v>
      </c>
      <c r="Z28" s="16">
        <f t="shared" si="20"/>
        <v>79</v>
      </c>
      <c r="AA28" s="16">
        <f t="shared" si="20"/>
        <v>37</v>
      </c>
      <c r="AB28" s="16">
        <f t="shared" si="20"/>
        <v>20</v>
      </c>
      <c r="AC28" s="16">
        <f t="shared" si="20"/>
        <v>8870</v>
      </c>
      <c r="AD28" s="16">
        <f t="shared" si="20"/>
        <v>0</v>
      </c>
      <c r="AE28" s="32">
        <f t="shared" si="20"/>
        <v>4511</v>
      </c>
      <c r="AF28" s="32">
        <f t="shared" si="20"/>
        <v>13381</v>
      </c>
    </row>
    <row r="29" spans="2:32" ht="23.1" customHeight="1" x14ac:dyDescent="0.25">
      <c r="B29" s="23" t="s">
        <v>56</v>
      </c>
      <c r="C29" s="50">
        <v>22</v>
      </c>
      <c r="D29" s="50">
        <v>19</v>
      </c>
      <c r="E29" s="50">
        <v>1</v>
      </c>
      <c r="F29" s="50">
        <v>25</v>
      </c>
      <c r="G29" s="50">
        <v>2</v>
      </c>
      <c r="H29" s="50">
        <v>0</v>
      </c>
      <c r="I29" s="50">
        <v>3</v>
      </c>
      <c r="J29" s="50">
        <v>1</v>
      </c>
      <c r="K29" s="50">
        <v>1</v>
      </c>
      <c r="L29" s="50">
        <v>1</v>
      </c>
      <c r="M29" s="50">
        <v>191</v>
      </c>
      <c r="N29" s="50">
        <v>0</v>
      </c>
      <c r="O29" s="15">
        <f t="shared" si="0"/>
        <v>75</v>
      </c>
      <c r="P29" s="15">
        <f t="shared" si="1"/>
        <v>266</v>
      </c>
      <c r="R29"/>
      <c r="S29" s="20"/>
      <c r="T29" s="19"/>
    </row>
    <row r="30" spans="2:32" ht="23.1" customHeight="1" x14ac:dyDescent="0.25">
      <c r="B30" s="23" t="s">
        <v>57</v>
      </c>
      <c r="C30" s="50">
        <v>27</v>
      </c>
      <c r="D30" s="50">
        <v>36</v>
      </c>
      <c r="E30" s="50">
        <v>0</v>
      </c>
      <c r="F30" s="50">
        <v>30</v>
      </c>
      <c r="G30" s="50">
        <v>1</v>
      </c>
      <c r="H30" s="50">
        <v>0</v>
      </c>
      <c r="I30" s="50">
        <v>3</v>
      </c>
      <c r="J30" s="50">
        <v>3</v>
      </c>
      <c r="K30" s="50">
        <v>1</v>
      </c>
      <c r="L30" s="50">
        <v>0</v>
      </c>
      <c r="M30" s="50">
        <v>189</v>
      </c>
      <c r="N30" s="50">
        <v>0</v>
      </c>
      <c r="O30" s="15">
        <f t="shared" si="0"/>
        <v>101</v>
      </c>
      <c r="P30" s="15">
        <f t="shared" si="1"/>
        <v>290</v>
      </c>
    </row>
    <row r="31" spans="2:32" ht="23.1" customHeight="1" x14ac:dyDescent="0.25">
      <c r="B31" s="24" t="s">
        <v>58</v>
      </c>
      <c r="C31" s="50">
        <v>28</v>
      </c>
      <c r="D31" s="50">
        <v>28</v>
      </c>
      <c r="E31" s="50">
        <v>2</v>
      </c>
      <c r="F31" s="50">
        <v>30</v>
      </c>
      <c r="G31" s="50">
        <v>0</v>
      </c>
      <c r="H31" s="50">
        <v>1</v>
      </c>
      <c r="I31" s="50">
        <v>5</v>
      </c>
      <c r="J31" s="50">
        <v>1</v>
      </c>
      <c r="K31" s="50">
        <v>1</v>
      </c>
      <c r="L31" s="50">
        <v>0</v>
      </c>
      <c r="M31" s="50">
        <v>185</v>
      </c>
      <c r="N31" s="50">
        <v>0</v>
      </c>
      <c r="O31" s="15">
        <f t="shared" si="0"/>
        <v>96</v>
      </c>
      <c r="P31" s="15">
        <f t="shared" si="1"/>
        <v>281</v>
      </c>
    </row>
    <row r="32" spans="2:32" ht="23.1" customHeight="1" x14ac:dyDescent="0.25">
      <c r="B32" s="24" t="s">
        <v>59</v>
      </c>
      <c r="C32" s="50">
        <v>33</v>
      </c>
      <c r="D32" s="50">
        <v>30</v>
      </c>
      <c r="E32" s="50">
        <v>4</v>
      </c>
      <c r="F32" s="50">
        <v>36</v>
      </c>
      <c r="G32" s="50">
        <v>1</v>
      </c>
      <c r="H32" s="50">
        <v>0</v>
      </c>
      <c r="I32" s="50">
        <v>4</v>
      </c>
      <c r="J32" s="50">
        <v>1</v>
      </c>
      <c r="K32" s="50">
        <v>0</v>
      </c>
      <c r="L32" s="50">
        <v>1</v>
      </c>
      <c r="M32" s="50">
        <v>200</v>
      </c>
      <c r="N32" s="50">
        <v>0</v>
      </c>
      <c r="O32" s="15">
        <f t="shared" si="0"/>
        <v>110</v>
      </c>
      <c r="P32" s="15">
        <f t="shared" si="1"/>
        <v>310</v>
      </c>
    </row>
    <row r="33" spans="2:20" ht="23.1" customHeight="1" x14ac:dyDescent="0.25">
      <c r="B33" s="23" t="s">
        <v>60</v>
      </c>
      <c r="C33" s="50">
        <v>23</v>
      </c>
      <c r="D33" s="50">
        <v>19</v>
      </c>
      <c r="E33" s="50">
        <v>5</v>
      </c>
      <c r="F33" s="50">
        <v>31</v>
      </c>
      <c r="G33" s="50">
        <v>0</v>
      </c>
      <c r="H33" s="50">
        <v>0</v>
      </c>
      <c r="I33" s="50">
        <v>3</v>
      </c>
      <c r="J33" s="50">
        <v>2</v>
      </c>
      <c r="K33" s="50">
        <v>3</v>
      </c>
      <c r="L33" s="50">
        <v>0</v>
      </c>
      <c r="M33" s="50">
        <v>174</v>
      </c>
      <c r="N33" s="50">
        <v>0</v>
      </c>
      <c r="O33" s="15">
        <f t="shared" si="0"/>
        <v>86</v>
      </c>
      <c r="P33" s="15">
        <f t="shared" si="1"/>
        <v>260</v>
      </c>
    </row>
    <row r="34" spans="2:20" ht="23.1" customHeight="1" x14ac:dyDescent="0.25">
      <c r="B34" s="24" t="s">
        <v>61</v>
      </c>
      <c r="C34" s="50">
        <v>21</v>
      </c>
      <c r="D34" s="50">
        <v>16</v>
      </c>
      <c r="E34" s="50">
        <v>5</v>
      </c>
      <c r="F34" s="50">
        <v>28</v>
      </c>
      <c r="G34" s="50">
        <v>0</v>
      </c>
      <c r="H34" s="50">
        <v>1</v>
      </c>
      <c r="I34" s="50">
        <v>6</v>
      </c>
      <c r="J34" s="50">
        <v>1</v>
      </c>
      <c r="K34" s="50">
        <v>1</v>
      </c>
      <c r="L34" s="50">
        <v>0</v>
      </c>
      <c r="M34" s="50">
        <v>181</v>
      </c>
      <c r="N34" s="50">
        <v>0</v>
      </c>
      <c r="O34" s="15">
        <f t="shared" si="0"/>
        <v>79</v>
      </c>
      <c r="P34" s="15">
        <f t="shared" si="1"/>
        <v>260</v>
      </c>
    </row>
    <row r="35" spans="2:20" ht="23.1" customHeight="1" x14ac:dyDescent="0.25">
      <c r="B35" s="24" t="s">
        <v>62</v>
      </c>
      <c r="C35" s="50">
        <v>27</v>
      </c>
      <c r="D35" s="50">
        <v>18</v>
      </c>
      <c r="E35" s="50">
        <v>8</v>
      </c>
      <c r="F35" s="50">
        <v>37</v>
      </c>
      <c r="G35" s="50">
        <v>0</v>
      </c>
      <c r="H35" s="50">
        <v>0</v>
      </c>
      <c r="I35" s="50">
        <v>2</v>
      </c>
      <c r="J35" s="50">
        <v>3</v>
      </c>
      <c r="K35" s="50">
        <v>1</v>
      </c>
      <c r="L35" s="50">
        <v>2</v>
      </c>
      <c r="M35" s="50">
        <v>138</v>
      </c>
      <c r="N35" s="50">
        <v>0</v>
      </c>
      <c r="O35" s="15">
        <f t="shared" si="0"/>
        <v>98</v>
      </c>
      <c r="P35" s="15">
        <f t="shared" si="1"/>
        <v>236</v>
      </c>
    </row>
    <row r="36" spans="2:20" ht="23.1" customHeight="1" x14ac:dyDescent="0.25">
      <c r="B36" s="24" t="s">
        <v>63</v>
      </c>
      <c r="C36" s="50">
        <v>23</v>
      </c>
      <c r="D36" s="50">
        <v>17</v>
      </c>
      <c r="E36" s="50">
        <v>5</v>
      </c>
      <c r="F36" s="50">
        <v>24</v>
      </c>
      <c r="G36" s="50">
        <v>1</v>
      </c>
      <c r="H36" s="50">
        <v>1</v>
      </c>
      <c r="I36" s="50">
        <v>6</v>
      </c>
      <c r="J36" s="50">
        <v>0</v>
      </c>
      <c r="K36" s="50">
        <v>1</v>
      </c>
      <c r="L36" s="50">
        <v>1</v>
      </c>
      <c r="M36" s="50">
        <v>150</v>
      </c>
      <c r="N36" s="50">
        <v>0</v>
      </c>
      <c r="O36" s="15">
        <f t="shared" si="0"/>
        <v>79</v>
      </c>
      <c r="P36" s="15">
        <f t="shared" si="1"/>
        <v>229</v>
      </c>
    </row>
    <row r="37" spans="2:20" ht="23.1" customHeight="1" x14ac:dyDescent="0.25">
      <c r="B37" s="23" t="s">
        <v>64</v>
      </c>
      <c r="C37" s="50">
        <v>21</v>
      </c>
      <c r="D37" s="50">
        <v>20</v>
      </c>
      <c r="E37" s="50">
        <v>8</v>
      </c>
      <c r="F37" s="50">
        <v>24</v>
      </c>
      <c r="G37" s="50">
        <v>0</v>
      </c>
      <c r="H37" s="50">
        <v>0</v>
      </c>
      <c r="I37" s="50">
        <v>3</v>
      </c>
      <c r="J37" s="50">
        <v>0</v>
      </c>
      <c r="K37" s="50">
        <v>1</v>
      </c>
      <c r="L37" s="50">
        <v>0</v>
      </c>
      <c r="M37" s="50">
        <v>125</v>
      </c>
      <c r="N37" s="50">
        <v>0</v>
      </c>
      <c r="O37" s="15">
        <f t="shared" si="0"/>
        <v>77</v>
      </c>
      <c r="P37" s="15">
        <f t="shared" si="1"/>
        <v>202</v>
      </c>
    </row>
    <row r="38" spans="2:20" ht="23.1" customHeight="1" x14ac:dyDescent="0.25">
      <c r="B38" s="24" t="s">
        <v>65</v>
      </c>
      <c r="C38" s="50">
        <v>17</v>
      </c>
      <c r="D38" s="50">
        <v>14</v>
      </c>
      <c r="E38" s="50">
        <v>1</v>
      </c>
      <c r="F38" s="50">
        <v>13</v>
      </c>
      <c r="G38" s="50">
        <v>1</v>
      </c>
      <c r="H38" s="50">
        <v>1</v>
      </c>
      <c r="I38" s="50">
        <v>4</v>
      </c>
      <c r="J38" s="50">
        <v>3</v>
      </c>
      <c r="K38" s="50">
        <v>0</v>
      </c>
      <c r="L38" s="50">
        <v>0</v>
      </c>
      <c r="M38" s="50">
        <v>165</v>
      </c>
      <c r="N38" s="50">
        <v>0</v>
      </c>
      <c r="O38" s="15">
        <f t="shared" si="0"/>
        <v>54</v>
      </c>
      <c r="P38" s="15">
        <f t="shared" si="1"/>
        <v>219</v>
      </c>
    </row>
    <row r="39" spans="2:20" ht="23.1" customHeight="1" x14ac:dyDescent="0.25">
      <c r="B39" s="24" t="s">
        <v>66</v>
      </c>
      <c r="C39" s="50">
        <v>18</v>
      </c>
      <c r="D39" s="50">
        <v>14</v>
      </c>
      <c r="E39" s="50">
        <v>5</v>
      </c>
      <c r="F39" s="50">
        <v>19</v>
      </c>
      <c r="G39" s="50">
        <v>0</v>
      </c>
      <c r="H39" s="50">
        <v>0</v>
      </c>
      <c r="I39" s="50">
        <v>6</v>
      </c>
      <c r="J39" s="50">
        <v>5</v>
      </c>
      <c r="K39" s="50">
        <v>0</v>
      </c>
      <c r="L39" s="50">
        <v>1</v>
      </c>
      <c r="M39" s="50">
        <v>135</v>
      </c>
      <c r="N39" s="50">
        <v>0</v>
      </c>
      <c r="O39" s="15">
        <f t="shared" si="0"/>
        <v>68</v>
      </c>
      <c r="P39" s="15">
        <f t="shared" si="1"/>
        <v>203</v>
      </c>
    </row>
    <row r="40" spans="2:20" ht="23.1" customHeight="1" x14ac:dyDescent="0.25">
      <c r="B40" s="24" t="s">
        <v>67</v>
      </c>
      <c r="C40" s="50">
        <v>29</v>
      </c>
      <c r="D40" s="50">
        <v>14</v>
      </c>
      <c r="E40" s="50">
        <v>4</v>
      </c>
      <c r="F40" s="50">
        <v>18</v>
      </c>
      <c r="G40" s="50">
        <v>0</v>
      </c>
      <c r="H40" s="50">
        <v>0</v>
      </c>
      <c r="I40" s="50">
        <v>2</v>
      </c>
      <c r="J40" s="50">
        <v>4</v>
      </c>
      <c r="K40" s="50">
        <v>3</v>
      </c>
      <c r="L40" s="50">
        <v>0</v>
      </c>
      <c r="M40" s="50">
        <v>168</v>
      </c>
      <c r="N40" s="50">
        <v>0</v>
      </c>
      <c r="O40" s="15">
        <f t="shared" si="0"/>
        <v>74</v>
      </c>
      <c r="P40" s="15">
        <f t="shared" si="1"/>
        <v>242</v>
      </c>
    </row>
    <row r="41" spans="2:20" ht="23.1" customHeight="1" x14ac:dyDescent="0.25">
      <c r="B41" s="23" t="s">
        <v>68</v>
      </c>
      <c r="C41" s="50">
        <v>21</v>
      </c>
      <c r="D41" s="50">
        <v>26</v>
      </c>
      <c r="E41" s="50">
        <v>3</v>
      </c>
      <c r="F41" s="50">
        <v>22</v>
      </c>
      <c r="G41" s="50">
        <v>1</v>
      </c>
      <c r="H41" s="50">
        <v>2</v>
      </c>
      <c r="I41" s="50">
        <v>6</v>
      </c>
      <c r="J41" s="50">
        <v>0</v>
      </c>
      <c r="K41" s="50">
        <v>1</v>
      </c>
      <c r="L41" s="50">
        <v>0</v>
      </c>
      <c r="M41" s="50">
        <v>132</v>
      </c>
      <c r="N41" s="50">
        <v>0</v>
      </c>
      <c r="O41" s="15">
        <f t="shared" si="0"/>
        <v>82</v>
      </c>
      <c r="P41" s="15">
        <f t="shared" si="1"/>
        <v>214</v>
      </c>
    </row>
    <row r="42" spans="2:20" ht="23.1" customHeight="1" x14ac:dyDescent="0.25">
      <c r="B42" s="24" t="s">
        <v>69</v>
      </c>
      <c r="C42" s="50">
        <v>20</v>
      </c>
      <c r="D42" s="50">
        <v>20</v>
      </c>
      <c r="E42" s="50">
        <v>2</v>
      </c>
      <c r="F42" s="50">
        <v>25</v>
      </c>
      <c r="G42" s="50">
        <v>1</v>
      </c>
      <c r="H42" s="50">
        <v>0</v>
      </c>
      <c r="I42" s="50">
        <v>5</v>
      </c>
      <c r="J42" s="50">
        <v>4</v>
      </c>
      <c r="K42" s="50">
        <v>0</v>
      </c>
      <c r="L42" s="50">
        <v>0</v>
      </c>
      <c r="M42" s="50">
        <v>54</v>
      </c>
      <c r="N42" s="50">
        <v>0</v>
      </c>
      <c r="O42" s="15">
        <f t="shared" si="0"/>
        <v>77</v>
      </c>
      <c r="P42" s="15">
        <f t="shared" si="1"/>
        <v>131</v>
      </c>
    </row>
    <row r="43" spans="2:20" ht="23.1" customHeight="1" x14ac:dyDescent="0.25">
      <c r="B43" s="23" t="s">
        <v>70</v>
      </c>
      <c r="C43" s="50">
        <v>17</v>
      </c>
      <c r="D43" s="50">
        <v>17</v>
      </c>
      <c r="E43" s="50">
        <v>7</v>
      </c>
      <c r="F43" s="50">
        <v>22</v>
      </c>
      <c r="G43" s="50">
        <v>1</v>
      </c>
      <c r="H43" s="50">
        <v>0</v>
      </c>
      <c r="I43" s="50">
        <v>9</v>
      </c>
      <c r="J43" s="50">
        <v>2</v>
      </c>
      <c r="K43" s="50">
        <v>2</v>
      </c>
      <c r="L43" s="50">
        <v>1</v>
      </c>
      <c r="M43" s="50">
        <v>21</v>
      </c>
      <c r="N43" s="50">
        <v>0</v>
      </c>
      <c r="O43" s="15">
        <f t="shared" si="0"/>
        <v>78</v>
      </c>
      <c r="P43" s="15">
        <f t="shared" si="1"/>
        <v>99</v>
      </c>
    </row>
    <row r="44" spans="2:20" ht="23.1" customHeight="1" x14ac:dyDescent="0.25">
      <c r="B44" s="25" t="s">
        <v>71</v>
      </c>
      <c r="C44" s="50">
        <v>27</v>
      </c>
      <c r="D44" s="50">
        <v>17</v>
      </c>
      <c r="E44" s="50">
        <v>5</v>
      </c>
      <c r="F44" s="50">
        <v>21</v>
      </c>
      <c r="G44" s="50">
        <v>0</v>
      </c>
      <c r="H44" s="50">
        <v>1</v>
      </c>
      <c r="I44" s="50">
        <v>6</v>
      </c>
      <c r="J44" s="50">
        <v>2</v>
      </c>
      <c r="K44" s="50">
        <v>1</v>
      </c>
      <c r="L44" s="50">
        <v>0</v>
      </c>
      <c r="M44" s="50">
        <v>26</v>
      </c>
      <c r="N44" s="50">
        <v>0</v>
      </c>
      <c r="O44" s="15">
        <f t="shared" si="0"/>
        <v>80</v>
      </c>
      <c r="P44" s="15">
        <f t="shared" si="1"/>
        <v>106</v>
      </c>
    </row>
    <row r="45" spans="2:20" ht="23.1" customHeight="1" x14ac:dyDescent="0.25">
      <c r="B45" s="23" t="s">
        <v>72</v>
      </c>
      <c r="C45" s="50">
        <v>25</v>
      </c>
      <c r="D45" s="50">
        <v>19</v>
      </c>
      <c r="E45" s="50">
        <v>2</v>
      </c>
      <c r="F45" s="50">
        <v>11</v>
      </c>
      <c r="G45" s="50">
        <v>0</v>
      </c>
      <c r="H45" s="50">
        <v>1</v>
      </c>
      <c r="I45" s="50">
        <v>4</v>
      </c>
      <c r="J45" s="50">
        <v>2</v>
      </c>
      <c r="K45" s="50">
        <v>0</v>
      </c>
      <c r="L45" s="50">
        <v>0</v>
      </c>
      <c r="M45" s="50">
        <v>123</v>
      </c>
      <c r="N45" s="50">
        <v>0</v>
      </c>
      <c r="O45" s="15">
        <f t="shared" si="0"/>
        <v>64</v>
      </c>
      <c r="P45" s="15">
        <f t="shared" si="1"/>
        <v>187</v>
      </c>
    </row>
    <row r="46" spans="2:20" ht="23.1" customHeight="1" x14ac:dyDescent="0.25">
      <c r="B46" s="24" t="s">
        <v>73</v>
      </c>
      <c r="C46" s="50">
        <v>20</v>
      </c>
      <c r="D46" s="50">
        <v>24</v>
      </c>
      <c r="E46" s="50">
        <v>4</v>
      </c>
      <c r="F46" s="50">
        <v>20</v>
      </c>
      <c r="G46" s="50">
        <v>1</v>
      </c>
      <c r="H46" s="50">
        <v>2</v>
      </c>
      <c r="I46" s="50">
        <v>4</v>
      </c>
      <c r="J46" s="50">
        <v>1</v>
      </c>
      <c r="K46" s="50">
        <v>0</v>
      </c>
      <c r="L46" s="50">
        <v>1</v>
      </c>
      <c r="M46" s="50">
        <v>151</v>
      </c>
      <c r="N46" s="50">
        <v>0</v>
      </c>
      <c r="O46" s="15">
        <f t="shared" si="0"/>
        <v>77</v>
      </c>
      <c r="P46" s="15">
        <f t="shared" si="1"/>
        <v>228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30</v>
      </c>
      <c r="E47" s="50">
        <v>4</v>
      </c>
      <c r="F47" s="50">
        <v>21</v>
      </c>
      <c r="G47" s="50">
        <v>0</v>
      </c>
      <c r="H47" s="50">
        <v>0</v>
      </c>
      <c r="I47" s="50">
        <v>6</v>
      </c>
      <c r="J47" s="50">
        <v>1</v>
      </c>
      <c r="K47" s="50">
        <v>0</v>
      </c>
      <c r="L47" s="50">
        <v>1</v>
      </c>
      <c r="M47" s="50">
        <v>193</v>
      </c>
      <c r="N47" s="50">
        <v>0</v>
      </c>
      <c r="O47" s="15">
        <f t="shared" si="0"/>
        <v>88</v>
      </c>
      <c r="P47" s="15">
        <f t="shared" si="1"/>
        <v>281</v>
      </c>
      <c r="R47" s="8"/>
      <c r="T47"/>
    </row>
    <row r="48" spans="2:20" ht="23.1" customHeight="1" x14ac:dyDescent="0.25">
      <c r="B48" s="24" t="s">
        <v>75</v>
      </c>
      <c r="C48" s="50">
        <v>26</v>
      </c>
      <c r="D48" s="50">
        <v>17</v>
      </c>
      <c r="E48" s="50">
        <v>4</v>
      </c>
      <c r="F48" s="50">
        <v>31</v>
      </c>
      <c r="G48" s="50">
        <v>0</v>
      </c>
      <c r="H48" s="50">
        <v>0</v>
      </c>
      <c r="I48" s="50">
        <v>4</v>
      </c>
      <c r="J48" s="50">
        <v>0</v>
      </c>
      <c r="K48" s="50">
        <v>3</v>
      </c>
      <c r="L48" s="50">
        <v>1</v>
      </c>
      <c r="M48" s="50">
        <v>166</v>
      </c>
      <c r="N48" s="50">
        <v>0</v>
      </c>
      <c r="O48" s="15">
        <f t="shared" si="0"/>
        <v>86</v>
      </c>
      <c r="P48" s="15">
        <f t="shared" si="1"/>
        <v>252</v>
      </c>
      <c r="R48" s="8"/>
      <c r="T48"/>
    </row>
    <row r="49" spans="2:20" ht="23.1" customHeight="1" x14ac:dyDescent="0.25">
      <c r="B49" s="23" t="s">
        <v>76</v>
      </c>
      <c r="C49" s="50">
        <v>25</v>
      </c>
      <c r="D49" s="50">
        <v>17</v>
      </c>
      <c r="E49" s="50">
        <v>6</v>
      </c>
      <c r="F49" s="50">
        <v>19</v>
      </c>
      <c r="G49" s="50">
        <v>0</v>
      </c>
      <c r="H49" s="50">
        <v>0</v>
      </c>
      <c r="I49" s="50">
        <v>6</v>
      </c>
      <c r="J49" s="50">
        <v>2</v>
      </c>
      <c r="K49" s="50">
        <v>1</v>
      </c>
      <c r="L49" s="50">
        <v>1</v>
      </c>
      <c r="M49" s="50">
        <v>232</v>
      </c>
      <c r="N49" s="50">
        <v>0</v>
      </c>
      <c r="O49" s="15">
        <f t="shared" si="0"/>
        <v>77</v>
      </c>
      <c r="P49" s="15">
        <f t="shared" si="1"/>
        <v>309</v>
      </c>
      <c r="R49" s="8"/>
      <c r="T49"/>
    </row>
    <row r="50" spans="2:20" ht="23.1" customHeight="1" x14ac:dyDescent="0.25">
      <c r="B50" s="24" t="s">
        <v>77</v>
      </c>
      <c r="C50" s="50">
        <v>25</v>
      </c>
      <c r="D50" s="50">
        <v>32</v>
      </c>
      <c r="E50" s="50">
        <v>9</v>
      </c>
      <c r="F50" s="50">
        <v>28</v>
      </c>
      <c r="G50" s="50">
        <v>0</v>
      </c>
      <c r="H50" s="50">
        <v>0</v>
      </c>
      <c r="I50" s="50">
        <v>8</v>
      </c>
      <c r="J50" s="50">
        <v>1</v>
      </c>
      <c r="K50" s="50">
        <v>2</v>
      </c>
      <c r="L50" s="50">
        <v>1</v>
      </c>
      <c r="M50" s="50">
        <v>208</v>
      </c>
      <c r="N50" s="50">
        <v>0</v>
      </c>
      <c r="O50" s="15">
        <f t="shared" si="0"/>
        <v>106</v>
      </c>
      <c r="P50" s="15">
        <f t="shared" si="1"/>
        <v>314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28</v>
      </c>
      <c r="E51" s="50">
        <v>3</v>
      </c>
      <c r="F51" s="50">
        <v>24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1</v>
      </c>
      <c r="M51" s="50">
        <v>194</v>
      </c>
      <c r="N51" s="50">
        <v>0</v>
      </c>
      <c r="O51" s="15">
        <f t="shared" si="0"/>
        <v>89</v>
      </c>
      <c r="P51" s="15">
        <f t="shared" si="1"/>
        <v>283</v>
      </c>
      <c r="R51" s="8"/>
      <c r="T51"/>
    </row>
    <row r="52" spans="2:20" ht="23.1" customHeight="1" x14ac:dyDescent="0.25">
      <c r="B52" s="24" t="s">
        <v>79</v>
      </c>
      <c r="C52" s="50">
        <v>33</v>
      </c>
      <c r="D52" s="50">
        <v>22</v>
      </c>
      <c r="E52" s="50">
        <v>1</v>
      </c>
      <c r="F52" s="50">
        <v>19</v>
      </c>
      <c r="G52" s="50">
        <v>0</v>
      </c>
      <c r="H52" s="50">
        <v>0</v>
      </c>
      <c r="I52" s="50">
        <v>4</v>
      </c>
      <c r="J52" s="50">
        <v>2</v>
      </c>
      <c r="K52" s="50">
        <v>1</v>
      </c>
      <c r="L52" s="50">
        <v>1</v>
      </c>
      <c r="M52" s="50">
        <v>193</v>
      </c>
      <c r="N52" s="50">
        <v>0</v>
      </c>
      <c r="O52" s="15">
        <f t="shared" si="0"/>
        <v>83</v>
      </c>
      <c r="P52" s="15">
        <f t="shared" si="1"/>
        <v>276</v>
      </c>
      <c r="R52" s="8"/>
      <c r="T52"/>
    </row>
    <row r="53" spans="2:20" ht="23.1" customHeight="1" x14ac:dyDescent="0.25">
      <c r="B53" s="23" t="s">
        <v>80</v>
      </c>
      <c r="C53" s="50">
        <v>15</v>
      </c>
      <c r="D53" s="50">
        <v>17</v>
      </c>
      <c r="E53" s="50">
        <v>2</v>
      </c>
      <c r="F53" s="50">
        <v>37</v>
      </c>
      <c r="G53" s="50">
        <v>1</v>
      </c>
      <c r="H53" s="50">
        <v>0</v>
      </c>
      <c r="I53" s="50">
        <v>13</v>
      </c>
      <c r="J53" s="50">
        <v>2</v>
      </c>
      <c r="K53" s="50">
        <v>3</v>
      </c>
      <c r="L53" s="50">
        <v>0</v>
      </c>
      <c r="M53" s="50">
        <v>221</v>
      </c>
      <c r="N53" s="50">
        <v>0</v>
      </c>
      <c r="O53" s="15">
        <f t="shared" si="0"/>
        <v>90</v>
      </c>
      <c r="P53" s="15">
        <f t="shared" si="1"/>
        <v>311</v>
      </c>
      <c r="R53" s="8"/>
      <c r="T53"/>
    </row>
    <row r="54" spans="2:20" ht="23.1" customHeight="1" x14ac:dyDescent="0.25">
      <c r="B54" s="23" t="s">
        <v>81</v>
      </c>
      <c r="C54" s="50">
        <v>19</v>
      </c>
      <c r="D54" s="50">
        <v>26</v>
      </c>
      <c r="E54" s="50">
        <v>3</v>
      </c>
      <c r="F54" s="50">
        <v>25</v>
      </c>
      <c r="G54" s="50">
        <v>2</v>
      </c>
      <c r="H54" s="50">
        <v>3</v>
      </c>
      <c r="I54" s="50">
        <v>4</v>
      </c>
      <c r="J54" s="50">
        <v>0</v>
      </c>
      <c r="K54" s="50">
        <v>0</v>
      </c>
      <c r="L54" s="50">
        <v>1</v>
      </c>
      <c r="M54" s="50">
        <v>195</v>
      </c>
      <c r="N54" s="50">
        <v>0</v>
      </c>
      <c r="O54" s="15">
        <f t="shared" si="0"/>
        <v>83</v>
      </c>
      <c r="P54" s="15">
        <f t="shared" si="1"/>
        <v>278</v>
      </c>
      <c r="R54" s="8"/>
      <c r="T54"/>
    </row>
    <row r="55" spans="2:20" ht="23.1" customHeight="1" x14ac:dyDescent="0.25">
      <c r="B55" s="23" t="s">
        <v>82</v>
      </c>
      <c r="C55" s="50">
        <v>28</v>
      </c>
      <c r="D55" s="50">
        <v>12</v>
      </c>
      <c r="E55" s="50">
        <v>3</v>
      </c>
      <c r="F55" s="50">
        <v>35</v>
      </c>
      <c r="G55" s="50">
        <v>0</v>
      </c>
      <c r="H55" s="50">
        <v>2</v>
      </c>
      <c r="I55" s="50">
        <v>6</v>
      </c>
      <c r="J55" s="50">
        <v>2</v>
      </c>
      <c r="K55" s="50">
        <v>1</v>
      </c>
      <c r="L55" s="50">
        <v>1</v>
      </c>
      <c r="M55" s="50">
        <v>262</v>
      </c>
      <c r="N55" s="50">
        <v>0</v>
      </c>
      <c r="O55" s="15">
        <f t="shared" si="0"/>
        <v>90</v>
      </c>
      <c r="P55" s="15">
        <f t="shared" si="1"/>
        <v>352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22</v>
      </c>
      <c r="E56" s="50">
        <v>6</v>
      </c>
      <c r="F56" s="50">
        <v>45</v>
      </c>
      <c r="G56" s="50">
        <v>3</v>
      </c>
      <c r="H56" s="50">
        <v>0</v>
      </c>
      <c r="I56" s="50">
        <v>4</v>
      </c>
      <c r="J56" s="50">
        <v>3</v>
      </c>
      <c r="K56" s="50">
        <v>1</v>
      </c>
      <c r="L56" s="50">
        <v>0</v>
      </c>
      <c r="M56" s="50">
        <v>301</v>
      </c>
      <c r="N56" s="50">
        <v>0</v>
      </c>
      <c r="O56" s="15">
        <f t="shared" si="0"/>
        <v>124</v>
      </c>
      <c r="P56" s="15">
        <f t="shared" si="1"/>
        <v>425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18</v>
      </c>
      <c r="E57" s="50">
        <v>8</v>
      </c>
      <c r="F57" s="50">
        <v>29</v>
      </c>
      <c r="G57" s="50">
        <v>0</v>
      </c>
      <c r="H57" s="50">
        <v>0</v>
      </c>
      <c r="I57" s="50">
        <v>2</v>
      </c>
      <c r="J57" s="50">
        <v>2</v>
      </c>
      <c r="K57" s="50">
        <v>2</v>
      </c>
      <c r="L57" s="50">
        <v>0</v>
      </c>
      <c r="M57" s="50">
        <v>270</v>
      </c>
      <c r="N57" s="50">
        <v>0</v>
      </c>
      <c r="O57" s="15">
        <f t="shared" si="0"/>
        <v>74</v>
      </c>
      <c r="P57" s="15">
        <f t="shared" si="1"/>
        <v>344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1389</v>
      </c>
      <c r="D58" s="16">
        <f t="shared" si="21"/>
        <v>1209</v>
      </c>
      <c r="E58" s="16">
        <f t="shared" si="21"/>
        <v>242</v>
      </c>
      <c r="F58" s="16">
        <f t="shared" si="21"/>
        <v>1277</v>
      </c>
      <c r="G58" s="16">
        <f t="shared" si="21"/>
        <v>18</v>
      </c>
      <c r="H58" s="16">
        <f t="shared" si="21"/>
        <v>16</v>
      </c>
      <c r="I58" s="16">
        <f t="shared" si="21"/>
        <v>224</v>
      </c>
      <c r="J58" s="16">
        <f t="shared" si="21"/>
        <v>79</v>
      </c>
      <c r="K58" s="16">
        <f t="shared" si="21"/>
        <v>37</v>
      </c>
      <c r="L58" s="16">
        <f t="shared" si="21"/>
        <v>20</v>
      </c>
      <c r="M58" s="16">
        <f t="shared" si="21"/>
        <v>8870</v>
      </c>
      <c r="N58" s="16">
        <f t="shared" si="21"/>
        <v>0</v>
      </c>
      <c r="O58" s="16">
        <f t="shared" si="21"/>
        <v>4511</v>
      </c>
      <c r="P58" s="16">
        <f t="shared" si="21"/>
        <v>13381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0.10380390105373291</v>
      </c>
      <c r="D59" s="43">
        <f t="shared" si="22"/>
        <v>9.0351991629923023E-2</v>
      </c>
      <c r="E59" s="43">
        <f t="shared" si="22"/>
        <v>1.8085344892011062E-2</v>
      </c>
      <c r="F59" s="43">
        <f t="shared" si="22"/>
        <v>9.5433824078917873E-2</v>
      </c>
      <c r="G59" s="43">
        <f t="shared" si="22"/>
        <v>1.3451909423809879E-3</v>
      </c>
      <c r="H59" s="43">
        <f t="shared" si="22"/>
        <v>1.1957252821164336E-3</v>
      </c>
      <c r="I59" s="43">
        <f t="shared" si="22"/>
        <v>1.6740153949630073E-2</v>
      </c>
      <c r="J59" s="43">
        <f t="shared" si="22"/>
        <v>5.9038935804498916E-3</v>
      </c>
      <c r="K59" s="43">
        <f t="shared" si="22"/>
        <v>2.7651147148942531E-3</v>
      </c>
      <c r="L59" s="43">
        <f t="shared" si="22"/>
        <v>1.4946566026455422E-3</v>
      </c>
      <c r="M59" s="43">
        <f t="shared" si="22"/>
        <v>0.662880203273298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0.30791398802926179</v>
      </c>
      <c r="D60" s="44">
        <f t="shared" ref="D60:N60" si="23">D58/$O$58</f>
        <v>0.2680115273775216</v>
      </c>
      <c r="E60" s="44">
        <f t="shared" si="23"/>
        <v>5.3646641542895147E-2</v>
      </c>
      <c r="F60" s="44">
        <f t="shared" si="23"/>
        <v>0.28308579029040126</v>
      </c>
      <c r="G60" s="44">
        <f t="shared" si="23"/>
        <v>3.9902460651740192E-3</v>
      </c>
      <c r="H60" s="44">
        <f t="shared" si="23"/>
        <v>3.5468853912657946E-3</v>
      </c>
      <c r="I60" s="44">
        <f t="shared" si="23"/>
        <v>4.9656395477721126E-2</v>
      </c>
      <c r="J60" s="44">
        <f t="shared" si="23"/>
        <v>1.7512746619374863E-2</v>
      </c>
      <c r="K60" s="44">
        <f t="shared" si="23"/>
        <v>8.2021724673021507E-3</v>
      </c>
      <c r="L60" s="44">
        <f t="shared" si="23"/>
        <v>4.433606739082243E-3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3" t="str">
        <f>'22.07 RUBAGA-KABUSU'!G5:H5</f>
        <v>CHAD SUPERMARKET</v>
      </c>
      <c r="H5" s="64"/>
      <c r="I5" s="14"/>
      <c r="J5" s="2" t="s">
        <v>5</v>
      </c>
      <c r="K5" s="63" t="str">
        <f>'22.07 RUBAGA-KABUSU'!K5:L5</f>
        <v>EMMANUEL EGIMU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RUBAGA-KABUSU'!D6:E6</f>
        <v>RUBAGA</v>
      </c>
      <c r="E6" s="64"/>
      <c r="F6" s="2" t="s">
        <v>2</v>
      </c>
      <c r="G6" s="63" t="str">
        <f>'22.07 RUBAGA-KABUSU'!G6:H6</f>
        <v>KABUSU</v>
      </c>
      <c r="H6" s="64"/>
      <c r="J6" s="2" t="s">
        <v>21</v>
      </c>
      <c r="K6" s="63" t="str">
        <f>'22.07 RUBAGA-KABUSU'!K6:L6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33</v>
      </c>
      <c r="D10" s="50">
        <v>6</v>
      </c>
      <c r="E10" s="50">
        <v>4</v>
      </c>
      <c r="F10" s="50">
        <v>32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85</v>
      </c>
      <c r="N10" s="50">
        <v>0</v>
      </c>
      <c r="O10" s="15">
        <f t="shared" ref="O10:O57" si="0">SUM(C10:L10,N10)</f>
        <v>75</v>
      </c>
      <c r="P10" s="15">
        <f t="shared" ref="P10:P57" si="1">SUM(C10:N10)</f>
        <v>160</v>
      </c>
      <c r="R10" s="1" t="s">
        <v>6</v>
      </c>
      <c r="S10" s="17">
        <f t="shared" ref="S10:AF10" si="2">SUM(C10:C13)</f>
        <v>130</v>
      </c>
      <c r="T10" s="17">
        <f t="shared" si="2"/>
        <v>18</v>
      </c>
      <c r="U10" s="17">
        <f t="shared" si="2"/>
        <v>9</v>
      </c>
      <c r="V10" s="17">
        <f t="shared" si="2"/>
        <v>108</v>
      </c>
      <c r="W10" s="17">
        <f t="shared" si="2"/>
        <v>1</v>
      </c>
      <c r="X10" s="17">
        <f t="shared" si="2"/>
        <v>2</v>
      </c>
      <c r="Y10" s="17">
        <f t="shared" si="2"/>
        <v>2</v>
      </c>
      <c r="Z10" s="17">
        <f t="shared" si="2"/>
        <v>9</v>
      </c>
      <c r="AA10" s="17">
        <f t="shared" si="2"/>
        <v>0</v>
      </c>
      <c r="AB10" s="17">
        <f t="shared" si="2"/>
        <v>0</v>
      </c>
      <c r="AC10" s="17">
        <f t="shared" si="2"/>
        <v>530</v>
      </c>
      <c r="AD10" s="17">
        <f t="shared" si="2"/>
        <v>0</v>
      </c>
      <c r="AE10" s="31">
        <f t="shared" si="2"/>
        <v>279</v>
      </c>
      <c r="AF10" s="31">
        <f t="shared" si="2"/>
        <v>809</v>
      </c>
    </row>
    <row r="11" spans="2:32" s="6" customFormat="1" ht="23.1" customHeight="1" x14ac:dyDescent="0.25">
      <c r="B11" s="23" t="s">
        <v>38</v>
      </c>
      <c r="C11" s="50">
        <v>31</v>
      </c>
      <c r="D11" s="50">
        <v>4</v>
      </c>
      <c r="E11" s="50">
        <v>1</v>
      </c>
      <c r="F11" s="50">
        <v>30</v>
      </c>
      <c r="G11" s="50">
        <v>0</v>
      </c>
      <c r="H11" s="50">
        <v>1</v>
      </c>
      <c r="I11" s="50">
        <v>1</v>
      </c>
      <c r="J11" s="50">
        <v>4</v>
      </c>
      <c r="K11" s="50">
        <v>0</v>
      </c>
      <c r="L11" s="50">
        <v>0</v>
      </c>
      <c r="M11" s="50">
        <v>122</v>
      </c>
      <c r="N11" s="50">
        <v>0</v>
      </c>
      <c r="O11" s="15">
        <f t="shared" si="0"/>
        <v>72</v>
      </c>
      <c r="P11" s="15">
        <f t="shared" si="1"/>
        <v>194</v>
      </c>
      <c r="R11" s="1" t="s">
        <v>7</v>
      </c>
      <c r="S11" s="17">
        <f t="shared" ref="S11:AF11" si="3">SUM(C14:C17)</f>
        <v>74</v>
      </c>
      <c r="T11" s="17">
        <f t="shared" si="3"/>
        <v>13</v>
      </c>
      <c r="U11" s="17">
        <f t="shared" si="3"/>
        <v>9</v>
      </c>
      <c r="V11" s="17">
        <f t="shared" si="3"/>
        <v>67</v>
      </c>
      <c r="W11" s="17">
        <f t="shared" si="3"/>
        <v>3</v>
      </c>
      <c r="X11" s="17">
        <f t="shared" si="3"/>
        <v>2</v>
      </c>
      <c r="Y11" s="17">
        <f t="shared" si="3"/>
        <v>6</v>
      </c>
      <c r="Z11" s="17">
        <f t="shared" si="3"/>
        <v>9</v>
      </c>
      <c r="AA11" s="17">
        <f t="shared" si="3"/>
        <v>2</v>
      </c>
      <c r="AB11" s="17">
        <f t="shared" si="3"/>
        <v>2</v>
      </c>
      <c r="AC11" s="17">
        <f t="shared" si="3"/>
        <v>741</v>
      </c>
      <c r="AD11" s="17">
        <f t="shared" si="3"/>
        <v>0</v>
      </c>
      <c r="AE11" s="31">
        <f t="shared" si="3"/>
        <v>187</v>
      </c>
      <c r="AF11" s="31">
        <f t="shared" si="3"/>
        <v>928</v>
      </c>
    </row>
    <row r="12" spans="2:32" ht="23.1" customHeight="1" x14ac:dyDescent="0.25">
      <c r="B12" s="23" t="s">
        <v>39</v>
      </c>
      <c r="C12" s="50">
        <v>28</v>
      </c>
      <c r="D12" s="50">
        <v>4</v>
      </c>
      <c r="E12" s="50">
        <v>2</v>
      </c>
      <c r="F12" s="50">
        <v>17</v>
      </c>
      <c r="G12" s="50">
        <v>0</v>
      </c>
      <c r="H12" s="50">
        <v>1</v>
      </c>
      <c r="I12" s="50">
        <v>0</v>
      </c>
      <c r="J12" s="50">
        <v>2</v>
      </c>
      <c r="K12" s="50">
        <v>0</v>
      </c>
      <c r="L12" s="50">
        <v>0</v>
      </c>
      <c r="M12" s="50">
        <v>173</v>
      </c>
      <c r="N12" s="50">
        <v>0</v>
      </c>
      <c r="O12" s="15">
        <f t="shared" si="0"/>
        <v>54</v>
      </c>
      <c r="P12" s="15">
        <f t="shared" si="1"/>
        <v>227</v>
      </c>
      <c r="R12" s="1" t="s">
        <v>8</v>
      </c>
      <c r="S12" s="17">
        <f t="shared" ref="S12:AF12" si="4">SUM(C18:C21)</f>
        <v>80</v>
      </c>
      <c r="T12" s="17">
        <f t="shared" si="4"/>
        <v>22</v>
      </c>
      <c r="U12" s="17">
        <f t="shared" si="4"/>
        <v>7</v>
      </c>
      <c r="V12" s="17">
        <f t="shared" si="4"/>
        <v>68</v>
      </c>
      <c r="W12" s="17">
        <f t="shared" si="4"/>
        <v>1</v>
      </c>
      <c r="X12" s="17">
        <f t="shared" si="4"/>
        <v>0</v>
      </c>
      <c r="Y12" s="17">
        <f t="shared" si="4"/>
        <v>6</v>
      </c>
      <c r="Z12" s="17">
        <f t="shared" si="4"/>
        <v>21</v>
      </c>
      <c r="AA12" s="17">
        <f t="shared" si="4"/>
        <v>1</v>
      </c>
      <c r="AB12" s="17">
        <f t="shared" si="4"/>
        <v>169</v>
      </c>
      <c r="AC12" s="17">
        <f t="shared" si="4"/>
        <v>544</v>
      </c>
      <c r="AD12" s="17">
        <f t="shared" si="4"/>
        <v>0</v>
      </c>
      <c r="AE12" s="31">
        <f t="shared" si="4"/>
        <v>375</v>
      </c>
      <c r="AF12" s="31">
        <f t="shared" si="4"/>
        <v>919</v>
      </c>
    </row>
    <row r="13" spans="2:32" ht="23.1" customHeight="1" x14ac:dyDescent="0.25">
      <c r="B13" s="23" t="s">
        <v>40</v>
      </c>
      <c r="C13" s="50">
        <v>38</v>
      </c>
      <c r="D13" s="50">
        <v>4</v>
      </c>
      <c r="E13" s="50">
        <v>2</v>
      </c>
      <c r="F13" s="50">
        <v>29</v>
      </c>
      <c r="G13" s="50">
        <v>1</v>
      </c>
      <c r="H13" s="50">
        <v>0</v>
      </c>
      <c r="I13" s="50">
        <v>1</v>
      </c>
      <c r="J13" s="50">
        <v>3</v>
      </c>
      <c r="K13" s="50">
        <v>0</v>
      </c>
      <c r="L13" s="50">
        <v>0</v>
      </c>
      <c r="M13" s="50">
        <v>150</v>
      </c>
      <c r="N13" s="50">
        <v>0</v>
      </c>
      <c r="O13" s="15">
        <f t="shared" si="0"/>
        <v>78</v>
      </c>
      <c r="P13" s="15">
        <f t="shared" si="1"/>
        <v>228</v>
      </c>
      <c r="R13" s="1" t="s">
        <v>9</v>
      </c>
      <c r="S13" s="17">
        <f t="shared" ref="S13:AF13" si="5">SUM(C22:C25)</f>
        <v>113</v>
      </c>
      <c r="T13" s="17">
        <f t="shared" si="5"/>
        <v>18</v>
      </c>
      <c r="U13" s="17">
        <f t="shared" si="5"/>
        <v>18</v>
      </c>
      <c r="V13" s="17">
        <f t="shared" si="5"/>
        <v>74</v>
      </c>
      <c r="W13" s="17">
        <f t="shared" si="5"/>
        <v>1</v>
      </c>
      <c r="X13" s="17">
        <f t="shared" si="5"/>
        <v>0</v>
      </c>
      <c r="Y13" s="17">
        <f t="shared" si="5"/>
        <v>15</v>
      </c>
      <c r="Z13" s="17">
        <f t="shared" si="5"/>
        <v>13</v>
      </c>
      <c r="AA13" s="17">
        <f t="shared" si="5"/>
        <v>2</v>
      </c>
      <c r="AB13" s="17">
        <f t="shared" si="5"/>
        <v>0</v>
      </c>
      <c r="AC13" s="17">
        <f t="shared" si="5"/>
        <v>573</v>
      </c>
      <c r="AD13" s="17">
        <f t="shared" si="5"/>
        <v>0</v>
      </c>
      <c r="AE13" s="31">
        <f t="shared" si="5"/>
        <v>254</v>
      </c>
      <c r="AF13" s="31">
        <f t="shared" si="5"/>
        <v>827</v>
      </c>
    </row>
    <row r="14" spans="2:32" ht="23.1" customHeight="1" x14ac:dyDescent="0.25">
      <c r="B14" s="23" t="s">
        <v>41</v>
      </c>
      <c r="C14" s="50">
        <v>15</v>
      </c>
      <c r="D14" s="50">
        <v>2</v>
      </c>
      <c r="E14" s="50">
        <v>3</v>
      </c>
      <c r="F14" s="50">
        <v>13</v>
      </c>
      <c r="G14" s="50">
        <v>1</v>
      </c>
      <c r="H14" s="50">
        <v>0</v>
      </c>
      <c r="I14" s="50">
        <v>1</v>
      </c>
      <c r="J14" s="50">
        <v>3</v>
      </c>
      <c r="K14" s="50">
        <v>0</v>
      </c>
      <c r="L14" s="50">
        <v>1</v>
      </c>
      <c r="M14" s="50">
        <v>207</v>
      </c>
      <c r="N14" s="50">
        <v>0</v>
      </c>
      <c r="O14" s="15">
        <f t="shared" si="0"/>
        <v>39</v>
      </c>
      <c r="P14" s="15">
        <f t="shared" si="1"/>
        <v>246</v>
      </c>
      <c r="R14" s="1" t="s">
        <v>10</v>
      </c>
      <c r="S14" s="17">
        <f t="shared" ref="S14:AF14" si="6">SUM(C26:C29)</f>
        <v>115</v>
      </c>
      <c r="T14" s="17">
        <f t="shared" si="6"/>
        <v>30</v>
      </c>
      <c r="U14" s="17">
        <f t="shared" si="6"/>
        <v>22</v>
      </c>
      <c r="V14" s="17">
        <f t="shared" si="6"/>
        <v>53</v>
      </c>
      <c r="W14" s="17">
        <f t="shared" si="6"/>
        <v>2</v>
      </c>
      <c r="X14" s="17">
        <f t="shared" si="6"/>
        <v>1</v>
      </c>
      <c r="Y14" s="17">
        <f t="shared" si="6"/>
        <v>13</v>
      </c>
      <c r="Z14" s="17">
        <f t="shared" si="6"/>
        <v>18</v>
      </c>
      <c r="AA14" s="17">
        <f t="shared" si="6"/>
        <v>3</v>
      </c>
      <c r="AB14" s="17">
        <f t="shared" si="6"/>
        <v>3</v>
      </c>
      <c r="AC14" s="17">
        <f t="shared" si="6"/>
        <v>656</v>
      </c>
      <c r="AD14" s="17">
        <f t="shared" si="6"/>
        <v>0</v>
      </c>
      <c r="AE14" s="31">
        <f t="shared" si="6"/>
        <v>260</v>
      </c>
      <c r="AF14" s="31">
        <f t="shared" si="6"/>
        <v>916</v>
      </c>
    </row>
    <row r="15" spans="2:32" ht="23.1" customHeight="1" x14ac:dyDescent="0.25">
      <c r="B15" s="23" t="s">
        <v>42</v>
      </c>
      <c r="C15" s="50">
        <v>20</v>
      </c>
      <c r="D15" s="50">
        <v>5</v>
      </c>
      <c r="E15" s="50">
        <v>1</v>
      </c>
      <c r="F15" s="50">
        <v>18</v>
      </c>
      <c r="G15" s="50">
        <v>1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199</v>
      </c>
      <c r="N15" s="50">
        <v>0</v>
      </c>
      <c r="O15" s="15">
        <f t="shared" si="0"/>
        <v>46</v>
      </c>
      <c r="P15" s="15">
        <f t="shared" si="1"/>
        <v>245</v>
      </c>
      <c r="R15" s="1" t="s">
        <v>11</v>
      </c>
      <c r="S15" s="17">
        <f t="shared" ref="S15:AF15" si="7">SUM(C30:C33)</f>
        <v>111</v>
      </c>
      <c r="T15" s="17">
        <f t="shared" si="7"/>
        <v>26</v>
      </c>
      <c r="U15" s="17">
        <f t="shared" si="7"/>
        <v>15</v>
      </c>
      <c r="V15" s="17">
        <f t="shared" si="7"/>
        <v>69</v>
      </c>
      <c r="W15" s="17">
        <f t="shared" si="7"/>
        <v>4</v>
      </c>
      <c r="X15" s="17">
        <f t="shared" si="7"/>
        <v>1</v>
      </c>
      <c r="Y15" s="17">
        <f t="shared" si="7"/>
        <v>14</v>
      </c>
      <c r="Z15" s="17">
        <f t="shared" si="7"/>
        <v>23</v>
      </c>
      <c r="AA15" s="17">
        <f t="shared" si="7"/>
        <v>4</v>
      </c>
      <c r="AB15" s="17">
        <f t="shared" si="7"/>
        <v>2</v>
      </c>
      <c r="AC15" s="17">
        <f t="shared" si="7"/>
        <v>465</v>
      </c>
      <c r="AD15" s="17">
        <f t="shared" si="7"/>
        <v>0</v>
      </c>
      <c r="AE15" s="31">
        <f t="shared" si="7"/>
        <v>269</v>
      </c>
      <c r="AF15" s="31">
        <f t="shared" si="7"/>
        <v>734</v>
      </c>
    </row>
    <row r="16" spans="2:32" ht="23.1" customHeight="1" x14ac:dyDescent="0.25">
      <c r="B16" s="23" t="s">
        <v>43</v>
      </c>
      <c r="C16" s="50">
        <v>17</v>
      </c>
      <c r="D16" s="50">
        <v>6</v>
      </c>
      <c r="E16" s="50">
        <v>1</v>
      </c>
      <c r="F16" s="50">
        <v>22</v>
      </c>
      <c r="G16" s="50">
        <v>0</v>
      </c>
      <c r="H16" s="50">
        <v>2</v>
      </c>
      <c r="I16" s="50">
        <v>3</v>
      </c>
      <c r="J16" s="50">
        <v>4</v>
      </c>
      <c r="K16" s="50">
        <v>1</v>
      </c>
      <c r="L16" s="50">
        <v>1</v>
      </c>
      <c r="M16" s="50">
        <v>150</v>
      </c>
      <c r="N16" s="50">
        <v>0</v>
      </c>
      <c r="O16" s="15">
        <f t="shared" si="0"/>
        <v>57</v>
      </c>
      <c r="P16" s="15">
        <f t="shared" si="1"/>
        <v>207</v>
      </c>
      <c r="R16" s="1" t="s">
        <v>12</v>
      </c>
      <c r="S16" s="17">
        <f t="shared" ref="S16:AF16" si="8">SUM(C34:C37)</f>
        <v>119</v>
      </c>
      <c r="T16" s="17">
        <f t="shared" si="8"/>
        <v>21</v>
      </c>
      <c r="U16" s="17">
        <f t="shared" si="8"/>
        <v>13</v>
      </c>
      <c r="V16" s="17">
        <f t="shared" si="8"/>
        <v>63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21</v>
      </c>
      <c r="AA16" s="17">
        <f t="shared" si="8"/>
        <v>1</v>
      </c>
      <c r="AB16" s="17">
        <f t="shared" si="8"/>
        <v>3</v>
      </c>
      <c r="AC16" s="17">
        <f t="shared" si="8"/>
        <v>504</v>
      </c>
      <c r="AD16" s="17">
        <f t="shared" si="8"/>
        <v>0</v>
      </c>
      <c r="AE16" s="31">
        <f t="shared" si="8"/>
        <v>255</v>
      </c>
      <c r="AF16" s="31">
        <f t="shared" si="8"/>
        <v>759</v>
      </c>
    </row>
    <row r="17" spans="2:32" ht="23.1" customHeight="1" x14ac:dyDescent="0.25">
      <c r="B17" s="23" t="s">
        <v>44</v>
      </c>
      <c r="C17" s="50">
        <v>22</v>
      </c>
      <c r="D17" s="50">
        <v>0</v>
      </c>
      <c r="E17" s="50">
        <v>4</v>
      </c>
      <c r="F17" s="50">
        <v>14</v>
      </c>
      <c r="G17" s="50">
        <v>1</v>
      </c>
      <c r="H17" s="50">
        <v>0</v>
      </c>
      <c r="I17" s="50">
        <v>2</v>
      </c>
      <c r="J17" s="50">
        <v>1</v>
      </c>
      <c r="K17" s="50">
        <v>1</v>
      </c>
      <c r="L17" s="50">
        <v>0</v>
      </c>
      <c r="M17" s="50">
        <v>185</v>
      </c>
      <c r="N17" s="50">
        <v>0</v>
      </c>
      <c r="O17" s="15">
        <f t="shared" si="0"/>
        <v>45</v>
      </c>
      <c r="P17" s="15">
        <f t="shared" si="1"/>
        <v>230</v>
      </c>
      <c r="R17" s="1" t="s">
        <v>13</v>
      </c>
      <c r="S17" s="17">
        <f t="shared" ref="S17:AF17" si="9">SUM(C38:C41)</f>
        <v>115</v>
      </c>
      <c r="T17" s="17">
        <f t="shared" si="9"/>
        <v>15</v>
      </c>
      <c r="U17" s="17">
        <f t="shared" si="9"/>
        <v>21</v>
      </c>
      <c r="V17" s="17">
        <f t="shared" si="9"/>
        <v>53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10</v>
      </c>
      <c r="AA17" s="17">
        <f t="shared" si="9"/>
        <v>3</v>
      </c>
      <c r="AB17" s="17">
        <f t="shared" si="9"/>
        <v>3</v>
      </c>
      <c r="AC17" s="17">
        <f t="shared" si="9"/>
        <v>529</v>
      </c>
      <c r="AD17" s="17">
        <f t="shared" si="9"/>
        <v>0</v>
      </c>
      <c r="AE17" s="31">
        <f t="shared" si="9"/>
        <v>228</v>
      </c>
      <c r="AF17" s="31">
        <f t="shared" si="9"/>
        <v>757</v>
      </c>
    </row>
    <row r="18" spans="2:32" ht="23.1" customHeight="1" x14ac:dyDescent="0.25">
      <c r="B18" s="23" t="s">
        <v>45</v>
      </c>
      <c r="C18" s="50">
        <v>25</v>
      </c>
      <c r="D18" s="50">
        <v>4</v>
      </c>
      <c r="E18" s="50">
        <v>2</v>
      </c>
      <c r="F18" s="50">
        <v>15</v>
      </c>
      <c r="G18" s="50">
        <v>0</v>
      </c>
      <c r="H18" s="50">
        <v>0</v>
      </c>
      <c r="I18" s="50">
        <v>3</v>
      </c>
      <c r="J18" s="50">
        <v>4</v>
      </c>
      <c r="K18" s="50">
        <v>0</v>
      </c>
      <c r="L18" s="50">
        <v>2</v>
      </c>
      <c r="M18" s="50">
        <v>210</v>
      </c>
      <c r="N18" s="50">
        <v>0</v>
      </c>
      <c r="O18" s="15">
        <f t="shared" si="0"/>
        <v>55</v>
      </c>
      <c r="P18" s="15">
        <f t="shared" si="1"/>
        <v>265</v>
      </c>
      <c r="R18" s="1" t="s">
        <v>14</v>
      </c>
      <c r="S18" s="17">
        <f t="shared" ref="S18:AF18" si="10">SUM(C42:C45)</f>
        <v>158</v>
      </c>
      <c r="T18" s="17">
        <f t="shared" si="10"/>
        <v>25</v>
      </c>
      <c r="U18" s="17">
        <f t="shared" si="10"/>
        <v>10</v>
      </c>
      <c r="V18" s="17">
        <f t="shared" si="10"/>
        <v>46</v>
      </c>
      <c r="W18" s="17">
        <f t="shared" si="10"/>
        <v>0</v>
      </c>
      <c r="X18" s="17">
        <f t="shared" si="10"/>
        <v>1</v>
      </c>
      <c r="Y18" s="17">
        <f t="shared" si="10"/>
        <v>18</v>
      </c>
      <c r="Z18" s="17">
        <f t="shared" si="10"/>
        <v>19</v>
      </c>
      <c r="AA18" s="17">
        <f t="shared" si="10"/>
        <v>6</v>
      </c>
      <c r="AB18" s="17">
        <f t="shared" si="10"/>
        <v>1</v>
      </c>
      <c r="AC18" s="17">
        <f t="shared" si="10"/>
        <v>584</v>
      </c>
      <c r="AD18" s="17">
        <f t="shared" si="10"/>
        <v>0</v>
      </c>
      <c r="AE18" s="31">
        <f t="shared" si="10"/>
        <v>284</v>
      </c>
      <c r="AF18" s="31">
        <f t="shared" si="10"/>
        <v>868</v>
      </c>
    </row>
    <row r="19" spans="2:32" ht="23.1" customHeight="1" x14ac:dyDescent="0.25">
      <c r="B19" s="23" t="s">
        <v>46</v>
      </c>
      <c r="C19" s="50">
        <v>15</v>
      </c>
      <c r="D19" s="50">
        <v>13</v>
      </c>
      <c r="E19" s="50">
        <v>1</v>
      </c>
      <c r="F19" s="50">
        <v>24</v>
      </c>
      <c r="G19" s="50">
        <v>0</v>
      </c>
      <c r="H19" s="50">
        <v>0</v>
      </c>
      <c r="I19" s="50">
        <v>1</v>
      </c>
      <c r="J19" s="50">
        <v>7</v>
      </c>
      <c r="K19" s="50">
        <v>0</v>
      </c>
      <c r="L19" s="50">
        <v>0</v>
      </c>
      <c r="M19" s="50">
        <v>164</v>
      </c>
      <c r="N19" s="50">
        <v>0</v>
      </c>
      <c r="O19" s="15">
        <f t="shared" si="0"/>
        <v>61</v>
      </c>
      <c r="P19" s="15">
        <f t="shared" si="1"/>
        <v>225</v>
      </c>
      <c r="R19" s="1" t="s">
        <v>15</v>
      </c>
      <c r="S19" s="17">
        <f t="shared" ref="S19:AF19" si="11">SUM(C46:C49)</f>
        <v>199</v>
      </c>
      <c r="T19" s="17">
        <f t="shared" si="11"/>
        <v>26</v>
      </c>
      <c r="U19" s="17">
        <f t="shared" si="11"/>
        <v>19</v>
      </c>
      <c r="V19" s="17">
        <f t="shared" si="11"/>
        <v>50</v>
      </c>
      <c r="W19" s="17">
        <f t="shared" si="11"/>
        <v>2</v>
      </c>
      <c r="X19" s="17">
        <f t="shared" si="11"/>
        <v>1</v>
      </c>
      <c r="Y19" s="17">
        <f t="shared" si="11"/>
        <v>15</v>
      </c>
      <c r="Z19" s="17">
        <f t="shared" si="11"/>
        <v>10</v>
      </c>
      <c r="AA19" s="17">
        <f t="shared" si="11"/>
        <v>4</v>
      </c>
      <c r="AB19" s="17">
        <f t="shared" si="11"/>
        <v>5</v>
      </c>
      <c r="AC19" s="17">
        <f t="shared" si="11"/>
        <v>585</v>
      </c>
      <c r="AD19" s="17">
        <f t="shared" si="11"/>
        <v>0</v>
      </c>
      <c r="AE19" s="31">
        <f t="shared" si="11"/>
        <v>331</v>
      </c>
      <c r="AF19" s="31">
        <f t="shared" si="11"/>
        <v>916</v>
      </c>
    </row>
    <row r="20" spans="2:32" ht="23.1" customHeight="1" x14ac:dyDescent="0.25">
      <c r="B20" s="23" t="s">
        <v>47</v>
      </c>
      <c r="C20" s="50">
        <v>20</v>
      </c>
      <c r="D20" s="50">
        <v>0</v>
      </c>
      <c r="E20" s="50">
        <v>2</v>
      </c>
      <c r="F20" s="50">
        <v>12</v>
      </c>
      <c r="G20" s="50">
        <v>0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170</v>
      </c>
      <c r="N20" s="50">
        <v>0</v>
      </c>
      <c r="O20" s="15">
        <f t="shared" si="0"/>
        <v>39</v>
      </c>
      <c r="P20" s="15">
        <f t="shared" si="1"/>
        <v>209</v>
      </c>
      <c r="R20" s="1" t="s">
        <v>16</v>
      </c>
      <c r="S20" s="17">
        <f t="shared" ref="S20:AF20" si="12">SUM(C50:C53)</f>
        <v>294</v>
      </c>
      <c r="T20" s="17">
        <f t="shared" si="12"/>
        <v>39</v>
      </c>
      <c r="U20" s="17">
        <f t="shared" si="12"/>
        <v>11</v>
      </c>
      <c r="V20" s="17">
        <f t="shared" si="12"/>
        <v>45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14</v>
      </c>
      <c r="AA20" s="17">
        <f t="shared" si="12"/>
        <v>3</v>
      </c>
      <c r="AB20" s="17">
        <f t="shared" si="12"/>
        <v>2</v>
      </c>
      <c r="AC20" s="17">
        <f t="shared" si="12"/>
        <v>702</v>
      </c>
      <c r="AD20" s="17">
        <f t="shared" si="12"/>
        <v>0</v>
      </c>
      <c r="AE20" s="31">
        <f t="shared" si="12"/>
        <v>419</v>
      </c>
      <c r="AF20" s="31">
        <f t="shared" si="12"/>
        <v>1121</v>
      </c>
    </row>
    <row r="21" spans="2:32" ht="23.1" customHeight="1" x14ac:dyDescent="0.25">
      <c r="B21" s="23" t="s">
        <v>48</v>
      </c>
      <c r="C21" s="50">
        <v>20</v>
      </c>
      <c r="D21" s="50">
        <v>5</v>
      </c>
      <c r="E21" s="50">
        <v>2</v>
      </c>
      <c r="F21" s="50">
        <v>17</v>
      </c>
      <c r="G21" s="50">
        <v>1</v>
      </c>
      <c r="H21" s="50">
        <v>0</v>
      </c>
      <c r="I21" s="50">
        <v>0</v>
      </c>
      <c r="J21" s="50">
        <v>7</v>
      </c>
      <c r="K21" s="50">
        <v>1</v>
      </c>
      <c r="L21" s="50">
        <v>167</v>
      </c>
      <c r="M21" s="50">
        <v>0</v>
      </c>
      <c r="N21" s="50">
        <v>0</v>
      </c>
      <c r="O21" s="15">
        <f t="shared" si="0"/>
        <v>220</v>
      </c>
      <c r="P21" s="15">
        <f t="shared" si="1"/>
        <v>220</v>
      </c>
      <c r="R21" s="36" t="s">
        <v>20</v>
      </c>
      <c r="S21" s="34">
        <f t="shared" ref="S21:AF21" si="13">SUM(C54:C57)</f>
        <v>233</v>
      </c>
      <c r="T21" s="17">
        <f t="shared" si="13"/>
        <v>64</v>
      </c>
      <c r="U21" s="17">
        <f t="shared" si="13"/>
        <v>15</v>
      </c>
      <c r="V21" s="17">
        <f t="shared" si="13"/>
        <v>21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14</v>
      </c>
      <c r="AA21" s="17">
        <f t="shared" si="13"/>
        <v>1</v>
      </c>
      <c r="AB21" s="17">
        <f t="shared" si="13"/>
        <v>2</v>
      </c>
      <c r="AC21" s="17">
        <f t="shared" si="13"/>
        <v>547</v>
      </c>
      <c r="AD21" s="17">
        <f t="shared" si="13"/>
        <v>0</v>
      </c>
      <c r="AE21" s="31">
        <f t="shared" si="13"/>
        <v>363</v>
      </c>
      <c r="AF21" s="31">
        <f t="shared" si="13"/>
        <v>910</v>
      </c>
    </row>
    <row r="22" spans="2:32" ht="23.1" customHeight="1" x14ac:dyDescent="0.25">
      <c r="B22" s="23" t="s">
        <v>49</v>
      </c>
      <c r="C22" s="50">
        <v>32</v>
      </c>
      <c r="D22" s="50">
        <v>6</v>
      </c>
      <c r="E22" s="50">
        <v>5</v>
      </c>
      <c r="F22" s="50">
        <v>20</v>
      </c>
      <c r="G22" s="50">
        <v>1</v>
      </c>
      <c r="H22" s="50">
        <v>0</v>
      </c>
      <c r="I22" s="50">
        <v>0</v>
      </c>
      <c r="J22" s="50">
        <v>6</v>
      </c>
      <c r="K22" s="50">
        <v>0</v>
      </c>
      <c r="L22" s="50">
        <v>0</v>
      </c>
      <c r="M22" s="50">
        <v>203</v>
      </c>
      <c r="N22" s="50">
        <v>0</v>
      </c>
      <c r="O22" s="15">
        <f t="shared" si="0"/>
        <v>70</v>
      </c>
      <c r="P22" s="15">
        <f t="shared" si="1"/>
        <v>273</v>
      </c>
      <c r="R22" s="38" t="s">
        <v>90</v>
      </c>
      <c r="S22" s="39">
        <f>MAX(S10:S12)</f>
        <v>130</v>
      </c>
      <c r="T22" s="39">
        <f t="shared" ref="T22:AF22" si="14">MAX(T10:T12)</f>
        <v>22</v>
      </c>
      <c r="U22" s="39">
        <f t="shared" si="14"/>
        <v>9</v>
      </c>
      <c r="V22" s="39">
        <f t="shared" si="14"/>
        <v>108</v>
      </c>
      <c r="W22" s="39">
        <f t="shared" si="14"/>
        <v>3</v>
      </c>
      <c r="X22" s="39">
        <f t="shared" si="14"/>
        <v>2</v>
      </c>
      <c r="Y22" s="39">
        <f t="shared" si="14"/>
        <v>6</v>
      </c>
      <c r="Z22" s="39">
        <f t="shared" si="14"/>
        <v>21</v>
      </c>
      <c r="AA22" s="39">
        <f t="shared" si="14"/>
        <v>2</v>
      </c>
      <c r="AB22" s="39">
        <f t="shared" si="14"/>
        <v>169</v>
      </c>
      <c r="AC22" s="39">
        <f t="shared" si="14"/>
        <v>741</v>
      </c>
      <c r="AD22" s="39">
        <f t="shared" si="14"/>
        <v>0</v>
      </c>
      <c r="AE22" s="40">
        <f t="shared" si="14"/>
        <v>375</v>
      </c>
      <c r="AF22" s="40">
        <f t="shared" si="14"/>
        <v>928</v>
      </c>
    </row>
    <row r="23" spans="2:32" ht="23.1" customHeight="1" x14ac:dyDescent="0.25">
      <c r="B23" s="23" t="s">
        <v>50</v>
      </c>
      <c r="C23" s="50">
        <v>23</v>
      </c>
      <c r="D23" s="50">
        <v>9</v>
      </c>
      <c r="E23" s="50">
        <v>3</v>
      </c>
      <c r="F23" s="50">
        <v>20</v>
      </c>
      <c r="G23" s="50">
        <v>0</v>
      </c>
      <c r="H23" s="50">
        <v>0</v>
      </c>
      <c r="I23" s="50">
        <v>5</v>
      </c>
      <c r="J23" s="50">
        <v>3</v>
      </c>
      <c r="K23" s="50">
        <v>2</v>
      </c>
      <c r="L23" s="50">
        <v>0</v>
      </c>
      <c r="M23" s="50">
        <v>145</v>
      </c>
      <c r="N23" s="50">
        <v>0</v>
      </c>
      <c r="O23" s="15">
        <f t="shared" si="0"/>
        <v>65</v>
      </c>
      <c r="P23" s="15">
        <f t="shared" si="1"/>
        <v>210</v>
      </c>
      <c r="R23" s="38" t="s">
        <v>91</v>
      </c>
      <c r="S23" s="39">
        <f>MAX(S13:S18)</f>
        <v>158</v>
      </c>
      <c r="T23" s="39">
        <f t="shared" ref="T23:AF23" si="15">MAX(T13:T18)</f>
        <v>30</v>
      </c>
      <c r="U23" s="39">
        <f t="shared" si="15"/>
        <v>22</v>
      </c>
      <c r="V23" s="39">
        <f t="shared" si="15"/>
        <v>74</v>
      </c>
      <c r="W23" s="39">
        <f t="shared" si="15"/>
        <v>4</v>
      </c>
      <c r="X23" s="39">
        <f t="shared" si="15"/>
        <v>1</v>
      </c>
      <c r="Y23" s="39">
        <f t="shared" si="15"/>
        <v>18</v>
      </c>
      <c r="Z23" s="39">
        <f t="shared" si="15"/>
        <v>23</v>
      </c>
      <c r="AA23" s="39">
        <f t="shared" si="15"/>
        <v>6</v>
      </c>
      <c r="AB23" s="39">
        <f t="shared" si="15"/>
        <v>3</v>
      </c>
      <c r="AC23" s="39">
        <f t="shared" si="15"/>
        <v>656</v>
      </c>
      <c r="AD23" s="39">
        <f t="shared" si="15"/>
        <v>0</v>
      </c>
      <c r="AE23" s="40">
        <f t="shared" si="15"/>
        <v>284</v>
      </c>
      <c r="AF23" s="40">
        <f t="shared" si="15"/>
        <v>916</v>
      </c>
    </row>
    <row r="24" spans="2:32" ht="23.1" customHeight="1" x14ac:dyDescent="0.25">
      <c r="B24" s="23" t="s">
        <v>51</v>
      </c>
      <c r="C24" s="50">
        <v>26</v>
      </c>
      <c r="D24" s="50">
        <v>1</v>
      </c>
      <c r="E24" s="50">
        <v>4</v>
      </c>
      <c r="F24" s="50">
        <v>16</v>
      </c>
      <c r="G24" s="50">
        <v>0</v>
      </c>
      <c r="H24" s="50">
        <v>0</v>
      </c>
      <c r="I24" s="50">
        <v>4</v>
      </c>
      <c r="J24" s="50">
        <v>2</v>
      </c>
      <c r="K24" s="50">
        <v>0</v>
      </c>
      <c r="L24" s="50">
        <v>0</v>
      </c>
      <c r="M24" s="50">
        <v>123</v>
      </c>
      <c r="N24" s="50">
        <v>0</v>
      </c>
      <c r="O24" s="15">
        <f t="shared" si="0"/>
        <v>53</v>
      </c>
      <c r="P24" s="15">
        <f t="shared" si="1"/>
        <v>176</v>
      </c>
      <c r="R24" s="38" t="s">
        <v>92</v>
      </c>
      <c r="S24" s="39">
        <f>MAX(S19:S21)</f>
        <v>294</v>
      </c>
      <c r="T24" s="39">
        <f t="shared" ref="T24:AF24" si="16">MAX(T19:T21)</f>
        <v>64</v>
      </c>
      <c r="U24" s="39">
        <f t="shared" si="16"/>
        <v>19</v>
      </c>
      <c r="V24" s="39">
        <f t="shared" si="16"/>
        <v>50</v>
      </c>
      <c r="W24" s="39">
        <f t="shared" si="16"/>
        <v>2</v>
      </c>
      <c r="X24" s="39">
        <f t="shared" si="16"/>
        <v>1</v>
      </c>
      <c r="Y24" s="39">
        <f t="shared" si="16"/>
        <v>15</v>
      </c>
      <c r="Z24" s="39">
        <f t="shared" si="16"/>
        <v>14</v>
      </c>
      <c r="AA24" s="39">
        <f t="shared" si="16"/>
        <v>4</v>
      </c>
      <c r="AB24" s="39">
        <f t="shared" si="16"/>
        <v>5</v>
      </c>
      <c r="AC24" s="39">
        <f t="shared" si="16"/>
        <v>702</v>
      </c>
      <c r="AD24" s="39">
        <f t="shared" si="16"/>
        <v>0</v>
      </c>
      <c r="AE24" s="40">
        <f t="shared" si="16"/>
        <v>419</v>
      </c>
      <c r="AF24" s="40">
        <f t="shared" si="16"/>
        <v>1121</v>
      </c>
    </row>
    <row r="25" spans="2:32" ht="23.1" customHeight="1" x14ac:dyDescent="0.25">
      <c r="B25" s="23" t="s">
        <v>52</v>
      </c>
      <c r="C25" s="50">
        <v>32</v>
      </c>
      <c r="D25" s="50">
        <v>2</v>
      </c>
      <c r="E25" s="50">
        <v>6</v>
      </c>
      <c r="F25" s="50">
        <v>18</v>
      </c>
      <c r="G25" s="50">
        <v>0</v>
      </c>
      <c r="H25" s="50">
        <v>0</v>
      </c>
      <c r="I25" s="50">
        <v>6</v>
      </c>
      <c r="J25" s="50">
        <v>2</v>
      </c>
      <c r="K25" s="50">
        <v>0</v>
      </c>
      <c r="L25" s="50">
        <v>0</v>
      </c>
      <c r="M25" s="50">
        <v>102</v>
      </c>
      <c r="N25" s="50">
        <v>0</v>
      </c>
      <c r="O25" s="15">
        <f t="shared" si="0"/>
        <v>66</v>
      </c>
      <c r="P25" s="15">
        <f t="shared" si="1"/>
        <v>168</v>
      </c>
      <c r="R25" s="37" t="s">
        <v>85</v>
      </c>
      <c r="S25" s="35">
        <f t="shared" ref="S25:AF25" si="17">SUM(S10:S12)</f>
        <v>284</v>
      </c>
      <c r="T25" s="16">
        <f t="shared" si="17"/>
        <v>53</v>
      </c>
      <c r="U25" s="16">
        <f t="shared" si="17"/>
        <v>25</v>
      </c>
      <c r="V25" s="16">
        <f t="shared" si="17"/>
        <v>243</v>
      </c>
      <c r="W25" s="16">
        <f t="shared" si="17"/>
        <v>5</v>
      </c>
      <c r="X25" s="16">
        <f t="shared" si="17"/>
        <v>4</v>
      </c>
      <c r="Y25" s="16">
        <f t="shared" si="17"/>
        <v>14</v>
      </c>
      <c r="Z25" s="16">
        <f t="shared" si="17"/>
        <v>39</v>
      </c>
      <c r="AA25" s="16">
        <f t="shared" si="17"/>
        <v>3</v>
      </c>
      <c r="AB25" s="16">
        <f t="shared" si="17"/>
        <v>171</v>
      </c>
      <c r="AC25" s="16">
        <f t="shared" si="17"/>
        <v>1815</v>
      </c>
      <c r="AD25" s="16">
        <f t="shared" si="17"/>
        <v>0</v>
      </c>
      <c r="AE25" s="32">
        <f t="shared" si="17"/>
        <v>841</v>
      </c>
      <c r="AF25" s="32">
        <f t="shared" si="17"/>
        <v>2656</v>
      </c>
    </row>
    <row r="26" spans="2:32" ht="23.1" customHeight="1" x14ac:dyDescent="0.25">
      <c r="B26" s="23" t="s">
        <v>53</v>
      </c>
      <c r="C26" s="50">
        <v>28</v>
      </c>
      <c r="D26" s="50">
        <v>7</v>
      </c>
      <c r="E26" s="50">
        <v>4</v>
      </c>
      <c r="F26" s="50">
        <v>13</v>
      </c>
      <c r="G26" s="50">
        <v>0</v>
      </c>
      <c r="H26" s="50">
        <v>1</v>
      </c>
      <c r="I26" s="50">
        <v>5</v>
      </c>
      <c r="J26" s="50">
        <v>8</v>
      </c>
      <c r="K26" s="50">
        <v>2</v>
      </c>
      <c r="L26" s="50">
        <v>2</v>
      </c>
      <c r="M26" s="50">
        <v>111</v>
      </c>
      <c r="N26" s="50">
        <v>0</v>
      </c>
      <c r="O26" s="15">
        <f t="shared" si="0"/>
        <v>70</v>
      </c>
      <c r="P26" s="15">
        <f t="shared" si="1"/>
        <v>181</v>
      </c>
      <c r="R26" s="28" t="s">
        <v>86</v>
      </c>
      <c r="S26" s="16">
        <f t="shared" ref="S26:AF26" si="18">SUM(S13:S18)</f>
        <v>731</v>
      </c>
      <c r="T26" s="16">
        <f t="shared" si="18"/>
        <v>135</v>
      </c>
      <c r="U26" s="16">
        <f t="shared" si="18"/>
        <v>99</v>
      </c>
      <c r="V26" s="16">
        <f t="shared" si="18"/>
        <v>358</v>
      </c>
      <c r="W26" s="16">
        <f t="shared" si="18"/>
        <v>9</v>
      </c>
      <c r="X26" s="16">
        <f t="shared" si="18"/>
        <v>3</v>
      </c>
      <c r="Y26" s="16">
        <f t="shared" si="18"/>
        <v>80</v>
      </c>
      <c r="Z26" s="16">
        <f t="shared" si="18"/>
        <v>104</v>
      </c>
      <c r="AA26" s="16">
        <f t="shared" si="18"/>
        <v>19</v>
      </c>
      <c r="AB26" s="16">
        <f t="shared" si="18"/>
        <v>12</v>
      </c>
      <c r="AC26" s="16">
        <f t="shared" si="18"/>
        <v>3311</v>
      </c>
      <c r="AD26" s="16">
        <f t="shared" si="18"/>
        <v>0</v>
      </c>
      <c r="AE26" s="32">
        <f t="shared" si="18"/>
        <v>1550</v>
      </c>
      <c r="AF26" s="32">
        <f t="shared" si="18"/>
        <v>4861</v>
      </c>
    </row>
    <row r="27" spans="2:32" ht="23.1" customHeight="1" x14ac:dyDescent="0.25">
      <c r="B27" s="23" t="s">
        <v>54</v>
      </c>
      <c r="C27" s="50">
        <v>25</v>
      </c>
      <c r="D27" s="50">
        <v>12</v>
      </c>
      <c r="E27" s="50">
        <v>7</v>
      </c>
      <c r="F27" s="50">
        <v>9</v>
      </c>
      <c r="G27" s="50">
        <v>1</v>
      </c>
      <c r="H27" s="50">
        <v>0</v>
      </c>
      <c r="I27" s="50">
        <v>1</v>
      </c>
      <c r="J27" s="50">
        <v>8</v>
      </c>
      <c r="K27" s="50">
        <v>0</v>
      </c>
      <c r="L27" s="50">
        <v>0</v>
      </c>
      <c r="M27" s="50">
        <v>215</v>
      </c>
      <c r="N27" s="50">
        <v>0</v>
      </c>
      <c r="O27" s="15">
        <f t="shared" si="0"/>
        <v>63</v>
      </c>
      <c r="P27" s="15">
        <f t="shared" si="1"/>
        <v>278</v>
      </c>
      <c r="R27" s="29" t="s">
        <v>87</v>
      </c>
      <c r="S27" s="16">
        <f t="shared" ref="S27:AF27" si="19">SUM(S19:S21)</f>
        <v>726</v>
      </c>
      <c r="T27" s="16">
        <f t="shared" si="19"/>
        <v>129</v>
      </c>
      <c r="U27" s="16">
        <f t="shared" si="19"/>
        <v>45</v>
      </c>
      <c r="V27" s="16">
        <f t="shared" si="19"/>
        <v>116</v>
      </c>
      <c r="W27" s="16">
        <f t="shared" si="19"/>
        <v>2</v>
      </c>
      <c r="X27" s="16">
        <f t="shared" si="19"/>
        <v>1</v>
      </c>
      <c r="Y27" s="16">
        <f t="shared" si="19"/>
        <v>39</v>
      </c>
      <c r="Z27" s="16">
        <f t="shared" si="19"/>
        <v>38</v>
      </c>
      <c r="AA27" s="16">
        <f t="shared" si="19"/>
        <v>8</v>
      </c>
      <c r="AB27" s="16">
        <f t="shared" si="19"/>
        <v>9</v>
      </c>
      <c r="AC27" s="16">
        <f t="shared" si="19"/>
        <v>1834</v>
      </c>
      <c r="AD27" s="16">
        <f t="shared" si="19"/>
        <v>0</v>
      </c>
      <c r="AE27" s="32">
        <f t="shared" si="19"/>
        <v>1113</v>
      </c>
      <c r="AF27" s="32">
        <f t="shared" si="19"/>
        <v>2947</v>
      </c>
    </row>
    <row r="28" spans="2:32" ht="23.1" customHeight="1" x14ac:dyDescent="0.25">
      <c r="B28" s="23" t="s">
        <v>55</v>
      </c>
      <c r="C28" s="50">
        <v>29</v>
      </c>
      <c r="D28" s="50">
        <v>7</v>
      </c>
      <c r="E28" s="50">
        <v>7</v>
      </c>
      <c r="F28" s="50">
        <v>19</v>
      </c>
      <c r="G28" s="50">
        <v>1</v>
      </c>
      <c r="H28" s="50">
        <v>0</v>
      </c>
      <c r="I28" s="50">
        <v>2</v>
      </c>
      <c r="J28" s="50">
        <v>1</v>
      </c>
      <c r="K28" s="50">
        <v>1</v>
      </c>
      <c r="L28" s="50">
        <v>1</v>
      </c>
      <c r="M28" s="50">
        <v>195</v>
      </c>
      <c r="N28" s="50">
        <v>0</v>
      </c>
      <c r="O28" s="15">
        <f t="shared" si="0"/>
        <v>68</v>
      </c>
      <c r="P28" s="15">
        <f t="shared" si="1"/>
        <v>263</v>
      </c>
      <c r="R28" s="5" t="s">
        <v>17</v>
      </c>
      <c r="S28" s="16">
        <f t="shared" ref="S28:AF28" si="20">SUM(S10:S21)</f>
        <v>1741</v>
      </c>
      <c r="T28" s="16">
        <f t="shared" si="20"/>
        <v>317</v>
      </c>
      <c r="U28" s="16">
        <f t="shared" si="20"/>
        <v>169</v>
      </c>
      <c r="V28" s="16">
        <f t="shared" si="20"/>
        <v>717</v>
      </c>
      <c r="W28" s="16">
        <f t="shared" si="20"/>
        <v>16</v>
      </c>
      <c r="X28" s="16">
        <f t="shared" si="20"/>
        <v>8</v>
      </c>
      <c r="Y28" s="16">
        <f t="shared" si="20"/>
        <v>133</v>
      </c>
      <c r="Z28" s="16">
        <f t="shared" si="20"/>
        <v>181</v>
      </c>
      <c r="AA28" s="16">
        <f t="shared" si="20"/>
        <v>30</v>
      </c>
      <c r="AB28" s="16">
        <f t="shared" si="20"/>
        <v>192</v>
      </c>
      <c r="AC28" s="16">
        <f t="shared" si="20"/>
        <v>6960</v>
      </c>
      <c r="AD28" s="16">
        <f t="shared" si="20"/>
        <v>0</v>
      </c>
      <c r="AE28" s="32">
        <f t="shared" si="20"/>
        <v>3504</v>
      </c>
      <c r="AF28" s="32">
        <f t="shared" si="20"/>
        <v>10464</v>
      </c>
    </row>
    <row r="29" spans="2:32" ht="23.1" customHeight="1" x14ac:dyDescent="0.25">
      <c r="B29" s="23" t="s">
        <v>56</v>
      </c>
      <c r="C29" s="50">
        <v>33</v>
      </c>
      <c r="D29" s="50">
        <v>4</v>
      </c>
      <c r="E29" s="50">
        <v>4</v>
      </c>
      <c r="F29" s="50">
        <v>12</v>
      </c>
      <c r="G29" s="50">
        <v>0</v>
      </c>
      <c r="H29" s="50">
        <v>0</v>
      </c>
      <c r="I29" s="50">
        <v>5</v>
      </c>
      <c r="J29" s="50">
        <v>1</v>
      </c>
      <c r="K29" s="50">
        <v>0</v>
      </c>
      <c r="L29" s="50">
        <v>0</v>
      </c>
      <c r="M29" s="50">
        <v>135</v>
      </c>
      <c r="N29" s="50">
        <v>0</v>
      </c>
      <c r="O29" s="15">
        <f t="shared" si="0"/>
        <v>59</v>
      </c>
      <c r="P29" s="15">
        <f t="shared" si="1"/>
        <v>194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9</v>
      </c>
      <c r="E30" s="50">
        <v>4</v>
      </c>
      <c r="F30" s="50">
        <v>13</v>
      </c>
      <c r="G30" s="50">
        <v>0</v>
      </c>
      <c r="H30" s="50">
        <v>0</v>
      </c>
      <c r="I30" s="50">
        <v>1</v>
      </c>
      <c r="J30" s="50">
        <v>8</v>
      </c>
      <c r="K30" s="50">
        <v>0</v>
      </c>
      <c r="L30" s="50">
        <v>0</v>
      </c>
      <c r="M30" s="50">
        <v>175</v>
      </c>
      <c r="N30" s="50">
        <v>0</v>
      </c>
      <c r="O30" s="15">
        <f t="shared" si="0"/>
        <v>61</v>
      </c>
      <c r="P30" s="15">
        <f t="shared" si="1"/>
        <v>236</v>
      </c>
    </row>
    <row r="31" spans="2:32" ht="23.1" customHeight="1" x14ac:dyDescent="0.25">
      <c r="B31" s="24" t="s">
        <v>58</v>
      </c>
      <c r="C31" s="50">
        <v>26</v>
      </c>
      <c r="D31" s="50">
        <v>2</v>
      </c>
      <c r="E31" s="50">
        <v>5</v>
      </c>
      <c r="F31" s="50">
        <v>19</v>
      </c>
      <c r="G31" s="50">
        <v>1</v>
      </c>
      <c r="H31" s="50">
        <v>0</v>
      </c>
      <c r="I31" s="50">
        <v>3</v>
      </c>
      <c r="J31" s="50">
        <v>9</v>
      </c>
      <c r="K31" s="50">
        <v>1</v>
      </c>
      <c r="L31" s="50">
        <v>2</v>
      </c>
      <c r="M31" s="50">
        <v>105</v>
      </c>
      <c r="N31" s="50">
        <v>0</v>
      </c>
      <c r="O31" s="15">
        <f t="shared" si="0"/>
        <v>68</v>
      </c>
      <c r="P31" s="15">
        <f t="shared" si="1"/>
        <v>173</v>
      </c>
    </row>
    <row r="32" spans="2:32" ht="23.1" customHeight="1" x14ac:dyDescent="0.25">
      <c r="B32" s="24" t="s">
        <v>59</v>
      </c>
      <c r="C32" s="50">
        <v>32</v>
      </c>
      <c r="D32" s="50">
        <v>6</v>
      </c>
      <c r="E32" s="50">
        <v>3</v>
      </c>
      <c r="F32" s="50">
        <v>17</v>
      </c>
      <c r="G32" s="50">
        <v>1</v>
      </c>
      <c r="H32" s="50">
        <v>1</v>
      </c>
      <c r="I32" s="50">
        <v>4</v>
      </c>
      <c r="J32" s="50">
        <v>3</v>
      </c>
      <c r="K32" s="50">
        <v>1</v>
      </c>
      <c r="L32" s="50">
        <v>0</v>
      </c>
      <c r="M32" s="50">
        <v>89</v>
      </c>
      <c r="N32" s="50">
        <v>0</v>
      </c>
      <c r="O32" s="15">
        <f t="shared" si="0"/>
        <v>68</v>
      </c>
      <c r="P32" s="15">
        <f t="shared" si="1"/>
        <v>157</v>
      </c>
    </row>
    <row r="33" spans="2:20" ht="23.1" customHeight="1" x14ac:dyDescent="0.25">
      <c r="B33" s="23" t="s">
        <v>60</v>
      </c>
      <c r="C33" s="50">
        <v>27</v>
      </c>
      <c r="D33" s="50">
        <v>9</v>
      </c>
      <c r="E33" s="50">
        <v>3</v>
      </c>
      <c r="F33" s="50">
        <v>20</v>
      </c>
      <c r="G33" s="50">
        <v>2</v>
      </c>
      <c r="H33" s="50">
        <v>0</v>
      </c>
      <c r="I33" s="50">
        <v>6</v>
      </c>
      <c r="J33" s="50">
        <v>3</v>
      </c>
      <c r="K33" s="50">
        <v>2</v>
      </c>
      <c r="L33" s="50">
        <v>0</v>
      </c>
      <c r="M33" s="50">
        <v>96</v>
      </c>
      <c r="N33" s="50">
        <v>0</v>
      </c>
      <c r="O33" s="15">
        <f t="shared" si="0"/>
        <v>72</v>
      </c>
      <c r="P33" s="15">
        <f t="shared" si="1"/>
        <v>168</v>
      </c>
    </row>
    <row r="34" spans="2:20" ht="23.1" customHeight="1" x14ac:dyDescent="0.25">
      <c r="B34" s="24" t="s">
        <v>61</v>
      </c>
      <c r="C34" s="50">
        <v>25</v>
      </c>
      <c r="D34" s="50">
        <v>8</v>
      </c>
      <c r="E34" s="50">
        <v>3</v>
      </c>
      <c r="F34" s="50">
        <v>21</v>
      </c>
      <c r="G34" s="50">
        <v>0</v>
      </c>
      <c r="H34" s="50">
        <v>0</v>
      </c>
      <c r="I34" s="50">
        <v>5</v>
      </c>
      <c r="J34" s="50">
        <v>6</v>
      </c>
      <c r="K34" s="50">
        <v>0</v>
      </c>
      <c r="L34" s="50">
        <v>1</v>
      </c>
      <c r="M34" s="50">
        <v>123</v>
      </c>
      <c r="N34" s="50">
        <v>0</v>
      </c>
      <c r="O34" s="15">
        <f t="shared" si="0"/>
        <v>69</v>
      </c>
      <c r="P34" s="15">
        <f t="shared" si="1"/>
        <v>192</v>
      </c>
    </row>
    <row r="35" spans="2:20" ht="23.1" customHeight="1" x14ac:dyDescent="0.25">
      <c r="B35" s="24" t="s">
        <v>62</v>
      </c>
      <c r="C35" s="50">
        <v>34</v>
      </c>
      <c r="D35" s="50">
        <v>5</v>
      </c>
      <c r="E35" s="50">
        <v>3</v>
      </c>
      <c r="F35" s="50">
        <v>18</v>
      </c>
      <c r="G35" s="50">
        <v>0</v>
      </c>
      <c r="H35" s="50">
        <v>0</v>
      </c>
      <c r="I35" s="50">
        <v>1</v>
      </c>
      <c r="J35" s="50">
        <v>2</v>
      </c>
      <c r="K35" s="50">
        <v>0</v>
      </c>
      <c r="L35" s="50">
        <v>1</v>
      </c>
      <c r="M35" s="50">
        <v>154</v>
      </c>
      <c r="N35" s="50">
        <v>0</v>
      </c>
      <c r="O35" s="15">
        <f t="shared" si="0"/>
        <v>64</v>
      </c>
      <c r="P35" s="15">
        <f t="shared" si="1"/>
        <v>218</v>
      </c>
    </row>
    <row r="36" spans="2:20" ht="23.1" customHeight="1" x14ac:dyDescent="0.25">
      <c r="B36" s="24" t="s">
        <v>63</v>
      </c>
      <c r="C36" s="50">
        <v>24</v>
      </c>
      <c r="D36" s="50">
        <v>1</v>
      </c>
      <c r="E36" s="50">
        <v>4</v>
      </c>
      <c r="F36" s="50">
        <v>16</v>
      </c>
      <c r="G36" s="50">
        <v>0</v>
      </c>
      <c r="H36" s="50">
        <v>0</v>
      </c>
      <c r="I36" s="50">
        <v>0</v>
      </c>
      <c r="J36" s="50">
        <v>5</v>
      </c>
      <c r="K36" s="50">
        <v>0</v>
      </c>
      <c r="L36" s="50">
        <v>0</v>
      </c>
      <c r="M36" s="50">
        <v>128</v>
      </c>
      <c r="N36" s="50">
        <v>0</v>
      </c>
      <c r="O36" s="15">
        <f t="shared" si="0"/>
        <v>50</v>
      </c>
      <c r="P36" s="15">
        <f t="shared" si="1"/>
        <v>178</v>
      </c>
    </row>
    <row r="37" spans="2:20" ht="23.1" customHeight="1" x14ac:dyDescent="0.25">
      <c r="B37" s="23" t="s">
        <v>64</v>
      </c>
      <c r="C37" s="50">
        <v>36</v>
      </c>
      <c r="D37" s="50">
        <v>7</v>
      </c>
      <c r="E37" s="50">
        <v>3</v>
      </c>
      <c r="F37" s="50">
        <v>8</v>
      </c>
      <c r="G37" s="50">
        <v>1</v>
      </c>
      <c r="H37" s="50">
        <v>0</v>
      </c>
      <c r="I37" s="50">
        <v>7</v>
      </c>
      <c r="J37" s="50">
        <v>8</v>
      </c>
      <c r="K37" s="50">
        <v>1</v>
      </c>
      <c r="L37" s="50">
        <v>1</v>
      </c>
      <c r="M37" s="50">
        <v>99</v>
      </c>
      <c r="N37" s="50">
        <v>0</v>
      </c>
      <c r="O37" s="15">
        <f t="shared" si="0"/>
        <v>72</v>
      </c>
      <c r="P37" s="15">
        <f t="shared" si="1"/>
        <v>171</v>
      </c>
    </row>
    <row r="38" spans="2:20" ht="23.1" customHeight="1" x14ac:dyDescent="0.25">
      <c r="B38" s="24" t="s">
        <v>65</v>
      </c>
      <c r="C38" s="50">
        <v>30</v>
      </c>
      <c r="D38" s="50">
        <v>3</v>
      </c>
      <c r="E38" s="50">
        <v>5</v>
      </c>
      <c r="F38" s="50">
        <v>14</v>
      </c>
      <c r="G38" s="50">
        <v>0</v>
      </c>
      <c r="H38" s="50">
        <v>0</v>
      </c>
      <c r="I38" s="50">
        <v>3</v>
      </c>
      <c r="J38" s="50">
        <v>3</v>
      </c>
      <c r="K38" s="50">
        <v>0</v>
      </c>
      <c r="L38" s="50">
        <v>0</v>
      </c>
      <c r="M38" s="50">
        <v>90</v>
      </c>
      <c r="N38" s="50">
        <v>0</v>
      </c>
      <c r="O38" s="15">
        <f t="shared" si="0"/>
        <v>58</v>
      </c>
      <c r="P38" s="15">
        <f t="shared" si="1"/>
        <v>148</v>
      </c>
    </row>
    <row r="39" spans="2:20" ht="23.1" customHeight="1" x14ac:dyDescent="0.25">
      <c r="B39" s="24" t="s">
        <v>66</v>
      </c>
      <c r="C39" s="50">
        <v>33</v>
      </c>
      <c r="D39" s="50">
        <v>3</v>
      </c>
      <c r="E39" s="50">
        <v>4</v>
      </c>
      <c r="F39" s="50">
        <v>11</v>
      </c>
      <c r="G39" s="50">
        <v>0</v>
      </c>
      <c r="H39" s="50">
        <v>0</v>
      </c>
      <c r="I39" s="50">
        <v>3</v>
      </c>
      <c r="J39" s="50">
        <v>3</v>
      </c>
      <c r="K39" s="50">
        <v>0</v>
      </c>
      <c r="L39" s="50">
        <v>1</v>
      </c>
      <c r="M39" s="50">
        <v>121</v>
      </c>
      <c r="N39" s="50">
        <v>0</v>
      </c>
      <c r="O39" s="15">
        <f t="shared" si="0"/>
        <v>58</v>
      </c>
      <c r="P39" s="15">
        <f t="shared" si="1"/>
        <v>179</v>
      </c>
    </row>
    <row r="40" spans="2:20" ht="23.1" customHeight="1" x14ac:dyDescent="0.25">
      <c r="B40" s="24" t="s">
        <v>67</v>
      </c>
      <c r="C40" s="50">
        <v>27</v>
      </c>
      <c r="D40" s="50">
        <v>1</v>
      </c>
      <c r="E40" s="50">
        <v>9</v>
      </c>
      <c r="F40" s="50">
        <v>15</v>
      </c>
      <c r="G40" s="50">
        <v>1</v>
      </c>
      <c r="H40" s="50">
        <v>0</v>
      </c>
      <c r="I40" s="50">
        <v>0</v>
      </c>
      <c r="J40" s="50">
        <v>0</v>
      </c>
      <c r="K40" s="50">
        <v>2</v>
      </c>
      <c r="L40" s="50">
        <v>1</v>
      </c>
      <c r="M40" s="50">
        <v>142</v>
      </c>
      <c r="N40" s="50">
        <v>0</v>
      </c>
      <c r="O40" s="15">
        <f t="shared" si="0"/>
        <v>56</v>
      </c>
      <c r="P40" s="15">
        <f t="shared" si="1"/>
        <v>198</v>
      </c>
    </row>
    <row r="41" spans="2:20" ht="23.1" customHeight="1" x14ac:dyDescent="0.25">
      <c r="B41" s="23" t="s">
        <v>68</v>
      </c>
      <c r="C41" s="50">
        <v>25</v>
      </c>
      <c r="D41" s="50">
        <v>8</v>
      </c>
      <c r="E41" s="50">
        <v>3</v>
      </c>
      <c r="F41" s="50">
        <v>13</v>
      </c>
      <c r="G41" s="50">
        <v>0</v>
      </c>
      <c r="H41" s="50">
        <v>0</v>
      </c>
      <c r="I41" s="50">
        <v>1</v>
      </c>
      <c r="J41" s="50">
        <v>4</v>
      </c>
      <c r="K41" s="50">
        <v>1</v>
      </c>
      <c r="L41" s="50">
        <v>1</v>
      </c>
      <c r="M41" s="50">
        <v>176</v>
      </c>
      <c r="N41" s="50">
        <v>0</v>
      </c>
      <c r="O41" s="15">
        <f t="shared" si="0"/>
        <v>56</v>
      </c>
      <c r="P41" s="15">
        <f t="shared" si="1"/>
        <v>232</v>
      </c>
    </row>
    <row r="42" spans="2:20" ht="23.1" customHeight="1" x14ac:dyDescent="0.25">
      <c r="B42" s="24" t="s">
        <v>69</v>
      </c>
      <c r="C42" s="50">
        <v>33</v>
      </c>
      <c r="D42" s="50">
        <v>6</v>
      </c>
      <c r="E42" s="50">
        <v>3</v>
      </c>
      <c r="F42" s="50">
        <v>9</v>
      </c>
      <c r="G42" s="50">
        <v>0</v>
      </c>
      <c r="H42" s="50">
        <v>0</v>
      </c>
      <c r="I42" s="50">
        <v>4</v>
      </c>
      <c r="J42" s="50">
        <v>2</v>
      </c>
      <c r="K42" s="50">
        <v>2</v>
      </c>
      <c r="L42" s="50">
        <v>0</v>
      </c>
      <c r="M42" s="50">
        <v>139</v>
      </c>
      <c r="N42" s="50">
        <v>0</v>
      </c>
      <c r="O42" s="15">
        <f t="shared" si="0"/>
        <v>59</v>
      </c>
      <c r="P42" s="15">
        <f t="shared" si="1"/>
        <v>198</v>
      </c>
    </row>
    <row r="43" spans="2:20" ht="23.1" customHeight="1" x14ac:dyDescent="0.25">
      <c r="B43" s="23" t="s">
        <v>70</v>
      </c>
      <c r="C43" s="50">
        <v>42</v>
      </c>
      <c r="D43" s="50">
        <v>8</v>
      </c>
      <c r="E43" s="50">
        <v>1</v>
      </c>
      <c r="F43" s="50">
        <v>13</v>
      </c>
      <c r="G43" s="50">
        <v>0</v>
      </c>
      <c r="H43" s="50">
        <v>1</v>
      </c>
      <c r="I43" s="50">
        <v>7</v>
      </c>
      <c r="J43" s="50">
        <v>3</v>
      </c>
      <c r="K43" s="50">
        <v>1</v>
      </c>
      <c r="L43" s="50">
        <v>0</v>
      </c>
      <c r="M43" s="50">
        <v>204</v>
      </c>
      <c r="N43" s="50">
        <v>0</v>
      </c>
      <c r="O43" s="15">
        <f t="shared" si="0"/>
        <v>76</v>
      </c>
      <c r="P43" s="15">
        <f t="shared" si="1"/>
        <v>280</v>
      </c>
    </row>
    <row r="44" spans="2:20" ht="23.1" customHeight="1" x14ac:dyDescent="0.25">
      <c r="B44" s="25" t="s">
        <v>71</v>
      </c>
      <c r="C44" s="50">
        <v>41</v>
      </c>
      <c r="D44" s="50">
        <v>4</v>
      </c>
      <c r="E44" s="50">
        <v>4</v>
      </c>
      <c r="F44" s="50">
        <v>10</v>
      </c>
      <c r="G44" s="50">
        <v>0</v>
      </c>
      <c r="H44" s="50">
        <v>0</v>
      </c>
      <c r="I44" s="50">
        <v>3</v>
      </c>
      <c r="J44" s="50">
        <v>11</v>
      </c>
      <c r="K44" s="50">
        <v>1</v>
      </c>
      <c r="L44" s="50">
        <v>1</v>
      </c>
      <c r="M44" s="50">
        <v>121</v>
      </c>
      <c r="N44" s="50">
        <v>0</v>
      </c>
      <c r="O44" s="15">
        <f t="shared" si="0"/>
        <v>75</v>
      </c>
      <c r="P44" s="15">
        <f t="shared" si="1"/>
        <v>196</v>
      </c>
    </row>
    <row r="45" spans="2:20" ht="23.1" customHeight="1" x14ac:dyDescent="0.25">
      <c r="B45" s="23" t="s">
        <v>72</v>
      </c>
      <c r="C45" s="50">
        <v>42</v>
      </c>
      <c r="D45" s="50">
        <v>7</v>
      </c>
      <c r="E45" s="50">
        <v>2</v>
      </c>
      <c r="F45" s="50">
        <v>14</v>
      </c>
      <c r="G45" s="50">
        <v>0</v>
      </c>
      <c r="H45" s="50">
        <v>0</v>
      </c>
      <c r="I45" s="50">
        <v>4</v>
      </c>
      <c r="J45" s="50">
        <v>3</v>
      </c>
      <c r="K45" s="50">
        <v>2</v>
      </c>
      <c r="L45" s="50">
        <v>0</v>
      </c>
      <c r="M45" s="50">
        <v>120</v>
      </c>
      <c r="N45" s="50">
        <v>0</v>
      </c>
      <c r="O45" s="15">
        <f t="shared" si="0"/>
        <v>74</v>
      </c>
      <c r="P45" s="15">
        <f t="shared" si="1"/>
        <v>194</v>
      </c>
    </row>
    <row r="46" spans="2:20" ht="23.1" customHeight="1" x14ac:dyDescent="0.25">
      <c r="B46" s="24" t="s">
        <v>73</v>
      </c>
      <c r="C46" s="50">
        <v>58</v>
      </c>
      <c r="D46" s="50">
        <v>7</v>
      </c>
      <c r="E46" s="50">
        <v>3</v>
      </c>
      <c r="F46" s="50">
        <v>10</v>
      </c>
      <c r="G46" s="50">
        <v>0</v>
      </c>
      <c r="H46" s="50">
        <v>0</v>
      </c>
      <c r="I46" s="50">
        <v>2</v>
      </c>
      <c r="J46" s="50">
        <v>3</v>
      </c>
      <c r="K46" s="50">
        <v>0</v>
      </c>
      <c r="L46" s="50">
        <v>1</v>
      </c>
      <c r="M46" s="50">
        <v>224</v>
      </c>
      <c r="N46" s="50">
        <v>0</v>
      </c>
      <c r="O46" s="15">
        <f t="shared" si="0"/>
        <v>84</v>
      </c>
      <c r="P46" s="15">
        <f t="shared" si="1"/>
        <v>308</v>
      </c>
      <c r="R46" s="8"/>
      <c r="T46"/>
    </row>
    <row r="47" spans="2:20" ht="23.1" customHeight="1" x14ac:dyDescent="0.25">
      <c r="B47" s="24" t="s">
        <v>74</v>
      </c>
      <c r="C47" s="50">
        <v>42</v>
      </c>
      <c r="D47" s="50">
        <v>5</v>
      </c>
      <c r="E47" s="50">
        <v>4</v>
      </c>
      <c r="F47" s="50">
        <v>9</v>
      </c>
      <c r="G47" s="50">
        <v>0</v>
      </c>
      <c r="H47" s="50">
        <v>0</v>
      </c>
      <c r="I47" s="50">
        <v>5</v>
      </c>
      <c r="J47" s="50">
        <v>3</v>
      </c>
      <c r="K47" s="50">
        <v>1</v>
      </c>
      <c r="L47" s="50">
        <v>2</v>
      </c>
      <c r="M47" s="50">
        <v>109</v>
      </c>
      <c r="N47" s="50">
        <v>0</v>
      </c>
      <c r="O47" s="15">
        <f t="shared" si="0"/>
        <v>71</v>
      </c>
      <c r="P47" s="15">
        <f t="shared" si="1"/>
        <v>180</v>
      </c>
      <c r="R47" s="8"/>
      <c r="T47"/>
    </row>
    <row r="48" spans="2:20" ht="23.1" customHeight="1" x14ac:dyDescent="0.25">
      <c r="B48" s="24" t="s">
        <v>75</v>
      </c>
      <c r="C48" s="50">
        <v>57</v>
      </c>
      <c r="D48" s="50">
        <v>8</v>
      </c>
      <c r="E48" s="50">
        <v>9</v>
      </c>
      <c r="F48" s="50">
        <v>14</v>
      </c>
      <c r="G48" s="50">
        <v>2</v>
      </c>
      <c r="H48" s="50">
        <v>1</v>
      </c>
      <c r="I48" s="50">
        <v>6</v>
      </c>
      <c r="J48" s="50">
        <v>3</v>
      </c>
      <c r="K48" s="50">
        <v>0</v>
      </c>
      <c r="L48" s="50">
        <v>0</v>
      </c>
      <c r="M48" s="50">
        <v>120</v>
      </c>
      <c r="N48" s="50">
        <v>0</v>
      </c>
      <c r="O48" s="15">
        <f t="shared" si="0"/>
        <v>100</v>
      </c>
      <c r="P48" s="15">
        <f t="shared" si="1"/>
        <v>220</v>
      </c>
      <c r="R48" s="8"/>
      <c r="T48"/>
    </row>
    <row r="49" spans="2:20" ht="23.1" customHeight="1" x14ac:dyDescent="0.25">
      <c r="B49" s="23" t="s">
        <v>76</v>
      </c>
      <c r="C49" s="50">
        <v>42</v>
      </c>
      <c r="D49" s="50">
        <v>6</v>
      </c>
      <c r="E49" s="50">
        <v>3</v>
      </c>
      <c r="F49" s="50">
        <v>17</v>
      </c>
      <c r="G49" s="50">
        <v>0</v>
      </c>
      <c r="H49" s="50">
        <v>0</v>
      </c>
      <c r="I49" s="50">
        <v>2</v>
      </c>
      <c r="J49" s="50">
        <v>1</v>
      </c>
      <c r="K49" s="50">
        <v>3</v>
      </c>
      <c r="L49" s="50">
        <v>2</v>
      </c>
      <c r="M49" s="50">
        <v>132</v>
      </c>
      <c r="N49" s="50">
        <v>0</v>
      </c>
      <c r="O49" s="15">
        <f t="shared" si="0"/>
        <v>76</v>
      </c>
      <c r="P49" s="15">
        <f t="shared" si="1"/>
        <v>208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8</v>
      </c>
      <c r="E50" s="50">
        <v>3</v>
      </c>
      <c r="F50" s="50">
        <v>11</v>
      </c>
      <c r="G50" s="50">
        <v>0</v>
      </c>
      <c r="H50" s="50">
        <v>0</v>
      </c>
      <c r="I50" s="50">
        <v>2</v>
      </c>
      <c r="J50" s="50">
        <v>3</v>
      </c>
      <c r="K50" s="50">
        <v>0</v>
      </c>
      <c r="L50" s="50">
        <v>0</v>
      </c>
      <c r="M50" s="50">
        <v>105</v>
      </c>
      <c r="N50" s="50">
        <v>0</v>
      </c>
      <c r="O50" s="15">
        <f t="shared" si="0"/>
        <v>100</v>
      </c>
      <c r="P50" s="15">
        <f t="shared" si="1"/>
        <v>205</v>
      </c>
      <c r="R50" s="8"/>
      <c r="T50"/>
    </row>
    <row r="51" spans="2:20" ht="23.1" customHeight="1" x14ac:dyDescent="0.25">
      <c r="B51" s="24" t="s">
        <v>78</v>
      </c>
      <c r="C51" s="50">
        <v>69</v>
      </c>
      <c r="D51" s="50">
        <v>14</v>
      </c>
      <c r="E51" s="50">
        <v>1</v>
      </c>
      <c r="F51" s="50">
        <v>13</v>
      </c>
      <c r="G51" s="50">
        <v>0</v>
      </c>
      <c r="H51" s="50">
        <v>0</v>
      </c>
      <c r="I51" s="50">
        <v>5</v>
      </c>
      <c r="J51" s="50">
        <v>3</v>
      </c>
      <c r="K51" s="50">
        <v>1</v>
      </c>
      <c r="L51" s="50">
        <v>0</v>
      </c>
      <c r="M51" s="50">
        <v>189</v>
      </c>
      <c r="N51" s="50">
        <v>0</v>
      </c>
      <c r="O51" s="15">
        <f t="shared" si="0"/>
        <v>106</v>
      </c>
      <c r="P51" s="15">
        <f t="shared" si="1"/>
        <v>295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13</v>
      </c>
      <c r="E52" s="50">
        <v>5</v>
      </c>
      <c r="F52" s="50">
        <v>11</v>
      </c>
      <c r="G52" s="50">
        <v>0</v>
      </c>
      <c r="H52" s="50">
        <v>0</v>
      </c>
      <c r="I52" s="50">
        <v>2</v>
      </c>
      <c r="J52" s="50">
        <v>5</v>
      </c>
      <c r="K52" s="50">
        <v>1</v>
      </c>
      <c r="L52" s="50">
        <v>0</v>
      </c>
      <c r="M52" s="50">
        <v>162</v>
      </c>
      <c r="N52" s="50">
        <v>0</v>
      </c>
      <c r="O52" s="15">
        <f t="shared" si="0"/>
        <v>107</v>
      </c>
      <c r="P52" s="15">
        <f t="shared" si="1"/>
        <v>269</v>
      </c>
      <c r="R52" s="8"/>
      <c r="T52"/>
    </row>
    <row r="53" spans="2:20" ht="23.1" customHeight="1" x14ac:dyDescent="0.25">
      <c r="B53" s="23" t="s">
        <v>80</v>
      </c>
      <c r="C53" s="50">
        <v>82</v>
      </c>
      <c r="D53" s="50">
        <v>4</v>
      </c>
      <c r="E53" s="50">
        <v>2</v>
      </c>
      <c r="F53" s="50">
        <v>10</v>
      </c>
      <c r="G53" s="50">
        <v>0</v>
      </c>
      <c r="H53" s="50">
        <v>0</v>
      </c>
      <c r="I53" s="50">
        <v>2</v>
      </c>
      <c r="J53" s="50">
        <v>3</v>
      </c>
      <c r="K53" s="50">
        <v>1</v>
      </c>
      <c r="L53" s="50">
        <v>2</v>
      </c>
      <c r="M53" s="50">
        <v>246</v>
      </c>
      <c r="N53" s="50">
        <v>0</v>
      </c>
      <c r="O53" s="15">
        <f t="shared" si="0"/>
        <v>106</v>
      </c>
      <c r="P53" s="15">
        <f t="shared" si="1"/>
        <v>352</v>
      </c>
      <c r="R53" s="8"/>
      <c r="T53"/>
    </row>
    <row r="54" spans="2:20" ht="23.1" customHeight="1" x14ac:dyDescent="0.25">
      <c r="B54" s="23" t="s">
        <v>81</v>
      </c>
      <c r="C54" s="50">
        <v>66</v>
      </c>
      <c r="D54" s="50">
        <v>22</v>
      </c>
      <c r="E54" s="50">
        <v>5</v>
      </c>
      <c r="F54" s="50">
        <v>9</v>
      </c>
      <c r="G54" s="50">
        <v>0</v>
      </c>
      <c r="H54" s="50">
        <v>0</v>
      </c>
      <c r="I54" s="50">
        <v>3</v>
      </c>
      <c r="J54" s="50">
        <v>3</v>
      </c>
      <c r="K54" s="50">
        <v>0</v>
      </c>
      <c r="L54" s="50">
        <v>2</v>
      </c>
      <c r="M54" s="50">
        <v>198</v>
      </c>
      <c r="N54" s="50">
        <v>0</v>
      </c>
      <c r="O54" s="15">
        <f t="shared" si="0"/>
        <v>110</v>
      </c>
      <c r="P54" s="15">
        <f t="shared" si="1"/>
        <v>308</v>
      </c>
      <c r="R54" s="8"/>
      <c r="T54"/>
    </row>
    <row r="55" spans="2:20" ht="23.1" customHeight="1" x14ac:dyDescent="0.25">
      <c r="B55" s="23" t="s">
        <v>82</v>
      </c>
      <c r="C55" s="50">
        <v>63</v>
      </c>
      <c r="D55" s="50">
        <v>19</v>
      </c>
      <c r="E55" s="50">
        <v>8</v>
      </c>
      <c r="F55" s="50">
        <v>6</v>
      </c>
      <c r="G55" s="50">
        <v>0</v>
      </c>
      <c r="H55" s="50">
        <v>0</v>
      </c>
      <c r="I55" s="50">
        <v>4</v>
      </c>
      <c r="J55" s="50">
        <v>8</v>
      </c>
      <c r="K55" s="50">
        <v>0</v>
      </c>
      <c r="L55" s="50">
        <v>0</v>
      </c>
      <c r="M55" s="50">
        <v>144</v>
      </c>
      <c r="N55" s="50">
        <v>0</v>
      </c>
      <c r="O55" s="15">
        <f t="shared" si="0"/>
        <v>108</v>
      </c>
      <c r="P55" s="15">
        <f t="shared" si="1"/>
        <v>252</v>
      </c>
      <c r="R55" s="8"/>
      <c r="T55"/>
    </row>
    <row r="56" spans="2:20" ht="23.1" customHeight="1" x14ac:dyDescent="0.25">
      <c r="B56" s="23" t="s">
        <v>83</v>
      </c>
      <c r="C56" s="50">
        <v>60</v>
      </c>
      <c r="D56" s="50">
        <v>15</v>
      </c>
      <c r="E56" s="50">
        <v>1</v>
      </c>
      <c r="F56" s="50">
        <v>3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0</v>
      </c>
      <c r="M56" s="50">
        <v>122</v>
      </c>
      <c r="N56" s="50">
        <v>0</v>
      </c>
      <c r="O56" s="15">
        <f t="shared" si="0"/>
        <v>84</v>
      </c>
      <c r="P56" s="15">
        <f t="shared" si="1"/>
        <v>206</v>
      </c>
      <c r="R56" s="8"/>
      <c r="T56"/>
    </row>
    <row r="57" spans="2:20" ht="23.1" customHeight="1" x14ac:dyDescent="0.25">
      <c r="B57" s="23" t="s">
        <v>84</v>
      </c>
      <c r="C57" s="50">
        <v>44</v>
      </c>
      <c r="D57" s="50">
        <v>8</v>
      </c>
      <c r="E57" s="50">
        <v>1</v>
      </c>
      <c r="F57" s="50">
        <v>3</v>
      </c>
      <c r="G57" s="50">
        <v>0</v>
      </c>
      <c r="H57" s="50">
        <v>0</v>
      </c>
      <c r="I57" s="50">
        <v>3</v>
      </c>
      <c r="J57" s="50">
        <v>1</v>
      </c>
      <c r="K57" s="50">
        <v>1</v>
      </c>
      <c r="L57" s="50">
        <v>0</v>
      </c>
      <c r="M57" s="50">
        <v>83</v>
      </c>
      <c r="N57" s="50">
        <v>0</v>
      </c>
      <c r="O57" s="15">
        <f t="shared" si="0"/>
        <v>61</v>
      </c>
      <c r="P57" s="15">
        <f t="shared" si="1"/>
        <v>144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1741</v>
      </c>
      <c r="D58" s="16">
        <f t="shared" si="21"/>
        <v>317</v>
      </c>
      <c r="E58" s="16">
        <f t="shared" si="21"/>
        <v>169</v>
      </c>
      <c r="F58" s="16">
        <f t="shared" si="21"/>
        <v>717</v>
      </c>
      <c r="G58" s="16">
        <f t="shared" si="21"/>
        <v>16</v>
      </c>
      <c r="H58" s="16">
        <f t="shared" si="21"/>
        <v>8</v>
      </c>
      <c r="I58" s="16">
        <f t="shared" si="21"/>
        <v>133</v>
      </c>
      <c r="J58" s="16">
        <f t="shared" si="21"/>
        <v>181</v>
      </c>
      <c r="K58" s="16">
        <f t="shared" si="21"/>
        <v>30</v>
      </c>
      <c r="L58" s="16">
        <f t="shared" si="21"/>
        <v>192</v>
      </c>
      <c r="M58" s="16">
        <f t="shared" si="21"/>
        <v>6960</v>
      </c>
      <c r="N58" s="16">
        <f t="shared" si="21"/>
        <v>0</v>
      </c>
      <c r="O58" s="16">
        <f t="shared" si="21"/>
        <v>3504</v>
      </c>
      <c r="P58" s="16">
        <f t="shared" si="21"/>
        <v>10464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0.16637996941896024</v>
      </c>
      <c r="D59" s="43">
        <f t="shared" si="22"/>
        <v>3.0294342507645261E-2</v>
      </c>
      <c r="E59" s="43">
        <f t="shared" si="22"/>
        <v>1.6150611620795109E-2</v>
      </c>
      <c r="F59" s="43">
        <f t="shared" si="22"/>
        <v>6.8520642201834861E-2</v>
      </c>
      <c r="G59" s="43">
        <f t="shared" si="22"/>
        <v>1.5290519877675841E-3</v>
      </c>
      <c r="H59" s="43">
        <f t="shared" si="22"/>
        <v>7.6452599388379206E-4</v>
      </c>
      <c r="I59" s="43">
        <f t="shared" si="22"/>
        <v>1.2710244648318042E-2</v>
      </c>
      <c r="J59" s="43">
        <f t="shared" si="22"/>
        <v>1.7297400611620797E-2</v>
      </c>
      <c r="K59" s="43">
        <f t="shared" si="22"/>
        <v>2.8669724770642203E-3</v>
      </c>
      <c r="L59" s="43">
        <f t="shared" si="22"/>
        <v>1.834862385321101E-2</v>
      </c>
      <c r="M59" s="43">
        <f t="shared" si="22"/>
        <v>0.66513761467889909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0.4968607305936073</v>
      </c>
      <c r="D60" s="44">
        <f t="shared" ref="D60:N60" si="23">D58/$O$58</f>
        <v>9.0468036529680371E-2</v>
      </c>
      <c r="E60" s="44">
        <f t="shared" si="23"/>
        <v>4.8230593607305937E-2</v>
      </c>
      <c r="F60" s="44">
        <f t="shared" si="23"/>
        <v>0.20462328767123289</v>
      </c>
      <c r="G60" s="44">
        <f t="shared" si="23"/>
        <v>4.5662100456621002E-3</v>
      </c>
      <c r="H60" s="44">
        <f t="shared" si="23"/>
        <v>2.2831050228310501E-3</v>
      </c>
      <c r="I60" s="44">
        <f t="shared" si="23"/>
        <v>3.7956621004566211E-2</v>
      </c>
      <c r="J60" s="44">
        <f t="shared" si="23"/>
        <v>5.1655251141552512E-2</v>
      </c>
      <c r="K60" s="44">
        <f t="shared" si="23"/>
        <v>8.5616438356164379E-3</v>
      </c>
      <c r="L60" s="44">
        <f t="shared" si="23"/>
        <v>5.4794520547945202E-2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G12" sqref="G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RUBAGA-KABUSU'!D5</f>
        <v>23.07.19</v>
      </c>
      <c r="E5" s="3"/>
      <c r="F5" s="41" t="s">
        <v>1</v>
      </c>
      <c r="G5" s="63" t="str">
        <f>'22.07 RUBAGA-KABUSU'!G5:H5</f>
        <v>CHAD SUPERMARKET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171</v>
      </c>
      <c r="E6" s="64"/>
      <c r="F6" s="2" t="s">
        <v>2</v>
      </c>
      <c r="G6" s="63" t="s">
        <v>176</v>
      </c>
      <c r="H6" s="64"/>
      <c r="J6" s="2" t="s">
        <v>21</v>
      </c>
      <c r="K6" s="63" t="s">
        <v>172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74</v>
      </c>
      <c r="D10" s="50">
        <v>52</v>
      </c>
      <c r="E10" s="50">
        <v>6</v>
      </c>
      <c r="F10" s="50">
        <v>42</v>
      </c>
      <c r="G10" s="50">
        <v>0</v>
      </c>
      <c r="H10" s="50">
        <v>0</v>
      </c>
      <c r="I10" s="50">
        <v>5</v>
      </c>
      <c r="J10" s="50">
        <v>1</v>
      </c>
      <c r="K10" s="50">
        <v>0</v>
      </c>
      <c r="L10" s="50">
        <v>1</v>
      </c>
      <c r="M10" s="50">
        <v>195</v>
      </c>
      <c r="N10" s="50">
        <v>0</v>
      </c>
      <c r="O10" s="15">
        <f t="shared" ref="O10:O57" si="0">SUM(C10:L10,N10)</f>
        <v>181</v>
      </c>
      <c r="P10" s="15">
        <f t="shared" ref="P10:P57" si="1">SUM(C10:N10)</f>
        <v>376</v>
      </c>
      <c r="R10" s="1" t="s">
        <v>6</v>
      </c>
      <c r="S10" s="17">
        <f t="shared" ref="S10:AF10" si="2">SUM(C10:C13)</f>
        <v>222</v>
      </c>
      <c r="T10" s="17">
        <f t="shared" si="2"/>
        <v>215</v>
      </c>
      <c r="U10" s="17">
        <f t="shared" si="2"/>
        <v>25</v>
      </c>
      <c r="V10" s="17">
        <f t="shared" si="2"/>
        <v>270</v>
      </c>
      <c r="W10" s="17">
        <f t="shared" si="2"/>
        <v>0</v>
      </c>
      <c r="X10" s="17">
        <f t="shared" si="2"/>
        <v>1</v>
      </c>
      <c r="Y10" s="17">
        <f t="shared" si="2"/>
        <v>13</v>
      </c>
      <c r="Z10" s="17">
        <f t="shared" si="2"/>
        <v>5</v>
      </c>
      <c r="AA10" s="17">
        <f t="shared" si="2"/>
        <v>2</v>
      </c>
      <c r="AB10" s="17">
        <f t="shared" si="2"/>
        <v>3</v>
      </c>
      <c r="AC10" s="17">
        <f t="shared" si="2"/>
        <v>1265</v>
      </c>
      <c r="AD10" s="17">
        <f t="shared" si="2"/>
        <v>0</v>
      </c>
      <c r="AE10" s="31">
        <f t="shared" si="2"/>
        <v>756</v>
      </c>
      <c r="AF10" s="31">
        <f t="shared" si="2"/>
        <v>2021</v>
      </c>
    </row>
    <row r="11" spans="2:32" s="6" customFormat="1" ht="23.1" customHeight="1" x14ac:dyDescent="0.25">
      <c r="B11" s="23" t="s">
        <v>38</v>
      </c>
      <c r="C11" s="50">
        <v>43</v>
      </c>
      <c r="D11" s="50">
        <v>48</v>
      </c>
      <c r="E11" s="50">
        <v>4</v>
      </c>
      <c r="F11" s="50">
        <v>37</v>
      </c>
      <c r="G11" s="50">
        <v>0</v>
      </c>
      <c r="H11" s="50">
        <v>0</v>
      </c>
      <c r="I11" s="50">
        <v>2</v>
      </c>
      <c r="J11" s="50">
        <v>1</v>
      </c>
      <c r="K11" s="50">
        <v>1</v>
      </c>
      <c r="L11" s="50">
        <v>2</v>
      </c>
      <c r="M11" s="50">
        <v>328</v>
      </c>
      <c r="N11" s="50">
        <v>0</v>
      </c>
      <c r="O11" s="15">
        <f t="shared" si="0"/>
        <v>138</v>
      </c>
      <c r="P11" s="15">
        <f t="shared" si="1"/>
        <v>466</v>
      </c>
      <c r="R11" s="1" t="s">
        <v>7</v>
      </c>
      <c r="S11" s="17">
        <f t="shared" ref="S11:AF11" si="3">SUM(C14:C17)</f>
        <v>199</v>
      </c>
      <c r="T11" s="17">
        <f t="shared" si="3"/>
        <v>174</v>
      </c>
      <c r="U11" s="17">
        <f t="shared" si="3"/>
        <v>24</v>
      </c>
      <c r="V11" s="17">
        <f t="shared" si="3"/>
        <v>148</v>
      </c>
      <c r="W11" s="17">
        <f t="shared" si="3"/>
        <v>0</v>
      </c>
      <c r="X11" s="17">
        <f t="shared" si="3"/>
        <v>0</v>
      </c>
      <c r="Y11" s="17">
        <f t="shared" si="3"/>
        <v>19</v>
      </c>
      <c r="Z11" s="17">
        <f t="shared" si="3"/>
        <v>7</v>
      </c>
      <c r="AA11" s="17">
        <f t="shared" si="3"/>
        <v>1</v>
      </c>
      <c r="AB11" s="17">
        <f t="shared" si="3"/>
        <v>0</v>
      </c>
      <c r="AC11" s="17">
        <f t="shared" si="3"/>
        <v>1281</v>
      </c>
      <c r="AD11" s="17">
        <f t="shared" si="3"/>
        <v>0</v>
      </c>
      <c r="AE11" s="31">
        <f t="shared" si="3"/>
        <v>572</v>
      </c>
      <c r="AF11" s="31">
        <f t="shared" si="3"/>
        <v>1853</v>
      </c>
    </row>
    <row r="12" spans="2:32" ht="23.1" customHeight="1" x14ac:dyDescent="0.25">
      <c r="B12" s="23" t="s">
        <v>39</v>
      </c>
      <c r="C12" s="50">
        <v>59</v>
      </c>
      <c r="D12" s="50">
        <v>56</v>
      </c>
      <c r="E12" s="50">
        <v>8</v>
      </c>
      <c r="F12" s="50">
        <v>151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425</v>
      </c>
      <c r="N12" s="50">
        <v>0</v>
      </c>
      <c r="O12" s="15">
        <f t="shared" si="0"/>
        <v>277</v>
      </c>
      <c r="P12" s="15">
        <f t="shared" si="1"/>
        <v>702</v>
      </c>
      <c r="R12" s="1" t="s">
        <v>8</v>
      </c>
      <c r="S12" s="17">
        <f t="shared" ref="S12:AF12" si="4">SUM(C18:C21)</f>
        <v>163</v>
      </c>
      <c r="T12" s="17">
        <f t="shared" si="4"/>
        <v>130</v>
      </c>
      <c r="U12" s="17">
        <f t="shared" si="4"/>
        <v>20</v>
      </c>
      <c r="V12" s="17">
        <f t="shared" si="4"/>
        <v>124</v>
      </c>
      <c r="W12" s="17">
        <f t="shared" si="4"/>
        <v>0</v>
      </c>
      <c r="X12" s="17">
        <f t="shared" si="4"/>
        <v>1</v>
      </c>
      <c r="Y12" s="17">
        <f t="shared" si="4"/>
        <v>15</v>
      </c>
      <c r="Z12" s="17">
        <f t="shared" si="4"/>
        <v>5</v>
      </c>
      <c r="AA12" s="17">
        <f t="shared" si="4"/>
        <v>3</v>
      </c>
      <c r="AB12" s="17">
        <f t="shared" si="4"/>
        <v>0</v>
      </c>
      <c r="AC12" s="17">
        <f t="shared" si="4"/>
        <v>853</v>
      </c>
      <c r="AD12" s="17">
        <f t="shared" si="4"/>
        <v>0</v>
      </c>
      <c r="AE12" s="31">
        <f t="shared" si="4"/>
        <v>461</v>
      </c>
      <c r="AF12" s="31">
        <f t="shared" si="4"/>
        <v>1314</v>
      </c>
    </row>
    <row r="13" spans="2:32" ht="23.1" customHeight="1" x14ac:dyDescent="0.25">
      <c r="B13" s="23" t="s">
        <v>40</v>
      </c>
      <c r="C13" s="50">
        <v>46</v>
      </c>
      <c r="D13" s="50">
        <v>59</v>
      </c>
      <c r="E13" s="50">
        <v>7</v>
      </c>
      <c r="F13" s="50">
        <v>40</v>
      </c>
      <c r="G13" s="50">
        <v>0</v>
      </c>
      <c r="H13" s="50">
        <v>1</v>
      </c>
      <c r="I13" s="50">
        <v>4</v>
      </c>
      <c r="J13" s="50">
        <v>2</v>
      </c>
      <c r="K13" s="50">
        <v>1</v>
      </c>
      <c r="L13" s="50">
        <v>0</v>
      </c>
      <c r="M13" s="50">
        <v>317</v>
      </c>
      <c r="N13" s="50">
        <v>0</v>
      </c>
      <c r="O13" s="15">
        <f t="shared" si="0"/>
        <v>160</v>
      </c>
      <c r="P13" s="15">
        <f t="shared" si="1"/>
        <v>477</v>
      </c>
      <c r="R13" s="1" t="s">
        <v>9</v>
      </c>
      <c r="S13" s="17">
        <f t="shared" ref="S13:AF13" si="5">SUM(C22:C25)</f>
        <v>114</v>
      </c>
      <c r="T13" s="17">
        <f t="shared" si="5"/>
        <v>98</v>
      </c>
      <c r="U13" s="17">
        <f t="shared" si="5"/>
        <v>24</v>
      </c>
      <c r="V13" s="17">
        <f t="shared" si="5"/>
        <v>130</v>
      </c>
      <c r="W13" s="17">
        <f t="shared" si="5"/>
        <v>0</v>
      </c>
      <c r="X13" s="17">
        <f t="shared" si="5"/>
        <v>0</v>
      </c>
      <c r="Y13" s="17">
        <f t="shared" si="5"/>
        <v>22</v>
      </c>
      <c r="Z13" s="17">
        <f t="shared" si="5"/>
        <v>11</v>
      </c>
      <c r="AA13" s="17">
        <f t="shared" si="5"/>
        <v>4</v>
      </c>
      <c r="AB13" s="17">
        <f t="shared" si="5"/>
        <v>6</v>
      </c>
      <c r="AC13" s="17">
        <f t="shared" si="5"/>
        <v>712</v>
      </c>
      <c r="AD13" s="17">
        <f t="shared" si="5"/>
        <v>0</v>
      </c>
      <c r="AE13" s="31">
        <f t="shared" si="5"/>
        <v>409</v>
      </c>
      <c r="AF13" s="31">
        <f t="shared" si="5"/>
        <v>1121</v>
      </c>
    </row>
    <row r="14" spans="2:32" ht="23.1" customHeight="1" x14ac:dyDescent="0.25">
      <c r="B14" s="23" t="s">
        <v>41</v>
      </c>
      <c r="C14" s="50">
        <v>58</v>
      </c>
      <c r="D14" s="50">
        <v>55</v>
      </c>
      <c r="E14" s="50">
        <v>10</v>
      </c>
      <c r="F14" s="50">
        <v>37</v>
      </c>
      <c r="G14" s="50">
        <v>0</v>
      </c>
      <c r="H14" s="50">
        <v>0</v>
      </c>
      <c r="I14" s="50">
        <v>6</v>
      </c>
      <c r="J14" s="50">
        <v>3</v>
      </c>
      <c r="K14" s="50">
        <v>0</v>
      </c>
      <c r="L14" s="50">
        <v>0</v>
      </c>
      <c r="M14" s="50">
        <v>301</v>
      </c>
      <c r="N14" s="50">
        <v>0</v>
      </c>
      <c r="O14" s="15">
        <f t="shared" si="0"/>
        <v>169</v>
      </c>
      <c r="P14" s="15">
        <f t="shared" si="1"/>
        <v>470</v>
      </c>
      <c r="R14" s="1" t="s">
        <v>10</v>
      </c>
      <c r="S14" s="17">
        <f t="shared" ref="S14:AF14" si="6">SUM(C26:C29)</f>
        <v>101</v>
      </c>
      <c r="T14" s="17">
        <f t="shared" si="6"/>
        <v>90</v>
      </c>
      <c r="U14" s="17">
        <f t="shared" si="6"/>
        <v>19</v>
      </c>
      <c r="V14" s="17">
        <f t="shared" si="6"/>
        <v>113</v>
      </c>
      <c r="W14" s="17">
        <f t="shared" si="6"/>
        <v>0</v>
      </c>
      <c r="X14" s="17">
        <f t="shared" si="6"/>
        <v>1</v>
      </c>
      <c r="Y14" s="17">
        <f t="shared" si="6"/>
        <v>22</v>
      </c>
      <c r="Z14" s="17">
        <f t="shared" si="6"/>
        <v>7</v>
      </c>
      <c r="AA14" s="17">
        <f t="shared" si="6"/>
        <v>6</v>
      </c>
      <c r="AB14" s="17">
        <f t="shared" si="6"/>
        <v>7</v>
      </c>
      <c r="AC14" s="17">
        <f t="shared" si="6"/>
        <v>690</v>
      </c>
      <c r="AD14" s="17">
        <f t="shared" si="6"/>
        <v>0</v>
      </c>
      <c r="AE14" s="31">
        <f t="shared" si="6"/>
        <v>366</v>
      </c>
      <c r="AF14" s="31">
        <f t="shared" si="6"/>
        <v>1056</v>
      </c>
    </row>
    <row r="15" spans="2:32" ht="23.1" customHeight="1" x14ac:dyDescent="0.25">
      <c r="B15" s="23" t="s">
        <v>42</v>
      </c>
      <c r="C15" s="50">
        <v>54</v>
      </c>
      <c r="D15" s="50">
        <v>33</v>
      </c>
      <c r="E15" s="50">
        <v>4</v>
      </c>
      <c r="F15" s="50">
        <v>32</v>
      </c>
      <c r="G15" s="50">
        <v>0</v>
      </c>
      <c r="H15" s="50">
        <v>0</v>
      </c>
      <c r="I15" s="50">
        <v>3</v>
      </c>
      <c r="J15" s="50">
        <v>0</v>
      </c>
      <c r="K15" s="50">
        <v>1</v>
      </c>
      <c r="L15" s="50">
        <v>0</v>
      </c>
      <c r="M15" s="50">
        <v>345</v>
      </c>
      <c r="N15" s="50">
        <v>0</v>
      </c>
      <c r="O15" s="15">
        <f t="shared" si="0"/>
        <v>127</v>
      </c>
      <c r="P15" s="15">
        <f t="shared" si="1"/>
        <v>472</v>
      </c>
      <c r="R15" s="1" t="s">
        <v>11</v>
      </c>
      <c r="S15" s="17">
        <f t="shared" ref="S15:AF15" si="7">SUM(C30:C33)</f>
        <v>87</v>
      </c>
      <c r="T15" s="17">
        <f t="shared" si="7"/>
        <v>80</v>
      </c>
      <c r="U15" s="17">
        <f t="shared" si="7"/>
        <v>34</v>
      </c>
      <c r="V15" s="17">
        <f t="shared" si="7"/>
        <v>117</v>
      </c>
      <c r="W15" s="17">
        <f t="shared" si="7"/>
        <v>1</v>
      </c>
      <c r="X15" s="17">
        <f t="shared" si="7"/>
        <v>0</v>
      </c>
      <c r="Y15" s="17">
        <f t="shared" si="7"/>
        <v>25</v>
      </c>
      <c r="Z15" s="17">
        <f t="shared" si="7"/>
        <v>8</v>
      </c>
      <c r="AA15" s="17">
        <f t="shared" si="7"/>
        <v>3</v>
      </c>
      <c r="AB15" s="17">
        <f t="shared" si="7"/>
        <v>3</v>
      </c>
      <c r="AC15" s="17">
        <f t="shared" si="7"/>
        <v>716</v>
      </c>
      <c r="AD15" s="17">
        <f t="shared" si="7"/>
        <v>0</v>
      </c>
      <c r="AE15" s="31">
        <f t="shared" si="7"/>
        <v>358</v>
      </c>
      <c r="AF15" s="31">
        <f t="shared" si="7"/>
        <v>1074</v>
      </c>
    </row>
    <row r="16" spans="2:32" ht="23.1" customHeight="1" x14ac:dyDescent="0.25">
      <c r="B16" s="23" t="s">
        <v>43</v>
      </c>
      <c r="C16" s="50">
        <v>44</v>
      </c>
      <c r="D16" s="50">
        <v>45</v>
      </c>
      <c r="E16" s="50">
        <v>8</v>
      </c>
      <c r="F16" s="50">
        <v>44</v>
      </c>
      <c r="G16" s="50">
        <v>0</v>
      </c>
      <c r="H16" s="50">
        <v>0</v>
      </c>
      <c r="I16" s="50">
        <v>6</v>
      </c>
      <c r="J16" s="50">
        <v>3</v>
      </c>
      <c r="K16" s="50">
        <v>0</v>
      </c>
      <c r="L16" s="50">
        <v>0</v>
      </c>
      <c r="M16" s="50">
        <v>315</v>
      </c>
      <c r="N16" s="50">
        <v>0</v>
      </c>
      <c r="O16" s="15">
        <f t="shared" si="0"/>
        <v>150</v>
      </c>
      <c r="P16" s="15">
        <f t="shared" si="1"/>
        <v>465</v>
      </c>
      <c r="R16" s="1" t="s">
        <v>12</v>
      </c>
      <c r="S16" s="17">
        <f t="shared" ref="S16:AF16" si="8">SUM(C34:C37)</f>
        <v>95</v>
      </c>
      <c r="T16" s="17">
        <f t="shared" si="8"/>
        <v>66</v>
      </c>
      <c r="U16" s="17">
        <f t="shared" si="8"/>
        <v>10</v>
      </c>
      <c r="V16" s="17">
        <f t="shared" si="8"/>
        <v>95</v>
      </c>
      <c r="W16" s="17">
        <f t="shared" si="8"/>
        <v>2</v>
      </c>
      <c r="X16" s="17">
        <f t="shared" si="8"/>
        <v>2</v>
      </c>
      <c r="Y16" s="17">
        <f t="shared" si="8"/>
        <v>13</v>
      </c>
      <c r="Z16" s="17">
        <f t="shared" si="8"/>
        <v>9</v>
      </c>
      <c r="AA16" s="17">
        <f t="shared" si="8"/>
        <v>4</v>
      </c>
      <c r="AB16" s="17">
        <f t="shared" si="8"/>
        <v>8</v>
      </c>
      <c r="AC16" s="17">
        <f t="shared" si="8"/>
        <v>592</v>
      </c>
      <c r="AD16" s="17">
        <f t="shared" si="8"/>
        <v>0</v>
      </c>
      <c r="AE16" s="31">
        <f t="shared" si="8"/>
        <v>304</v>
      </c>
      <c r="AF16" s="31">
        <f t="shared" si="8"/>
        <v>896</v>
      </c>
    </row>
    <row r="17" spans="2:32" ht="23.1" customHeight="1" x14ac:dyDescent="0.25">
      <c r="B17" s="23" t="s">
        <v>44</v>
      </c>
      <c r="C17" s="50">
        <v>43</v>
      </c>
      <c r="D17" s="50">
        <v>41</v>
      </c>
      <c r="E17" s="50">
        <v>2</v>
      </c>
      <c r="F17" s="50">
        <v>35</v>
      </c>
      <c r="G17" s="50">
        <v>0</v>
      </c>
      <c r="H17" s="50">
        <v>0</v>
      </c>
      <c r="I17" s="50">
        <v>4</v>
      </c>
      <c r="J17" s="50">
        <v>1</v>
      </c>
      <c r="K17" s="50">
        <v>0</v>
      </c>
      <c r="L17" s="50">
        <v>0</v>
      </c>
      <c r="M17" s="50">
        <v>320</v>
      </c>
      <c r="N17" s="50">
        <v>0</v>
      </c>
      <c r="O17" s="15">
        <f t="shared" si="0"/>
        <v>126</v>
      </c>
      <c r="P17" s="15">
        <f t="shared" si="1"/>
        <v>446</v>
      </c>
      <c r="R17" s="1" t="s">
        <v>13</v>
      </c>
      <c r="S17" s="17">
        <f t="shared" ref="S17:AF17" si="9">SUM(C38:C41)</f>
        <v>91</v>
      </c>
      <c r="T17" s="17">
        <f t="shared" si="9"/>
        <v>77</v>
      </c>
      <c r="U17" s="17">
        <f t="shared" si="9"/>
        <v>24</v>
      </c>
      <c r="V17" s="17">
        <f t="shared" si="9"/>
        <v>79</v>
      </c>
      <c r="W17" s="17">
        <f t="shared" si="9"/>
        <v>1</v>
      </c>
      <c r="X17" s="17">
        <f t="shared" si="9"/>
        <v>0</v>
      </c>
      <c r="Y17" s="17">
        <f t="shared" si="9"/>
        <v>28</v>
      </c>
      <c r="Z17" s="17">
        <f t="shared" si="9"/>
        <v>6</v>
      </c>
      <c r="AA17" s="17">
        <f t="shared" si="9"/>
        <v>3</v>
      </c>
      <c r="AB17" s="17">
        <f t="shared" si="9"/>
        <v>8</v>
      </c>
      <c r="AC17" s="17">
        <f t="shared" si="9"/>
        <v>589</v>
      </c>
      <c r="AD17" s="17">
        <f t="shared" si="9"/>
        <v>0</v>
      </c>
      <c r="AE17" s="31">
        <f t="shared" si="9"/>
        <v>317</v>
      </c>
      <c r="AF17" s="31">
        <f t="shared" si="9"/>
        <v>906</v>
      </c>
    </row>
    <row r="18" spans="2:32" ht="23.1" customHeight="1" x14ac:dyDescent="0.25">
      <c r="B18" s="23" t="s">
        <v>45</v>
      </c>
      <c r="C18" s="50">
        <v>36</v>
      </c>
      <c r="D18" s="50">
        <v>31</v>
      </c>
      <c r="E18" s="50">
        <v>5</v>
      </c>
      <c r="F18" s="50">
        <v>26</v>
      </c>
      <c r="G18" s="50">
        <v>0</v>
      </c>
      <c r="H18" s="50">
        <v>0</v>
      </c>
      <c r="I18" s="50">
        <v>1</v>
      </c>
      <c r="J18" s="50">
        <v>1</v>
      </c>
      <c r="K18" s="50">
        <v>1</v>
      </c>
      <c r="L18" s="50">
        <v>0</v>
      </c>
      <c r="M18" s="50">
        <v>191</v>
      </c>
      <c r="N18" s="50">
        <v>0</v>
      </c>
      <c r="O18" s="15">
        <f t="shared" si="0"/>
        <v>101</v>
      </c>
      <c r="P18" s="15">
        <f t="shared" si="1"/>
        <v>292</v>
      </c>
      <c r="R18" s="1" t="s">
        <v>14</v>
      </c>
      <c r="S18" s="17">
        <f t="shared" ref="S18:AF18" si="10">SUM(C42:C45)</f>
        <v>105</v>
      </c>
      <c r="T18" s="17">
        <f t="shared" si="10"/>
        <v>79</v>
      </c>
      <c r="U18" s="17">
        <f t="shared" si="10"/>
        <v>17</v>
      </c>
      <c r="V18" s="17">
        <f t="shared" si="10"/>
        <v>95</v>
      </c>
      <c r="W18" s="17">
        <f t="shared" si="10"/>
        <v>0</v>
      </c>
      <c r="X18" s="17">
        <f t="shared" si="10"/>
        <v>1</v>
      </c>
      <c r="Y18" s="17">
        <f t="shared" si="10"/>
        <v>23</v>
      </c>
      <c r="Z18" s="17">
        <f t="shared" si="10"/>
        <v>12</v>
      </c>
      <c r="AA18" s="17">
        <f t="shared" si="10"/>
        <v>5</v>
      </c>
      <c r="AB18" s="17">
        <f t="shared" si="10"/>
        <v>3</v>
      </c>
      <c r="AC18" s="17">
        <f t="shared" si="10"/>
        <v>747</v>
      </c>
      <c r="AD18" s="17">
        <f t="shared" si="10"/>
        <v>14</v>
      </c>
      <c r="AE18" s="31">
        <f t="shared" si="10"/>
        <v>258</v>
      </c>
      <c r="AF18" s="31">
        <f t="shared" si="10"/>
        <v>831</v>
      </c>
    </row>
    <row r="19" spans="2:32" ht="23.1" customHeight="1" x14ac:dyDescent="0.25">
      <c r="B19" s="23" t="s">
        <v>46</v>
      </c>
      <c r="C19" s="50">
        <v>46</v>
      </c>
      <c r="D19" s="50">
        <v>30</v>
      </c>
      <c r="E19" s="50">
        <v>4</v>
      </c>
      <c r="F19" s="50">
        <v>35</v>
      </c>
      <c r="G19" s="50">
        <v>0</v>
      </c>
      <c r="H19" s="50">
        <v>0</v>
      </c>
      <c r="I19" s="50">
        <v>4</v>
      </c>
      <c r="J19" s="50">
        <v>2</v>
      </c>
      <c r="K19" s="50">
        <v>1</v>
      </c>
      <c r="L19" s="50">
        <v>0</v>
      </c>
      <c r="M19" s="50">
        <v>234</v>
      </c>
      <c r="N19" s="50">
        <v>0</v>
      </c>
      <c r="O19" s="15">
        <f t="shared" si="0"/>
        <v>122</v>
      </c>
      <c r="P19" s="15">
        <f t="shared" si="1"/>
        <v>356</v>
      </c>
      <c r="R19" s="1" t="s">
        <v>15</v>
      </c>
      <c r="S19" s="17">
        <f t="shared" ref="S19:AF19" si="11">SUM(C46:C49)</f>
        <v>113</v>
      </c>
      <c r="T19" s="17">
        <f t="shared" si="11"/>
        <v>82</v>
      </c>
      <c r="U19" s="17">
        <f t="shared" si="11"/>
        <v>16</v>
      </c>
      <c r="V19" s="17">
        <f t="shared" si="11"/>
        <v>82</v>
      </c>
      <c r="W19" s="17">
        <f t="shared" si="11"/>
        <v>3</v>
      </c>
      <c r="X19" s="17">
        <f t="shared" si="11"/>
        <v>3</v>
      </c>
      <c r="Y19" s="17">
        <f t="shared" si="11"/>
        <v>21</v>
      </c>
      <c r="Z19" s="17">
        <f t="shared" si="11"/>
        <v>11</v>
      </c>
      <c r="AA19" s="17">
        <f t="shared" si="11"/>
        <v>5</v>
      </c>
      <c r="AB19" s="17">
        <f t="shared" si="11"/>
        <v>4</v>
      </c>
      <c r="AC19" s="17">
        <f t="shared" si="11"/>
        <v>684</v>
      </c>
      <c r="AD19" s="17">
        <f t="shared" si="11"/>
        <v>0</v>
      </c>
      <c r="AE19" s="31">
        <f t="shared" si="11"/>
        <v>340</v>
      </c>
      <c r="AF19" s="31">
        <f t="shared" si="11"/>
        <v>1024</v>
      </c>
    </row>
    <row r="20" spans="2:32" ht="23.1" customHeight="1" x14ac:dyDescent="0.25">
      <c r="B20" s="23" t="s">
        <v>47</v>
      </c>
      <c r="C20" s="50">
        <v>47</v>
      </c>
      <c r="D20" s="50">
        <v>39</v>
      </c>
      <c r="E20" s="50">
        <v>6</v>
      </c>
      <c r="F20" s="50">
        <v>36</v>
      </c>
      <c r="G20" s="50">
        <v>0</v>
      </c>
      <c r="H20" s="50">
        <v>0</v>
      </c>
      <c r="I20" s="50">
        <v>5</v>
      </c>
      <c r="J20" s="50">
        <v>2</v>
      </c>
      <c r="K20" s="50">
        <v>1</v>
      </c>
      <c r="L20" s="50">
        <v>0</v>
      </c>
      <c r="M20" s="50">
        <v>211</v>
      </c>
      <c r="N20" s="50">
        <v>0</v>
      </c>
      <c r="O20" s="15">
        <f t="shared" si="0"/>
        <v>136</v>
      </c>
      <c r="P20" s="15">
        <f t="shared" si="1"/>
        <v>347</v>
      </c>
      <c r="R20" s="1" t="s">
        <v>16</v>
      </c>
      <c r="S20" s="17">
        <f t="shared" ref="S20:AF20" si="12">SUM(C50:C53)</f>
        <v>97</v>
      </c>
      <c r="T20" s="17">
        <f t="shared" si="12"/>
        <v>85</v>
      </c>
      <c r="U20" s="17">
        <f t="shared" si="12"/>
        <v>10</v>
      </c>
      <c r="V20" s="17">
        <f t="shared" si="12"/>
        <v>95</v>
      </c>
      <c r="W20" s="17">
        <f t="shared" si="12"/>
        <v>3</v>
      </c>
      <c r="X20" s="17">
        <f t="shared" si="12"/>
        <v>3</v>
      </c>
      <c r="Y20" s="17">
        <f t="shared" si="12"/>
        <v>11</v>
      </c>
      <c r="Z20" s="17">
        <f t="shared" si="12"/>
        <v>13</v>
      </c>
      <c r="AA20" s="17">
        <f t="shared" si="12"/>
        <v>1</v>
      </c>
      <c r="AB20" s="17">
        <f t="shared" si="12"/>
        <v>3</v>
      </c>
      <c r="AC20" s="17">
        <f t="shared" si="12"/>
        <v>662</v>
      </c>
      <c r="AD20" s="17">
        <f t="shared" si="12"/>
        <v>0</v>
      </c>
      <c r="AE20" s="31">
        <f t="shared" si="12"/>
        <v>321</v>
      </c>
      <c r="AF20" s="31">
        <f t="shared" si="12"/>
        <v>983</v>
      </c>
    </row>
    <row r="21" spans="2:32" ht="23.1" customHeight="1" x14ac:dyDescent="0.25">
      <c r="B21" s="23" t="s">
        <v>48</v>
      </c>
      <c r="C21" s="50">
        <v>34</v>
      </c>
      <c r="D21" s="50">
        <v>30</v>
      </c>
      <c r="E21" s="50">
        <v>5</v>
      </c>
      <c r="F21" s="50">
        <v>27</v>
      </c>
      <c r="G21" s="50">
        <v>0</v>
      </c>
      <c r="H21" s="50">
        <v>1</v>
      </c>
      <c r="I21" s="50">
        <v>5</v>
      </c>
      <c r="J21" s="50">
        <v>0</v>
      </c>
      <c r="K21" s="50">
        <v>0</v>
      </c>
      <c r="L21" s="50">
        <v>0</v>
      </c>
      <c r="M21" s="50">
        <v>217</v>
      </c>
      <c r="N21" s="50">
        <v>0</v>
      </c>
      <c r="O21" s="15">
        <f t="shared" si="0"/>
        <v>102</v>
      </c>
      <c r="P21" s="15">
        <f t="shared" si="1"/>
        <v>319</v>
      </c>
      <c r="R21" s="36" t="s">
        <v>20</v>
      </c>
      <c r="S21" s="34">
        <f t="shared" ref="S21:AF21" si="13">SUM(C54:C57)</f>
        <v>136</v>
      </c>
      <c r="T21" s="17">
        <f t="shared" si="13"/>
        <v>73</v>
      </c>
      <c r="U21" s="17">
        <f t="shared" si="13"/>
        <v>17</v>
      </c>
      <c r="V21" s="17">
        <f t="shared" si="13"/>
        <v>123</v>
      </c>
      <c r="W21" s="17">
        <f t="shared" si="13"/>
        <v>6</v>
      </c>
      <c r="X21" s="17">
        <f t="shared" si="13"/>
        <v>3</v>
      </c>
      <c r="Y21" s="17">
        <f t="shared" si="13"/>
        <v>11</v>
      </c>
      <c r="Z21" s="17">
        <f t="shared" si="13"/>
        <v>6</v>
      </c>
      <c r="AA21" s="17">
        <f t="shared" si="13"/>
        <v>0</v>
      </c>
      <c r="AB21" s="17">
        <f t="shared" si="13"/>
        <v>1</v>
      </c>
      <c r="AC21" s="17">
        <f t="shared" si="13"/>
        <v>908</v>
      </c>
      <c r="AD21" s="17">
        <f t="shared" si="13"/>
        <v>0</v>
      </c>
      <c r="AE21" s="31">
        <f t="shared" si="13"/>
        <v>376</v>
      </c>
      <c r="AF21" s="31">
        <f t="shared" si="13"/>
        <v>1284</v>
      </c>
    </row>
    <row r="22" spans="2:32" ht="23.1" customHeight="1" x14ac:dyDescent="0.25">
      <c r="B22" s="23" t="s">
        <v>49</v>
      </c>
      <c r="C22" s="50">
        <v>25</v>
      </c>
      <c r="D22" s="50">
        <v>26</v>
      </c>
      <c r="E22" s="50">
        <v>7</v>
      </c>
      <c r="F22" s="50">
        <v>34</v>
      </c>
      <c r="G22" s="50">
        <v>0</v>
      </c>
      <c r="H22" s="50">
        <v>0</v>
      </c>
      <c r="I22" s="50">
        <v>8</v>
      </c>
      <c r="J22" s="50">
        <v>3</v>
      </c>
      <c r="K22" s="50">
        <v>1</v>
      </c>
      <c r="L22" s="50">
        <v>1</v>
      </c>
      <c r="M22" s="50">
        <v>188</v>
      </c>
      <c r="N22" s="50">
        <v>0</v>
      </c>
      <c r="O22" s="15">
        <f t="shared" si="0"/>
        <v>105</v>
      </c>
      <c r="P22" s="15">
        <f t="shared" si="1"/>
        <v>293</v>
      </c>
      <c r="R22" s="38" t="s">
        <v>90</v>
      </c>
      <c r="S22" s="39">
        <f>MAX(S10:S12)</f>
        <v>222</v>
      </c>
      <c r="T22" s="39">
        <f t="shared" ref="T22:AF22" si="14">MAX(T10:T12)</f>
        <v>215</v>
      </c>
      <c r="U22" s="39">
        <f t="shared" si="14"/>
        <v>25</v>
      </c>
      <c r="V22" s="39">
        <f t="shared" si="14"/>
        <v>270</v>
      </c>
      <c r="W22" s="39">
        <f t="shared" si="14"/>
        <v>0</v>
      </c>
      <c r="X22" s="39">
        <f t="shared" si="14"/>
        <v>1</v>
      </c>
      <c r="Y22" s="39">
        <f t="shared" si="14"/>
        <v>19</v>
      </c>
      <c r="Z22" s="39">
        <f t="shared" si="14"/>
        <v>7</v>
      </c>
      <c r="AA22" s="39">
        <f t="shared" si="14"/>
        <v>3</v>
      </c>
      <c r="AB22" s="39">
        <f t="shared" si="14"/>
        <v>3</v>
      </c>
      <c r="AC22" s="39">
        <f t="shared" si="14"/>
        <v>1281</v>
      </c>
      <c r="AD22" s="39">
        <f t="shared" si="14"/>
        <v>0</v>
      </c>
      <c r="AE22" s="40">
        <f t="shared" si="14"/>
        <v>756</v>
      </c>
      <c r="AF22" s="40">
        <f t="shared" si="14"/>
        <v>2021</v>
      </c>
    </row>
    <row r="23" spans="2:32" ht="23.1" customHeight="1" x14ac:dyDescent="0.25">
      <c r="B23" s="23" t="s">
        <v>50</v>
      </c>
      <c r="C23" s="50">
        <v>28</v>
      </c>
      <c r="D23" s="50">
        <v>21</v>
      </c>
      <c r="E23" s="50">
        <v>5</v>
      </c>
      <c r="F23" s="50">
        <v>31</v>
      </c>
      <c r="G23" s="50">
        <v>0</v>
      </c>
      <c r="H23" s="50">
        <v>0</v>
      </c>
      <c r="I23" s="50">
        <v>5</v>
      </c>
      <c r="J23" s="50">
        <v>1</v>
      </c>
      <c r="K23" s="50">
        <v>0</v>
      </c>
      <c r="L23" s="50">
        <v>2</v>
      </c>
      <c r="M23" s="50">
        <v>179</v>
      </c>
      <c r="N23" s="50">
        <v>0</v>
      </c>
      <c r="O23" s="15">
        <f t="shared" si="0"/>
        <v>93</v>
      </c>
      <c r="P23" s="15">
        <f t="shared" si="1"/>
        <v>272</v>
      </c>
      <c r="R23" s="38" t="s">
        <v>91</v>
      </c>
      <c r="S23" s="39">
        <f>MAX(S13:S18)</f>
        <v>114</v>
      </c>
      <c r="T23" s="39">
        <f t="shared" ref="T23:AF23" si="15">MAX(T13:T18)</f>
        <v>98</v>
      </c>
      <c r="U23" s="39">
        <f t="shared" si="15"/>
        <v>34</v>
      </c>
      <c r="V23" s="39">
        <f t="shared" si="15"/>
        <v>130</v>
      </c>
      <c r="W23" s="39">
        <f t="shared" si="15"/>
        <v>2</v>
      </c>
      <c r="X23" s="39">
        <f t="shared" si="15"/>
        <v>2</v>
      </c>
      <c r="Y23" s="39">
        <f t="shared" si="15"/>
        <v>28</v>
      </c>
      <c r="Z23" s="39">
        <f t="shared" si="15"/>
        <v>12</v>
      </c>
      <c r="AA23" s="39">
        <f t="shared" si="15"/>
        <v>6</v>
      </c>
      <c r="AB23" s="39">
        <f t="shared" si="15"/>
        <v>8</v>
      </c>
      <c r="AC23" s="39">
        <f t="shared" si="15"/>
        <v>747</v>
      </c>
      <c r="AD23" s="39">
        <f t="shared" si="15"/>
        <v>14</v>
      </c>
      <c r="AE23" s="40">
        <f t="shared" si="15"/>
        <v>409</v>
      </c>
      <c r="AF23" s="40">
        <f t="shared" si="15"/>
        <v>1121</v>
      </c>
    </row>
    <row r="24" spans="2:32" ht="23.1" customHeight="1" x14ac:dyDescent="0.25">
      <c r="B24" s="23" t="s">
        <v>51</v>
      </c>
      <c r="C24" s="50">
        <v>41</v>
      </c>
      <c r="D24" s="50">
        <v>25</v>
      </c>
      <c r="E24" s="50">
        <v>8</v>
      </c>
      <c r="F24" s="50">
        <v>31</v>
      </c>
      <c r="G24" s="50">
        <v>0</v>
      </c>
      <c r="H24" s="50">
        <v>0</v>
      </c>
      <c r="I24" s="50">
        <v>2</v>
      </c>
      <c r="J24" s="50">
        <v>3</v>
      </c>
      <c r="K24" s="50">
        <v>2</v>
      </c>
      <c r="L24" s="50">
        <v>1</v>
      </c>
      <c r="M24" s="50">
        <v>160</v>
      </c>
      <c r="N24" s="50">
        <v>0</v>
      </c>
      <c r="O24" s="15">
        <f t="shared" si="0"/>
        <v>113</v>
      </c>
      <c r="P24" s="15">
        <f t="shared" si="1"/>
        <v>273</v>
      </c>
      <c r="R24" s="38" t="s">
        <v>92</v>
      </c>
      <c r="S24" s="39">
        <f>MAX(S19:S21)</f>
        <v>136</v>
      </c>
      <c r="T24" s="39">
        <f t="shared" ref="T24:AF24" si="16">MAX(T19:T21)</f>
        <v>85</v>
      </c>
      <c r="U24" s="39">
        <f t="shared" si="16"/>
        <v>17</v>
      </c>
      <c r="V24" s="39">
        <f t="shared" si="16"/>
        <v>123</v>
      </c>
      <c r="W24" s="39">
        <f t="shared" si="16"/>
        <v>6</v>
      </c>
      <c r="X24" s="39">
        <f t="shared" si="16"/>
        <v>3</v>
      </c>
      <c r="Y24" s="39">
        <f t="shared" si="16"/>
        <v>21</v>
      </c>
      <c r="Z24" s="39">
        <f t="shared" si="16"/>
        <v>13</v>
      </c>
      <c r="AA24" s="39">
        <f t="shared" si="16"/>
        <v>5</v>
      </c>
      <c r="AB24" s="39">
        <f t="shared" si="16"/>
        <v>4</v>
      </c>
      <c r="AC24" s="39">
        <f t="shared" si="16"/>
        <v>908</v>
      </c>
      <c r="AD24" s="39">
        <f t="shared" si="16"/>
        <v>0</v>
      </c>
      <c r="AE24" s="40">
        <f t="shared" si="16"/>
        <v>376</v>
      </c>
      <c r="AF24" s="40">
        <f t="shared" si="16"/>
        <v>1284</v>
      </c>
    </row>
    <row r="25" spans="2:32" ht="23.1" customHeight="1" x14ac:dyDescent="0.25">
      <c r="B25" s="23" t="s">
        <v>52</v>
      </c>
      <c r="C25" s="50">
        <v>20</v>
      </c>
      <c r="D25" s="50">
        <v>26</v>
      </c>
      <c r="E25" s="50">
        <v>4</v>
      </c>
      <c r="F25" s="50">
        <v>34</v>
      </c>
      <c r="G25" s="50">
        <v>0</v>
      </c>
      <c r="H25" s="50">
        <v>0</v>
      </c>
      <c r="I25" s="50">
        <v>7</v>
      </c>
      <c r="J25" s="50">
        <v>4</v>
      </c>
      <c r="K25" s="50">
        <v>1</v>
      </c>
      <c r="L25" s="50">
        <v>2</v>
      </c>
      <c r="M25" s="50">
        <v>185</v>
      </c>
      <c r="N25" s="50">
        <v>0</v>
      </c>
      <c r="O25" s="15">
        <f t="shared" si="0"/>
        <v>98</v>
      </c>
      <c r="P25" s="15">
        <f t="shared" si="1"/>
        <v>283</v>
      </c>
      <c r="R25" s="37" t="s">
        <v>85</v>
      </c>
      <c r="S25" s="35">
        <f t="shared" ref="S25:AF25" si="17">SUM(S10:S12)</f>
        <v>584</v>
      </c>
      <c r="T25" s="16">
        <f t="shared" si="17"/>
        <v>519</v>
      </c>
      <c r="U25" s="16">
        <f t="shared" si="17"/>
        <v>69</v>
      </c>
      <c r="V25" s="16">
        <f t="shared" si="17"/>
        <v>542</v>
      </c>
      <c r="W25" s="16">
        <f t="shared" si="17"/>
        <v>0</v>
      </c>
      <c r="X25" s="16">
        <f t="shared" si="17"/>
        <v>2</v>
      </c>
      <c r="Y25" s="16">
        <f t="shared" si="17"/>
        <v>47</v>
      </c>
      <c r="Z25" s="16">
        <f t="shared" si="17"/>
        <v>17</v>
      </c>
      <c r="AA25" s="16">
        <f t="shared" si="17"/>
        <v>6</v>
      </c>
      <c r="AB25" s="16">
        <f t="shared" si="17"/>
        <v>3</v>
      </c>
      <c r="AC25" s="16">
        <f t="shared" si="17"/>
        <v>3399</v>
      </c>
      <c r="AD25" s="16">
        <f t="shared" si="17"/>
        <v>0</v>
      </c>
      <c r="AE25" s="32">
        <f t="shared" si="17"/>
        <v>1789</v>
      </c>
      <c r="AF25" s="32">
        <f t="shared" si="17"/>
        <v>5188</v>
      </c>
    </row>
    <row r="26" spans="2:32" ht="23.1" customHeight="1" x14ac:dyDescent="0.25">
      <c r="B26" s="23" t="s">
        <v>53</v>
      </c>
      <c r="C26" s="50">
        <v>22</v>
      </c>
      <c r="D26" s="50">
        <v>21</v>
      </c>
      <c r="E26" s="50">
        <v>7</v>
      </c>
      <c r="F26" s="50">
        <v>37</v>
      </c>
      <c r="G26" s="50">
        <v>0</v>
      </c>
      <c r="H26" s="50">
        <v>1</v>
      </c>
      <c r="I26" s="50">
        <v>6</v>
      </c>
      <c r="J26" s="50">
        <v>1</v>
      </c>
      <c r="K26" s="50">
        <v>2</v>
      </c>
      <c r="L26" s="50">
        <v>0</v>
      </c>
      <c r="M26" s="50">
        <v>163</v>
      </c>
      <c r="N26" s="50">
        <v>0</v>
      </c>
      <c r="O26" s="15">
        <f t="shared" si="0"/>
        <v>97</v>
      </c>
      <c r="P26" s="15">
        <f t="shared" si="1"/>
        <v>260</v>
      </c>
      <c r="R26" s="28" t="s">
        <v>86</v>
      </c>
      <c r="S26" s="16">
        <f t="shared" ref="S26:AF26" si="18">SUM(S13:S18)</f>
        <v>593</v>
      </c>
      <c r="T26" s="16">
        <f t="shared" si="18"/>
        <v>490</v>
      </c>
      <c r="U26" s="16">
        <f t="shared" si="18"/>
        <v>128</v>
      </c>
      <c r="V26" s="16">
        <f t="shared" si="18"/>
        <v>629</v>
      </c>
      <c r="W26" s="16">
        <f t="shared" si="18"/>
        <v>4</v>
      </c>
      <c r="X26" s="16">
        <f t="shared" si="18"/>
        <v>4</v>
      </c>
      <c r="Y26" s="16">
        <f t="shared" si="18"/>
        <v>133</v>
      </c>
      <c r="Z26" s="16">
        <f t="shared" si="18"/>
        <v>53</v>
      </c>
      <c r="AA26" s="16">
        <f t="shared" si="18"/>
        <v>25</v>
      </c>
      <c r="AB26" s="16">
        <f t="shared" si="18"/>
        <v>35</v>
      </c>
      <c r="AC26" s="16">
        <f t="shared" si="18"/>
        <v>4046</v>
      </c>
      <c r="AD26" s="16">
        <f t="shared" si="18"/>
        <v>14</v>
      </c>
      <c r="AE26" s="32">
        <f t="shared" si="18"/>
        <v>2012</v>
      </c>
      <c r="AF26" s="32">
        <f t="shared" si="18"/>
        <v>5884</v>
      </c>
    </row>
    <row r="27" spans="2:32" ht="23.1" customHeight="1" x14ac:dyDescent="0.25">
      <c r="B27" s="23" t="s">
        <v>54</v>
      </c>
      <c r="C27" s="50">
        <v>32</v>
      </c>
      <c r="D27" s="50">
        <v>25</v>
      </c>
      <c r="E27" s="50">
        <v>2</v>
      </c>
      <c r="F27" s="50">
        <v>24</v>
      </c>
      <c r="G27" s="50">
        <v>0</v>
      </c>
      <c r="H27" s="50">
        <v>0</v>
      </c>
      <c r="I27" s="50">
        <v>6</v>
      </c>
      <c r="J27" s="50">
        <v>4</v>
      </c>
      <c r="K27" s="50">
        <v>3</v>
      </c>
      <c r="L27" s="50">
        <v>2</v>
      </c>
      <c r="M27" s="50">
        <v>148</v>
      </c>
      <c r="N27" s="50">
        <v>0</v>
      </c>
      <c r="O27" s="15">
        <f t="shared" si="0"/>
        <v>98</v>
      </c>
      <c r="P27" s="15">
        <f t="shared" si="1"/>
        <v>246</v>
      </c>
      <c r="R27" s="29" t="s">
        <v>87</v>
      </c>
      <c r="S27" s="16">
        <f t="shared" ref="S27:AF27" si="19">SUM(S19:S21)</f>
        <v>346</v>
      </c>
      <c r="T27" s="16">
        <f t="shared" si="19"/>
        <v>240</v>
      </c>
      <c r="U27" s="16">
        <f t="shared" si="19"/>
        <v>43</v>
      </c>
      <c r="V27" s="16">
        <f t="shared" si="19"/>
        <v>300</v>
      </c>
      <c r="W27" s="16">
        <f t="shared" si="19"/>
        <v>12</v>
      </c>
      <c r="X27" s="16">
        <f t="shared" si="19"/>
        <v>9</v>
      </c>
      <c r="Y27" s="16">
        <f t="shared" si="19"/>
        <v>43</v>
      </c>
      <c r="Z27" s="16">
        <f t="shared" si="19"/>
        <v>30</v>
      </c>
      <c r="AA27" s="16">
        <f t="shared" si="19"/>
        <v>6</v>
      </c>
      <c r="AB27" s="16">
        <f t="shared" si="19"/>
        <v>8</v>
      </c>
      <c r="AC27" s="16">
        <f t="shared" si="19"/>
        <v>2254</v>
      </c>
      <c r="AD27" s="16">
        <f t="shared" si="19"/>
        <v>0</v>
      </c>
      <c r="AE27" s="32">
        <f t="shared" si="19"/>
        <v>1037</v>
      </c>
      <c r="AF27" s="32">
        <f t="shared" si="19"/>
        <v>3291</v>
      </c>
    </row>
    <row r="28" spans="2:32" ht="23.1" customHeight="1" x14ac:dyDescent="0.25">
      <c r="B28" s="23" t="s">
        <v>55</v>
      </c>
      <c r="C28" s="50">
        <v>29</v>
      </c>
      <c r="D28" s="50">
        <v>23</v>
      </c>
      <c r="E28" s="50">
        <v>3</v>
      </c>
      <c r="F28" s="50">
        <v>27</v>
      </c>
      <c r="G28" s="50">
        <v>0</v>
      </c>
      <c r="H28" s="50">
        <v>0</v>
      </c>
      <c r="I28" s="50">
        <v>4</v>
      </c>
      <c r="J28" s="50">
        <v>1</v>
      </c>
      <c r="K28" s="50">
        <v>1</v>
      </c>
      <c r="L28" s="50">
        <v>3</v>
      </c>
      <c r="M28" s="50">
        <v>166</v>
      </c>
      <c r="N28" s="50">
        <v>0</v>
      </c>
      <c r="O28" s="15">
        <f t="shared" si="0"/>
        <v>91</v>
      </c>
      <c r="P28" s="15">
        <f t="shared" si="1"/>
        <v>257</v>
      </c>
      <c r="R28" s="5" t="s">
        <v>17</v>
      </c>
      <c r="S28" s="16">
        <f t="shared" ref="S28:AF28" si="20">SUM(S10:S21)</f>
        <v>1523</v>
      </c>
      <c r="T28" s="16">
        <f t="shared" si="20"/>
        <v>1249</v>
      </c>
      <c r="U28" s="16">
        <f t="shared" si="20"/>
        <v>240</v>
      </c>
      <c r="V28" s="16">
        <f t="shared" si="20"/>
        <v>1471</v>
      </c>
      <c r="W28" s="16">
        <f t="shared" si="20"/>
        <v>16</v>
      </c>
      <c r="X28" s="16">
        <f t="shared" si="20"/>
        <v>15</v>
      </c>
      <c r="Y28" s="16">
        <f t="shared" si="20"/>
        <v>223</v>
      </c>
      <c r="Z28" s="16">
        <f t="shared" si="20"/>
        <v>100</v>
      </c>
      <c r="AA28" s="16">
        <f t="shared" si="20"/>
        <v>37</v>
      </c>
      <c r="AB28" s="16">
        <f t="shared" si="20"/>
        <v>46</v>
      </c>
      <c r="AC28" s="16">
        <f t="shared" si="20"/>
        <v>9699</v>
      </c>
      <c r="AD28" s="16">
        <f t="shared" si="20"/>
        <v>14</v>
      </c>
      <c r="AE28" s="32">
        <f t="shared" si="20"/>
        <v>4838</v>
      </c>
      <c r="AF28" s="32">
        <f t="shared" si="20"/>
        <v>14363</v>
      </c>
    </row>
    <row r="29" spans="2:32" ht="23.1" customHeight="1" x14ac:dyDescent="0.25">
      <c r="B29" s="23" t="s">
        <v>56</v>
      </c>
      <c r="C29" s="50">
        <v>18</v>
      </c>
      <c r="D29" s="50">
        <v>21</v>
      </c>
      <c r="E29" s="50">
        <v>7</v>
      </c>
      <c r="F29" s="50">
        <v>25</v>
      </c>
      <c r="G29" s="50">
        <v>0</v>
      </c>
      <c r="H29" s="50">
        <v>0</v>
      </c>
      <c r="I29" s="50">
        <v>6</v>
      </c>
      <c r="J29" s="50">
        <v>1</v>
      </c>
      <c r="K29" s="50">
        <v>0</v>
      </c>
      <c r="L29" s="50">
        <v>2</v>
      </c>
      <c r="M29" s="50">
        <v>213</v>
      </c>
      <c r="N29" s="50">
        <v>0</v>
      </c>
      <c r="O29" s="15">
        <f t="shared" si="0"/>
        <v>80</v>
      </c>
      <c r="P29" s="15">
        <f t="shared" si="1"/>
        <v>293</v>
      </c>
      <c r="R29"/>
      <c r="S29" s="20"/>
      <c r="T29" s="19"/>
    </row>
    <row r="30" spans="2:32" ht="23.1" customHeight="1" x14ac:dyDescent="0.25">
      <c r="B30" s="23" t="s">
        <v>57</v>
      </c>
      <c r="C30" s="50">
        <v>27</v>
      </c>
      <c r="D30" s="50">
        <v>25</v>
      </c>
      <c r="E30" s="50">
        <v>8</v>
      </c>
      <c r="F30" s="50">
        <v>30</v>
      </c>
      <c r="G30" s="50">
        <v>1</v>
      </c>
      <c r="H30" s="50">
        <v>0</v>
      </c>
      <c r="I30" s="50">
        <v>13</v>
      </c>
      <c r="J30" s="50">
        <v>4</v>
      </c>
      <c r="K30" s="50">
        <v>0</v>
      </c>
      <c r="L30" s="50">
        <v>2</v>
      </c>
      <c r="M30" s="50">
        <v>160</v>
      </c>
      <c r="N30" s="50">
        <v>0</v>
      </c>
      <c r="O30" s="15">
        <f t="shared" si="0"/>
        <v>110</v>
      </c>
      <c r="P30" s="15">
        <f t="shared" si="1"/>
        <v>270</v>
      </c>
    </row>
    <row r="31" spans="2:32" ht="23.1" customHeight="1" x14ac:dyDescent="0.25">
      <c r="B31" s="24" t="s">
        <v>58</v>
      </c>
      <c r="C31" s="50">
        <v>27</v>
      </c>
      <c r="D31" s="50">
        <v>15</v>
      </c>
      <c r="E31" s="50">
        <v>7</v>
      </c>
      <c r="F31" s="50">
        <v>36</v>
      </c>
      <c r="G31" s="50">
        <v>0</v>
      </c>
      <c r="H31" s="50">
        <v>0</v>
      </c>
      <c r="I31" s="50">
        <v>3</v>
      </c>
      <c r="J31" s="50">
        <v>0</v>
      </c>
      <c r="K31" s="50">
        <v>1</v>
      </c>
      <c r="L31" s="50">
        <v>1</v>
      </c>
      <c r="M31" s="50">
        <v>182</v>
      </c>
      <c r="N31" s="50">
        <v>0</v>
      </c>
      <c r="O31" s="15">
        <f t="shared" si="0"/>
        <v>90</v>
      </c>
      <c r="P31" s="15">
        <f t="shared" si="1"/>
        <v>272</v>
      </c>
    </row>
    <row r="32" spans="2:32" ht="23.1" customHeight="1" x14ac:dyDescent="0.25">
      <c r="B32" s="24" t="s">
        <v>59</v>
      </c>
      <c r="C32" s="50">
        <v>16</v>
      </c>
      <c r="D32" s="50">
        <v>22</v>
      </c>
      <c r="E32" s="50">
        <v>5</v>
      </c>
      <c r="F32" s="50">
        <v>23</v>
      </c>
      <c r="G32" s="50">
        <v>0</v>
      </c>
      <c r="H32" s="50">
        <v>0</v>
      </c>
      <c r="I32" s="50">
        <v>1</v>
      </c>
      <c r="J32" s="50">
        <v>4</v>
      </c>
      <c r="K32" s="50">
        <v>1</v>
      </c>
      <c r="L32" s="50">
        <v>0</v>
      </c>
      <c r="M32" s="50">
        <v>178</v>
      </c>
      <c r="N32" s="50">
        <v>0</v>
      </c>
      <c r="O32" s="15">
        <f t="shared" si="0"/>
        <v>72</v>
      </c>
      <c r="P32" s="15">
        <f t="shared" si="1"/>
        <v>250</v>
      </c>
    </row>
    <row r="33" spans="2:23" ht="23.1" customHeight="1" x14ac:dyDescent="0.25">
      <c r="B33" s="23" t="s">
        <v>60</v>
      </c>
      <c r="C33" s="50">
        <v>17</v>
      </c>
      <c r="D33" s="50">
        <v>18</v>
      </c>
      <c r="E33" s="50">
        <v>14</v>
      </c>
      <c r="F33" s="50">
        <v>28</v>
      </c>
      <c r="G33" s="50">
        <v>0</v>
      </c>
      <c r="H33" s="50">
        <v>0</v>
      </c>
      <c r="I33" s="50">
        <v>8</v>
      </c>
      <c r="J33" s="50">
        <v>0</v>
      </c>
      <c r="K33" s="50">
        <v>1</v>
      </c>
      <c r="L33" s="50">
        <v>0</v>
      </c>
      <c r="M33" s="50">
        <v>196</v>
      </c>
      <c r="N33" s="50">
        <v>0</v>
      </c>
      <c r="O33" s="15">
        <f t="shared" si="0"/>
        <v>86</v>
      </c>
      <c r="P33" s="15">
        <f t="shared" si="1"/>
        <v>282</v>
      </c>
    </row>
    <row r="34" spans="2:23" ht="23.1" customHeight="1" x14ac:dyDescent="0.25">
      <c r="B34" s="24" t="s">
        <v>61</v>
      </c>
      <c r="C34" s="50">
        <v>22</v>
      </c>
      <c r="D34" s="50">
        <v>17</v>
      </c>
      <c r="E34" s="50">
        <v>2</v>
      </c>
      <c r="F34" s="50">
        <v>24</v>
      </c>
      <c r="G34" s="50">
        <v>1</v>
      </c>
      <c r="H34" s="50">
        <v>1</v>
      </c>
      <c r="I34" s="50">
        <v>2</v>
      </c>
      <c r="J34" s="50">
        <v>3</v>
      </c>
      <c r="K34" s="50">
        <v>2</v>
      </c>
      <c r="L34" s="50">
        <v>3</v>
      </c>
      <c r="M34" s="50">
        <v>168</v>
      </c>
      <c r="N34" s="50">
        <v>0</v>
      </c>
      <c r="O34" s="15">
        <f t="shared" si="0"/>
        <v>77</v>
      </c>
      <c r="P34" s="15">
        <f t="shared" si="1"/>
        <v>245</v>
      </c>
    </row>
    <row r="35" spans="2:23" ht="23.1" customHeight="1" x14ac:dyDescent="0.25">
      <c r="B35" s="24" t="s">
        <v>62</v>
      </c>
      <c r="C35" s="50">
        <v>26</v>
      </c>
      <c r="D35" s="50">
        <v>20</v>
      </c>
      <c r="E35" s="50">
        <v>3</v>
      </c>
      <c r="F35" s="50">
        <v>25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2</v>
      </c>
      <c r="M35" s="50">
        <v>132</v>
      </c>
      <c r="N35" s="50">
        <v>0</v>
      </c>
      <c r="O35" s="15">
        <f t="shared" si="0"/>
        <v>82</v>
      </c>
      <c r="P35" s="15">
        <f t="shared" si="1"/>
        <v>214</v>
      </c>
    </row>
    <row r="36" spans="2:23" ht="23.1" customHeight="1" x14ac:dyDescent="0.25">
      <c r="B36" s="24" t="s">
        <v>63</v>
      </c>
      <c r="C36" s="50">
        <v>24</v>
      </c>
      <c r="D36" s="50">
        <v>11</v>
      </c>
      <c r="E36" s="50">
        <v>2</v>
      </c>
      <c r="F36" s="50">
        <v>27</v>
      </c>
      <c r="G36" s="50">
        <v>1</v>
      </c>
      <c r="H36" s="50">
        <v>0</v>
      </c>
      <c r="I36" s="50">
        <v>2</v>
      </c>
      <c r="J36" s="50">
        <v>1</v>
      </c>
      <c r="K36" s="50">
        <v>1</v>
      </c>
      <c r="L36" s="50">
        <v>2</v>
      </c>
      <c r="M36" s="50">
        <v>131</v>
      </c>
      <c r="N36" s="50">
        <v>0</v>
      </c>
      <c r="O36" s="15">
        <f t="shared" si="0"/>
        <v>71</v>
      </c>
      <c r="P36" s="15">
        <f t="shared" si="1"/>
        <v>202</v>
      </c>
    </row>
    <row r="37" spans="2:23" ht="23.1" customHeight="1" x14ac:dyDescent="0.25">
      <c r="B37" s="23" t="s">
        <v>64</v>
      </c>
      <c r="C37" s="50">
        <v>23</v>
      </c>
      <c r="D37" s="50">
        <v>18</v>
      </c>
      <c r="E37" s="50">
        <v>3</v>
      </c>
      <c r="F37" s="50">
        <v>19</v>
      </c>
      <c r="G37" s="50">
        <v>0</v>
      </c>
      <c r="H37" s="50">
        <v>1</v>
      </c>
      <c r="I37" s="50">
        <v>4</v>
      </c>
      <c r="J37" s="50">
        <v>4</v>
      </c>
      <c r="K37" s="50">
        <v>1</v>
      </c>
      <c r="L37" s="50">
        <v>1</v>
      </c>
      <c r="M37" s="50">
        <v>161</v>
      </c>
      <c r="N37" s="50">
        <v>0</v>
      </c>
      <c r="O37" s="15">
        <f t="shared" si="0"/>
        <v>74</v>
      </c>
      <c r="P37" s="15">
        <f t="shared" si="1"/>
        <v>235</v>
      </c>
    </row>
    <row r="38" spans="2:23" ht="23.1" customHeight="1" x14ac:dyDescent="0.25">
      <c r="B38" s="24" t="s">
        <v>65</v>
      </c>
      <c r="C38" s="50">
        <v>21</v>
      </c>
      <c r="D38" s="50">
        <v>16</v>
      </c>
      <c r="E38" s="50">
        <v>2</v>
      </c>
      <c r="F38" s="50">
        <v>22</v>
      </c>
      <c r="G38" s="50">
        <v>1</v>
      </c>
      <c r="H38" s="50">
        <v>0</v>
      </c>
      <c r="I38" s="50">
        <v>7</v>
      </c>
      <c r="J38" s="50">
        <v>1</v>
      </c>
      <c r="K38" s="50">
        <v>0</v>
      </c>
      <c r="L38" s="50">
        <v>3</v>
      </c>
      <c r="M38" s="50">
        <v>167</v>
      </c>
      <c r="N38" s="50">
        <v>0</v>
      </c>
      <c r="O38" s="15">
        <f t="shared" si="0"/>
        <v>73</v>
      </c>
      <c r="P38" s="15">
        <f t="shared" si="1"/>
        <v>240</v>
      </c>
    </row>
    <row r="39" spans="2:23" ht="23.1" customHeight="1" x14ac:dyDescent="0.25">
      <c r="B39" s="24" t="s">
        <v>66</v>
      </c>
      <c r="C39" s="50">
        <v>23</v>
      </c>
      <c r="D39" s="50">
        <v>19</v>
      </c>
      <c r="E39" s="50">
        <v>7</v>
      </c>
      <c r="F39" s="50">
        <v>21</v>
      </c>
      <c r="G39" s="50">
        <v>0</v>
      </c>
      <c r="H39" s="50">
        <v>0</v>
      </c>
      <c r="I39" s="50">
        <v>9</v>
      </c>
      <c r="J39" s="50">
        <v>3</v>
      </c>
      <c r="K39" s="50">
        <v>0</v>
      </c>
      <c r="L39" s="50">
        <v>1</v>
      </c>
      <c r="M39" s="50">
        <v>123</v>
      </c>
      <c r="N39" s="50">
        <v>0</v>
      </c>
      <c r="O39" s="15">
        <f t="shared" si="0"/>
        <v>83</v>
      </c>
      <c r="P39" s="15">
        <f t="shared" si="1"/>
        <v>206</v>
      </c>
    </row>
    <row r="40" spans="2:23" ht="23.1" customHeight="1" x14ac:dyDescent="0.25">
      <c r="B40" s="24" t="s">
        <v>67</v>
      </c>
      <c r="C40" s="50">
        <v>26</v>
      </c>
      <c r="D40" s="50">
        <v>22</v>
      </c>
      <c r="E40" s="50">
        <v>2</v>
      </c>
      <c r="F40" s="50">
        <v>18</v>
      </c>
      <c r="G40" s="50">
        <v>0</v>
      </c>
      <c r="H40" s="50">
        <v>0</v>
      </c>
      <c r="I40" s="50">
        <v>8</v>
      </c>
      <c r="J40" s="50">
        <v>1</v>
      </c>
      <c r="K40" s="50">
        <v>1</v>
      </c>
      <c r="L40" s="50">
        <v>2</v>
      </c>
      <c r="M40" s="50">
        <v>161</v>
      </c>
      <c r="N40" s="50">
        <v>0</v>
      </c>
      <c r="O40" s="15">
        <f t="shared" si="0"/>
        <v>80</v>
      </c>
      <c r="P40" s="15">
        <f t="shared" si="1"/>
        <v>241</v>
      </c>
    </row>
    <row r="41" spans="2:23" ht="23.1" customHeight="1" x14ac:dyDescent="0.25">
      <c r="B41" s="23" t="s">
        <v>68</v>
      </c>
      <c r="C41" s="50">
        <v>21</v>
      </c>
      <c r="D41" s="50">
        <v>20</v>
      </c>
      <c r="E41" s="50">
        <v>13</v>
      </c>
      <c r="F41" s="50">
        <v>18</v>
      </c>
      <c r="G41" s="50">
        <v>0</v>
      </c>
      <c r="H41" s="50">
        <v>0</v>
      </c>
      <c r="I41" s="50">
        <v>4</v>
      </c>
      <c r="J41" s="50">
        <v>1</v>
      </c>
      <c r="K41" s="50">
        <v>2</v>
      </c>
      <c r="L41" s="50">
        <v>2</v>
      </c>
      <c r="M41" s="50">
        <v>138</v>
      </c>
      <c r="N41" s="50">
        <v>0</v>
      </c>
      <c r="O41" s="15">
        <f t="shared" si="0"/>
        <v>81</v>
      </c>
      <c r="P41" s="15">
        <f t="shared" si="1"/>
        <v>219</v>
      </c>
    </row>
    <row r="42" spans="2:23" ht="23.1" customHeight="1" x14ac:dyDescent="0.25">
      <c r="B42" s="24" t="s">
        <v>69</v>
      </c>
      <c r="C42" s="50">
        <v>21</v>
      </c>
      <c r="D42" s="50">
        <v>19</v>
      </c>
      <c r="E42" s="50">
        <v>5</v>
      </c>
      <c r="F42" s="50">
        <v>18</v>
      </c>
      <c r="G42" s="50">
        <v>0</v>
      </c>
      <c r="H42" s="50">
        <v>0</v>
      </c>
      <c r="I42" s="50">
        <v>7</v>
      </c>
      <c r="J42" s="50">
        <v>3</v>
      </c>
      <c r="K42" s="50">
        <v>1</v>
      </c>
      <c r="L42" s="50">
        <v>1</v>
      </c>
      <c r="M42" s="50">
        <v>173</v>
      </c>
      <c r="N42" s="50">
        <v>0</v>
      </c>
      <c r="O42" s="15">
        <f t="shared" si="0"/>
        <v>75</v>
      </c>
      <c r="P42" s="15">
        <f t="shared" si="1"/>
        <v>248</v>
      </c>
    </row>
    <row r="43" spans="2:23" ht="23.1" customHeight="1" x14ac:dyDescent="0.25">
      <c r="B43" s="23" t="s">
        <v>70</v>
      </c>
      <c r="C43" s="50">
        <v>29</v>
      </c>
      <c r="D43" s="50">
        <v>20</v>
      </c>
      <c r="E43" s="50">
        <v>3</v>
      </c>
      <c r="F43" s="50">
        <v>24</v>
      </c>
      <c r="G43" s="50">
        <v>0</v>
      </c>
      <c r="H43" s="50">
        <v>1</v>
      </c>
      <c r="I43" s="50">
        <v>1</v>
      </c>
      <c r="J43" s="50">
        <v>6</v>
      </c>
      <c r="K43" s="50">
        <v>1</v>
      </c>
      <c r="L43" s="50">
        <v>1</v>
      </c>
      <c r="M43" s="50">
        <v>200</v>
      </c>
      <c r="N43" s="50">
        <v>0</v>
      </c>
      <c r="O43" s="15">
        <f t="shared" si="0"/>
        <v>86</v>
      </c>
      <c r="P43" s="15">
        <f t="shared" si="1"/>
        <v>286</v>
      </c>
    </row>
    <row r="44" spans="2:23" ht="23.1" customHeight="1" x14ac:dyDescent="0.25">
      <c r="B44" s="25" t="s">
        <v>71</v>
      </c>
      <c r="C44" s="50">
        <v>21</v>
      </c>
      <c r="D44" s="50">
        <v>25</v>
      </c>
      <c r="E44" s="50">
        <v>7</v>
      </c>
      <c r="F44" s="50">
        <v>22</v>
      </c>
      <c r="G44" s="50">
        <v>0</v>
      </c>
      <c r="H44" s="50">
        <v>0</v>
      </c>
      <c r="I44" s="50">
        <v>9</v>
      </c>
      <c r="J44" s="50">
        <v>2</v>
      </c>
      <c r="K44" s="50">
        <v>1</v>
      </c>
      <c r="L44" s="50">
        <v>1</v>
      </c>
      <c r="M44" s="50">
        <v>188</v>
      </c>
      <c r="N44" s="50">
        <v>0</v>
      </c>
      <c r="O44" s="15">
        <f t="shared" si="0"/>
        <v>88</v>
      </c>
      <c r="P44" s="15">
        <f t="shared" si="1"/>
        <v>276</v>
      </c>
    </row>
    <row r="45" spans="2:23" ht="23.1" customHeight="1" x14ac:dyDescent="0.25">
      <c r="B45" s="23" t="s">
        <v>72</v>
      </c>
      <c r="C45" s="50">
        <v>34</v>
      </c>
      <c r="D45" s="50">
        <v>15</v>
      </c>
      <c r="E45" s="50">
        <v>2</v>
      </c>
      <c r="F45" s="50">
        <v>31</v>
      </c>
      <c r="G45" s="50">
        <v>0</v>
      </c>
      <c r="H45" s="50">
        <v>0</v>
      </c>
      <c r="I45" s="50">
        <v>6</v>
      </c>
      <c r="J45" s="50">
        <v>1</v>
      </c>
      <c r="K45" s="50">
        <v>2</v>
      </c>
      <c r="L45" s="50">
        <v>0</v>
      </c>
      <c r="M45" s="50">
        <v>186</v>
      </c>
      <c r="N45" s="50">
        <v>14</v>
      </c>
      <c r="O45" s="15">
        <v>9</v>
      </c>
      <c r="P45" s="15">
        <v>21</v>
      </c>
      <c r="S45" s="8">
        <v>7</v>
      </c>
      <c r="T45" s="8">
        <v>4</v>
      </c>
      <c r="U45">
        <v>1</v>
      </c>
      <c r="V45">
        <v>1</v>
      </c>
      <c r="W45">
        <v>168</v>
      </c>
    </row>
    <row r="46" spans="2:23" ht="23.1" customHeight="1" x14ac:dyDescent="0.25">
      <c r="B46" s="24" t="s">
        <v>73</v>
      </c>
      <c r="C46" s="50">
        <v>21</v>
      </c>
      <c r="D46" s="50">
        <v>14</v>
      </c>
      <c r="E46" s="50">
        <v>9</v>
      </c>
      <c r="F46" s="50">
        <v>21</v>
      </c>
      <c r="G46" s="50">
        <v>0</v>
      </c>
      <c r="H46" s="50">
        <v>0</v>
      </c>
      <c r="I46" s="50">
        <v>7</v>
      </c>
      <c r="J46" s="50">
        <v>4</v>
      </c>
      <c r="K46" s="50">
        <v>1</v>
      </c>
      <c r="L46" s="50">
        <v>1</v>
      </c>
      <c r="M46" s="50">
        <v>168</v>
      </c>
      <c r="N46" s="50">
        <v>0</v>
      </c>
      <c r="O46" s="15">
        <f t="shared" si="0"/>
        <v>78</v>
      </c>
      <c r="P46" s="15">
        <f t="shared" si="1"/>
        <v>246</v>
      </c>
      <c r="R46" s="8"/>
      <c r="T46"/>
    </row>
    <row r="47" spans="2:23" ht="23.1" customHeight="1" x14ac:dyDescent="0.25">
      <c r="B47" s="24" t="s">
        <v>74</v>
      </c>
      <c r="C47" s="50">
        <v>40</v>
      </c>
      <c r="D47" s="50">
        <v>28</v>
      </c>
      <c r="E47" s="50">
        <v>2</v>
      </c>
      <c r="F47" s="50">
        <v>20</v>
      </c>
      <c r="G47" s="50">
        <v>1</v>
      </c>
      <c r="H47" s="50">
        <v>1</v>
      </c>
      <c r="I47" s="50">
        <v>4</v>
      </c>
      <c r="J47" s="50">
        <v>4</v>
      </c>
      <c r="K47" s="50">
        <v>1</v>
      </c>
      <c r="L47" s="50">
        <v>1</v>
      </c>
      <c r="M47" s="50">
        <v>141</v>
      </c>
      <c r="N47" s="50">
        <v>0</v>
      </c>
      <c r="O47" s="15">
        <f t="shared" si="0"/>
        <v>102</v>
      </c>
      <c r="P47" s="15">
        <f t="shared" si="1"/>
        <v>243</v>
      </c>
      <c r="R47" s="8"/>
      <c r="T47"/>
    </row>
    <row r="48" spans="2:23" ht="23.1" customHeight="1" x14ac:dyDescent="0.25">
      <c r="B48" s="24" t="s">
        <v>75</v>
      </c>
      <c r="C48" s="50">
        <v>27</v>
      </c>
      <c r="D48" s="50">
        <v>17</v>
      </c>
      <c r="E48" s="50">
        <v>3</v>
      </c>
      <c r="F48" s="50">
        <v>21</v>
      </c>
      <c r="G48" s="50">
        <v>1</v>
      </c>
      <c r="H48" s="50">
        <v>1</v>
      </c>
      <c r="I48" s="50">
        <v>3</v>
      </c>
      <c r="J48" s="50">
        <v>2</v>
      </c>
      <c r="K48" s="50">
        <v>2</v>
      </c>
      <c r="L48" s="50">
        <v>1</v>
      </c>
      <c r="M48" s="50">
        <v>155</v>
      </c>
      <c r="N48" s="50">
        <v>0</v>
      </c>
      <c r="O48" s="15">
        <f t="shared" si="0"/>
        <v>78</v>
      </c>
      <c r="P48" s="15">
        <f t="shared" si="1"/>
        <v>233</v>
      </c>
      <c r="R48" s="8"/>
      <c r="T48"/>
    </row>
    <row r="49" spans="2:20" ht="23.1" customHeight="1" x14ac:dyDescent="0.25">
      <c r="B49" s="23" t="s">
        <v>76</v>
      </c>
      <c r="C49" s="50">
        <v>25</v>
      </c>
      <c r="D49" s="50">
        <v>23</v>
      </c>
      <c r="E49" s="50">
        <v>2</v>
      </c>
      <c r="F49" s="50">
        <v>20</v>
      </c>
      <c r="G49" s="50">
        <v>1</v>
      </c>
      <c r="H49" s="50">
        <v>1</v>
      </c>
      <c r="I49" s="50">
        <v>7</v>
      </c>
      <c r="J49" s="50">
        <v>1</v>
      </c>
      <c r="K49" s="50">
        <v>1</v>
      </c>
      <c r="L49" s="50">
        <v>1</v>
      </c>
      <c r="M49" s="50">
        <v>220</v>
      </c>
      <c r="N49" s="50">
        <v>0</v>
      </c>
      <c r="O49" s="15">
        <f t="shared" si="0"/>
        <v>82</v>
      </c>
      <c r="P49" s="15">
        <f t="shared" si="1"/>
        <v>302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23</v>
      </c>
      <c r="E50" s="50">
        <v>5</v>
      </c>
      <c r="F50" s="50">
        <v>19</v>
      </c>
      <c r="G50" s="50">
        <v>0</v>
      </c>
      <c r="H50" s="50">
        <v>1</v>
      </c>
      <c r="I50" s="50">
        <v>6</v>
      </c>
      <c r="J50" s="50">
        <v>1</v>
      </c>
      <c r="K50" s="50">
        <v>0</v>
      </c>
      <c r="L50" s="50">
        <v>0</v>
      </c>
      <c r="M50" s="50">
        <v>187</v>
      </c>
      <c r="N50" s="50">
        <v>0</v>
      </c>
      <c r="O50" s="15">
        <f t="shared" si="0"/>
        <v>78</v>
      </c>
      <c r="P50" s="15">
        <f t="shared" si="1"/>
        <v>265</v>
      </c>
      <c r="R50" s="8"/>
      <c r="T50"/>
    </row>
    <row r="51" spans="2:20" ht="23.1" customHeight="1" x14ac:dyDescent="0.25">
      <c r="B51" s="24" t="s">
        <v>78</v>
      </c>
      <c r="C51" s="50">
        <v>22</v>
      </c>
      <c r="D51" s="50">
        <v>20</v>
      </c>
      <c r="E51" s="50">
        <v>0</v>
      </c>
      <c r="F51" s="50">
        <v>24</v>
      </c>
      <c r="G51" s="50">
        <v>0</v>
      </c>
      <c r="H51" s="50">
        <v>1</v>
      </c>
      <c r="I51" s="50">
        <v>3</v>
      </c>
      <c r="J51" s="50">
        <v>6</v>
      </c>
      <c r="K51" s="50">
        <v>0</v>
      </c>
      <c r="L51" s="50">
        <v>0</v>
      </c>
      <c r="M51" s="50">
        <v>172</v>
      </c>
      <c r="N51" s="50">
        <v>0</v>
      </c>
      <c r="O51" s="15">
        <f t="shared" si="0"/>
        <v>76</v>
      </c>
      <c r="P51" s="15">
        <f t="shared" si="1"/>
        <v>248</v>
      </c>
      <c r="R51" s="8"/>
      <c r="T51"/>
    </row>
    <row r="52" spans="2:20" ht="23.1" customHeight="1" x14ac:dyDescent="0.25">
      <c r="B52" s="24" t="s">
        <v>79</v>
      </c>
      <c r="C52" s="50">
        <v>27</v>
      </c>
      <c r="D52" s="50">
        <v>25</v>
      </c>
      <c r="E52" s="50">
        <v>2</v>
      </c>
      <c r="F52" s="50">
        <v>28</v>
      </c>
      <c r="G52" s="50">
        <v>2</v>
      </c>
      <c r="H52" s="50">
        <v>1</v>
      </c>
      <c r="I52" s="50">
        <v>2</v>
      </c>
      <c r="J52" s="50">
        <v>2</v>
      </c>
      <c r="K52" s="50">
        <v>0</v>
      </c>
      <c r="L52" s="50">
        <v>1</v>
      </c>
      <c r="M52" s="50">
        <v>168</v>
      </c>
      <c r="N52" s="50">
        <v>0</v>
      </c>
      <c r="O52" s="15">
        <f t="shared" si="0"/>
        <v>90</v>
      </c>
      <c r="P52" s="15">
        <f t="shared" si="1"/>
        <v>258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17</v>
      </c>
      <c r="E53" s="50">
        <v>3</v>
      </c>
      <c r="F53" s="50">
        <v>24</v>
      </c>
      <c r="G53" s="50">
        <v>1</v>
      </c>
      <c r="H53" s="50">
        <v>0</v>
      </c>
      <c r="I53" s="50">
        <v>0</v>
      </c>
      <c r="J53" s="50">
        <v>4</v>
      </c>
      <c r="K53" s="50">
        <v>1</v>
      </c>
      <c r="L53" s="50">
        <v>2</v>
      </c>
      <c r="M53" s="50">
        <v>135</v>
      </c>
      <c r="N53" s="50">
        <v>0</v>
      </c>
      <c r="O53" s="15">
        <f t="shared" si="0"/>
        <v>77</v>
      </c>
      <c r="P53" s="15">
        <f t="shared" si="1"/>
        <v>212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14</v>
      </c>
      <c r="E54" s="50">
        <v>0</v>
      </c>
      <c r="F54" s="50">
        <v>20</v>
      </c>
      <c r="G54" s="50">
        <v>1</v>
      </c>
      <c r="H54" s="50">
        <v>1</v>
      </c>
      <c r="I54" s="50">
        <v>3</v>
      </c>
      <c r="J54" s="50">
        <v>1</v>
      </c>
      <c r="K54" s="50">
        <v>0</v>
      </c>
      <c r="L54" s="50">
        <v>0</v>
      </c>
      <c r="M54" s="50">
        <v>233</v>
      </c>
      <c r="N54" s="50">
        <v>0</v>
      </c>
      <c r="O54" s="15">
        <f t="shared" si="0"/>
        <v>70</v>
      </c>
      <c r="P54" s="15">
        <f t="shared" si="1"/>
        <v>303</v>
      </c>
      <c r="R54" s="8"/>
      <c r="T54"/>
    </row>
    <row r="55" spans="2:20" ht="23.1" customHeight="1" x14ac:dyDescent="0.25">
      <c r="B55" s="23" t="s">
        <v>82</v>
      </c>
      <c r="C55" s="50">
        <v>31</v>
      </c>
      <c r="D55" s="50">
        <v>24</v>
      </c>
      <c r="E55" s="50">
        <v>6</v>
      </c>
      <c r="F55" s="50">
        <v>38</v>
      </c>
      <c r="G55" s="50">
        <v>1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235</v>
      </c>
      <c r="N55" s="50">
        <v>0</v>
      </c>
      <c r="O55" s="15">
        <f t="shared" si="0"/>
        <v>102</v>
      </c>
      <c r="P55" s="15">
        <f t="shared" si="1"/>
        <v>337</v>
      </c>
      <c r="R55" s="8"/>
      <c r="T55"/>
    </row>
    <row r="56" spans="2:20" ht="23.1" customHeight="1" x14ac:dyDescent="0.25">
      <c r="B56" s="23" t="s">
        <v>83</v>
      </c>
      <c r="C56" s="50">
        <v>37</v>
      </c>
      <c r="D56" s="50">
        <v>19</v>
      </c>
      <c r="E56" s="50">
        <v>9</v>
      </c>
      <c r="F56" s="50">
        <v>59</v>
      </c>
      <c r="G56" s="50">
        <v>1</v>
      </c>
      <c r="H56" s="50">
        <v>1</v>
      </c>
      <c r="I56" s="50">
        <v>5</v>
      </c>
      <c r="J56" s="50">
        <v>2</v>
      </c>
      <c r="K56" s="50">
        <v>0</v>
      </c>
      <c r="L56" s="50">
        <v>1</v>
      </c>
      <c r="M56" s="50">
        <v>230</v>
      </c>
      <c r="N56" s="50">
        <v>0</v>
      </c>
      <c r="O56" s="15">
        <f t="shared" si="0"/>
        <v>134</v>
      </c>
      <c r="P56" s="15">
        <f t="shared" si="1"/>
        <v>364</v>
      </c>
      <c r="R56" s="8"/>
      <c r="T56"/>
    </row>
    <row r="57" spans="2:20" ht="23.1" customHeight="1" x14ac:dyDescent="0.25">
      <c r="B57" s="23" t="s">
        <v>84</v>
      </c>
      <c r="C57" s="50">
        <v>38</v>
      </c>
      <c r="D57" s="50">
        <v>16</v>
      </c>
      <c r="E57" s="50">
        <v>2</v>
      </c>
      <c r="F57" s="50">
        <v>6</v>
      </c>
      <c r="G57" s="50">
        <v>3</v>
      </c>
      <c r="H57" s="50">
        <v>1</v>
      </c>
      <c r="I57" s="50">
        <v>2</v>
      </c>
      <c r="J57" s="50">
        <v>2</v>
      </c>
      <c r="K57" s="50">
        <v>0</v>
      </c>
      <c r="L57" s="50">
        <v>0</v>
      </c>
      <c r="M57" s="50">
        <v>210</v>
      </c>
      <c r="N57" s="50">
        <v>0</v>
      </c>
      <c r="O57" s="15">
        <f t="shared" si="0"/>
        <v>70</v>
      </c>
      <c r="P57" s="15">
        <f t="shared" si="1"/>
        <v>280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1523</v>
      </c>
      <c r="D58" s="16">
        <f t="shared" si="21"/>
        <v>1249</v>
      </c>
      <c r="E58" s="16">
        <f t="shared" si="21"/>
        <v>240</v>
      </c>
      <c r="F58" s="16">
        <f t="shared" si="21"/>
        <v>1471</v>
      </c>
      <c r="G58" s="16">
        <f t="shared" si="21"/>
        <v>16</v>
      </c>
      <c r="H58" s="16">
        <f t="shared" si="21"/>
        <v>15</v>
      </c>
      <c r="I58" s="16">
        <f t="shared" si="21"/>
        <v>223</v>
      </c>
      <c r="J58" s="16">
        <f t="shared" si="21"/>
        <v>100</v>
      </c>
      <c r="K58" s="16">
        <f t="shared" si="21"/>
        <v>37</v>
      </c>
      <c r="L58" s="16">
        <f t="shared" si="21"/>
        <v>46</v>
      </c>
      <c r="M58" s="16">
        <f t="shared" si="21"/>
        <v>9699</v>
      </c>
      <c r="N58" s="16">
        <f t="shared" si="21"/>
        <v>14</v>
      </c>
      <c r="O58" s="16">
        <f t="shared" si="21"/>
        <v>4838</v>
      </c>
      <c r="P58" s="16">
        <f t="shared" si="21"/>
        <v>14363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0.10603634338230175</v>
      </c>
      <c r="D59" s="43">
        <f t="shared" si="22"/>
        <v>8.6959548840771422E-2</v>
      </c>
      <c r="E59" s="43">
        <f t="shared" si="22"/>
        <v>1.6709601058274733E-2</v>
      </c>
      <c r="F59" s="43">
        <f t="shared" si="22"/>
        <v>0.10241592981967555</v>
      </c>
      <c r="G59" s="43">
        <f t="shared" si="22"/>
        <v>1.1139734038849822E-3</v>
      </c>
      <c r="H59" s="43">
        <f t="shared" si="22"/>
        <v>1.0443500661421708E-3</v>
      </c>
      <c r="I59" s="43">
        <f t="shared" si="22"/>
        <v>1.5526004316646941E-2</v>
      </c>
      <c r="J59" s="43">
        <f t="shared" si="22"/>
        <v>6.9623337742811394E-3</v>
      </c>
      <c r="K59" s="43">
        <f t="shared" si="22"/>
        <v>2.5760634964840214E-3</v>
      </c>
      <c r="L59" s="43">
        <f t="shared" si="22"/>
        <v>3.2026735361693238E-3</v>
      </c>
      <c r="M59" s="43">
        <f t="shared" si="22"/>
        <v>0.67527675276752763</v>
      </c>
      <c r="N59" s="43">
        <f t="shared" si="22"/>
        <v>9.7472672839935947E-4</v>
      </c>
      <c r="R59" s="8"/>
      <c r="T59"/>
    </row>
    <row r="60" spans="2:20" ht="23.1" customHeight="1" x14ac:dyDescent="0.25">
      <c r="B60" s="42" t="s">
        <v>94</v>
      </c>
      <c r="C60" s="44">
        <f>C58/$O$58</f>
        <v>0.31479950392724265</v>
      </c>
      <c r="D60" s="44">
        <f t="shared" ref="D60:N60" si="23">D58/$O$58</f>
        <v>0.25816453079785034</v>
      </c>
      <c r="E60" s="44">
        <f t="shared" si="23"/>
        <v>4.9607275733774284E-2</v>
      </c>
      <c r="F60" s="44">
        <f t="shared" si="23"/>
        <v>0.30405126085159156</v>
      </c>
      <c r="G60" s="44">
        <f t="shared" si="23"/>
        <v>3.3071517155849523E-3</v>
      </c>
      <c r="H60" s="44">
        <f t="shared" si="23"/>
        <v>3.1004547333608927E-3</v>
      </c>
      <c r="I60" s="44">
        <f t="shared" si="23"/>
        <v>4.6093427035965272E-2</v>
      </c>
      <c r="J60" s="44">
        <f t="shared" si="23"/>
        <v>2.0669698222405952E-2</v>
      </c>
      <c r="K60" s="44">
        <f t="shared" si="23"/>
        <v>7.6477883422902022E-3</v>
      </c>
      <c r="L60" s="44">
        <f t="shared" si="23"/>
        <v>9.5080611823067391E-3</v>
      </c>
      <c r="M60" s="44"/>
      <c r="N60" s="44">
        <f t="shared" si="23"/>
        <v>2.8937577511368336E-3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7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3" t="str">
        <f>'22.07 RUBAGA-KABUSU'!G5:H5</f>
        <v>CHAD SUPERMARKET</v>
      </c>
      <c r="H5" s="64"/>
      <c r="I5" s="14"/>
      <c r="J5" s="2" t="s">
        <v>5</v>
      </c>
      <c r="K5" s="63" t="str">
        <f>'22.07 RUBAGA-KABUSU'!K5:L5</f>
        <v>EMMANUEL EGIMU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RUBAGA-KABUSU'!D6:E6</f>
        <v>RUBAGA</v>
      </c>
      <c r="E6" s="64"/>
      <c r="F6" s="2" t="s">
        <v>2</v>
      </c>
      <c r="G6" s="63" t="str">
        <f>'22.07 RUBAGA-KABUSU'!G6:H6</f>
        <v>KABUSU</v>
      </c>
      <c r="H6" s="64"/>
      <c r="J6" s="2" t="s">
        <v>21</v>
      </c>
      <c r="K6" s="63" t="str">
        <f>'22.07 RUBAGA-KABUSU'!K6:L6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31</v>
      </c>
      <c r="D10" s="50">
        <v>7</v>
      </c>
      <c r="E10" s="50">
        <v>4</v>
      </c>
      <c r="F10" s="50">
        <v>13</v>
      </c>
      <c r="G10" s="50">
        <v>0</v>
      </c>
      <c r="H10" s="50">
        <v>0</v>
      </c>
      <c r="I10" s="50">
        <v>4</v>
      </c>
      <c r="J10" s="50">
        <v>2</v>
      </c>
      <c r="K10" s="50">
        <v>0</v>
      </c>
      <c r="L10" s="50">
        <v>0</v>
      </c>
      <c r="M10" s="50">
        <v>68</v>
      </c>
      <c r="N10" s="50">
        <v>0</v>
      </c>
      <c r="O10" s="15">
        <f t="shared" ref="O10:O57" si="0">SUM(C10:L10,N10)</f>
        <v>61</v>
      </c>
      <c r="P10" s="15">
        <f t="shared" ref="P10:P57" si="1">SUM(C10:N10)</f>
        <v>129</v>
      </c>
      <c r="R10" s="1" t="s">
        <v>6</v>
      </c>
      <c r="S10" s="17">
        <f t="shared" ref="S10:AF10" si="2">SUM(C10:C13)</f>
        <v>127</v>
      </c>
      <c r="T10" s="17">
        <f t="shared" si="2"/>
        <v>17</v>
      </c>
      <c r="U10" s="17">
        <f t="shared" si="2"/>
        <v>9</v>
      </c>
      <c r="V10" s="17">
        <f t="shared" si="2"/>
        <v>76</v>
      </c>
      <c r="W10" s="17">
        <f t="shared" si="2"/>
        <v>0</v>
      </c>
      <c r="X10" s="17">
        <f t="shared" si="2"/>
        <v>1</v>
      </c>
      <c r="Y10" s="17">
        <f t="shared" si="2"/>
        <v>8</v>
      </c>
      <c r="Z10" s="17">
        <f t="shared" si="2"/>
        <v>5</v>
      </c>
      <c r="AA10" s="17">
        <f t="shared" si="2"/>
        <v>1</v>
      </c>
      <c r="AB10" s="17">
        <f t="shared" si="2"/>
        <v>2</v>
      </c>
      <c r="AC10" s="17">
        <f t="shared" si="2"/>
        <v>335</v>
      </c>
      <c r="AD10" s="17">
        <f t="shared" si="2"/>
        <v>0</v>
      </c>
      <c r="AE10" s="31">
        <f t="shared" si="2"/>
        <v>246</v>
      </c>
      <c r="AF10" s="31">
        <f t="shared" si="2"/>
        <v>581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4</v>
      </c>
      <c r="E11" s="50">
        <v>1</v>
      </c>
      <c r="F11" s="50">
        <v>18</v>
      </c>
      <c r="G11" s="50">
        <v>0</v>
      </c>
      <c r="H11" s="50">
        <v>0</v>
      </c>
      <c r="I11" s="50">
        <v>1</v>
      </c>
      <c r="J11" s="50">
        <v>2</v>
      </c>
      <c r="K11" s="50">
        <v>0</v>
      </c>
      <c r="L11" s="50">
        <v>2</v>
      </c>
      <c r="M11" s="50">
        <v>79</v>
      </c>
      <c r="N11" s="50">
        <v>0</v>
      </c>
      <c r="O11" s="15">
        <f t="shared" si="0"/>
        <v>73</v>
      </c>
      <c r="P11" s="15">
        <f t="shared" si="1"/>
        <v>152</v>
      </c>
      <c r="R11" s="1" t="s">
        <v>7</v>
      </c>
      <c r="S11" s="17">
        <f t="shared" ref="S11:AF11" si="3">SUM(C14:C17)</f>
        <v>84</v>
      </c>
      <c r="T11" s="17">
        <f t="shared" si="3"/>
        <v>22</v>
      </c>
      <c r="U11" s="17">
        <f t="shared" si="3"/>
        <v>8</v>
      </c>
      <c r="V11" s="17">
        <f t="shared" si="3"/>
        <v>92</v>
      </c>
      <c r="W11" s="17">
        <f t="shared" si="3"/>
        <v>5</v>
      </c>
      <c r="X11" s="17">
        <f t="shared" si="3"/>
        <v>1</v>
      </c>
      <c r="Y11" s="17">
        <f t="shared" si="3"/>
        <v>13</v>
      </c>
      <c r="Z11" s="17">
        <f t="shared" si="3"/>
        <v>14</v>
      </c>
      <c r="AA11" s="17">
        <f t="shared" si="3"/>
        <v>3</v>
      </c>
      <c r="AB11" s="17">
        <f t="shared" si="3"/>
        <v>3</v>
      </c>
      <c r="AC11" s="17">
        <f t="shared" si="3"/>
        <v>550</v>
      </c>
      <c r="AD11" s="17">
        <f t="shared" si="3"/>
        <v>0</v>
      </c>
      <c r="AE11" s="31">
        <f t="shared" si="3"/>
        <v>245</v>
      </c>
      <c r="AF11" s="31">
        <f t="shared" si="3"/>
        <v>795</v>
      </c>
    </row>
    <row r="12" spans="2:32" ht="23.1" customHeight="1" x14ac:dyDescent="0.25">
      <c r="B12" s="23" t="s">
        <v>39</v>
      </c>
      <c r="C12" s="50">
        <v>18</v>
      </c>
      <c r="D12" s="50">
        <v>3</v>
      </c>
      <c r="E12" s="50">
        <v>3</v>
      </c>
      <c r="F12" s="50">
        <v>22</v>
      </c>
      <c r="G12" s="50">
        <v>0</v>
      </c>
      <c r="H12" s="50">
        <v>1</v>
      </c>
      <c r="I12" s="50">
        <v>1</v>
      </c>
      <c r="J12" s="50">
        <v>1</v>
      </c>
      <c r="K12" s="50">
        <v>1</v>
      </c>
      <c r="L12" s="50">
        <v>0</v>
      </c>
      <c r="M12" s="50">
        <v>91</v>
      </c>
      <c r="N12" s="50">
        <v>0</v>
      </c>
      <c r="O12" s="15">
        <f t="shared" si="0"/>
        <v>50</v>
      </c>
      <c r="P12" s="15">
        <f t="shared" si="1"/>
        <v>141</v>
      </c>
      <c r="R12" s="1" t="s">
        <v>8</v>
      </c>
      <c r="S12" s="17">
        <f t="shared" ref="S12:AF12" si="4">SUM(C18:C21)</f>
        <v>64</v>
      </c>
      <c r="T12" s="17">
        <f t="shared" si="4"/>
        <v>19</v>
      </c>
      <c r="U12" s="17">
        <f t="shared" si="4"/>
        <v>19</v>
      </c>
      <c r="V12" s="17">
        <f t="shared" si="4"/>
        <v>84</v>
      </c>
      <c r="W12" s="17">
        <f t="shared" si="4"/>
        <v>2</v>
      </c>
      <c r="X12" s="17">
        <f t="shared" si="4"/>
        <v>0</v>
      </c>
      <c r="Y12" s="17">
        <f t="shared" si="4"/>
        <v>6</v>
      </c>
      <c r="Z12" s="17">
        <f t="shared" si="4"/>
        <v>11</v>
      </c>
      <c r="AA12" s="17">
        <f t="shared" si="4"/>
        <v>2</v>
      </c>
      <c r="AB12" s="17">
        <f t="shared" si="4"/>
        <v>1</v>
      </c>
      <c r="AC12" s="17">
        <f t="shared" si="4"/>
        <v>554</v>
      </c>
      <c r="AD12" s="17">
        <f t="shared" si="4"/>
        <v>0</v>
      </c>
      <c r="AE12" s="31">
        <f t="shared" si="4"/>
        <v>208</v>
      </c>
      <c r="AF12" s="31">
        <f t="shared" si="4"/>
        <v>762</v>
      </c>
    </row>
    <row r="13" spans="2:32" ht="23.1" customHeight="1" x14ac:dyDescent="0.25">
      <c r="B13" s="23" t="s">
        <v>40</v>
      </c>
      <c r="C13" s="50">
        <v>33</v>
      </c>
      <c r="D13" s="50">
        <v>3</v>
      </c>
      <c r="E13" s="50">
        <v>1</v>
      </c>
      <c r="F13" s="50">
        <v>23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97</v>
      </c>
      <c r="N13" s="50">
        <v>0</v>
      </c>
      <c r="O13" s="15">
        <f t="shared" si="0"/>
        <v>62</v>
      </c>
      <c r="P13" s="15">
        <f t="shared" si="1"/>
        <v>159</v>
      </c>
      <c r="R13" s="1" t="s">
        <v>9</v>
      </c>
      <c r="S13" s="17">
        <f t="shared" ref="S13:AF13" si="5">SUM(C22:C25)</f>
        <v>91</v>
      </c>
      <c r="T13" s="17">
        <f t="shared" si="5"/>
        <v>34</v>
      </c>
      <c r="U13" s="17">
        <f t="shared" si="5"/>
        <v>10</v>
      </c>
      <c r="V13" s="17">
        <f t="shared" si="5"/>
        <v>69</v>
      </c>
      <c r="W13" s="17">
        <f t="shared" si="5"/>
        <v>4</v>
      </c>
      <c r="X13" s="17">
        <f t="shared" si="5"/>
        <v>0</v>
      </c>
      <c r="Y13" s="17">
        <f t="shared" si="5"/>
        <v>4</v>
      </c>
      <c r="Z13" s="17">
        <f t="shared" si="5"/>
        <v>21</v>
      </c>
      <c r="AA13" s="17">
        <f t="shared" si="5"/>
        <v>3</v>
      </c>
      <c r="AB13" s="17">
        <f t="shared" si="5"/>
        <v>1</v>
      </c>
      <c r="AC13" s="17">
        <f t="shared" si="5"/>
        <v>795</v>
      </c>
      <c r="AD13" s="17">
        <f t="shared" si="5"/>
        <v>0</v>
      </c>
      <c r="AE13" s="31">
        <f t="shared" si="5"/>
        <v>237</v>
      </c>
      <c r="AF13" s="31">
        <f t="shared" si="5"/>
        <v>1032</v>
      </c>
    </row>
    <row r="14" spans="2:32" ht="23.1" customHeight="1" x14ac:dyDescent="0.25">
      <c r="B14" s="23" t="s">
        <v>41</v>
      </c>
      <c r="C14" s="50">
        <v>31</v>
      </c>
      <c r="D14" s="50">
        <v>1</v>
      </c>
      <c r="E14" s="50">
        <v>3</v>
      </c>
      <c r="F14" s="50">
        <v>23</v>
      </c>
      <c r="G14" s="50">
        <v>3</v>
      </c>
      <c r="H14" s="50">
        <v>1</v>
      </c>
      <c r="I14" s="50">
        <v>6</v>
      </c>
      <c r="J14" s="50">
        <v>3</v>
      </c>
      <c r="K14" s="50">
        <v>0</v>
      </c>
      <c r="L14" s="50">
        <v>1</v>
      </c>
      <c r="M14" s="50">
        <v>112</v>
      </c>
      <c r="N14" s="50">
        <v>0</v>
      </c>
      <c r="O14" s="15">
        <f t="shared" si="0"/>
        <v>72</v>
      </c>
      <c r="P14" s="15">
        <f t="shared" si="1"/>
        <v>184</v>
      </c>
      <c r="R14" s="1" t="s">
        <v>10</v>
      </c>
      <c r="S14" s="17">
        <f t="shared" ref="S14:AF14" si="6">SUM(C26:C29)</f>
        <v>110</v>
      </c>
      <c r="T14" s="17">
        <f t="shared" si="6"/>
        <v>26</v>
      </c>
      <c r="U14" s="17">
        <f t="shared" si="6"/>
        <v>9</v>
      </c>
      <c r="V14" s="17">
        <f t="shared" si="6"/>
        <v>69</v>
      </c>
      <c r="W14" s="17">
        <f t="shared" si="6"/>
        <v>1</v>
      </c>
      <c r="X14" s="17">
        <f t="shared" si="6"/>
        <v>1</v>
      </c>
      <c r="Y14" s="17">
        <f t="shared" si="6"/>
        <v>8</v>
      </c>
      <c r="Z14" s="17">
        <f t="shared" si="6"/>
        <v>16</v>
      </c>
      <c r="AA14" s="17">
        <f t="shared" si="6"/>
        <v>2</v>
      </c>
      <c r="AB14" s="17">
        <f t="shared" si="6"/>
        <v>1</v>
      </c>
      <c r="AC14" s="17">
        <f t="shared" si="6"/>
        <v>602</v>
      </c>
      <c r="AD14" s="17">
        <f t="shared" si="6"/>
        <v>0</v>
      </c>
      <c r="AE14" s="31">
        <f t="shared" si="6"/>
        <v>243</v>
      </c>
      <c r="AF14" s="31">
        <f t="shared" si="6"/>
        <v>845</v>
      </c>
    </row>
    <row r="15" spans="2:32" ht="23.1" customHeight="1" x14ac:dyDescent="0.25">
      <c r="B15" s="23" t="s">
        <v>42</v>
      </c>
      <c r="C15" s="50">
        <v>22</v>
      </c>
      <c r="D15" s="50">
        <v>5</v>
      </c>
      <c r="E15" s="50">
        <v>1</v>
      </c>
      <c r="F15" s="50">
        <v>24</v>
      </c>
      <c r="G15" s="50">
        <v>2</v>
      </c>
      <c r="H15" s="50">
        <v>0</v>
      </c>
      <c r="I15" s="50">
        <v>6</v>
      </c>
      <c r="J15" s="50">
        <v>5</v>
      </c>
      <c r="K15" s="50">
        <v>0</v>
      </c>
      <c r="L15" s="50">
        <v>2</v>
      </c>
      <c r="M15" s="50">
        <v>149</v>
      </c>
      <c r="N15" s="50">
        <v>0</v>
      </c>
      <c r="O15" s="15">
        <f t="shared" si="0"/>
        <v>67</v>
      </c>
      <c r="P15" s="15">
        <f t="shared" si="1"/>
        <v>216</v>
      </c>
      <c r="R15" s="1" t="s">
        <v>11</v>
      </c>
      <c r="S15" s="17">
        <f t="shared" ref="S15:AF15" si="7">SUM(C30:C33)</f>
        <v>113</v>
      </c>
      <c r="T15" s="17">
        <f t="shared" si="7"/>
        <v>23</v>
      </c>
      <c r="U15" s="17">
        <f t="shared" si="7"/>
        <v>16</v>
      </c>
      <c r="V15" s="17">
        <f t="shared" si="7"/>
        <v>48</v>
      </c>
      <c r="W15" s="17">
        <f t="shared" si="7"/>
        <v>4</v>
      </c>
      <c r="X15" s="17">
        <f t="shared" si="7"/>
        <v>2</v>
      </c>
      <c r="Y15" s="17">
        <f t="shared" si="7"/>
        <v>10</v>
      </c>
      <c r="Z15" s="17">
        <f t="shared" si="7"/>
        <v>22</v>
      </c>
      <c r="AA15" s="17">
        <f t="shared" si="7"/>
        <v>2</v>
      </c>
      <c r="AB15" s="17">
        <f t="shared" si="7"/>
        <v>3</v>
      </c>
      <c r="AC15" s="17">
        <f t="shared" si="7"/>
        <v>533</v>
      </c>
      <c r="AD15" s="17">
        <f t="shared" si="7"/>
        <v>0</v>
      </c>
      <c r="AE15" s="31">
        <f t="shared" si="7"/>
        <v>243</v>
      </c>
      <c r="AF15" s="31">
        <f t="shared" si="7"/>
        <v>776</v>
      </c>
    </row>
    <row r="16" spans="2:32" ht="23.1" customHeight="1" x14ac:dyDescent="0.25">
      <c r="B16" s="23" t="s">
        <v>43</v>
      </c>
      <c r="C16" s="50">
        <v>14</v>
      </c>
      <c r="D16" s="50">
        <v>7</v>
      </c>
      <c r="E16" s="50">
        <v>3</v>
      </c>
      <c r="F16" s="50">
        <v>20</v>
      </c>
      <c r="G16" s="50">
        <v>0</v>
      </c>
      <c r="H16" s="50">
        <v>0</v>
      </c>
      <c r="I16" s="50">
        <v>1</v>
      </c>
      <c r="J16" s="50">
        <v>3</v>
      </c>
      <c r="K16" s="50">
        <v>2</v>
      </c>
      <c r="L16" s="50">
        <v>0</v>
      </c>
      <c r="M16" s="50">
        <v>161</v>
      </c>
      <c r="N16" s="50">
        <v>0</v>
      </c>
      <c r="O16" s="15">
        <f t="shared" si="0"/>
        <v>50</v>
      </c>
      <c r="P16" s="15">
        <f t="shared" si="1"/>
        <v>211</v>
      </c>
      <c r="R16" s="1" t="s">
        <v>12</v>
      </c>
      <c r="S16" s="17">
        <f t="shared" ref="S16:AF16" si="8">SUM(C34:C37)</f>
        <v>105</v>
      </c>
      <c r="T16" s="17">
        <f t="shared" si="8"/>
        <v>22</v>
      </c>
      <c r="U16" s="17">
        <f t="shared" si="8"/>
        <v>9</v>
      </c>
      <c r="V16" s="17">
        <f t="shared" si="8"/>
        <v>57</v>
      </c>
      <c r="W16" s="17">
        <f t="shared" si="8"/>
        <v>3</v>
      </c>
      <c r="X16" s="17">
        <f t="shared" si="8"/>
        <v>3</v>
      </c>
      <c r="Y16" s="17">
        <f t="shared" si="8"/>
        <v>8</v>
      </c>
      <c r="Z16" s="17">
        <f t="shared" si="8"/>
        <v>13</v>
      </c>
      <c r="AA16" s="17">
        <f t="shared" si="8"/>
        <v>5</v>
      </c>
      <c r="AB16" s="17">
        <f t="shared" si="8"/>
        <v>2</v>
      </c>
      <c r="AC16" s="17">
        <f t="shared" si="8"/>
        <v>475</v>
      </c>
      <c r="AD16" s="17">
        <f t="shared" si="8"/>
        <v>0</v>
      </c>
      <c r="AE16" s="31">
        <f t="shared" si="8"/>
        <v>227</v>
      </c>
      <c r="AF16" s="31">
        <f t="shared" si="8"/>
        <v>702</v>
      </c>
    </row>
    <row r="17" spans="2:32" ht="23.1" customHeight="1" x14ac:dyDescent="0.25">
      <c r="B17" s="23" t="s">
        <v>44</v>
      </c>
      <c r="C17" s="50">
        <v>17</v>
      </c>
      <c r="D17" s="50">
        <v>9</v>
      </c>
      <c r="E17" s="50">
        <v>1</v>
      </c>
      <c r="F17" s="50">
        <v>25</v>
      </c>
      <c r="G17" s="50">
        <v>0</v>
      </c>
      <c r="H17" s="50">
        <v>0</v>
      </c>
      <c r="I17" s="50">
        <v>0</v>
      </c>
      <c r="J17" s="50">
        <v>3</v>
      </c>
      <c r="K17" s="50">
        <v>1</v>
      </c>
      <c r="L17" s="50">
        <v>0</v>
      </c>
      <c r="M17" s="50">
        <v>128</v>
      </c>
      <c r="N17" s="50">
        <v>0</v>
      </c>
      <c r="O17" s="15">
        <f t="shared" si="0"/>
        <v>56</v>
      </c>
      <c r="P17" s="15">
        <f t="shared" si="1"/>
        <v>184</v>
      </c>
      <c r="R17" s="1" t="s">
        <v>13</v>
      </c>
      <c r="S17" s="17">
        <f t="shared" ref="S17:AF17" si="9">SUM(C38:C41)</f>
        <v>118</v>
      </c>
      <c r="T17" s="17">
        <f t="shared" si="9"/>
        <v>14</v>
      </c>
      <c r="U17" s="17">
        <f t="shared" si="9"/>
        <v>21</v>
      </c>
      <c r="V17" s="17">
        <f t="shared" si="9"/>
        <v>43</v>
      </c>
      <c r="W17" s="17">
        <f t="shared" si="9"/>
        <v>0</v>
      </c>
      <c r="X17" s="17">
        <f t="shared" si="9"/>
        <v>0</v>
      </c>
      <c r="Y17" s="17">
        <f t="shared" si="9"/>
        <v>18</v>
      </c>
      <c r="Z17" s="17">
        <f t="shared" si="9"/>
        <v>11</v>
      </c>
      <c r="AA17" s="17">
        <f t="shared" si="9"/>
        <v>2</v>
      </c>
      <c r="AB17" s="17">
        <f t="shared" si="9"/>
        <v>2</v>
      </c>
      <c r="AC17" s="17">
        <f t="shared" si="9"/>
        <v>519</v>
      </c>
      <c r="AD17" s="17">
        <f t="shared" si="9"/>
        <v>0</v>
      </c>
      <c r="AE17" s="31">
        <f t="shared" si="9"/>
        <v>229</v>
      </c>
      <c r="AF17" s="31">
        <f t="shared" si="9"/>
        <v>748</v>
      </c>
    </row>
    <row r="18" spans="2:32" ht="23.1" customHeight="1" x14ac:dyDescent="0.25">
      <c r="B18" s="23" t="s">
        <v>45</v>
      </c>
      <c r="C18" s="50">
        <v>19</v>
      </c>
      <c r="D18" s="50">
        <v>5</v>
      </c>
      <c r="E18" s="50">
        <v>6</v>
      </c>
      <c r="F18" s="50">
        <v>17</v>
      </c>
      <c r="G18" s="50">
        <v>0</v>
      </c>
      <c r="H18" s="50">
        <v>0</v>
      </c>
      <c r="I18" s="50">
        <v>1</v>
      </c>
      <c r="J18" s="50">
        <v>3</v>
      </c>
      <c r="K18" s="50">
        <v>1</v>
      </c>
      <c r="L18" s="50">
        <v>1</v>
      </c>
      <c r="M18" s="50">
        <v>142</v>
      </c>
      <c r="N18" s="50">
        <v>0</v>
      </c>
      <c r="O18" s="15">
        <f t="shared" si="0"/>
        <v>53</v>
      </c>
      <c r="P18" s="15">
        <f t="shared" si="1"/>
        <v>195</v>
      </c>
      <c r="R18" s="1" t="s">
        <v>14</v>
      </c>
      <c r="S18" s="17">
        <f t="shared" ref="S18:AF18" si="10">SUM(C42:C45)</f>
        <v>152</v>
      </c>
      <c r="T18" s="17">
        <f t="shared" si="10"/>
        <v>27</v>
      </c>
      <c r="U18" s="17">
        <f t="shared" si="10"/>
        <v>22</v>
      </c>
      <c r="V18" s="17">
        <f t="shared" si="10"/>
        <v>67</v>
      </c>
      <c r="W18" s="17">
        <f t="shared" si="10"/>
        <v>0</v>
      </c>
      <c r="X18" s="17">
        <f t="shared" si="10"/>
        <v>1</v>
      </c>
      <c r="Y18" s="17">
        <f t="shared" si="10"/>
        <v>13</v>
      </c>
      <c r="Z18" s="17">
        <f t="shared" si="10"/>
        <v>17</v>
      </c>
      <c r="AA18" s="17">
        <f t="shared" si="10"/>
        <v>3</v>
      </c>
      <c r="AB18" s="17">
        <f t="shared" si="10"/>
        <v>1</v>
      </c>
      <c r="AC18" s="17">
        <f t="shared" si="10"/>
        <v>800</v>
      </c>
      <c r="AD18" s="17">
        <f t="shared" si="10"/>
        <v>0</v>
      </c>
      <c r="AE18" s="31">
        <f t="shared" si="10"/>
        <v>303</v>
      </c>
      <c r="AF18" s="31">
        <f t="shared" si="10"/>
        <v>1103</v>
      </c>
    </row>
    <row r="19" spans="2:32" ht="23.1" customHeight="1" x14ac:dyDescent="0.25">
      <c r="B19" s="23" t="s">
        <v>46</v>
      </c>
      <c r="C19" s="50">
        <v>18</v>
      </c>
      <c r="D19" s="50">
        <v>2</v>
      </c>
      <c r="E19" s="50">
        <v>6</v>
      </c>
      <c r="F19" s="50">
        <v>22</v>
      </c>
      <c r="G19" s="50">
        <v>0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102</v>
      </c>
      <c r="N19" s="50">
        <v>0</v>
      </c>
      <c r="O19" s="15">
        <f t="shared" si="0"/>
        <v>53</v>
      </c>
      <c r="P19" s="15">
        <f t="shared" si="1"/>
        <v>155</v>
      </c>
      <c r="R19" s="1" t="s">
        <v>15</v>
      </c>
      <c r="S19" s="17">
        <f t="shared" ref="S19:AF19" si="11">SUM(C46:C49)</f>
        <v>184</v>
      </c>
      <c r="T19" s="17">
        <f t="shared" si="11"/>
        <v>47</v>
      </c>
      <c r="U19" s="17">
        <f t="shared" si="11"/>
        <v>19</v>
      </c>
      <c r="V19" s="17">
        <f t="shared" si="11"/>
        <v>45</v>
      </c>
      <c r="W19" s="17">
        <f t="shared" si="11"/>
        <v>1</v>
      </c>
      <c r="X19" s="17">
        <f t="shared" si="11"/>
        <v>4</v>
      </c>
      <c r="Y19" s="17">
        <f t="shared" si="11"/>
        <v>13</v>
      </c>
      <c r="Z19" s="17">
        <f t="shared" si="11"/>
        <v>14</v>
      </c>
      <c r="AA19" s="17">
        <f t="shared" si="11"/>
        <v>5</v>
      </c>
      <c r="AB19" s="17">
        <f t="shared" si="11"/>
        <v>0</v>
      </c>
      <c r="AC19" s="17">
        <f t="shared" si="11"/>
        <v>549</v>
      </c>
      <c r="AD19" s="17">
        <f t="shared" si="11"/>
        <v>0</v>
      </c>
      <c r="AE19" s="31">
        <f t="shared" si="11"/>
        <v>332</v>
      </c>
      <c r="AF19" s="31">
        <f t="shared" si="11"/>
        <v>881</v>
      </c>
    </row>
    <row r="20" spans="2:32" ht="23.1" customHeight="1" x14ac:dyDescent="0.25">
      <c r="B20" s="23" t="s">
        <v>47</v>
      </c>
      <c r="C20" s="50">
        <v>7</v>
      </c>
      <c r="D20" s="50">
        <v>5</v>
      </c>
      <c r="E20" s="50">
        <v>5</v>
      </c>
      <c r="F20" s="50">
        <v>22</v>
      </c>
      <c r="G20" s="50">
        <v>0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127</v>
      </c>
      <c r="N20" s="50">
        <v>0</v>
      </c>
      <c r="O20" s="15">
        <f t="shared" si="0"/>
        <v>44</v>
      </c>
      <c r="P20" s="15">
        <f t="shared" si="1"/>
        <v>171</v>
      </c>
      <c r="R20" s="1" t="s">
        <v>16</v>
      </c>
      <c r="S20" s="17">
        <f t="shared" ref="S20:AF20" si="12">SUM(C50:C53)</f>
        <v>260</v>
      </c>
      <c r="T20" s="17">
        <f t="shared" si="12"/>
        <v>38</v>
      </c>
      <c r="U20" s="17">
        <f t="shared" si="12"/>
        <v>18</v>
      </c>
      <c r="V20" s="17">
        <f t="shared" si="12"/>
        <v>41</v>
      </c>
      <c r="W20" s="17">
        <f t="shared" si="12"/>
        <v>0</v>
      </c>
      <c r="X20" s="17">
        <f t="shared" si="12"/>
        <v>1</v>
      </c>
      <c r="Y20" s="17">
        <f t="shared" si="12"/>
        <v>14</v>
      </c>
      <c r="Z20" s="17">
        <f t="shared" si="12"/>
        <v>15</v>
      </c>
      <c r="AA20" s="17">
        <f t="shared" si="12"/>
        <v>1</v>
      </c>
      <c r="AB20" s="17">
        <f t="shared" si="12"/>
        <v>1</v>
      </c>
      <c r="AC20" s="17">
        <f t="shared" si="12"/>
        <v>454</v>
      </c>
      <c r="AD20" s="17">
        <f t="shared" si="12"/>
        <v>0</v>
      </c>
      <c r="AE20" s="31">
        <f t="shared" si="12"/>
        <v>389</v>
      </c>
      <c r="AF20" s="31">
        <f t="shared" si="12"/>
        <v>843</v>
      </c>
    </row>
    <row r="21" spans="2:32" ht="23.1" customHeight="1" x14ac:dyDescent="0.25">
      <c r="B21" s="23" t="s">
        <v>48</v>
      </c>
      <c r="C21" s="50">
        <v>20</v>
      </c>
      <c r="D21" s="50">
        <v>7</v>
      </c>
      <c r="E21" s="50">
        <v>2</v>
      </c>
      <c r="F21" s="50">
        <v>23</v>
      </c>
      <c r="G21" s="50">
        <v>2</v>
      </c>
      <c r="H21" s="50">
        <v>0</v>
      </c>
      <c r="I21" s="50">
        <v>1</v>
      </c>
      <c r="J21" s="50">
        <v>2</v>
      </c>
      <c r="K21" s="50">
        <v>1</v>
      </c>
      <c r="L21" s="50">
        <v>0</v>
      </c>
      <c r="M21" s="50">
        <v>183</v>
      </c>
      <c r="N21" s="50">
        <v>0</v>
      </c>
      <c r="O21" s="15">
        <f t="shared" si="0"/>
        <v>58</v>
      </c>
      <c r="P21" s="15">
        <f t="shared" si="1"/>
        <v>241</v>
      </c>
      <c r="R21" s="36" t="s">
        <v>20</v>
      </c>
      <c r="S21" s="34">
        <f t="shared" ref="S21:AF21" si="13">SUM(C54:C57)</f>
        <v>298</v>
      </c>
      <c r="T21" s="17">
        <f t="shared" si="13"/>
        <v>68</v>
      </c>
      <c r="U21" s="17">
        <f t="shared" si="13"/>
        <v>13</v>
      </c>
      <c r="V21" s="17">
        <f t="shared" si="13"/>
        <v>26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5</v>
      </c>
      <c r="AA21" s="17">
        <f t="shared" si="13"/>
        <v>2</v>
      </c>
      <c r="AB21" s="17">
        <f t="shared" si="13"/>
        <v>1</v>
      </c>
      <c r="AC21" s="17">
        <f t="shared" si="13"/>
        <v>264</v>
      </c>
      <c r="AD21" s="17">
        <f t="shared" si="13"/>
        <v>0</v>
      </c>
      <c r="AE21" s="31">
        <f t="shared" si="13"/>
        <v>418</v>
      </c>
      <c r="AF21" s="31">
        <f t="shared" si="13"/>
        <v>682</v>
      </c>
    </row>
    <row r="22" spans="2:32" ht="23.1" customHeight="1" x14ac:dyDescent="0.25">
      <c r="B22" s="23" t="s">
        <v>49</v>
      </c>
      <c r="C22" s="50">
        <v>25</v>
      </c>
      <c r="D22" s="50">
        <v>11</v>
      </c>
      <c r="E22" s="50">
        <v>2</v>
      </c>
      <c r="F22" s="50">
        <v>15</v>
      </c>
      <c r="G22" s="50">
        <v>0</v>
      </c>
      <c r="H22" s="50">
        <v>0</v>
      </c>
      <c r="I22" s="50">
        <v>2</v>
      </c>
      <c r="J22" s="50">
        <v>4</v>
      </c>
      <c r="K22" s="50">
        <v>0</v>
      </c>
      <c r="L22" s="50">
        <v>0</v>
      </c>
      <c r="M22" s="50">
        <v>206</v>
      </c>
      <c r="N22" s="50">
        <v>0</v>
      </c>
      <c r="O22" s="15">
        <f t="shared" si="0"/>
        <v>59</v>
      </c>
      <c r="P22" s="15">
        <f t="shared" si="1"/>
        <v>265</v>
      </c>
      <c r="R22" s="38" t="s">
        <v>90</v>
      </c>
      <c r="S22" s="39">
        <f>MAX(S10:S12)</f>
        <v>127</v>
      </c>
      <c r="T22" s="39">
        <f t="shared" ref="T22:AF22" si="14">MAX(T10:T12)</f>
        <v>22</v>
      </c>
      <c r="U22" s="39">
        <f t="shared" si="14"/>
        <v>19</v>
      </c>
      <c r="V22" s="39">
        <f t="shared" si="14"/>
        <v>92</v>
      </c>
      <c r="W22" s="39">
        <f t="shared" si="14"/>
        <v>5</v>
      </c>
      <c r="X22" s="39">
        <f t="shared" si="14"/>
        <v>1</v>
      </c>
      <c r="Y22" s="39">
        <f t="shared" si="14"/>
        <v>13</v>
      </c>
      <c r="Z22" s="39">
        <f t="shared" si="14"/>
        <v>14</v>
      </c>
      <c r="AA22" s="39">
        <f t="shared" si="14"/>
        <v>3</v>
      </c>
      <c r="AB22" s="39">
        <f t="shared" si="14"/>
        <v>3</v>
      </c>
      <c r="AC22" s="39">
        <f t="shared" si="14"/>
        <v>554</v>
      </c>
      <c r="AD22" s="39">
        <f t="shared" si="14"/>
        <v>0</v>
      </c>
      <c r="AE22" s="40">
        <f t="shared" si="14"/>
        <v>246</v>
      </c>
      <c r="AF22" s="40">
        <f t="shared" si="14"/>
        <v>795</v>
      </c>
    </row>
    <row r="23" spans="2:32" ht="23.1" customHeight="1" x14ac:dyDescent="0.25">
      <c r="B23" s="23" t="s">
        <v>50</v>
      </c>
      <c r="C23" s="50">
        <v>17</v>
      </c>
      <c r="D23" s="50">
        <v>8</v>
      </c>
      <c r="E23" s="50">
        <v>4</v>
      </c>
      <c r="F23" s="50">
        <v>21</v>
      </c>
      <c r="G23" s="50">
        <v>2</v>
      </c>
      <c r="H23" s="50">
        <v>0</v>
      </c>
      <c r="I23" s="50">
        <v>1</v>
      </c>
      <c r="J23" s="50">
        <v>5</v>
      </c>
      <c r="K23" s="50">
        <v>1</v>
      </c>
      <c r="L23" s="50">
        <v>1</v>
      </c>
      <c r="M23" s="50">
        <v>190</v>
      </c>
      <c r="N23" s="50">
        <v>0</v>
      </c>
      <c r="O23" s="15">
        <f t="shared" si="0"/>
        <v>60</v>
      </c>
      <c r="P23" s="15">
        <f t="shared" si="1"/>
        <v>250</v>
      </c>
      <c r="R23" s="38" t="s">
        <v>91</v>
      </c>
      <c r="S23" s="39">
        <f>MAX(S13:S18)</f>
        <v>152</v>
      </c>
      <c r="T23" s="39">
        <f t="shared" ref="T23:AF23" si="15">MAX(T13:T18)</f>
        <v>34</v>
      </c>
      <c r="U23" s="39">
        <f t="shared" si="15"/>
        <v>22</v>
      </c>
      <c r="V23" s="39">
        <f t="shared" si="15"/>
        <v>69</v>
      </c>
      <c r="W23" s="39">
        <f t="shared" si="15"/>
        <v>4</v>
      </c>
      <c r="X23" s="39">
        <f t="shared" si="15"/>
        <v>3</v>
      </c>
      <c r="Y23" s="39">
        <f t="shared" si="15"/>
        <v>18</v>
      </c>
      <c r="Z23" s="39">
        <f t="shared" si="15"/>
        <v>22</v>
      </c>
      <c r="AA23" s="39">
        <f t="shared" si="15"/>
        <v>5</v>
      </c>
      <c r="AB23" s="39">
        <f t="shared" si="15"/>
        <v>3</v>
      </c>
      <c r="AC23" s="39">
        <f t="shared" si="15"/>
        <v>800</v>
      </c>
      <c r="AD23" s="39">
        <f t="shared" si="15"/>
        <v>0</v>
      </c>
      <c r="AE23" s="40">
        <f t="shared" si="15"/>
        <v>303</v>
      </c>
      <c r="AF23" s="40">
        <f t="shared" si="15"/>
        <v>1103</v>
      </c>
    </row>
    <row r="24" spans="2:32" ht="23.1" customHeight="1" x14ac:dyDescent="0.25">
      <c r="B24" s="23" t="s">
        <v>51</v>
      </c>
      <c r="C24" s="50">
        <v>19</v>
      </c>
      <c r="D24" s="50">
        <v>7</v>
      </c>
      <c r="E24" s="50">
        <v>2</v>
      </c>
      <c r="F24" s="50">
        <v>19</v>
      </c>
      <c r="G24" s="50">
        <v>1</v>
      </c>
      <c r="H24" s="50">
        <v>0</v>
      </c>
      <c r="I24" s="50">
        <v>1</v>
      </c>
      <c r="J24" s="50">
        <v>6</v>
      </c>
      <c r="K24" s="50">
        <v>1</v>
      </c>
      <c r="L24" s="50">
        <v>0</v>
      </c>
      <c r="M24" s="50">
        <v>216</v>
      </c>
      <c r="N24" s="50">
        <v>0</v>
      </c>
      <c r="O24" s="15">
        <f t="shared" si="0"/>
        <v>56</v>
      </c>
      <c r="P24" s="15">
        <f t="shared" si="1"/>
        <v>272</v>
      </c>
      <c r="R24" s="38" t="s">
        <v>92</v>
      </c>
      <c r="S24" s="39">
        <f>MAX(S19:S21)</f>
        <v>298</v>
      </c>
      <c r="T24" s="39">
        <f t="shared" ref="T24:AF24" si="16">MAX(T19:T21)</f>
        <v>68</v>
      </c>
      <c r="U24" s="39">
        <f t="shared" si="16"/>
        <v>19</v>
      </c>
      <c r="V24" s="39">
        <f t="shared" si="16"/>
        <v>45</v>
      </c>
      <c r="W24" s="39">
        <f t="shared" si="16"/>
        <v>1</v>
      </c>
      <c r="X24" s="39">
        <f t="shared" si="16"/>
        <v>4</v>
      </c>
      <c r="Y24" s="39">
        <f t="shared" si="16"/>
        <v>14</v>
      </c>
      <c r="Z24" s="39">
        <f t="shared" si="16"/>
        <v>15</v>
      </c>
      <c r="AA24" s="39">
        <f t="shared" si="16"/>
        <v>5</v>
      </c>
      <c r="AB24" s="39">
        <f t="shared" si="16"/>
        <v>1</v>
      </c>
      <c r="AC24" s="39">
        <f t="shared" si="16"/>
        <v>549</v>
      </c>
      <c r="AD24" s="39">
        <f t="shared" si="16"/>
        <v>0</v>
      </c>
      <c r="AE24" s="40">
        <f t="shared" si="16"/>
        <v>418</v>
      </c>
      <c r="AF24" s="40">
        <f t="shared" si="16"/>
        <v>881</v>
      </c>
    </row>
    <row r="25" spans="2:32" ht="23.1" customHeight="1" x14ac:dyDescent="0.25">
      <c r="B25" s="23" t="s">
        <v>52</v>
      </c>
      <c r="C25" s="50">
        <v>30</v>
      </c>
      <c r="D25" s="50">
        <v>8</v>
      </c>
      <c r="E25" s="50">
        <v>2</v>
      </c>
      <c r="F25" s="50">
        <v>14</v>
      </c>
      <c r="G25" s="50">
        <v>1</v>
      </c>
      <c r="H25" s="50">
        <v>0</v>
      </c>
      <c r="I25" s="50">
        <v>0</v>
      </c>
      <c r="J25" s="50">
        <v>6</v>
      </c>
      <c r="K25" s="50">
        <v>1</v>
      </c>
      <c r="L25" s="50">
        <v>0</v>
      </c>
      <c r="M25" s="50">
        <v>183</v>
      </c>
      <c r="N25" s="50">
        <v>0</v>
      </c>
      <c r="O25" s="15">
        <f t="shared" si="0"/>
        <v>62</v>
      </c>
      <c r="P25" s="15">
        <f t="shared" si="1"/>
        <v>245</v>
      </c>
      <c r="R25" s="37" t="s">
        <v>85</v>
      </c>
      <c r="S25" s="35">
        <f t="shared" ref="S25:AF25" si="17">SUM(S10:S12)</f>
        <v>275</v>
      </c>
      <c r="T25" s="16">
        <f t="shared" si="17"/>
        <v>58</v>
      </c>
      <c r="U25" s="16">
        <f t="shared" si="17"/>
        <v>36</v>
      </c>
      <c r="V25" s="16">
        <f t="shared" si="17"/>
        <v>252</v>
      </c>
      <c r="W25" s="16">
        <f t="shared" si="17"/>
        <v>7</v>
      </c>
      <c r="X25" s="16">
        <f t="shared" si="17"/>
        <v>2</v>
      </c>
      <c r="Y25" s="16">
        <f t="shared" si="17"/>
        <v>27</v>
      </c>
      <c r="Z25" s="16">
        <f t="shared" si="17"/>
        <v>30</v>
      </c>
      <c r="AA25" s="16">
        <f t="shared" si="17"/>
        <v>6</v>
      </c>
      <c r="AB25" s="16">
        <f t="shared" si="17"/>
        <v>6</v>
      </c>
      <c r="AC25" s="16">
        <f t="shared" si="17"/>
        <v>1439</v>
      </c>
      <c r="AD25" s="16">
        <f t="shared" si="17"/>
        <v>0</v>
      </c>
      <c r="AE25" s="32">
        <f t="shared" si="17"/>
        <v>699</v>
      </c>
      <c r="AF25" s="32">
        <f t="shared" si="17"/>
        <v>2138</v>
      </c>
    </row>
    <row r="26" spans="2:32" ht="23.1" customHeight="1" x14ac:dyDescent="0.25">
      <c r="B26" s="23" t="s">
        <v>53</v>
      </c>
      <c r="C26" s="50">
        <v>25</v>
      </c>
      <c r="D26" s="50">
        <v>7</v>
      </c>
      <c r="E26" s="50">
        <v>0</v>
      </c>
      <c r="F26" s="50">
        <v>19</v>
      </c>
      <c r="G26" s="50">
        <v>0</v>
      </c>
      <c r="H26" s="50">
        <v>0</v>
      </c>
      <c r="I26" s="50">
        <v>3</v>
      </c>
      <c r="J26" s="50">
        <v>2</v>
      </c>
      <c r="K26" s="50">
        <v>1</v>
      </c>
      <c r="L26" s="50">
        <v>0</v>
      </c>
      <c r="M26" s="50">
        <v>154</v>
      </c>
      <c r="N26" s="50">
        <v>0</v>
      </c>
      <c r="O26" s="15">
        <f t="shared" si="0"/>
        <v>57</v>
      </c>
      <c r="P26" s="15">
        <f t="shared" si="1"/>
        <v>211</v>
      </c>
      <c r="R26" s="28" t="s">
        <v>86</v>
      </c>
      <c r="S26" s="16">
        <f t="shared" ref="S26:AF26" si="18">SUM(S13:S18)</f>
        <v>689</v>
      </c>
      <c r="T26" s="16">
        <f t="shared" si="18"/>
        <v>146</v>
      </c>
      <c r="U26" s="16">
        <f t="shared" si="18"/>
        <v>87</v>
      </c>
      <c r="V26" s="16">
        <f t="shared" si="18"/>
        <v>353</v>
      </c>
      <c r="W26" s="16">
        <f t="shared" si="18"/>
        <v>12</v>
      </c>
      <c r="X26" s="16">
        <f t="shared" si="18"/>
        <v>7</v>
      </c>
      <c r="Y26" s="16">
        <f t="shared" si="18"/>
        <v>61</v>
      </c>
      <c r="Z26" s="16">
        <f t="shared" si="18"/>
        <v>100</v>
      </c>
      <c r="AA26" s="16">
        <f t="shared" si="18"/>
        <v>17</v>
      </c>
      <c r="AB26" s="16">
        <f t="shared" si="18"/>
        <v>10</v>
      </c>
      <c r="AC26" s="16">
        <f t="shared" si="18"/>
        <v>3724</v>
      </c>
      <c r="AD26" s="16">
        <f t="shared" si="18"/>
        <v>0</v>
      </c>
      <c r="AE26" s="32">
        <f t="shared" si="18"/>
        <v>1482</v>
      </c>
      <c r="AF26" s="32">
        <f t="shared" si="18"/>
        <v>5206</v>
      </c>
    </row>
    <row r="27" spans="2:32" ht="23.1" customHeight="1" x14ac:dyDescent="0.25">
      <c r="B27" s="23" t="s">
        <v>54</v>
      </c>
      <c r="C27" s="50">
        <v>24</v>
      </c>
      <c r="D27" s="50">
        <v>5</v>
      </c>
      <c r="E27" s="50">
        <v>2</v>
      </c>
      <c r="F27" s="50">
        <v>16</v>
      </c>
      <c r="G27" s="50">
        <v>0</v>
      </c>
      <c r="H27" s="50">
        <v>0</v>
      </c>
      <c r="I27" s="50">
        <v>0</v>
      </c>
      <c r="J27" s="50">
        <v>7</v>
      </c>
      <c r="K27" s="50">
        <v>0</v>
      </c>
      <c r="L27" s="50">
        <v>0</v>
      </c>
      <c r="M27" s="50">
        <v>161</v>
      </c>
      <c r="N27" s="50">
        <v>0</v>
      </c>
      <c r="O27" s="15">
        <f t="shared" si="0"/>
        <v>54</v>
      </c>
      <c r="P27" s="15">
        <f t="shared" si="1"/>
        <v>215</v>
      </c>
      <c r="R27" s="29" t="s">
        <v>87</v>
      </c>
      <c r="S27" s="16">
        <f t="shared" ref="S27:AF27" si="19">SUM(S19:S21)</f>
        <v>742</v>
      </c>
      <c r="T27" s="16">
        <f t="shared" si="19"/>
        <v>153</v>
      </c>
      <c r="U27" s="16">
        <f t="shared" si="19"/>
        <v>50</v>
      </c>
      <c r="V27" s="16">
        <f t="shared" si="19"/>
        <v>112</v>
      </c>
      <c r="W27" s="16">
        <f t="shared" si="19"/>
        <v>1</v>
      </c>
      <c r="X27" s="16">
        <f t="shared" si="19"/>
        <v>5</v>
      </c>
      <c r="Y27" s="16">
        <f t="shared" si="19"/>
        <v>32</v>
      </c>
      <c r="Z27" s="16">
        <f t="shared" si="19"/>
        <v>34</v>
      </c>
      <c r="AA27" s="16">
        <f t="shared" si="19"/>
        <v>8</v>
      </c>
      <c r="AB27" s="16">
        <f t="shared" si="19"/>
        <v>2</v>
      </c>
      <c r="AC27" s="16">
        <f t="shared" si="19"/>
        <v>1267</v>
      </c>
      <c r="AD27" s="16">
        <f t="shared" si="19"/>
        <v>0</v>
      </c>
      <c r="AE27" s="32">
        <f t="shared" si="19"/>
        <v>1139</v>
      </c>
      <c r="AF27" s="32">
        <f t="shared" si="19"/>
        <v>2406</v>
      </c>
    </row>
    <row r="28" spans="2:32" ht="23.1" customHeight="1" x14ac:dyDescent="0.25">
      <c r="B28" s="23" t="s">
        <v>55</v>
      </c>
      <c r="C28" s="50">
        <v>31</v>
      </c>
      <c r="D28" s="50">
        <v>9</v>
      </c>
      <c r="E28" s="50">
        <v>3</v>
      </c>
      <c r="F28" s="50">
        <v>19</v>
      </c>
      <c r="G28" s="50">
        <v>1</v>
      </c>
      <c r="H28" s="50">
        <v>1</v>
      </c>
      <c r="I28" s="50">
        <v>1</v>
      </c>
      <c r="J28" s="50">
        <v>6</v>
      </c>
      <c r="K28" s="50">
        <v>0</v>
      </c>
      <c r="L28" s="50">
        <v>0</v>
      </c>
      <c r="M28" s="50">
        <v>137</v>
      </c>
      <c r="N28" s="50">
        <v>0</v>
      </c>
      <c r="O28" s="15">
        <f t="shared" si="0"/>
        <v>71</v>
      </c>
      <c r="P28" s="15">
        <f t="shared" si="1"/>
        <v>208</v>
      </c>
      <c r="R28" s="5" t="s">
        <v>17</v>
      </c>
      <c r="S28" s="16">
        <f t="shared" ref="S28:AF28" si="20">SUM(S10:S21)</f>
        <v>1706</v>
      </c>
      <c r="T28" s="16">
        <f t="shared" si="20"/>
        <v>357</v>
      </c>
      <c r="U28" s="16">
        <f t="shared" si="20"/>
        <v>173</v>
      </c>
      <c r="V28" s="16">
        <f t="shared" si="20"/>
        <v>717</v>
      </c>
      <c r="W28" s="16">
        <f t="shared" si="20"/>
        <v>20</v>
      </c>
      <c r="X28" s="16">
        <f t="shared" si="20"/>
        <v>14</v>
      </c>
      <c r="Y28" s="16">
        <f t="shared" si="20"/>
        <v>120</v>
      </c>
      <c r="Z28" s="16">
        <f t="shared" si="20"/>
        <v>164</v>
      </c>
      <c r="AA28" s="16">
        <f t="shared" si="20"/>
        <v>31</v>
      </c>
      <c r="AB28" s="16">
        <f t="shared" si="20"/>
        <v>18</v>
      </c>
      <c r="AC28" s="16">
        <f t="shared" si="20"/>
        <v>6430</v>
      </c>
      <c r="AD28" s="16">
        <f t="shared" si="20"/>
        <v>0</v>
      </c>
      <c r="AE28" s="32">
        <f t="shared" si="20"/>
        <v>3320</v>
      </c>
      <c r="AF28" s="32">
        <f t="shared" si="20"/>
        <v>9750</v>
      </c>
    </row>
    <row r="29" spans="2:32" ht="23.1" customHeight="1" x14ac:dyDescent="0.25">
      <c r="B29" s="23" t="s">
        <v>56</v>
      </c>
      <c r="C29" s="50">
        <v>30</v>
      </c>
      <c r="D29" s="50">
        <v>5</v>
      </c>
      <c r="E29" s="50">
        <v>4</v>
      </c>
      <c r="F29" s="50">
        <v>15</v>
      </c>
      <c r="G29" s="50">
        <v>0</v>
      </c>
      <c r="H29" s="50">
        <v>0</v>
      </c>
      <c r="I29" s="50">
        <v>4</v>
      </c>
      <c r="J29" s="50">
        <v>1</v>
      </c>
      <c r="K29" s="50">
        <v>1</v>
      </c>
      <c r="L29" s="50">
        <v>1</v>
      </c>
      <c r="M29" s="50">
        <v>150</v>
      </c>
      <c r="N29" s="50">
        <v>0</v>
      </c>
      <c r="O29" s="15">
        <f t="shared" si="0"/>
        <v>61</v>
      </c>
      <c r="P29" s="15">
        <f t="shared" si="1"/>
        <v>211</v>
      </c>
      <c r="R29"/>
      <c r="S29" s="20"/>
      <c r="T29" s="19"/>
    </row>
    <row r="30" spans="2:32" ht="23.1" customHeight="1" x14ac:dyDescent="0.25">
      <c r="B30" s="23" t="s">
        <v>57</v>
      </c>
      <c r="C30" s="50">
        <v>27</v>
      </c>
      <c r="D30" s="50">
        <v>2</v>
      </c>
      <c r="E30" s="50">
        <v>5</v>
      </c>
      <c r="F30" s="50">
        <v>10</v>
      </c>
      <c r="G30" s="50">
        <v>1</v>
      </c>
      <c r="H30" s="50">
        <v>0</v>
      </c>
      <c r="I30" s="50">
        <v>5</v>
      </c>
      <c r="J30" s="50">
        <v>5</v>
      </c>
      <c r="K30" s="50">
        <v>0</v>
      </c>
      <c r="L30" s="50">
        <v>1</v>
      </c>
      <c r="M30" s="50">
        <v>99</v>
      </c>
      <c r="N30" s="50">
        <v>0</v>
      </c>
      <c r="O30" s="15">
        <f t="shared" si="0"/>
        <v>56</v>
      </c>
      <c r="P30" s="15">
        <f t="shared" si="1"/>
        <v>155</v>
      </c>
    </row>
    <row r="31" spans="2:32" ht="23.1" customHeight="1" x14ac:dyDescent="0.25">
      <c r="B31" s="24" t="s">
        <v>58</v>
      </c>
      <c r="C31" s="50">
        <v>23</v>
      </c>
      <c r="D31" s="50">
        <v>9</v>
      </c>
      <c r="E31" s="50">
        <v>6</v>
      </c>
      <c r="F31" s="50">
        <v>18</v>
      </c>
      <c r="G31" s="50">
        <v>1</v>
      </c>
      <c r="H31" s="50">
        <v>0</v>
      </c>
      <c r="I31" s="50">
        <v>1</v>
      </c>
      <c r="J31" s="50">
        <v>7</v>
      </c>
      <c r="K31" s="50">
        <v>0</v>
      </c>
      <c r="L31" s="50">
        <v>0</v>
      </c>
      <c r="M31" s="50">
        <v>129</v>
      </c>
      <c r="N31" s="50">
        <v>0</v>
      </c>
      <c r="O31" s="15">
        <f t="shared" si="0"/>
        <v>65</v>
      </c>
      <c r="P31" s="15">
        <f t="shared" si="1"/>
        <v>194</v>
      </c>
    </row>
    <row r="32" spans="2:32" ht="23.1" customHeight="1" x14ac:dyDescent="0.25">
      <c r="B32" s="24" t="s">
        <v>59</v>
      </c>
      <c r="C32" s="50">
        <v>30</v>
      </c>
      <c r="D32" s="50">
        <v>7</v>
      </c>
      <c r="E32" s="50">
        <v>3</v>
      </c>
      <c r="F32" s="50">
        <v>9</v>
      </c>
      <c r="G32" s="50">
        <v>0</v>
      </c>
      <c r="H32" s="50">
        <v>1</v>
      </c>
      <c r="I32" s="50">
        <v>3</v>
      </c>
      <c r="J32" s="50">
        <v>6</v>
      </c>
      <c r="K32" s="50">
        <v>1</v>
      </c>
      <c r="L32" s="50">
        <v>0</v>
      </c>
      <c r="M32" s="50">
        <v>142</v>
      </c>
      <c r="N32" s="50">
        <v>0</v>
      </c>
      <c r="O32" s="15">
        <f t="shared" si="0"/>
        <v>60</v>
      </c>
      <c r="P32" s="15">
        <f t="shared" si="1"/>
        <v>202</v>
      </c>
    </row>
    <row r="33" spans="2:20" ht="23.1" customHeight="1" x14ac:dyDescent="0.25">
      <c r="B33" s="23" t="s">
        <v>60</v>
      </c>
      <c r="C33" s="50">
        <v>33</v>
      </c>
      <c r="D33" s="50">
        <v>5</v>
      </c>
      <c r="E33" s="50">
        <v>2</v>
      </c>
      <c r="F33" s="50">
        <v>11</v>
      </c>
      <c r="G33" s="50">
        <v>2</v>
      </c>
      <c r="H33" s="50">
        <v>1</v>
      </c>
      <c r="I33" s="50">
        <v>1</v>
      </c>
      <c r="J33" s="50">
        <v>4</v>
      </c>
      <c r="K33" s="50">
        <v>1</v>
      </c>
      <c r="L33" s="50">
        <v>2</v>
      </c>
      <c r="M33" s="50">
        <v>163</v>
      </c>
      <c r="N33" s="50">
        <v>0</v>
      </c>
      <c r="O33" s="15">
        <f t="shared" si="0"/>
        <v>62</v>
      </c>
      <c r="P33" s="15">
        <f t="shared" si="1"/>
        <v>225</v>
      </c>
    </row>
    <row r="34" spans="2:20" ht="23.1" customHeight="1" x14ac:dyDescent="0.25">
      <c r="B34" s="24" t="s">
        <v>61</v>
      </c>
      <c r="C34" s="50">
        <v>21</v>
      </c>
      <c r="D34" s="50">
        <v>5</v>
      </c>
      <c r="E34" s="50">
        <v>3</v>
      </c>
      <c r="F34" s="50">
        <v>17</v>
      </c>
      <c r="G34" s="50">
        <v>0</v>
      </c>
      <c r="H34" s="50">
        <v>0</v>
      </c>
      <c r="I34" s="50">
        <v>4</v>
      </c>
      <c r="J34" s="50">
        <v>2</v>
      </c>
      <c r="K34" s="50">
        <v>2</v>
      </c>
      <c r="L34" s="50">
        <v>1</v>
      </c>
      <c r="M34" s="50">
        <v>108</v>
      </c>
      <c r="N34" s="50">
        <v>0</v>
      </c>
      <c r="O34" s="15">
        <f t="shared" si="0"/>
        <v>55</v>
      </c>
      <c r="P34" s="15">
        <f t="shared" si="1"/>
        <v>163</v>
      </c>
    </row>
    <row r="35" spans="2:20" ht="23.1" customHeight="1" x14ac:dyDescent="0.25">
      <c r="B35" s="24" t="s">
        <v>62</v>
      </c>
      <c r="C35" s="50">
        <v>25</v>
      </c>
      <c r="D35" s="50">
        <v>6</v>
      </c>
      <c r="E35" s="50">
        <v>2</v>
      </c>
      <c r="F35" s="50">
        <v>13</v>
      </c>
      <c r="G35" s="50">
        <v>0</v>
      </c>
      <c r="H35" s="50">
        <v>2</v>
      </c>
      <c r="I35" s="50">
        <v>1</v>
      </c>
      <c r="J35" s="50">
        <v>3</v>
      </c>
      <c r="K35" s="50">
        <v>0</v>
      </c>
      <c r="L35" s="50">
        <v>0</v>
      </c>
      <c r="M35" s="50">
        <v>83</v>
      </c>
      <c r="N35" s="50">
        <v>0</v>
      </c>
      <c r="O35" s="15">
        <f t="shared" si="0"/>
        <v>52</v>
      </c>
      <c r="P35" s="15">
        <f t="shared" si="1"/>
        <v>135</v>
      </c>
    </row>
    <row r="36" spans="2:20" ht="23.1" customHeight="1" x14ac:dyDescent="0.25">
      <c r="B36" s="24" t="s">
        <v>63</v>
      </c>
      <c r="C36" s="50">
        <v>35</v>
      </c>
      <c r="D36" s="50">
        <v>5</v>
      </c>
      <c r="E36" s="50">
        <v>3</v>
      </c>
      <c r="F36" s="50">
        <v>14</v>
      </c>
      <c r="G36" s="50">
        <v>1</v>
      </c>
      <c r="H36" s="50">
        <v>0</v>
      </c>
      <c r="I36" s="50">
        <v>0</v>
      </c>
      <c r="J36" s="50">
        <v>3</v>
      </c>
      <c r="K36" s="50">
        <v>2</v>
      </c>
      <c r="L36" s="50">
        <v>0</v>
      </c>
      <c r="M36" s="50">
        <v>121</v>
      </c>
      <c r="N36" s="50">
        <v>0</v>
      </c>
      <c r="O36" s="15">
        <f t="shared" si="0"/>
        <v>63</v>
      </c>
      <c r="P36" s="15">
        <f t="shared" si="1"/>
        <v>184</v>
      </c>
    </row>
    <row r="37" spans="2:20" ht="23.1" customHeight="1" x14ac:dyDescent="0.25">
      <c r="B37" s="23" t="s">
        <v>64</v>
      </c>
      <c r="C37" s="50">
        <v>24</v>
      </c>
      <c r="D37" s="50">
        <v>6</v>
      </c>
      <c r="E37" s="50">
        <v>1</v>
      </c>
      <c r="F37" s="50">
        <v>13</v>
      </c>
      <c r="G37" s="50">
        <v>2</v>
      </c>
      <c r="H37" s="50">
        <v>1</v>
      </c>
      <c r="I37" s="50">
        <v>3</v>
      </c>
      <c r="J37" s="50">
        <v>5</v>
      </c>
      <c r="K37" s="50">
        <v>1</v>
      </c>
      <c r="L37" s="50">
        <v>1</v>
      </c>
      <c r="M37" s="50">
        <v>163</v>
      </c>
      <c r="N37" s="50">
        <v>0</v>
      </c>
      <c r="O37" s="15">
        <f t="shared" si="0"/>
        <v>57</v>
      </c>
      <c r="P37" s="15">
        <f t="shared" si="1"/>
        <v>220</v>
      </c>
    </row>
    <row r="38" spans="2:20" ht="23.1" customHeight="1" x14ac:dyDescent="0.25">
      <c r="B38" s="24" t="s">
        <v>65</v>
      </c>
      <c r="C38" s="50">
        <v>21</v>
      </c>
      <c r="D38" s="50">
        <v>2</v>
      </c>
      <c r="E38" s="50">
        <v>5</v>
      </c>
      <c r="F38" s="50">
        <v>8</v>
      </c>
      <c r="G38" s="50">
        <v>0</v>
      </c>
      <c r="H38" s="50">
        <v>0</v>
      </c>
      <c r="I38" s="50">
        <v>4</v>
      </c>
      <c r="J38" s="50">
        <v>1</v>
      </c>
      <c r="K38" s="50">
        <v>1</v>
      </c>
      <c r="L38" s="50">
        <v>0</v>
      </c>
      <c r="M38" s="50">
        <v>109</v>
      </c>
      <c r="N38" s="50">
        <v>0</v>
      </c>
      <c r="O38" s="15">
        <f t="shared" si="0"/>
        <v>42</v>
      </c>
      <c r="P38" s="15">
        <f t="shared" si="1"/>
        <v>151</v>
      </c>
    </row>
    <row r="39" spans="2:20" ht="23.1" customHeight="1" x14ac:dyDescent="0.25">
      <c r="B39" s="24" t="s">
        <v>66</v>
      </c>
      <c r="C39" s="50">
        <v>27</v>
      </c>
      <c r="D39" s="50">
        <v>5</v>
      </c>
      <c r="E39" s="50">
        <v>5</v>
      </c>
      <c r="F39" s="50">
        <v>14</v>
      </c>
      <c r="G39" s="50">
        <v>0</v>
      </c>
      <c r="H39" s="50">
        <v>0</v>
      </c>
      <c r="I39" s="50">
        <v>2</v>
      </c>
      <c r="J39" s="50">
        <v>3</v>
      </c>
      <c r="K39" s="50">
        <v>0</v>
      </c>
      <c r="L39" s="50">
        <v>1</v>
      </c>
      <c r="M39" s="50">
        <v>106</v>
      </c>
      <c r="N39" s="50">
        <v>0</v>
      </c>
      <c r="O39" s="15">
        <f t="shared" si="0"/>
        <v>57</v>
      </c>
      <c r="P39" s="15">
        <f t="shared" si="1"/>
        <v>163</v>
      </c>
    </row>
    <row r="40" spans="2:20" ht="23.1" customHeight="1" x14ac:dyDescent="0.25">
      <c r="B40" s="24" t="s">
        <v>67</v>
      </c>
      <c r="C40" s="50">
        <v>45</v>
      </c>
      <c r="D40" s="50">
        <v>4</v>
      </c>
      <c r="E40" s="50">
        <v>7</v>
      </c>
      <c r="F40" s="50">
        <v>11</v>
      </c>
      <c r="G40" s="50">
        <v>0</v>
      </c>
      <c r="H40" s="50">
        <v>0</v>
      </c>
      <c r="I40" s="50">
        <v>10</v>
      </c>
      <c r="J40" s="50">
        <v>4</v>
      </c>
      <c r="K40" s="50">
        <v>1</v>
      </c>
      <c r="L40" s="50">
        <v>0</v>
      </c>
      <c r="M40" s="50">
        <v>140</v>
      </c>
      <c r="N40" s="50">
        <v>0</v>
      </c>
      <c r="O40" s="15">
        <f t="shared" si="0"/>
        <v>82</v>
      </c>
      <c r="P40" s="15">
        <f t="shared" si="1"/>
        <v>222</v>
      </c>
    </row>
    <row r="41" spans="2:20" ht="23.1" customHeight="1" x14ac:dyDescent="0.25">
      <c r="B41" s="23" t="s">
        <v>68</v>
      </c>
      <c r="C41" s="50">
        <v>25</v>
      </c>
      <c r="D41" s="50">
        <v>3</v>
      </c>
      <c r="E41" s="50">
        <v>4</v>
      </c>
      <c r="F41" s="50">
        <v>10</v>
      </c>
      <c r="G41" s="50">
        <v>0</v>
      </c>
      <c r="H41" s="50">
        <v>0</v>
      </c>
      <c r="I41" s="50">
        <v>2</v>
      </c>
      <c r="J41" s="50">
        <v>3</v>
      </c>
      <c r="K41" s="50">
        <v>0</v>
      </c>
      <c r="L41" s="50">
        <v>1</v>
      </c>
      <c r="M41" s="50">
        <v>164</v>
      </c>
      <c r="N41" s="50">
        <v>0</v>
      </c>
      <c r="O41" s="15">
        <f t="shared" si="0"/>
        <v>48</v>
      </c>
      <c r="P41" s="15">
        <f t="shared" si="1"/>
        <v>212</v>
      </c>
    </row>
    <row r="42" spans="2:20" ht="23.1" customHeight="1" x14ac:dyDescent="0.25">
      <c r="B42" s="24" t="s">
        <v>69</v>
      </c>
      <c r="C42" s="50">
        <v>36</v>
      </c>
      <c r="D42" s="50">
        <v>12</v>
      </c>
      <c r="E42" s="50">
        <v>4</v>
      </c>
      <c r="F42" s="50">
        <v>14</v>
      </c>
      <c r="G42" s="50">
        <v>0</v>
      </c>
      <c r="H42" s="50">
        <v>0</v>
      </c>
      <c r="I42" s="50">
        <v>3</v>
      </c>
      <c r="J42" s="50">
        <v>4</v>
      </c>
      <c r="K42" s="50">
        <v>1</v>
      </c>
      <c r="L42" s="50">
        <v>0</v>
      </c>
      <c r="M42" s="50">
        <v>166</v>
      </c>
      <c r="N42" s="50">
        <v>0</v>
      </c>
      <c r="O42" s="15">
        <f t="shared" si="0"/>
        <v>74</v>
      </c>
      <c r="P42" s="15">
        <f t="shared" si="1"/>
        <v>240</v>
      </c>
    </row>
    <row r="43" spans="2:20" ht="23.1" customHeight="1" x14ac:dyDescent="0.25">
      <c r="B43" s="23" t="s">
        <v>70</v>
      </c>
      <c r="C43" s="50">
        <v>47</v>
      </c>
      <c r="D43" s="50">
        <v>8</v>
      </c>
      <c r="E43" s="50">
        <v>9</v>
      </c>
      <c r="F43" s="50">
        <v>23</v>
      </c>
      <c r="G43" s="50">
        <v>0</v>
      </c>
      <c r="H43" s="50">
        <v>0</v>
      </c>
      <c r="I43" s="50">
        <v>3</v>
      </c>
      <c r="J43" s="50">
        <v>1</v>
      </c>
      <c r="K43" s="50">
        <v>1</v>
      </c>
      <c r="L43" s="50">
        <v>0</v>
      </c>
      <c r="M43" s="50">
        <v>224</v>
      </c>
      <c r="N43" s="50">
        <v>0</v>
      </c>
      <c r="O43" s="15">
        <f t="shared" si="0"/>
        <v>92</v>
      </c>
      <c r="P43" s="15">
        <f t="shared" si="1"/>
        <v>316</v>
      </c>
    </row>
    <row r="44" spans="2:20" ht="23.1" customHeight="1" x14ac:dyDescent="0.25">
      <c r="B44" s="25" t="s">
        <v>71</v>
      </c>
      <c r="C44" s="50">
        <v>41</v>
      </c>
      <c r="D44" s="50">
        <v>1</v>
      </c>
      <c r="E44" s="50">
        <v>3</v>
      </c>
      <c r="F44" s="50">
        <v>20</v>
      </c>
      <c r="G44" s="50">
        <v>0</v>
      </c>
      <c r="H44" s="50">
        <v>1</v>
      </c>
      <c r="I44" s="50">
        <v>3</v>
      </c>
      <c r="J44" s="50">
        <v>7</v>
      </c>
      <c r="K44" s="50">
        <v>1</v>
      </c>
      <c r="L44" s="50">
        <v>1</v>
      </c>
      <c r="M44" s="50">
        <v>184</v>
      </c>
      <c r="N44" s="50">
        <v>0</v>
      </c>
      <c r="O44" s="15">
        <f t="shared" si="0"/>
        <v>78</v>
      </c>
      <c r="P44" s="15">
        <f t="shared" si="1"/>
        <v>262</v>
      </c>
    </row>
    <row r="45" spans="2:20" ht="23.1" customHeight="1" x14ac:dyDescent="0.25">
      <c r="B45" s="23" t="s">
        <v>72</v>
      </c>
      <c r="C45" s="50">
        <v>28</v>
      </c>
      <c r="D45" s="50">
        <v>6</v>
      </c>
      <c r="E45" s="50">
        <v>6</v>
      </c>
      <c r="F45" s="50">
        <v>10</v>
      </c>
      <c r="G45" s="50">
        <v>0</v>
      </c>
      <c r="H45" s="50">
        <v>0</v>
      </c>
      <c r="I45" s="50">
        <v>4</v>
      </c>
      <c r="J45" s="50">
        <v>5</v>
      </c>
      <c r="K45" s="50">
        <v>0</v>
      </c>
      <c r="L45" s="50">
        <v>0</v>
      </c>
      <c r="M45" s="50">
        <v>226</v>
      </c>
      <c r="N45" s="50">
        <v>0</v>
      </c>
      <c r="O45" s="15">
        <f t="shared" si="0"/>
        <v>59</v>
      </c>
      <c r="P45" s="15">
        <f t="shared" si="1"/>
        <v>285</v>
      </c>
    </row>
    <row r="46" spans="2:20" ht="23.1" customHeight="1" x14ac:dyDescent="0.25">
      <c r="B46" s="24" t="s">
        <v>73</v>
      </c>
      <c r="C46" s="50">
        <v>38</v>
      </c>
      <c r="D46" s="50">
        <v>6</v>
      </c>
      <c r="E46" s="50">
        <v>8</v>
      </c>
      <c r="F46" s="50">
        <v>8</v>
      </c>
      <c r="G46" s="50">
        <v>0</v>
      </c>
      <c r="H46" s="50">
        <v>2</v>
      </c>
      <c r="I46" s="50">
        <v>1</v>
      </c>
      <c r="J46" s="50">
        <v>1</v>
      </c>
      <c r="K46" s="50">
        <v>3</v>
      </c>
      <c r="L46" s="50">
        <v>0</v>
      </c>
      <c r="M46" s="50">
        <v>100</v>
      </c>
      <c r="N46" s="50">
        <v>0</v>
      </c>
      <c r="O46" s="15">
        <f t="shared" si="0"/>
        <v>67</v>
      </c>
      <c r="P46" s="15">
        <f t="shared" si="1"/>
        <v>167</v>
      </c>
      <c r="R46" s="8"/>
      <c r="T46"/>
    </row>
    <row r="47" spans="2:20" ht="23.1" customHeight="1" x14ac:dyDescent="0.25">
      <c r="B47" s="24" t="s">
        <v>74</v>
      </c>
      <c r="C47" s="50">
        <v>44</v>
      </c>
      <c r="D47" s="50">
        <v>16</v>
      </c>
      <c r="E47" s="50">
        <v>0</v>
      </c>
      <c r="F47" s="50">
        <v>16</v>
      </c>
      <c r="G47" s="50">
        <v>0</v>
      </c>
      <c r="H47" s="50">
        <v>1</v>
      </c>
      <c r="I47" s="50">
        <v>3</v>
      </c>
      <c r="J47" s="50">
        <v>6</v>
      </c>
      <c r="K47" s="50">
        <v>0</v>
      </c>
      <c r="L47" s="50">
        <v>0</v>
      </c>
      <c r="M47" s="50">
        <v>133</v>
      </c>
      <c r="N47" s="50">
        <v>0</v>
      </c>
      <c r="O47" s="15">
        <f t="shared" si="0"/>
        <v>86</v>
      </c>
      <c r="P47" s="15">
        <f t="shared" si="1"/>
        <v>219</v>
      </c>
      <c r="R47" s="8"/>
      <c r="T47"/>
    </row>
    <row r="48" spans="2:20" ht="23.1" customHeight="1" x14ac:dyDescent="0.25">
      <c r="B48" s="24" t="s">
        <v>75</v>
      </c>
      <c r="C48" s="50">
        <v>47</v>
      </c>
      <c r="D48" s="50">
        <v>11</v>
      </c>
      <c r="E48" s="50">
        <v>4</v>
      </c>
      <c r="F48" s="50">
        <v>14</v>
      </c>
      <c r="G48" s="50">
        <v>1</v>
      </c>
      <c r="H48" s="50">
        <v>1</v>
      </c>
      <c r="I48" s="50">
        <v>5</v>
      </c>
      <c r="J48" s="50">
        <v>4</v>
      </c>
      <c r="K48" s="50">
        <v>2</v>
      </c>
      <c r="L48" s="50">
        <v>0</v>
      </c>
      <c r="M48" s="50">
        <v>126</v>
      </c>
      <c r="N48" s="50">
        <v>0</v>
      </c>
      <c r="O48" s="15">
        <f t="shared" si="0"/>
        <v>89</v>
      </c>
      <c r="P48" s="15">
        <f t="shared" si="1"/>
        <v>215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14</v>
      </c>
      <c r="E49" s="50">
        <v>7</v>
      </c>
      <c r="F49" s="50">
        <v>7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0</v>
      </c>
      <c r="M49" s="50">
        <v>190</v>
      </c>
      <c r="N49" s="50">
        <v>0</v>
      </c>
      <c r="O49" s="15">
        <f t="shared" si="0"/>
        <v>90</v>
      </c>
      <c r="P49" s="15">
        <f t="shared" si="1"/>
        <v>280</v>
      </c>
      <c r="R49" s="8"/>
      <c r="T49"/>
    </row>
    <row r="50" spans="2:20" ht="23.1" customHeight="1" x14ac:dyDescent="0.25">
      <c r="B50" s="24" t="s">
        <v>77</v>
      </c>
      <c r="C50" s="50">
        <v>56</v>
      </c>
      <c r="D50" s="50">
        <v>10</v>
      </c>
      <c r="E50" s="50">
        <v>3</v>
      </c>
      <c r="F50" s="50">
        <v>10</v>
      </c>
      <c r="G50" s="50">
        <v>0</v>
      </c>
      <c r="H50" s="50">
        <v>1</v>
      </c>
      <c r="I50" s="50">
        <v>3</v>
      </c>
      <c r="J50" s="50">
        <v>6</v>
      </c>
      <c r="K50" s="50">
        <v>1</v>
      </c>
      <c r="L50" s="50">
        <v>1</v>
      </c>
      <c r="M50" s="50">
        <v>115</v>
      </c>
      <c r="N50" s="50">
        <v>0</v>
      </c>
      <c r="O50" s="15">
        <f t="shared" si="0"/>
        <v>91</v>
      </c>
      <c r="P50" s="15">
        <f t="shared" si="1"/>
        <v>206</v>
      </c>
      <c r="R50" s="8"/>
      <c r="T50"/>
    </row>
    <row r="51" spans="2:20" ht="23.1" customHeight="1" x14ac:dyDescent="0.25">
      <c r="B51" s="24" t="s">
        <v>78</v>
      </c>
      <c r="C51" s="50">
        <v>65</v>
      </c>
      <c r="D51" s="50">
        <v>12</v>
      </c>
      <c r="E51" s="50">
        <v>1</v>
      </c>
      <c r="F51" s="50">
        <v>6</v>
      </c>
      <c r="G51" s="50">
        <v>0</v>
      </c>
      <c r="H51" s="50">
        <v>0</v>
      </c>
      <c r="I51" s="50">
        <v>6</v>
      </c>
      <c r="J51" s="50">
        <v>5</v>
      </c>
      <c r="K51" s="50">
        <v>0</v>
      </c>
      <c r="L51" s="50">
        <v>0</v>
      </c>
      <c r="M51" s="50">
        <v>72</v>
      </c>
      <c r="N51" s="50">
        <v>0</v>
      </c>
      <c r="O51" s="15">
        <f t="shared" si="0"/>
        <v>95</v>
      </c>
      <c r="P51" s="15">
        <f t="shared" si="1"/>
        <v>167</v>
      </c>
      <c r="R51" s="8"/>
      <c r="T51"/>
    </row>
    <row r="52" spans="2:20" ht="23.1" customHeight="1" x14ac:dyDescent="0.25">
      <c r="B52" s="24" t="s">
        <v>79</v>
      </c>
      <c r="C52" s="50">
        <v>63</v>
      </c>
      <c r="D52" s="50">
        <v>7</v>
      </c>
      <c r="E52" s="50">
        <v>5</v>
      </c>
      <c r="F52" s="50">
        <v>12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124</v>
      </c>
      <c r="N52" s="50">
        <v>0</v>
      </c>
      <c r="O52" s="15">
        <f t="shared" si="0"/>
        <v>89</v>
      </c>
      <c r="P52" s="15">
        <f t="shared" si="1"/>
        <v>213</v>
      </c>
      <c r="R52" s="8"/>
      <c r="T52"/>
    </row>
    <row r="53" spans="2:20" ht="23.1" customHeight="1" x14ac:dyDescent="0.25">
      <c r="B53" s="23" t="s">
        <v>80</v>
      </c>
      <c r="C53" s="50">
        <v>76</v>
      </c>
      <c r="D53" s="50">
        <v>9</v>
      </c>
      <c r="E53" s="50">
        <v>9</v>
      </c>
      <c r="F53" s="50">
        <v>13</v>
      </c>
      <c r="G53" s="50">
        <v>0</v>
      </c>
      <c r="H53" s="50">
        <v>0</v>
      </c>
      <c r="I53" s="50">
        <v>4</v>
      </c>
      <c r="J53" s="50">
        <v>3</v>
      </c>
      <c r="K53" s="50">
        <v>0</v>
      </c>
      <c r="L53" s="50">
        <v>0</v>
      </c>
      <c r="M53" s="50">
        <v>143</v>
      </c>
      <c r="N53" s="50">
        <v>0</v>
      </c>
      <c r="O53" s="15">
        <f t="shared" si="0"/>
        <v>114</v>
      </c>
      <c r="P53" s="15">
        <f t="shared" si="1"/>
        <v>257</v>
      </c>
      <c r="R53" s="8"/>
      <c r="T53"/>
    </row>
    <row r="54" spans="2:20" ht="23.1" customHeight="1" x14ac:dyDescent="0.25">
      <c r="B54" s="23" t="s">
        <v>81</v>
      </c>
      <c r="C54" s="50">
        <v>110</v>
      </c>
      <c r="D54" s="50">
        <v>15</v>
      </c>
      <c r="E54" s="50">
        <v>5</v>
      </c>
      <c r="F54" s="50">
        <v>2</v>
      </c>
      <c r="G54" s="50">
        <v>0</v>
      </c>
      <c r="H54" s="50">
        <v>0</v>
      </c>
      <c r="I54" s="50">
        <v>0</v>
      </c>
      <c r="J54" s="50">
        <v>2</v>
      </c>
      <c r="K54" s="50">
        <v>1</v>
      </c>
      <c r="L54" s="50">
        <v>0</v>
      </c>
      <c r="M54" s="50">
        <v>53</v>
      </c>
      <c r="N54" s="50">
        <v>0</v>
      </c>
      <c r="O54" s="15">
        <f t="shared" si="0"/>
        <v>135</v>
      </c>
      <c r="P54" s="15">
        <f t="shared" si="1"/>
        <v>188</v>
      </c>
      <c r="R54" s="8"/>
      <c r="T54"/>
    </row>
    <row r="55" spans="2:20" ht="23.1" customHeight="1" x14ac:dyDescent="0.25">
      <c r="B55" s="23" t="s">
        <v>82</v>
      </c>
      <c r="C55" s="50">
        <v>75</v>
      </c>
      <c r="D55" s="50">
        <v>23</v>
      </c>
      <c r="E55" s="50">
        <v>3</v>
      </c>
      <c r="F55" s="50">
        <v>7</v>
      </c>
      <c r="G55" s="50">
        <v>0</v>
      </c>
      <c r="H55" s="50">
        <v>0</v>
      </c>
      <c r="I55" s="50">
        <v>1</v>
      </c>
      <c r="J55" s="50">
        <v>2</v>
      </c>
      <c r="K55" s="50">
        <v>1</v>
      </c>
      <c r="L55" s="50">
        <v>0</v>
      </c>
      <c r="M55" s="50">
        <v>67</v>
      </c>
      <c r="N55" s="50">
        <v>0</v>
      </c>
      <c r="O55" s="15">
        <f t="shared" si="0"/>
        <v>112</v>
      </c>
      <c r="P55" s="15">
        <f t="shared" si="1"/>
        <v>179</v>
      </c>
      <c r="R55" s="8"/>
      <c r="T55"/>
    </row>
    <row r="56" spans="2:20" ht="23.1" customHeight="1" x14ac:dyDescent="0.25">
      <c r="B56" s="23" t="s">
        <v>83</v>
      </c>
      <c r="C56" s="50">
        <v>60</v>
      </c>
      <c r="D56" s="50">
        <v>17</v>
      </c>
      <c r="E56" s="50">
        <v>2</v>
      </c>
      <c r="F56" s="50">
        <v>3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88</v>
      </c>
      <c r="N56" s="50">
        <v>0</v>
      </c>
      <c r="O56" s="15">
        <f t="shared" si="0"/>
        <v>83</v>
      </c>
      <c r="P56" s="15">
        <f t="shared" si="1"/>
        <v>171</v>
      </c>
      <c r="R56" s="8"/>
      <c r="T56"/>
    </row>
    <row r="57" spans="2:20" ht="23.1" customHeight="1" x14ac:dyDescent="0.25">
      <c r="B57" s="23" t="s">
        <v>84</v>
      </c>
      <c r="C57" s="50">
        <v>53</v>
      </c>
      <c r="D57" s="50">
        <v>13</v>
      </c>
      <c r="E57" s="50">
        <v>3</v>
      </c>
      <c r="F57" s="50">
        <v>14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1</v>
      </c>
      <c r="M57" s="50">
        <v>56</v>
      </c>
      <c r="N57" s="50">
        <v>0</v>
      </c>
      <c r="O57" s="15">
        <f t="shared" si="0"/>
        <v>88</v>
      </c>
      <c r="P57" s="15">
        <f t="shared" si="1"/>
        <v>144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1706</v>
      </c>
      <c r="D58" s="16">
        <f t="shared" si="21"/>
        <v>357</v>
      </c>
      <c r="E58" s="16">
        <f t="shared" si="21"/>
        <v>173</v>
      </c>
      <c r="F58" s="16">
        <f t="shared" si="21"/>
        <v>717</v>
      </c>
      <c r="G58" s="16">
        <f t="shared" si="21"/>
        <v>20</v>
      </c>
      <c r="H58" s="16">
        <f t="shared" si="21"/>
        <v>14</v>
      </c>
      <c r="I58" s="16">
        <f t="shared" si="21"/>
        <v>120</v>
      </c>
      <c r="J58" s="16">
        <f t="shared" si="21"/>
        <v>164</v>
      </c>
      <c r="K58" s="16">
        <f t="shared" si="21"/>
        <v>31</v>
      </c>
      <c r="L58" s="16">
        <f t="shared" si="21"/>
        <v>18</v>
      </c>
      <c r="M58" s="16">
        <f t="shared" si="21"/>
        <v>6430</v>
      </c>
      <c r="N58" s="16">
        <f t="shared" si="21"/>
        <v>0</v>
      </c>
      <c r="O58" s="16">
        <f t="shared" si="21"/>
        <v>3320</v>
      </c>
      <c r="P58" s="16">
        <f t="shared" si="21"/>
        <v>9750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0.17497435897435898</v>
      </c>
      <c r="D59" s="43">
        <f t="shared" si="22"/>
        <v>3.6615384615384612E-2</v>
      </c>
      <c r="E59" s="43">
        <f t="shared" si="22"/>
        <v>1.7743589743589742E-2</v>
      </c>
      <c r="F59" s="43">
        <f t="shared" si="22"/>
        <v>7.3538461538461539E-2</v>
      </c>
      <c r="G59" s="43">
        <f t="shared" si="22"/>
        <v>2.0512820512820513E-3</v>
      </c>
      <c r="H59" s="43">
        <f t="shared" si="22"/>
        <v>1.435897435897436E-3</v>
      </c>
      <c r="I59" s="43">
        <f t="shared" si="22"/>
        <v>1.2307692307692308E-2</v>
      </c>
      <c r="J59" s="43">
        <f t="shared" si="22"/>
        <v>1.682051282051282E-2</v>
      </c>
      <c r="K59" s="43">
        <f t="shared" si="22"/>
        <v>3.1794871794871794E-3</v>
      </c>
      <c r="L59" s="43">
        <f t="shared" si="22"/>
        <v>1.8461538461538461E-3</v>
      </c>
      <c r="M59" s="43">
        <f t="shared" si="22"/>
        <v>0.6594871794871795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0.51385542168674703</v>
      </c>
      <c r="D60" s="44">
        <f t="shared" ref="D60:N60" si="23">D58/$O$58</f>
        <v>0.10753012048192771</v>
      </c>
      <c r="E60" s="44">
        <f t="shared" si="23"/>
        <v>5.2108433734939757E-2</v>
      </c>
      <c r="F60" s="44">
        <f t="shared" si="23"/>
        <v>0.21596385542168675</v>
      </c>
      <c r="G60" s="44">
        <f t="shared" si="23"/>
        <v>6.024096385542169E-3</v>
      </c>
      <c r="H60" s="44">
        <f t="shared" si="23"/>
        <v>4.2168674698795181E-3</v>
      </c>
      <c r="I60" s="44">
        <f t="shared" si="23"/>
        <v>3.614457831325301E-2</v>
      </c>
      <c r="J60" s="44">
        <f t="shared" si="23"/>
        <v>4.9397590361445781E-2</v>
      </c>
      <c r="K60" s="44">
        <f t="shared" si="23"/>
        <v>9.3373493975903617E-3</v>
      </c>
      <c r="L60" s="44">
        <f t="shared" si="23"/>
        <v>5.4216867469879517E-3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6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RUBAGA-KABUSU'!D5</f>
        <v>24.07.19</v>
      </c>
      <c r="E5" s="3"/>
      <c r="F5" s="41" t="s">
        <v>1</v>
      </c>
      <c r="G5" s="63" t="str">
        <f>'22.07 RUBAGA-KABUSU'!G5:H5</f>
        <v>CHAD SUPERMARKET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KABUSU-RUBAGA'!D6:E6</f>
        <v>KABUSU</v>
      </c>
      <c r="E6" s="64"/>
      <c r="F6" s="2" t="s">
        <v>2</v>
      </c>
      <c r="G6" s="63" t="str">
        <f>'22.07 KABUSU-RUBAGA'!G6:H6</f>
        <v>RUBAGA</v>
      </c>
      <c r="H6" s="64"/>
      <c r="J6" s="2" t="s">
        <v>21</v>
      </c>
      <c r="K6" s="63" t="str">
        <f>'22.07 RUBAGA-KABUSU'!K6:L6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68</v>
      </c>
      <c r="D10" s="50">
        <v>41</v>
      </c>
      <c r="E10" s="50">
        <v>10</v>
      </c>
      <c r="F10" s="50">
        <v>40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1</v>
      </c>
      <c r="M10" s="50">
        <v>235</v>
      </c>
      <c r="N10" s="50">
        <v>0</v>
      </c>
      <c r="O10" s="15">
        <f t="shared" ref="O10:O57" si="0">SUM(C10:L10,N10)</f>
        <v>161</v>
      </c>
      <c r="P10" s="15">
        <f t="shared" ref="P10:P57" si="1">SUM(C10:N10)</f>
        <v>396</v>
      </c>
      <c r="R10" s="1" t="s">
        <v>6</v>
      </c>
      <c r="S10" s="17">
        <f t="shared" ref="S10:AF10" si="2">SUM(C10:C13)</f>
        <v>268</v>
      </c>
      <c r="T10" s="17">
        <f t="shared" si="2"/>
        <v>192</v>
      </c>
      <c r="U10" s="17">
        <f t="shared" si="2"/>
        <v>29</v>
      </c>
      <c r="V10" s="17">
        <f t="shared" si="2"/>
        <v>173</v>
      </c>
      <c r="W10" s="17">
        <f t="shared" si="2"/>
        <v>2</v>
      </c>
      <c r="X10" s="17">
        <f t="shared" si="2"/>
        <v>0</v>
      </c>
      <c r="Y10" s="17">
        <f t="shared" si="2"/>
        <v>19</v>
      </c>
      <c r="Z10" s="17">
        <f t="shared" si="2"/>
        <v>1</v>
      </c>
      <c r="AA10" s="17">
        <f t="shared" si="2"/>
        <v>2</v>
      </c>
      <c r="AB10" s="17">
        <f t="shared" si="2"/>
        <v>1</v>
      </c>
      <c r="AC10" s="17">
        <f t="shared" si="2"/>
        <v>1124</v>
      </c>
      <c r="AD10" s="17">
        <f t="shared" si="2"/>
        <v>0</v>
      </c>
      <c r="AE10" s="31">
        <f t="shared" si="2"/>
        <v>687</v>
      </c>
      <c r="AF10" s="31">
        <f t="shared" si="2"/>
        <v>1811</v>
      </c>
    </row>
    <row r="11" spans="2:32" s="6" customFormat="1" ht="23.1" customHeight="1" x14ac:dyDescent="0.25">
      <c r="B11" s="23" t="s">
        <v>38</v>
      </c>
      <c r="C11" s="50">
        <v>74</v>
      </c>
      <c r="D11" s="50">
        <v>40</v>
      </c>
      <c r="E11" s="50">
        <v>8</v>
      </c>
      <c r="F11" s="50">
        <v>54</v>
      </c>
      <c r="G11" s="50">
        <v>0</v>
      </c>
      <c r="H11" s="50">
        <v>0</v>
      </c>
      <c r="I11" s="50">
        <v>8</v>
      </c>
      <c r="J11" s="50">
        <v>0</v>
      </c>
      <c r="K11" s="50">
        <v>0</v>
      </c>
      <c r="L11" s="50">
        <v>0</v>
      </c>
      <c r="M11" s="50">
        <v>281</v>
      </c>
      <c r="N11" s="50">
        <v>0</v>
      </c>
      <c r="O11" s="15">
        <f t="shared" si="0"/>
        <v>184</v>
      </c>
      <c r="P11" s="15">
        <f t="shared" si="1"/>
        <v>465</v>
      </c>
      <c r="R11" s="1" t="s">
        <v>7</v>
      </c>
      <c r="S11" s="17">
        <f t="shared" ref="S11:AF11" si="3">SUM(C14:C17)</f>
        <v>186</v>
      </c>
      <c r="T11" s="17">
        <f t="shared" si="3"/>
        <v>149</v>
      </c>
      <c r="U11" s="17">
        <f t="shared" si="3"/>
        <v>26</v>
      </c>
      <c r="V11" s="17">
        <f t="shared" si="3"/>
        <v>117</v>
      </c>
      <c r="W11" s="17">
        <f t="shared" si="3"/>
        <v>0</v>
      </c>
      <c r="X11" s="17">
        <f t="shared" si="3"/>
        <v>1</v>
      </c>
      <c r="Y11" s="17">
        <f t="shared" si="3"/>
        <v>15</v>
      </c>
      <c r="Z11" s="17">
        <f t="shared" si="3"/>
        <v>4</v>
      </c>
      <c r="AA11" s="17">
        <f t="shared" si="3"/>
        <v>1</v>
      </c>
      <c r="AB11" s="17">
        <f t="shared" si="3"/>
        <v>0</v>
      </c>
      <c r="AC11" s="17">
        <f t="shared" si="3"/>
        <v>1186</v>
      </c>
      <c r="AD11" s="17">
        <f t="shared" si="3"/>
        <v>0</v>
      </c>
      <c r="AE11" s="31">
        <f t="shared" si="3"/>
        <v>499</v>
      </c>
      <c r="AF11" s="31">
        <f t="shared" si="3"/>
        <v>1685</v>
      </c>
    </row>
    <row r="12" spans="2:32" ht="23.1" customHeight="1" x14ac:dyDescent="0.25">
      <c r="B12" s="23" t="s">
        <v>39</v>
      </c>
      <c r="C12" s="50">
        <v>69</v>
      </c>
      <c r="D12" s="50">
        <v>55</v>
      </c>
      <c r="E12" s="50">
        <v>4</v>
      </c>
      <c r="F12" s="50">
        <v>38</v>
      </c>
      <c r="G12" s="50">
        <v>1</v>
      </c>
      <c r="H12" s="50">
        <v>0</v>
      </c>
      <c r="I12" s="50">
        <v>6</v>
      </c>
      <c r="J12" s="50">
        <v>0</v>
      </c>
      <c r="K12" s="50">
        <v>2</v>
      </c>
      <c r="L12" s="50">
        <v>0</v>
      </c>
      <c r="M12" s="50">
        <v>298</v>
      </c>
      <c r="N12" s="50">
        <v>0</v>
      </c>
      <c r="O12" s="15">
        <f t="shared" si="0"/>
        <v>175</v>
      </c>
      <c r="P12" s="15">
        <f t="shared" si="1"/>
        <v>473</v>
      </c>
      <c r="R12" s="1" t="s">
        <v>8</v>
      </c>
      <c r="S12" s="17">
        <f t="shared" ref="S12:AF12" si="4">SUM(C18:C21)</f>
        <v>160</v>
      </c>
      <c r="T12" s="17">
        <f t="shared" si="4"/>
        <v>148</v>
      </c>
      <c r="U12" s="17">
        <f t="shared" si="4"/>
        <v>33</v>
      </c>
      <c r="V12" s="17">
        <f t="shared" si="4"/>
        <v>129</v>
      </c>
      <c r="W12" s="17">
        <f t="shared" si="4"/>
        <v>1</v>
      </c>
      <c r="X12" s="17">
        <f t="shared" si="4"/>
        <v>0</v>
      </c>
      <c r="Y12" s="17">
        <f t="shared" si="4"/>
        <v>23</v>
      </c>
      <c r="Z12" s="17">
        <f t="shared" si="4"/>
        <v>2</v>
      </c>
      <c r="AA12" s="17">
        <f t="shared" si="4"/>
        <v>4</v>
      </c>
      <c r="AB12" s="17">
        <f t="shared" si="4"/>
        <v>4</v>
      </c>
      <c r="AC12" s="17">
        <f t="shared" si="4"/>
        <v>871</v>
      </c>
      <c r="AD12" s="17">
        <f t="shared" si="4"/>
        <v>0</v>
      </c>
      <c r="AE12" s="31">
        <f t="shared" si="4"/>
        <v>504</v>
      </c>
      <c r="AF12" s="31">
        <f t="shared" si="4"/>
        <v>1375</v>
      </c>
    </row>
    <row r="13" spans="2:32" ht="23.1" customHeight="1" x14ac:dyDescent="0.25">
      <c r="B13" s="23" t="s">
        <v>40</v>
      </c>
      <c r="C13" s="50">
        <v>57</v>
      </c>
      <c r="D13" s="50">
        <v>56</v>
      </c>
      <c r="E13" s="50">
        <v>7</v>
      </c>
      <c r="F13" s="50">
        <v>41</v>
      </c>
      <c r="G13" s="50">
        <v>1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310</v>
      </c>
      <c r="N13" s="50">
        <v>0</v>
      </c>
      <c r="O13" s="15">
        <f t="shared" si="0"/>
        <v>167</v>
      </c>
      <c r="P13" s="15">
        <f t="shared" si="1"/>
        <v>477</v>
      </c>
      <c r="R13" s="1" t="s">
        <v>9</v>
      </c>
      <c r="S13" s="17">
        <f t="shared" ref="S13:AF13" si="5">SUM(C22:C25)</f>
        <v>114</v>
      </c>
      <c r="T13" s="17">
        <f t="shared" si="5"/>
        <v>101</v>
      </c>
      <c r="U13" s="17">
        <f t="shared" si="5"/>
        <v>34</v>
      </c>
      <c r="V13" s="17">
        <f t="shared" si="5"/>
        <v>109</v>
      </c>
      <c r="W13" s="17">
        <f t="shared" si="5"/>
        <v>1</v>
      </c>
      <c r="X13" s="17">
        <f t="shared" si="5"/>
        <v>2</v>
      </c>
      <c r="Y13" s="17">
        <f t="shared" si="5"/>
        <v>21</v>
      </c>
      <c r="Z13" s="17">
        <f t="shared" si="5"/>
        <v>8</v>
      </c>
      <c r="AA13" s="17">
        <f t="shared" si="5"/>
        <v>2</v>
      </c>
      <c r="AB13" s="17">
        <f t="shared" si="5"/>
        <v>5</v>
      </c>
      <c r="AC13" s="17">
        <f t="shared" si="5"/>
        <v>762</v>
      </c>
      <c r="AD13" s="17">
        <f t="shared" si="5"/>
        <v>0</v>
      </c>
      <c r="AE13" s="31">
        <f t="shared" si="5"/>
        <v>397</v>
      </c>
      <c r="AF13" s="31">
        <f t="shared" si="5"/>
        <v>1159</v>
      </c>
    </row>
    <row r="14" spans="2:32" ht="23.1" customHeight="1" x14ac:dyDescent="0.25">
      <c r="B14" s="23" t="s">
        <v>41</v>
      </c>
      <c r="C14" s="50">
        <v>47</v>
      </c>
      <c r="D14" s="50">
        <v>41</v>
      </c>
      <c r="E14" s="50">
        <v>11</v>
      </c>
      <c r="F14" s="50">
        <v>31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320</v>
      </c>
      <c r="N14" s="50">
        <v>0</v>
      </c>
      <c r="O14" s="15">
        <f t="shared" si="0"/>
        <v>133</v>
      </c>
      <c r="P14" s="15">
        <f t="shared" si="1"/>
        <v>453</v>
      </c>
      <c r="R14" s="1" t="s">
        <v>10</v>
      </c>
      <c r="S14" s="17">
        <f t="shared" ref="S14:AF14" si="6">SUM(C26:C29)</f>
        <v>107</v>
      </c>
      <c r="T14" s="17">
        <f t="shared" si="6"/>
        <v>84</v>
      </c>
      <c r="U14" s="17">
        <f t="shared" si="6"/>
        <v>23</v>
      </c>
      <c r="V14" s="17">
        <f t="shared" si="6"/>
        <v>90</v>
      </c>
      <c r="W14" s="17">
        <f t="shared" si="6"/>
        <v>0</v>
      </c>
      <c r="X14" s="17">
        <f t="shared" si="6"/>
        <v>2</v>
      </c>
      <c r="Y14" s="17">
        <f t="shared" si="6"/>
        <v>28</v>
      </c>
      <c r="Z14" s="17">
        <f t="shared" si="6"/>
        <v>7</v>
      </c>
      <c r="AA14" s="17">
        <f t="shared" si="6"/>
        <v>6</v>
      </c>
      <c r="AB14" s="17">
        <f t="shared" si="6"/>
        <v>1</v>
      </c>
      <c r="AC14" s="17">
        <f t="shared" si="6"/>
        <v>744</v>
      </c>
      <c r="AD14" s="17">
        <f t="shared" si="6"/>
        <v>0</v>
      </c>
      <c r="AE14" s="31">
        <f t="shared" si="6"/>
        <v>348</v>
      </c>
      <c r="AF14" s="31">
        <f t="shared" si="6"/>
        <v>1092</v>
      </c>
    </row>
    <row r="15" spans="2:32" ht="23.1" customHeight="1" x14ac:dyDescent="0.25">
      <c r="B15" s="23" t="s">
        <v>42</v>
      </c>
      <c r="C15" s="50">
        <v>52</v>
      </c>
      <c r="D15" s="50">
        <v>43</v>
      </c>
      <c r="E15" s="50">
        <v>0</v>
      </c>
      <c r="F15" s="50">
        <v>35</v>
      </c>
      <c r="G15" s="50">
        <v>0</v>
      </c>
      <c r="H15" s="50">
        <v>1</v>
      </c>
      <c r="I15" s="50">
        <v>2</v>
      </c>
      <c r="J15" s="50">
        <v>1</v>
      </c>
      <c r="K15" s="50">
        <v>1</v>
      </c>
      <c r="L15" s="50">
        <v>0</v>
      </c>
      <c r="M15" s="50">
        <v>291</v>
      </c>
      <c r="N15" s="50">
        <v>0</v>
      </c>
      <c r="O15" s="15">
        <f t="shared" si="0"/>
        <v>135</v>
      </c>
      <c r="P15" s="15">
        <f t="shared" si="1"/>
        <v>426</v>
      </c>
      <c r="R15" s="1" t="s">
        <v>11</v>
      </c>
      <c r="S15" s="17">
        <f t="shared" ref="S15:AF15" si="7">SUM(C30:C33)</f>
        <v>98</v>
      </c>
      <c r="T15" s="17">
        <f t="shared" si="7"/>
        <v>74</v>
      </c>
      <c r="U15" s="17">
        <f t="shared" si="7"/>
        <v>14</v>
      </c>
      <c r="V15" s="17">
        <f t="shared" si="7"/>
        <v>101</v>
      </c>
      <c r="W15" s="17">
        <f t="shared" si="7"/>
        <v>0</v>
      </c>
      <c r="X15" s="17">
        <f t="shared" si="7"/>
        <v>1</v>
      </c>
      <c r="Y15" s="17">
        <f t="shared" si="7"/>
        <v>15</v>
      </c>
      <c r="Z15" s="17">
        <f t="shared" si="7"/>
        <v>12</v>
      </c>
      <c r="AA15" s="17">
        <f t="shared" si="7"/>
        <v>3</v>
      </c>
      <c r="AB15" s="17">
        <f t="shared" si="7"/>
        <v>2</v>
      </c>
      <c r="AC15" s="17">
        <f t="shared" si="7"/>
        <v>781</v>
      </c>
      <c r="AD15" s="17">
        <f t="shared" si="7"/>
        <v>0</v>
      </c>
      <c r="AE15" s="31">
        <f t="shared" si="7"/>
        <v>320</v>
      </c>
      <c r="AF15" s="31">
        <f t="shared" si="7"/>
        <v>1101</v>
      </c>
    </row>
    <row r="16" spans="2:32" ht="23.1" customHeight="1" x14ac:dyDescent="0.25">
      <c r="B16" s="23" t="s">
        <v>43</v>
      </c>
      <c r="C16" s="50">
        <v>40</v>
      </c>
      <c r="D16" s="50">
        <v>35</v>
      </c>
      <c r="E16" s="50">
        <v>8</v>
      </c>
      <c r="F16" s="50">
        <v>18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285</v>
      </c>
      <c r="N16" s="50">
        <v>0</v>
      </c>
      <c r="O16" s="15">
        <f t="shared" si="0"/>
        <v>107</v>
      </c>
      <c r="P16" s="15">
        <f t="shared" si="1"/>
        <v>392</v>
      </c>
      <c r="R16" s="1" t="s">
        <v>12</v>
      </c>
      <c r="S16" s="17">
        <f t="shared" ref="S16:AF16" si="8">SUM(C34:C37)</f>
        <v>102</v>
      </c>
      <c r="T16" s="17">
        <f t="shared" si="8"/>
        <v>82</v>
      </c>
      <c r="U16" s="17">
        <f t="shared" si="8"/>
        <v>18</v>
      </c>
      <c r="V16" s="17">
        <f t="shared" si="8"/>
        <v>89</v>
      </c>
      <c r="W16" s="17">
        <f t="shared" si="8"/>
        <v>1</v>
      </c>
      <c r="X16" s="17">
        <f t="shared" si="8"/>
        <v>3</v>
      </c>
      <c r="Y16" s="17">
        <f t="shared" si="8"/>
        <v>21</v>
      </c>
      <c r="Z16" s="17">
        <f t="shared" si="8"/>
        <v>7</v>
      </c>
      <c r="AA16" s="17">
        <f t="shared" si="8"/>
        <v>5</v>
      </c>
      <c r="AB16" s="17">
        <f t="shared" si="8"/>
        <v>1</v>
      </c>
      <c r="AC16" s="17">
        <f t="shared" si="8"/>
        <v>588</v>
      </c>
      <c r="AD16" s="17">
        <f t="shared" si="8"/>
        <v>0</v>
      </c>
      <c r="AE16" s="31">
        <f t="shared" si="8"/>
        <v>329</v>
      </c>
      <c r="AF16" s="31">
        <f t="shared" si="8"/>
        <v>917</v>
      </c>
    </row>
    <row r="17" spans="2:32" ht="23.1" customHeight="1" x14ac:dyDescent="0.25">
      <c r="B17" s="23" t="s">
        <v>44</v>
      </c>
      <c r="C17" s="50">
        <v>47</v>
      </c>
      <c r="D17" s="50">
        <v>30</v>
      </c>
      <c r="E17" s="50">
        <v>7</v>
      </c>
      <c r="F17" s="50">
        <v>33</v>
      </c>
      <c r="G17" s="50">
        <v>0</v>
      </c>
      <c r="H17" s="50">
        <v>0</v>
      </c>
      <c r="I17" s="50">
        <v>6</v>
      </c>
      <c r="J17" s="50">
        <v>1</v>
      </c>
      <c r="K17" s="50">
        <v>0</v>
      </c>
      <c r="L17" s="50">
        <v>0</v>
      </c>
      <c r="M17" s="50">
        <v>290</v>
      </c>
      <c r="N17" s="50">
        <v>0</v>
      </c>
      <c r="O17" s="15">
        <f t="shared" si="0"/>
        <v>124</v>
      </c>
      <c r="P17" s="15">
        <f t="shared" si="1"/>
        <v>414</v>
      </c>
      <c r="R17" s="1" t="s">
        <v>13</v>
      </c>
      <c r="S17" s="17">
        <f t="shared" ref="S17:AF17" si="9">SUM(C38:C41)</f>
        <v>78</v>
      </c>
      <c r="T17" s="17">
        <f t="shared" si="9"/>
        <v>69</v>
      </c>
      <c r="U17" s="17">
        <f t="shared" si="9"/>
        <v>17</v>
      </c>
      <c r="V17" s="17">
        <f t="shared" si="9"/>
        <v>76</v>
      </c>
      <c r="W17" s="17">
        <f t="shared" si="9"/>
        <v>2</v>
      </c>
      <c r="X17" s="17">
        <f t="shared" si="9"/>
        <v>0</v>
      </c>
      <c r="Y17" s="17">
        <f t="shared" si="9"/>
        <v>20</v>
      </c>
      <c r="Z17" s="17">
        <f t="shared" si="9"/>
        <v>5</v>
      </c>
      <c r="AA17" s="17">
        <f t="shared" si="9"/>
        <v>1</v>
      </c>
      <c r="AB17" s="17">
        <f t="shared" si="9"/>
        <v>2</v>
      </c>
      <c r="AC17" s="17">
        <f t="shared" si="9"/>
        <v>528</v>
      </c>
      <c r="AD17" s="17">
        <f t="shared" si="9"/>
        <v>0</v>
      </c>
      <c r="AE17" s="31">
        <f t="shared" si="9"/>
        <v>270</v>
      </c>
      <c r="AF17" s="31">
        <f t="shared" si="9"/>
        <v>798</v>
      </c>
    </row>
    <row r="18" spans="2:32" ht="23.1" customHeight="1" x14ac:dyDescent="0.25">
      <c r="B18" s="23" t="s">
        <v>45</v>
      </c>
      <c r="C18" s="50">
        <v>40</v>
      </c>
      <c r="D18" s="50">
        <v>35</v>
      </c>
      <c r="E18" s="50">
        <v>8</v>
      </c>
      <c r="F18" s="50">
        <v>26</v>
      </c>
      <c r="G18" s="50">
        <v>0</v>
      </c>
      <c r="H18" s="50">
        <v>0</v>
      </c>
      <c r="I18" s="50">
        <v>5</v>
      </c>
      <c r="J18" s="50">
        <v>0</v>
      </c>
      <c r="K18" s="50">
        <v>1</v>
      </c>
      <c r="L18" s="50">
        <v>0</v>
      </c>
      <c r="M18" s="50">
        <v>222</v>
      </c>
      <c r="N18" s="50">
        <v>0</v>
      </c>
      <c r="O18" s="15">
        <f t="shared" si="0"/>
        <v>115</v>
      </c>
      <c r="P18" s="15">
        <f t="shared" si="1"/>
        <v>337</v>
      </c>
      <c r="R18" s="1" t="s">
        <v>14</v>
      </c>
      <c r="S18" s="17">
        <f t="shared" ref="S18:AF18" si="10">SUM(C42:C45)</f>
        <v>70</v>
      </c>
      <c r="T18" s="17">
        <f t="shared" si="10"/>
        <v>87</v>
      </c>
      <c r="U18" s="17">
        <f t="shared" si="10"/>
        <v>31</v>
      </c>
      <c r="V18" s="17">
        <f t="shared" si="10"/>
        <v>95</v>
      </c>
      <c r="W18" s="17">
        <f t="shared" si="10"/>
        <v>1</v>
      </c>
      <c r="X18" s="17">
        <f t="shared" si="10"/>
        <v>3</v>
      </c>
      <c r="Y18" s="17">
        <f t="shared" si="10"/>
        <v>6</v>
      </c>
      <c r="Z18" s="17">
        <f t="shared" si="10"/>
        <v>10</v>
      </c>
      <c r="AA18" s="17">
        <f t="shared" si="10"/>
        <v>1</v>
      </c>
      <c r="AB18" s="17">
        <f t="shared" si="10"/>
        <v>1</v>
      </c>
      <c r="AC18" s="17">
        <f t="shared" si="10"/>
        <v>559</v>
      </c>
      <c r="AD18" s="17">
        <f t="shared" si="10"/>
        <v>0</v>
      </c>
      <c r="AE18" s="31">
        <f t="shared" si="10"/>
        <v>305</v>
      </c>
      <c r="AF18" s="31">
        <f t="shared" si="10"/>
        <v>864</v>
      </c>
    </row>
    <row r="19" spans="2:32" ht="23.1" customHeight="1" x14ac:dyDescent="0.25">
      <c r="B19" s="23" t="s">
        <v>46</v>
      </c>
      <c r="C19" s="50">
        <v>45</v>
      </c>
      <c r="D19" s="50">
        <v>35</v>
      </c>
      <c r="E19" s="50">
        <v>11</v>
      </c>
      <c r="F19" s="50">
        <v>38</v>
      </c>
      <c r="G19" s="50">
        <v>1</v>
      </c>
      <c r="H19" s="50">
        <v>0</v>
      </c>
      <c r="I19" s="50">
        <v>5</v>
      </c>
      <c r="J19" s="50">
        <v>0</v>
      </c>
      <c r="K19" s="50">
        <v>0</v>
      </c>
      <c r="L19" s="50">
        <v>1</v>
      </c>
      <c r="M19" s="50">
        <v>178</v>
      </c>
      <c r="N19" s="50">
        <v>0</v>
      </c>
      <c r="O19" s="15">
        <f t="shared" si="0"/>
        <v>136</v>
      </c>
      <c r="P19" s="15">
        <f t="shared" si="1"/>
        <v>314</v>
      </c>
      <c r="R19" s="1" t="s">
        <v>15</v>
      </c>
      <c r="S19" s="17">
        <f t="shared" ref="S19:AF19" si="11">SUM(C46:C49)</f>
        <v>91</v>
      </c>
      <c r="T19" s="17">
        <f t="shared" si="11"/>
        <v>70</v>
      </c>
      <c r="U19" s="17">
        <f t="shared" si="11"/>
        <v>23</v>
      </c>
      <c r="V19" s="17">
        <f t="shared" si="11"/>
        <v>76</v>
      </c>
      <c r="W19" s="17">
        <f t="shared" si="11"/>
        <v>1</v>
      </c>
      <c r="X19" s="17">
        <f t="shared" si="11"/>
        <v>1</v>
      </c>
      <c r="Y19" s="17">
        <f t="shared" si="11"/>
        <v>26</v>
      </c>
      <c r="Z19" s="17">
        <f t="shared" si="11"/>
        <v>5</v>
      </c>
      <c r="AA19" s="17">
        <f t="shared" si="11"/>
        <v>2</v>
      </c>
      <c r="AB19" s="17">
        <f t="shared" si="11"/>
        <v>2</v>
      </c>
      <c r="AC19" s="17">
        <f t="shared" si="11"/>
        <v>639</v>
      </c>
      <c r="AD19" s="17">
        <f t="shared" si="11"/>
        <v>0</v>
      </c>
      <c r="AE19" s="31">
        <f t="shared" si="11"/>
        <v>297</v>
      </c>
      <c r="AF19" s="31">
        <f t="shared" si="11"/>
        <v>936</v>
      </c>
    </row>
    <row r="20" spans="2:32" ht="23.1" customHeight="1" x14ac:dyDescent="0.25">
      <c r="B20" s="23" t="s">
        <v>47</v>
      </c>
      <c r="C20" s="50">
        <v>39</v>
      </c>
      <c r="D20" s="50">
        <v>41</v>
      </c>
      <c r="E20" s="50">
        <v>9</v>
      </c>
      <c r="F20" s="50">
        <v>32</v>
      </c>
      <c r="G20" s="50">
        <v>0</v>
      </c>
      <c r="H20" s="50">
        <v>0</v>
      </c>
      <c r="I20" s="50">
        <v>8</v>
      </c>
      <c r="J20" s="50">
        <v>1</v>
      </c>
      <c r="K20" s="50">
        <v>1</v>
      </c>
      <c r="L20" s="50">
        <v>1</v>
      </c>
      <c r="M20" s="50">
        <v>234</v>
      </c>
      <c r="N20" s="50">
        <v>0</v>
      </c>
      <c r="O20" s="15">
        <f t="shared" si="0"/>
        <v>132</v>
      </c>
      <c r="P20" s="15">
        <f t="shared" si="1"/>
        <v>366</v>
      </c>
      <c r="R20" s="1" t="s">
        <v>16</v>
      </c>
      <c r="S20" s="17">
        <f t="shared" ref="S20:AF20" si="12">SUM(C50:C53)</f>
        <v>161</v>
      </c>
      <c r="T20" s="17">
        <f t="shared" si="12"/>
        <v>127</v>
      </c>
      <c r="U20" s="17">
        <f t="shared" si="12"/>
        <v>23</v>
      </c>
      <c r="V20" s="17">
        <f t="shared" si="12"/>
        <v>125</v>
      </c>
      <c r="W20" s="17">
        <f t="shared" si="12"/>
        <v>2</v>
      </c>
      <c r="X20" s="17">
        <f t="shared" si="12"/>
        <v>3</v>
      </c>
      <c r="Y20" s="17">
        <f t="shared" si="12"/>
        <v>22</v>
      </c>
      <c r="Z20" s="17">
        <f t="shared" si="12"/>
        <v>9</v>
      </c>
      <c r="AA20" s="17">
        <f t="shared" si="12"/>
        <v>3</v>
      </c>
      <c r="AB20" s="17">
        <f t="shared" si="12"/>
        <v>2</v>
      </c>
      <c r="AC20" s="17">
        <f t="shared" si="12"/>
        <v>835</v>
      </c>
      <c r="AD20" s="17">
        <f t="shared" si="12"/>
        <v>0</v>
      </c>
      <c r="AE20" s="31">
        <f t="shared" si="12"/>
        <v>477</v>
      </c>
      <c r="AF20" s="31">
        <f t="shared" si="12"/>
        <v>1312</v>
      </c>
    </row>
    <row r="21" spans="2:32" ht="23.1" customHeight="1" x14ac:dyDescent="0.25">
      <c r="B21" s="23" t="s">
        <v>48</v>
      </c>
      <c r="C21" s="50">
        <v>36</v>
      </c>
      <c r="D21" s="50">
        <v>37</v>
      </c>
      <c r="E21" s="50">
        <v>5</v>
      </c>
      <c r="F21" s="50">
        <v>33</v>
      </c>
      <c r="G21" s="50">
        <v>0</v>
      </c>
      <c r="H21" s="50">
        <v>0</v>
      </c>
      <c r="I21" s="50">
        <v>5</v>
      </c>
      <c r="J21" s="50">
        <v>1</v>
      </c>
      <c r="K21" s="50">
        <v>2</v>
      </c>
      <c r="L21" s="50">
        <v>2</v>
      </c>
      <c r="M21" s="50">
        <v>237</v>
      </c>
      <c r="N21" s="50">
        <v>0</v>
      </c>
      <c r="O21" s="15">
        <f t="shared" si="0"/>
        <v>121</v>
      </c>
      <c r="P21" s="15">
        <f t="shared" si="1"/>
        <v>358</v>
      </c>
      <c r="R21" s="36" t="s">
        <v>20</v>
      </c>
      <c r="S21" s="34">
        <f t="shared" ref="S21:AF21" si="13">SUM(C54:C57)</f>
        <v>108</v>
      </c>
      <c r="T21" s="17">
        <f t="shared" si="13"/>
        <v>116</v>
      </c>
      <c r="U21" s="17">
        <f t="shared" si="13"/>
        <v>22</v>
      </c>
      <c r="V21" s="17">
        <f t="shared" si="13"/>
        <v>174</v>
      </c>
      <c r="W21" s="17">
        <f t="shared" si="13"/>
        <v>6</v>
      </c>
      <c r="X21" s="17">
        <f t="shared" si="13"/>
        <v>9</v>
      </c>
      <c r="Y21" s="17">
        <f t="shared" si="13"/>
        <v>7</v>
      </c>
      <c r="Z21" s="17">
        <f t="shared" si="13"/>
        <v>6</v>
      </c>
      <c r="AA21" s="17">
        <f t="shared" si="13"/>
        <v>2</v>
      </c>
      <c r="AB21" s="17">
        <f t="shared" si="13"/>
        <v>1</v>
      </c>
      <c r="AC21" s="17">
        <f t="shared" si="13"/>
        <v>969</v>
      </c>
      <c r="AD21" s="17">
        <f t="shared" si="13"/>
        <v>0</v>
      </c>
      <c r="AE21" s="31">
        <f t="shared" si="13"/>
        <v>451</v>
      </c>
      <c r="AF21" s="31">
        <f t="shared" si="13"/>
        <v>1420</v>
      </c>
    </row>
    <row r="22" spans="2:32" ht="23.1" customHeight="1" x14ac:dyDescent="0.25">
      <c r="B22" s="23" t="s">
        <v>49</v>
      </c>
      <c r="C22" s="50">
        <v>31</v>
      </c>
      <c r="D22" s="50">
        <v>24</v>
      </c>
      <c r="E22" s="50">
        <v>14</v>
      </c>
      <c r="F22" s="50">
        <v>30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1</v>
      </c>
      <c r="M22" s="50">
        <v>159</v>
      </c>
      <c r="N22" s="50">
        <v>0</v>
      </c>
      <c r="O22" s="15">
        <f t="shared" si="0"/>
        <v>105</v>
      </c>
      <c r="P22" s="15">
        <f t="shared" si="1"/>
        <v>264</v>
      </c>
      <c r="R22" s="38" t="s">
        <v>90</v>
      </c>
      <c r="S22" s="39">
        <f>MAX(S10:S12)</f>
        <v>268</v>
      </c>
      <c r="T22" s="39">
        <f t="shared" ref="T22:AF22" si="14">MAX(T10:T12)</f>
        <v>192</v>
      </c>
      <c r="U22" s="39">
        <f t="shared" si="14"/>
        <v>33</v>
      </c>
      <c r="V22" s="39">
        <f t="shared" si="14"/>
        <v>173</v>
      </c>
      <c r="W22" s="39">
        <f t="shared" si="14"/>
        <v>2</v>
      </c>
      <c r="X22" s="39">
        <f t="shared" si="14"/>
        <v>1</v>
      </c>
      <c r="Y22" s="39">
        <f t="shared" si="14"/>
        <v>23</v>
      </c>
      <c r="Z22" s="39">
        <f t="shared" si="14"/>
        <v>4</v>
      </c>
      <c r="AA22" s="39">
        <f t="shared" si="14"/>
        <v>4</v>
      </c>
      <c r="AB22" s="39">
        <f t="shared" si="14"/>
        <v>4</v>
      </c>
      <c r="AC22" s="39">
        <f t="shared" si="14"/>
        <v>1186</v>
      </c>
      <c r="AD22" s="39">
        <f t="shared" si="14"/>
        <v>0</v>
      </c>
      <c r="AE22" s="40">
        <f t="shared" si="14"/>
        <v>687</v>
      </c>
      <c r="AF22" s="40">
        <f t="shared" si="14"/>
        <v>1811</v>
      </c>
    </row>
    <row r="23" spans="2:32" ht="23.1" customHeight="1" x14ac:dyDescent="0.25">
      <c r="B23" s="23" t="s">
        <v>50</v>
      </c>
      <c r="C23" s="50">
        <v>33</v>
      </c>
      <c r="D23" s="50">
        <v>30</v>
      </c>
      <c r="E23" s="50">
        <v>5</v>
      </c>
      <c r="F23" s="50">
        <v>29</v>
      </c>
      <c r="G23" s="50">
        <v>0</v>
      </c>
      <c r="H23" s="50">
        <v>1</v>
      </c>
      <c r="I23" s="50">
        <v>9</v>
      </c>
      <c r="J23" s="50">
        <v>3</v>
      </c>
      <c r="K23" s="50">
        <v>0</v>
      </c>
      <c r="L23" s="50">
        <v>0</v>
      </c>
      <c r="M23" s="50">
        <v>230</v>
      </c>
      <c r="N23" s="50">
        <v>0</v>
      </c>
      <c r="O23" s="15">
        <f t="shared" si="0"/>
        <v>110</v>
      </c>
      <c r="P23" s="15">
        <f t="shared" si="1"/>
        <v>340</v>
      </c>
      <c r="R23" s="38" t="s">
        <v>91</v>
      </c>
      <c r="S23" s="39">
        <f>MAX(S13:S18)</f>
        <v>114</v>
      </c>
      <c r="T23" s="39">
        <f t="shared" ref="T23:AF23" si="15">MAX(T13:T18)</f>
        <v>101</v>
      </c>
      <c r="U23" s="39">
        <f t="shared" si="15"/>
        <v>34</v>
      </c>
      <c r="V23" s="39">
        <f t="shared" si="15"/>
        <v>109</v>
      </c>
      <c r="W23" s="39">
        <f t="shared" si="15"/>
        <v>2</v>
      </c>
      <c r="X23" s="39">
        <f t="shared" si="15"/>
        <v>3</v>
      </c>
      <c r="Y23" s="39">
        <f t="shared" si="15"/>
        <v>28</v>
      </c>
      <c r="Z23" s="39">
        <f t="shared" si="15"/>
        <v>12</v>
      </c>
      <c r="AA23" s="39">
        <f t="shared" si="15"/>
        <v>6</v>
      </c>
      <c r="AB23" s="39">
        <f t="shared" si="15"/>
        <v>5</v>
      </c>
      <c r="AC23" s="39">
        <f t="shared" si="15"/>
        <v>781</v>
      </c>
      <c r="AD23" s="39">
        <f t="shared" si="15"/>
        <v>0</v>
      </c>
      <c r="AE23" s="40">
        <f t="shared" si="15"/>
        <v>397</v>
      </c>
      <c r="AF23" s="40">
        <f t="shared" si="15"/>
        <v>1159</v>
      </c>
    </row>
    <row r="24" spans="2:32" ht="23.1" customHeight="1" x14ac:dyDescent="0.25">
      <c r="B24" s="23" t="s">
        <v>51</v>
      </c>
      <c r="C24" s="50">
        <v>31</v>
      </c>
      <c r="D24" s="50">
        <v>19</v>
      </c>
      <c r="E24" s="50">
        <v>6</v>
      </c>
      <c r="F24" s="50">
        <v>24</v>
      </c>
      <c r="G24" s="50">
        <v>1</v>
      </c>
      <c r="H24" s="50">
        <v>0</v>
      </c>
      <c r="I24" s="50">
        <v>2</v>
      </c>
      <c r="J24" s="50">
        <v>1</v>
      </c>
      <c r="K24" s="50">
        <v>0</v>
      </c>
      <c r="L24" s="50">
        <v>2</v>
      </c>
      <c r="M24" s="50">
        <v>189</v>
      </c>
      <c r="N24" s="50">
        <v>0</v>
      </c>
      <c r="O24" s="15">
        <f t="shared" si="0"/>
        <v>86</v>
      </c>
      <c r="P24" s="15">
        <f t="shared" si="1"/>
        <v>275</v>
      </c>
      <c r="R24" s="38" t="s">
        <v>92</v>
      </c>
      <c r="S24" s="39">
        <f>MAX(S19:S21)</f>
        <v>161</v>
      </c>
      <c r="T24" s="39">
        <f t="shared" ref="T24:AF24" si="16">MAX(T19:T21)</f>
        <v>127</v>
      </c>
      <c r="U24" s="39">
        <f t="shared" si="16"/>
        <v>23</v>
      </c>
      <c r="V24" s="39">
        <f t="shared" si="16"/>
        <v>174</v>
      </c>
      <c r="W24" s="39">
        <f t="shared" si="16"/>
        <v>6</v>
      </c>
      <c r="X24" s="39">
        <f t="shared" si="16"/>
        <v>9</v>
      </c>
      <c r="Y24" s="39">
        <f t="shared" si="16"/>
        <v>26</v>
      </c>
      <c r="Z24" s="39">
        <f t="shared" si="16"/>
        <v>9</v>
      </c>
      <c r="AA24" s="39">
        <f t="shared" si="16"/>
        <v>3</v>
      </c>
      <c r="AB24" s="39">
        <f t="shared" si="16"/>
        <v>2</v>
      </c>
      <c r="AC24" s="39">
        <f t="shared" si="16"/>
        <v>969</v>
      </c>
      <c r="AD24" s="39">
        <f t="shared" si="16"/>
        <v>0</v>
      </c>
      <c r="AE24" s="40">
        <f t="shared" si="16"/>
        <v>477</v>
      </c>
      <c r="AF24" s="40">
        <f t="shared" si="16"/>
        <v>1420</v>
      </c>
    </row>
    <row r="25" spans="2:32" ht="23.1" customHeight="1" x14ac:dyDescent="0.25">
      <c r="B25" s="23" t="s">
        <v>52</v>
      </c>
      <c r="C25" s="50">
        <v>19</v>
      </c>
      <c r="D25" s="50">
        <v>28</v>
      </c>
      <c r="E25" s="50">
        <v>9</v>
      </c>
      <c r="F25" s="50">
        <v>26</v>
      </c>
      <c r="G25" s="50">
        <v>0</v>
      </c>
      <c r="H25" s="50">
        <v>1</v>
      </c>
      <c r="I25" s="50">
        <v>5</v>
      </c>
      <c r="J25" s="50">
        <v>4</v>
      </c>
      <c r="K25" s="50">
        <v>2</v>
      </c>
      <c r="L25" s="50">
        <v>2</v>
      </c>
      <c r="M25" s="50">
        <v>184</v>
      </c>
      <c r="N25" s="50">
        <v>0</v>
      </c>
      <c r="O25" s="15">
        <f t="shared" si="0"/>
        <v>96</v>
      </c>
      <c r="P25" s="15">
        <f t="shared" si="1"/>
        <v>280</v>
      </c>
      <c r="R25" s="37" t="s">
        <v>85</v>
      </c>
      <c r="S25" s="35">
        <f t="shared" ref="S25:AF25" si="17">SUM(S10:S12)</f>
        <v>614</v>
      </c>
      <c r="T25" s="16">
        <f t="shared" si="17"/>
        <v>489</v>
      </c>
      <c r="U25" s="16">
        <f t="shared" si="17"/>
        <v>88</v>
      </c>
      <c r="V25" s="16">
        <f t="shared" si="17"/>
        <v>419</v>
      </c>
      <c r="W25" s="16">
        <f t="shared" si="17"/>
        <v>3</v>
      </c>
      <c r="X25" s="16">
        <f t="shared" si="17"/>
        <v>1</v>
      </c>
      <c r="Y25" s="16">
        <f t="shared" si="17"/>
        <v>57</v>
      </c>
      <c r="Z25" s="16">
        <f t="shared" si="17"/>
        <v>7</v>
      </c>
      <c r="AA25" s="16">
        <f t="shared" si="17"/>
        <v>7</v>
      </c>
      <c r="AB25" s="16">
        <f t="shared" si="17"/>
        <v>5</v>
      </c>
      <c r="AC25" s="16">
        <f t="shared" si="17"/>
        <v>3181</v>
      </c>
      <c r="AD25" s="16">
        <f t="shared" si="17"/>
        <v>0</v>
      </c>
      <c r="AE25" s="32">
        <f t="shared" si="17"/>
        <v>1690</v>
      </c>
      <c r="AF25" s="32">
        <f t="shared" si="17"/>
        <v>4871</v>
      </c>
    </row>
    <row r="26" spans="2:32" ht="23.1" customHeight="1" x14ac:dyDescent="0.25">
      <c r="B26" s="23" t="s">
        <v>53</v>
      </c>
      <c r="C26" s="50">
        <v>30</v>
      </c>
      <c r="D26" s="50">
        <v>19</v>
      </c>
      <c r="E26" s="50">
        <v>6</v>
      </c>
      <c r="F26" s="50">
        <v>27</v>
      </c>
      <c r="G26" s="50">
        <v>0</v>
      </c>
      <c r="H26" s="50">
        <v>0</v>
      </c>
      <c r="I26" s="50">
        <v>9</v>
      </c>
      <c r="J26" s="50">
        <v>2</v>
      </c>
      <c r="K26" s="50">
        <v>1</v>
      </c>
      <c r="L26" s="50">
        <v>0</v>
      </c>
      <c r="M26" s="50">
        <v>232</v>
      </c>
      <c r="N26" s="50">
        <v>0</v>
      </c>
      <c r="O26" s="15">
        <f t="shared" si="0"/>
        <v>94</v>
      </c>
      <c r="P26" s="15">
        <f t="shared" si="1"/>
        <v>326</v>
      </c>
      <c r="R26" s="28" t="s">
        <v>86</v>
      </c>
      <c r="S26" s="16">
        <f t="shared" ref="S26:AF26" si="18">SUM(S13:S18)</f>
        <v>569</v>
      </c>
      <c r="T26" s="16">
        <f t="shared" si="18"/>
        <v>497</v>
      </c>
      <c r="U26" s="16">
        <f t="shared" si="18"/>
        <v>137</v>
      </c>
      <c r="V26" s="16">
        <f t="shared" si="18"/>
        <v>560</v>
      </c>
      <c r="W26" s="16">
        <f t="shared" si="18"/>
        <v>5</v>
      </c>
      <c r="X26" s="16">
        <f t="shared" si="18"/>
        <v>11</v>
      </c>
      <c r="Y26" s="16">
        <f t="shared" si="18"/>
        <v>111</v>
      </c>
      <c r="Z26" s="16">
        <f t="shared" si="18"/>
        <v>49</v>
      </c>
      <c r="AA26" s="16">
        <f t="shared" si="18"/>
        <v>18</v>
      </c>
      <c r="AB26" s="16">
        <f t="shared" si="18"/>
        <v>12</v>
      </c>
      <c r="AC26" s="16">
        <f t="shared" si="18"/>
        <v>3962</v>
      </c>
      <c r="AD26" s="16">
        <f t="shared" si="18"/>
        <v>0</v>
      </c>
      <c r="AE26" s="32">
        <f t="shared" si="18"/>
        <v>1969</v>
      </c>
      <c r="AF26" s="32">
        <f t="shared" si="18"/>
        <v>5931</v>
      </c>
    </row>
    <row r="27" spans="2:32" ht="23.1" customHeight="1" x14ac:dyDescent="0.25">
      <c r="B27" s="23" t="s">
        <v>54</v>
      </c>
      <c r="C27" s="50">
        <v>23</v>
      </c>
      <c r="D27" s="50">
        <v>21</v>
      </c>
      <c r="E27" s="50">
        <v>9</v>
      </c>
      <c r="F27" s="50">
        <v>27</v>
      </c>
      <c r="G27" s="50">
        <v>0</v>
      </c>
      <c r="H27" s="50">
        <v>0</v>
      </c>
      <c r="I27" s="50">
        <v>6</v>
      </c>
      <c r="J27" s="50">
        <v>1</v>
      </c>
      <c r="K27" s="50">
        <v>2</v>
      </c>
      <c r="L27" s="50">
        <v>0</v>
      </c>
      <c r="M27" s="50">
        <v>172</v>
      </c>
      <c r="N27" s="50">
        <v>0</v>
      </c>
      <c r="O27" s="15">
        <f t="shared" si="0"/>
        <v>89</v>
      </c>
      <c r="P27" s="15">
        <f t="shared" si="1"/>
        <v>261</v>
      </c>
      <c r="R27" s="29" t="s">
        <v>87</v>
      </c>
      <c r="S27" s="16">
        <f t="shared" ref="S27:AF27" si="19">SUM(S19:S21)</f>
        <v>360</v>
      </c>
      <c r="T27" s="16">
        <f t="shared" si="19"/>
        <v>313</v>
      </c>
      <c r="U27" s="16">
        <f t="shared" si="19"/>
        <v>68</v>
      </c>
      <c r="V27" s="16">
        <f t="shared" si="19"/>
        <v>375</v>
      </c>
      <c r="W27" s="16">
        <f t="shared" si="19"/>
        <v>9</v>
      </c>
      <c r="X27" s="16">
        <f t="shared" si="19"/>
        <v>13</v>
      </c>
      <c r="Y27" s="16">
        <f t="shared" si="19"/>
        <v>55</v>
      </c>
      <c r="Z27" s="16">
        <f t="shared" si="19"/>
        <v>20</v>
      </c>
      <c r="AA27" s="16">
        <f t="shared" si="19"/>
        <v>7</v>
      </c>
      <c r="AB27" s="16">
        <f t="shared" si="19"/>
        <v>5</v>
      </c>
      <c r="AC27" s="16">
        <f t="shared" si="19"/>
        <v>2443</v>
      </c>
      <c r="AD27" s="16">
        <f t="shared" si="19"/>
        <v>0</v>
      </c>
      <c r="AE27" s="32">
        <f t="shared" si="19"/>
        <v>1225</v>
      </c>
      <c r="AF27" s="32">
        <f t="shared" si="19"/>
        <v>3668</v>
      </c>
    </row>
    <row r="28" spans="2:32" ht="23.1" customHeight="1" x14ac:dyDescent="0.25">
      <c r="B28" s="23" t="s">
        <v>55</v>
      </c>
      <c r="C28" s="50">
        <v>26</v>
      </c>
      <c r="D28" s="50">
        <v>23</v>
      </c>
      <c r="E28" s="50">
        <v>6</v>
      </c>
      <c r="F28" s="50">
        <v>16</v>
      </c>
      <c r="G28" s="50">
        <v>0</v>
      </c>
      <c r="H28" s="50">
        <v>0</v>
      </c>
      <c r="I28" s="50">
        <v>9</v>
      </c>
      <c r="J28" s="50">
        <v>3</v>
      </c>
      <c r="K28" s="50">
        <v>1</v>
      </c>
      <c r="L28" s="50">
        <v>1</v>
      </c>
      <c r="M28" s="50">
        <v>171</v>
      </c>
      <c r="N28" s="50">
        <v>0</v>
      </c>
      <c r="O28" s="15">
        <f t="shared" si="0"/>
        <v>85</v>
      </c>
      <c r="P28" s="15">
        <f t="shared" si="1"/>
        <v>256</v>
      </c>
      <c r="R28" s="5" t="s">
        <v>17</v>
      </c>
      <c r="S28" s="16">
        <f t="shared" ref="S28:AF28" si="20">SUM(S10:S21)</f>
        <v>1543</v>
      </c>
      <c r="T28" s="16">
        <f t="shared" si="20"/>
        <v>1299</v>
      </c>
      <c r="U28" s="16">
        <f t="shared" si="20"/>
        <v>293</v>
      </c>
      <c r="V28" s="16">
        <f t="shared" si="20"/>
        <v>1354</v>
      </c>
      <c r="W28" s="16">
        <f t="shared" si="20"/>
        <v>17</v>
      </c>
      <c r="X28" s="16">
        <f t="shared" si="20"/>
        <v>25</v>
      </c>
      <c r="Y28" s="16">
        <f t="shared" si="20"/>
        <v>223</v>
      </c>
      <c r="Z28" s="16">
        <f t="shared" si="20"/>
        <v>76</v>
      </c>
      <c r="AA28" s="16">
        <f t="shared" si="20"/>
        <v>32</v>
      </c>
      <c r="AB28" s="16">
        <f t="shared" si="20"/>
        <v>22</v>
      </c>
      <c r="AC28" s="16">
        <f t="shared" si="20"/>
        <v>9586</v>
      </c>
      <c r="AD28" s="16">
        <f t="shared" si="20"/>
        <v>0</v>
      </c>
      <c r="AE28" s="32">
        <f t="shared" si="20"/>
        <v>4884</v>
      </c>
      <c r="AF28" s="32">
        <f t="shared" si="20"/>
        <v>14470</v>
      </c>
    </row>
    <row r="29" spans="2:32" ht="23.1" customHeight="1" x14ac:dyDescent="0.25">
      <c r="B29" s="23" t="s">
        <v>56</v>
      </c>
      <c r="C29" s="50">
        <v>28</v>
      </c>
      <c r="D29" s="50">
        <v>21</v>
      </c>
      <c r="E29" s="50">
        <v>2</v>
      </c>
      <c r="F29" s="50">
        <v>20</v>
      </c>
      <c r="G29" s="50">
        <v>0</v>
      </c>
      <c r="H29" s="50">
        <v>2</v>
      </c>
      <c r="I29" s="50">
        <v>4</v>
      </c>
      <c r="J29" s="50">
        <v>1</v>
      </c>
      <c r="K29" s="50">
        <v>2</v>
      </c>
      <c r="L29" s="50">
        <v>0</v>
      </c>
      <c r="M29" s="50">
        <v>169</v>
      </c>
      <c r="N29" s="50">
        <v>0</v>
      </c>
      <c r="O29" s="15">
        <f t="shared" si="0"/>
        <v>80</v>
      </c>
      <c r="P29" s="15">
        <f t="shared" si="1"/>
        <v>249</v>
      </c>
      <c r="R29"/>
      <c r="S29" s="20"/>
      <c r="T29" s="19"/>
    </row>
    <row r="30" spans="2:32" ht="23.1" customHeight="1" x14ac:dyDescent="0.25">
      <c r="B30" s="23" t="s">
        <v>57</v>
      </c>
      <c r="C30" s="50">
        <v>21</v>
      </c>
      <c r="D30" s="50">
        <v>19</v>
      </c>
      <c r="E30" s="50">
        <v>8</v>
      </c>
      <c r="F30" s="50">
        <v>23</v>
      </c>
      <c r="G30" s="50">
        <v>0</v>
      </c>
      <c r="H30" s="50">
        <v>0</v>
      </c>
      <c r="I30" s="50">
        <v>7</v>
      </c>
      <c r="J30" s="50">
        <v>1</v>
      </c>
      <c r="K30" s="50">
        <v>0</v>
      </c>
      <c r="L30" s="50">
        <v>0</v>
      </c>
      <c r="M30" s="50">
        <v>210</v>
      </c>
      <c r="N30" s="50">
        <v>0</v>
      </c>
      <c r="O30" s="15">
        <f t="shared" si="0"/>
        <v>79</v>
      </c>
      <c r="P30" s="15">
        <f t="shared" si="1"/>
        <v>289</v>
      </c>
    </row>
    <row r="31" spans="2:32" ht="23.1" customHeight="1" x14ac:dyDescent="0.25">
      <c r="B31" s="24" t="s">
        <v>58</v>
      </c>
      <c r="C31" s="50">
        <v>35</v>
      </c>
      <c r="D31" s="50">
        <v>18</v>
      </c>
      <c r="E31" s="50">
        <v>4</v>
      </c>
      <c r="F31" s="50">
        <v>26</v>
      </c>
      <c r="G31" s="50">
        <v>0</v>
      </c>
      <c r="H31" s="50">
        <v>0</v>
      </c>
      <c r="I31" s="50">
        <v>2</v>
      </c>
      <c r="J31" s="50">
        <v>7</v>
      </c>
      <c r="K31" s="50">
        <v>2</v>
      </c>
      <c r="L31" s="50">
        <v>0</v>
      </c>
      <c r="M31" s="50">
        <v>245</v>
      </c>
      <c r="N31" s="50">
        <v>0</v>
      </c>
      <c r="O31" s="15">
        <f t="shared" si="0"/>
        <v>94</v>
      </c>
      <c r="P31" s="15">
        <f t="shared" si="1"/>
        <v>339</v>
      </c>
    </row>
    <row r="32" spans="2:32" ht="23.1" customHeight="1" x14ac:dyDescent="0.25">
      <c r="B32" s="24" t="s">
        <v>59</v>
      </c>
      <c r="C32" s="50">
        <v>18</v>
      </c>
      <c r="D32" s="50">
        <v>21</v>
      </c>
      <c r="E32" s="50">
        <v>0</v>
      </c>
      <c r="F32" s="50">
        <v>26</v>
      </c>
      <c r="G32" s="50">
        <v>0</v>
      </c>
      <c r="H32" s="50">
        <v>1</v>
      </c>
      <c r="I32" s="50">
        <v>3</v>
      </c>
      <c r="J32" s="50">
        <v>4</v>
      </c>
      <c r="K32" s="50">
        <v>1</v>
      </c>
      <c r="L32" s="50">
        <v>2</v>
      </c>
      <c r="M32" s="50">
        <v>172</v>
      </c>
      <c r="N32" s="50">
        <v>0</v>
      </c>
      <c r="O32" s="15">
        <f t="shared" si="0"/>
        <v>76</v>
      </c>
      <c r="P32" s="15">
        <f t="shared" si="1"/>
        <v>248</v>
      </c>
    </row>
    <row r="33" spans="2:20" ht="23.1" customHeight="1" x14ac:dyDescent="0.25">
      <c r="B33" s="23" t="s">
        <v>60</v>
      </c>
      <c r="C33" s="50">
        <v>24</v>
      </c>
      <c r="D33" s="50">
        <v>16</v>
      </c>
      <c r="E33" s="50">
        <v>2</v>
      </c>
      <c r="F33" s="50">
        <v>26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154</v>
      </c>
      <c r="N33" s="50">
        <v>0</v>
      </c>
      <c r="O33" s="15">
        <f t="shared" si="0"/>
        <v>71</v>
      </c>
      <c r="P33" s="15">
        <f t="shared" si="1"/>
        <v>225</v>
      </c>
    </row>
    <row r="34" spans="2:20" ht="23.1" customHeight="1" x14ac:dyDescent="0.25">
      <c r="B34" s="24" t="s">
        <v>61</v>
      </c>
      <c r="C34" s="50">
        <v>39</v>
      </c>
      <c r="D34" s="50">
        <v>17</v>
      </c>
      <c r="E34" s="50">
        <v>7</v>
      </c>
      <c r="F34" s="50">
        <v>19</v>
      </c>
      <c r="G34" s="50">
        <v>0</v>
      </c>
      <c r="H34" s="50">
        <v>1</v>
      </c>
      <c r="I34" s="50">
        <v>8</v>
      </c>
      <c r="J34" s="50">
        <v>2</v>
      </c>
      <c r="K34" s="50">
        <v>0</v>
      </c>
      <c r="L34" s="50">
        <v>0</v>
      </c>
      <c r="M34" s="50">
        <v>185</v>
      </c>
      <c r="N34" s="50">
        <v>0</v>
      </c>
      <c r="O34" s="15">
        <f t="shared" si="0"/>
        <v>93</v>
      </c>
      <c r="P34" s="15">
        <f t="shared" si="1"/>
        <v>278</v>
      </c>
    </row>
    <row r="35" spans="2:20" ht="23.1" customHeight="1" x14ac:dyDescent="0.25">
      <c r="B35" s="24" t="s">
        <v>62</v>
      </c>
      <c r="C35" s="50">
        <v>23</v>
      </c>
      <c r="D35" s="50">
        <v>24</v>
      </c>
      <c r="E35" s="50">
        <v>3</v>
      </c>
      <c r="F35" s="50">
        <v>21</v>
      </c>
      <c r="G35" s="50">
        <v>0</v>
      </c>
      <c r="H35" s="50">
        <v>0</v>
      </c>
      <c r="I35" s="50">
        <v>5</v>
      </c>
      <c r="J35" s="50">
        <v>2</v>
      </c>
      <c r="K35" s="50">
        <v>1</v>
      </c>
      <c r="L35" s="50">
        <v>0</v>
      </c>
      <c r="M35" s="50">
        <v>128</v>
      </c>
      <c r="N35" s="50">
        <v>0</v>
      </c>
      <c r="O35" s="15">
        <f t="shared" si="0"/>
        <v>79</v>
      </c>
      <c r="P35" s="15">
        <f t="shared" si="1"/>
        <v>207</v>
      </c>
    </row>
    <row r="36" spans="2:20" ht="23.1" customHeight="1" x14ac:dyDescent="0.25">
      <c r="B36" s="24" t="s">
        <v>63</v>
      </c>
      <c r="C36" s="50">
        <v>13</v>
      </c>
      <c r="D36" s="50">
        <v>16</v>
      </c>
      <c r="E36" s="50">
        <v>5</v>
      </c>
      <c r="F36" s="50">
        <v>25</v>
      </c>
      <c r="G36" s="50">
        <v>1</v>
      </c>
      <c r="H36" s="50">
        <v>0</v>
      </c>
      <c r="I36" s="50">
        <v>2</v>
      </c>
      <c r="J36" s="50">
        <v>1</v>
      </c>
      <c r="K36" s="50">
        <v>4</v>
      </c>
      <c r="L36" s="50">
        <v>1</v>
      </c>
      <c r="M36" s="50">
        <v>114</v>
      </c>
      <c r="N36" s="50">
        <v>0</v>
      </c>
      <c r="O36" s="15">
        <f t="shared" si="0"/>
        <v>68</v>
      </c>
      <c r="P36" s="15">
        <f t="shared" si="1"/>
        <v>182</v>
      </c>
    </row>
    <row r="37" spans="2:20" ht="23.1" customHeight="1" x14ac:dyDescent="0.25">
      <c r="B37" s="23" t="s">
        <v>64</v>
      </c>
      <c r="C37" s="50">
        <v>27</v>
      </c>
      <c r="D37" s="50">
        <v>25</v>
      </c>
      <c r="E37" s="50">
        <v>3</v>
      </c>
      <c r="F37" s="50">
        <v>24</v>
      </c>
      <c r="G37" s="50">
        <v>0</v>
      </c>
      <c r="H37" s="50">
        <v>2</v>
      </c>
      <c r="I37" s="50">
        <v>6</v>
      </c>
      <c r="J37" s="50">
        <v>2</v>
      </c>
      <c r="K37" s="50">
        <v>0</v>
      </c>
      <c r="L37" s="50">
        <v>0</v>
      </c>
      <c r="M37" s="50">
        <v>161</v>
      </c>
      <c r="N37" s="50">
        <v>0</v>
      </c>
      <c r="O37" s="15">
        <f t="shared" si="0"/>
        <v>89</v>
      </c>
      <c r="P37" s="15">
        <f t="shared" si="1"/>
        <v>250</v>
      </c>
    </row>
    <row r="38" spans="2:20" ht="23.1" customHeight="1" x14ac:dyDescent="0.25">
      <c r="B38" s="24" t="s">
        <v>65</v>
      </c>
      <c r="C38" s="50">
        <v>25</v>
      </c>
      <c r="D38" s="50">
        <v>22</v>
      </c>
      <c r="E38" s="50">
        <v>4</v>
      </c>
      <c r="F38" s="50">
        <v>24</v>
      </c>
      <c r="G38" s="50">
        <v>1</v>
      </c>
      <c r="H38" s="50">
        <v>0</v>
      </c>
      <c r="I38" s="50">
        <v>6</v>
      </c>
      <c r="J38" s="50">
        <v>1</v>
      </c>
      <c r="K38" s="50">
        <v>0</v>
      </c>
      <c r="L38" s="50">
        <v>1</v>
      </c>
      <c r="M38" s="50">
        <v>142</v>
      </c>
      <c r="N38" s="50">
        <v>0</v>
      </c>
      <c r="O38" s="15">
        <f t="shared" si="0"/>
        <v>84</v>
      </c>
      <c r="P38" s="15">
        <f t="shared" si="1"/>
        <v>226</v>
      </c>
    </row>
    <row r="39" spans="2:20" ht="23.1" customHeight="1" x14ac:dyDescent="0.25">
      <c r="B39" s="24" t="s">
        <v>66</v>
      </c>
      <c r="C39" s="50">
        <v>25</v>
      </c>
      <c r="D39" s="50">
        <v>19</v>
      </c>
      <c r="E39" s="50">
        <v>5</v>
      </c>
      <c r="F39" s="50">
        <v>18</v>
      </c>
      <c r="G39" s="50">
        <v>1</v>
      </c>
      <c r="H39" s="50">
        <v>0</v>
      </c>
      <c r="I39" s="50">
        <v>5</v>
      </c>
      <c r="J39" s="50">
        <v>2</v>
      </c>
      <c r="K39" s="50">
        <v>0</v>
      </c>
      <c r="L39" s="50">
        <v>0</v>
      </c>
      <c r="M39" s="50">
        <v>133</v>
      </c>
      <c r="N39" s="50">
        <v>0</v>
      </c>
      <c r="O39" s="15">
        <f t="shared" si="0"/>
        <v>75</v>
      </c>
      <c r="P39" s="15">
        <f t="shared" si="1"/>
        <v>208</v>
      </c>
    </row>
    <row r="40" spans="2:20" ht="23.1" customHeight="1" x14ac:dyDescent="0.25">
      <c r="B40" s="24" t="s">
        <v>67</v>
      </c>
      <c r="C40" s="50">
        <v>14</v>
      </c>
      <c r="D40" s="50">
        <v>18</v>
      </c>
      <c r="E40" s="50">
        <v>4</v>
      </c>
      <c r="F40" s="50">
        <v>16</v>
      </c>
      <c r="G40" s="50">
        <v>0</v>
      </c>
      <c r="H40" s="50">
        <v>0</v>
      </c>
      <c r="I40" s="50">
        <v>5</v>
      </c>
      <c r="J40" s="50">
        <v>1</v>
      </c>
      <c r="K40" s="50">
        <v>0</v>
      </c>
      <c r="L40" s="50">
        <v>0</v>
      </c>
      <c r="M40" s="50">
        <v>134</v>
      </c>
      <c r="N40" s="50">
        <v>0</v>
      </c>
      <c r="O40" s="15">
        <f t="shared" si="0"/>
        <v>58</v>
      </c>
      <c r="P40" s="15">
        <f t="shared" si="1"/>
        <v>192</v>
      </c>
    </row>
    <row r="41" spans="2:20" ht="23.1" customHeight="1" x14ac:dyDescent="0.25">
      <c r="B41" s="23" t="s">
        <v>68</v>
      </c>
      <c r="C41" s="50">
        <v>14</v>
      </c>
      <c r="D41" s="50">
        <v>10</v>
      </c>
      <c r="E41" s="50">
        <v>4</v>
      </c>
      <c r="F41" s="50">
        <v>18</v>
      </c>
      <c r="G41" s="50">
        <v>0</v>
      </c>
      <c r="H41" s="50">
        <v>0</v>
      </c>
      <c r="I41" s="50">
        <v>4</v>
      </c>
      <c r="J41" s="50">
        <v>1</v>
      </c>
      <c r="K41" s="50">
        <v>1</v>
      </c>
      <c r="L41" s="50">
        <v>1</v>
      </c>
      <c r="M41" s="50">
        <v>119</v>
      </c>
      <c r="N41" s="50">
        <v>0</v>
      </c>
      <c r="O41" s="15">
        <f t="shared" si="0"/>
        <v>53</v>
      </c>
      <c r="P41" s="15">
        <f t="shared" si="1"/>
        <v>172</v>
      </c>
    </row>
    <row r="42" spans="2:20" ht="23.1" customHeight="1" x14ac:dyDescent="0.25">
      <c r="B42" s="24" t="s">
        <v>69</v>
      </c>
      <c r="C42" s="50">
        <v>16</v>
      </c>
      <c r="D42" s="50">
        <v>19</v>
      </c>
      <c r="E42" s="50">
        <v>9</v>
      </c>
      <c r="F42" s="50">
        <v>24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141</v>
      </c>
      <c r="N42" s="50">
        <v>0</v>
      </c>
      <c r="O42" s="15">
        <f t="shared" si="0"/>
        <v>69</v>
      </c>
      <c r="P42" s="15">
        <f t="shared" si="1"/>
        <v>210</v>
      </c>
    </row>
    <row r="43" spans="2:20" ht="23.1" customHeight="1" x14ac:dyDescent="0.25">
      <c r="B43" s="23" t="s">
        <v>70</v>
      </c>
      <c r="C43" s="50">
        <v>16</v>
      </c>
      <c r="D43" s="50">
        <v>16</v>
      </c>
      <c r="E43" s="50">
        <v>0</v>
      </c>
      <c r="F43" s="50">
        <v>22</v>
      </c>
      <c r="G43" s="50">
        <v>0</v>
      </c>
      <c r="H43" s="50">
        <v>0</v>
      </c>
      <c r="I43" s="50">
        <v>2</v>
      </c>
      <c r="J43" s="50">
        <v>5</v>
      </c>
      <c r="K43" s="50">
        <v>0</v>
      </c>
      <c r="L43" s="50">
        <v>1</v>
      </c>
      <c r="M43" s="50">
        <v>160</v>
      </c>
      <c r="N43" s="50">
        <v>0</v>
      </c>
      <c r="O43" s="15">
        <f t="shared" si="0"/>
        <v>62</v>
      </c>
      <c r="P43" s="15">
        <f t="shared" si="1"/>
        <v>222</v>
      </c>
    </row>
    <row r="44" spans="2:20" ht="23.1" customHeight="1" x14ac:dyDescent="0.25">
      <c r="B44" s="25" t="s">
        <v>71</v>
      </c>
      <c r="C44" s="50">
        <v>18</v>
      </c>
      <c r="D44" s="50">
        <v>22</v>
      </c>
      <c r="E44" s="50">
        <v>19</v>
      </c>
      <c r="F44" s="50">
        <v>30</v>
      </c>
      <c r="G44" s="50">
        <v>1</v>
      </c>
      <c r="H44" s="50">
        <v>1</v>
      </c>
      <c r="I44" s="50">
        <v>3</v>
      </c>
      <c r="J44" s="50">
        <v>2</v>
      </c>
      <c r="K44" s="50">
        <v>1</v>
      </c>
      <c r="L44" s="50">
        <v>0</v>
      </c>
      <c r="M44" s="50">
        <v>150</v>
      </c>
      <c r="N44" s="50">
        <v>0</v>
      </c>
      <c r="O44" s="15">
        <f t="shared" si="0"/>
        <v>97</v>
      </c>
      <c r="P44" s="15">
        <f t="shared" si="1"/>
        <v>247</v>
      </c>
    </row>
    <row r="45" spans="2:20" ht="23.1" customHeight="1" x14ac:dyDescent="0.25">
      <c r="B45" s="23" t="s">
        <v>72</v>
      </c>
      <c r="C45" s="50">
        <v>20</v>
      </c>
      <c r="D45" s="50">
        <v>30</v>
      </c>
      <c r="E45" s="50">
        <v>3</v>
      </c>
      <c r="F45" s="50">
        <v>19</v>
      </c>
      <c r="G45" s="50">
        <v>0</v>
      </c>
      <c r="H45" s="50">
        <v>2</v>
      </c>
      <c r="I45" s="50">
        <v>1</v>
      </c>
      <c r="J45" s="50">
        <v>2</v>
      </c>
      <c r="K45" s="50">
        <v>0</v>
      </c>
      <c r="L45" s="50">
        <v>0</v>
      </c>
      <c r="M45" s="50">
        <v>108</v>
      </c>
      <c r="N45" s="50">
        <v>0</v>
      </c>
      <c r="O45" s="15">
        <f t="shared" si="0"/>
        <v>77</v>
      </c>
      <c r="P45" s="15">
        <f t="shared" si="1"/>
        <v>185</v>
      </c>
    </row>
    <row r="46" spans="2:20" ht="23.1" customHeight="1" x14ac:dyDescent="0.25">
      <c r="B46" s="24" t="s">
        <v>73</v>
      </c>
      <c r="C46" s="50">
        <v>9</v>
      </c>
      <c r="D46" s="50">
        <v>14</v>
      </c>
      <c r="E46" s="50">
        <v>6</v>
      </c>
      <c r="F46" s="50">
        <v>17</v>
      </c>
      <c r="G46" s="50">
        <v>0</v>
      </c>
      <c r="H46" s="50">
        <v>0</v>
      </c>
      <c r="I46" s="50">
        <v>2</v>
      </c>
      <c r="J46" s="50">
        <v>1</v>
      </c>
      <c r="K46" s="50">
        <v>1</v>
      </c>
      <c r="L46" s="50">
        <v>1</v>
      </c>
      <c r="M46" s="50">
        <v>167</v>
      </c>
      <c r="N46" s="50">
        <v>0</v>
      </c>
      <c r="O46" s="15">
        <f t="shared" si="0"/>
        <v>51</v>
      </c>
      <c r="P46" s="15">
        <f t="shared" si="1"/>
        <v>218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20</v>
      </c>
      <c r="E47" s="50">
        <v>6</v>
      </c>
      <c r="F47" s="50">
        <v>17</v>
      </c>
      <c r="G47" s="50">
        <v>1</v>
      </c>
      <c r="H47" s="50">
        <v>0</v>
      </c>
      <c r="I47" s="50">
        <v>17</v>
      </c>
      <c r="J47" s="50">
        <v>0</v>
      </c>
      <c r="K47" s="50">
        <v>0</v>
      </c>
      <c r="L47" s="50">
        <v>1</v>
      </c>
      <c r="M47" s="50">
        <v>150</v>
      </c>
      <c r="N47" s="50">
        <v>0</v>
      </c>
      <c r="O47" s="15">
        <f t="shared" si="0"/>
        <v>92</v>
      </c>
      <c r="P47" s="15">
        <f t="shared" si="1"/>
        <v>242</v>
      </c>
      <c r="R47" s="8"/>
      <c r="T47"/>
    </row>
    <row r="48" spans="2:20" ht="23.1" customHeight="1" x14ac:dyDescent="0.25">
      <c r="B48" s="24" t="s">
        <v>75</v>
      </c>
      <c r="C48" s="50">
        <v>26</v>
      </c>
      <c r="D48" s="50">
        <v>19</v>
      </c>
      <c r="E48" s="50">
        <v>8</v>
      </c>
      <c r="F48" s="50">
        <v>21</v>
      </c>
      <c r="G48" s="50">
        <v>0</v>
      </c>
      <c r="H48" s="50">
        <v>1</v>
      </c>
      <c r="I48" s="50">
        <v>3</v>
      </c>
      <c r="J48" s="50">
        <v>1</v>
      </c>
      <c r="K48" s="50">
        <v>1</v>
      </c>
      <c r="L48" s="50">
        <v>0</v>
      </c>
      <c r="M48" s="50">
        <v>205</v>
      </c>
      <c r="N48" s="50">
        <v>0</v>
      </c>
      <c r="O48" s="15">
        <f t="shared" si="0"/>
        <v>80</v>
      </c>
      <c r="P48" s="15">
        <f t="shared" si="1"/>
        <v>285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17</v>
      </c>
      <c r="E49" s="50">
        <v>3</v>
      </c>
      <c r="F49" s="50">
        <v>21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0</v>
      </c>
      <c r="M49" s="50">
        <v>117</v>
      </c>
      <c r="N49" s="50">
        <v>0</v>
      </c>
      <c r="O49" s="15">
        <f t="shared" si="0"/>
        <v>74</v>
      </c>
      <c r="P49" s="15">
        <f t="shared" si="1"/>
        <v>191</v>
      </c>
      <c r="R49" s="8"/>
      <c r="T49"/>
    </row>
    <row r="50" spans="2:20" ht="23.1" customHeight="1" x14ac:dyDescent="0.25">
      <c r="B50" s="24" t="s">
        <v>77</v>
      </c>
      <c r="C50" s="50">
        <v>50</v>
      </c>
      <c r="D50" s="50">
        <v>30</v>
      </c>
      <c r="E50" s="50">
        <v>9</v>
      </c>
      <c r="F50" s="50">
        <v>32</v>
      </c>
      <c r="G50" s="50">
        <v>0</v>
      </c>
      <c r="H50" s="50">
        <v>1</v>
      </c>
      <c r="I50" s="50">
        <v>7</v>
      </c>
      <c r="J50" s="50">
        <v>2</v>
      </c>
      <c r="K50" s="50">
        <v>1</v>
      </c>
      <c r="L50" s="50">
        <v>1</v>
      </c>
      <c r="M50" s="50">
        <v>210</v>
      </c>
      <c r="N50" s="50">
        <v>0</v>
      </c>
      <c r="O50" s="15">
        <f t="shared" si="0"/>
        <v>133</v>
      </c>
      <c r="P50" s="15">
        <f t="shared" si="1"/>
        <v>343</v>
      </c>
      <c r="R50" s="8"/>
      <c r="T50"/>
    </row>
    <row r="51" spans="2:20" ht="23.1" customHeight="1" x14ac:dyDescent="0.25">
      <c r="B51" s="24" t="s">
        <v>78</v>
      </c>
      <c r="C51" s="50">
        <v>28</v>
      </c>
      <c r="D51" s="50">
        <v>25</v>
      </c>
      <c r="E51" s="50">
        <v>5</v>
      </c>
      <c r="F51" s="50">
        <v>27</v>
      </c>
      <c r="G51" s="50">
        <v>0</v>
      </c>
      <c r="H51" s="50">
        <v>1</v>
      </c>
      <c r="I51" s="50">
        <v>8</v>
      </c>
      <c r="J51" s="50">
        <v>3</v>
      </c>
      <c r="K51" s="50">
        <v>1</v>
      </c>
      <c r="L51" s="50">
        <v>1</v>
      </c>
      <c r="M51" s="50">
        <v>213</v>
      </c>
      <c r="N51" s="50">
        <v>0</v>
      </c>
      <c r="O51" s="15">
        <f t="shared" si="0"/>
        <v>99</v>
      </c>
      <c r="P51" s="15">
        <f t="shared" si="1"/>
        <v>312</v>
      </c>
      <c r="R51" s="8"/>
      <c r="T51"/>
    </row>
    <row r="52" spans="2:20" ht="23.1" customHeight="1" x14ac:dyDescent="0.25">
      <c r="B52" s="24" t="s">
        <v>79</v>
      </c>
      <c r="C52" s="50">
        <v>43</v>
      </c>
      <c r="D52" s="50">
        <v>46</v>
      </c>
      <c r="E52" s="50">
        <v>5</v>
      </c>
      <c r="F52" s="50">
        <v>33</v>
      </c>
      <c r="G52" s="50">
        <v>1</v>
      </c>
      <c r="H52" s="50">
        <v>1</v>
      </c>
      <c r="I52" s="50">
        <v>5</v>
      </c>
      <c r="J52" s="50">
        <v>3</v>
      </c>
      <c r="K52" s="50">
        <v>1</v>
      </c>
      <c r="L52" s="50">
        <v>0</v>
      </c>
      <c r="M52" s="50">
        <v>215</v>
      </c>
      <c r="N52" s="50">
        <v>0</v>
      </c>
      <c r="O52" s="15">
        <f t="shared" si="0"/>
        <v>138</v>
      </c>
      <c r="P52" s="15">
        <f t="shared" si="1"/>
        <v>353</v>
      </c>
      <c r="R52" s="8"/>
      <c r="T52"/>
    </row>
    <row r="53" spans="2:20" ht="23.1" customHeight="1" x14ac:dyDescent="0.25">
      <c r="B53" s="23" t="s">
        <v>80</v>
      </c>
      <c r="C53" s="50">
        <v>40</v>
      </c>
      <c r="D53" s="50">
        <v>26</v>
      </c>
      <c r="E53" s="50">
        <v>4</v>
      </c>
      <c r="F53" s="50">
        <v>33</v>
      </c>
      <c r="G53" s="50">
        <v>1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197</v>
      </c>
      <c r="N53" s="50">
        <v>0</v>
      </c>
      <c r="O53" s="15">
        <f t="shared" si="0"/>
        <v>107</v>
      </c>
      <c r="P53" s="15">
        <f t="shared" si="1"/>
        <v>304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14</v>
      </c>
      <c r="E54" s="50">
        <v>5</v>
      </c>
      <c r="F54" s="50">
        <v>21</v>
      </c>
      <c r="G54" s="50">
        <v>3</v>
      </c>
      <c r="H54" s="50">
        <v>0</v>
      </c>
      <c r="I54" s="50">
        <v>1</v>
      </c>
      <c r="J54" s="50">
        <v>1</v>
      </c>
      <c r="K54" s="50">
        <v>1</v>
      </c>
      <c r="L54" s="50">
        <v>0</v>
      </c>
      <c r="M54" s="50">
        <v>418</v>
      </c>
      <c r="N54" s="50">
        <v>0</v>
      </c>
      <c r="O54" s="15">
        <f t="shared" si="0"/>
        <v>71</v>
      </c>
      <c r="P54" s="15">
        <f t="shared" si="1"/>
        <v>489</v>
      </c>
      <c r="R54" s="8"/>
      <c r="T54"/>
    </row>
    <row r="55" spans="2:20" ht="23.1" customHeight="1" x14ac:dyDescent="0.25">
      <c r="B55" s="23" t="s">
        <v>82</v>
      </c>
      <c r="C55" s="50">
        <v>25</v>
      </c>
      <c r="D55" s="50">
        <v>17</v>
      </c>
      <c r="E55" s="50">
        <v>5</v>
      </c>
      <c r="F55" s="50">
        <v>41</v>
      </c>
      <c r="G55" s="50">
        <v>0</v>
      </c>
      <c r="H55" s="50">
        <v>0</v>
      </c>
      <c r="I55" s="50">
        <v>1</v>
      </c>
      <c r="J55" s="50">
        <v>1</v>
      </c>
      <c r="K55" s="50">
        <v>1</v>
      </c>
      <c r="L55" s="50">
        <v>1</v>
      </c>
      <c r="M55" s="50">
        <v>180</v>
      </c>
      <c r="N55" s="50">
        <v>0</v>
      </c>
      <c r="O55" s="15">
        <f t="shared" si="0"/>
        <v>92</v>
      </c>
      <c r="P55" s="15">
        <f t="shared" si="1"/>
        <v>272</v>
      </c>
      <c r="R55" s="8"/>
      <c r="T55"/>
    </row>
    <row r="56" spans="2:20" ht="23.1" customHeight="1" x14ac:dyDescent="0.25">
      <c r="B56" s="23" t="s">
        <v>83</v>
      </c>
      <c r="C56" s="50">
        <v>35</v>
      </c>
      <c r="D56" s="50">
        <v>38</v>
      </c>
      <c r="E56" s="50">
        <v>5</v>
      </c>
      <c r="F56" s="50">
        <v>52</v>
      </c>
      <c r="G56" s="50">
        <v>1</v>
      </c>
      <c r="H56" s="50">
        <v>3</v>
      </c>
      <c r="I56" s="50">
        <v>3</v>
      </c>
      <c r="J56" s="50">
        <v>2</v>
      </c>
      <c r="K56" s="50">
        <v>0</v>
      </c>
      <c r="L56" s="50">
        <v>0</v>
      </c>
      <c r="M56" s="50">
        <v>171</v>
      </c>
      <c r="N56" s="50">
        <v>0</v>
      </c>
      <c r="O56" s="15">
        <f t="shared" si="0"/>
        <v>139</v>
      </c>
      <c r="P56" s="15">
        <f t="shared" si="1"/>
        <v>310</v>
      </c>
      <c r="R56" s="8"/>
      <c r="T56"/>
    </row>
    <row r="57" spans="2:20" ht="23.1" customHeight="1" x14ac:dyDescent="0.25">
      <c r="B57" s="23" t="s">
        <v>84</v>
      </c>
      <c r="C57" s="50">
        <v>23</v>
      </c>
      <c r="D57" s="50">
        <v>47</v>
      </c>
      <c r="E57" s="50">
        <v>7</v>
      </c>
      <c r="F57" s="50">
        <v>60</v>
      </c>
      <c r="G57" s="50">
        <v>2</v>
      </c>
      <c r="H57" s="50">
        <v>6</v>
      </c>
      <c r="I57" s="50">
        <v>2</v>
      </c>
      <c r="J57" s="50">
        <v>2</v>
      </c>
      <c r="K57" s="50">
        <v>0</v>
      </c>
      <c r="L57" s="50">
        <v>0</v>
      </c>
      <c r="M57" s="50">
        <v>200</v>
      </c>
      <c r="N57" s="50">
        <v>0</v>
      </c>
      <c r="O57" s="15">
        <f t="shared" si="0"/>
        <v>149</v>
      </c>
      <c r="P57" s="15">
        <f t="shared" si="1"/>
        <v>349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1543</v>
      </c>
      <c r="D58" s="16">
        <f t="shared" si="21"/>
        <v>1299</v>
      </c>
      <c r="E58" s="16">
        <f t="shared" si="21"/>
        <v>293</v>
      </c>
      <c r="F58" s="16">
        <f t="shared" si="21"/>
        <v>1354</v>
      </c>
      <c r="G58" s="16">
        <f t="shared" si="21"/>
        <v>17</v>
      </c>
      <c r="H58" s="16">
        <f t="shared" si="21"/>
        <v>25</v>
      </c>
      <c r="I58" s="16">
        <f t="shared" si="21"/>
        <v>223</v>
      </c>
      <c r="J58" s="16">
        <f t="shared" si="21"/>
        <v>76</v>
      </c>
      <c r="K58" s="16">
        <f t="shared" si="21"/>
        <v>32</v>
      </c>
      <c r="L58" s="16">
        <f t="shared" si="21"/>
        <v>22</v>
      </c>
      <c r="M58" s="16">
        <f t="shared" si="21"/>
        <v>9586</v>
      </c>
      <c r="N58" s="16">
        <f t="shared" si="21"/>
        <v>0</v>
      </c>
      <c r="O58" s="16">
        <f t="shared" si="21"/>
        <v>4884</v>
      </c>
      <c r="P58" s="16">
        <f t="shared" si="21"/>
        <v>14470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0.10663441603317209</v>
      </c>
      <c r="D59" s="43">
        <f t="shared" si="22"/>
        <v>8.9771941948859707E-2</v>
      </c>
      <c r="E59" s="43">
        <f t="shared" si="22"/>
        <v>2.0248790601243953E-2</v>
      </c>
      <c r="F59" s="43">
        <f t="shared" si="22"/>
        <v>9.3572909467864548E-2</v>
      </c>
      <c r="G59" s="43">
        <f t="shared" si="22"/>
        <v>1.1748445058742225E-3</v>
      </c>
      <c r="H59" s="43">
        <f t="shared" si="22"/>
        <v>1.7277125086385626E-3</v>
      </c>
      <c r="I59" s="43">
        <f t="shared" si="22"/>
        <v>1.5411195577055978E-2</v>
      </c>
      <c r="J59" s="43">
        <f t="shared" si="22"/>
        <v>5.2522460262612305E-3</v>
      </c>
      <c r="K59" s="43">
        <f t="shared" si="22"/>
        <v>2.2114720110573602E-3</v>
      </c>
      <c r="L59" s="43">
        <f t="shared" si="22"/>
        <v>1.5203870076019351E-3</v>
      </c>
      <c r="M59" s="43">
        <f t="shared" si="22"/>
        <v>0.66247408431237043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0.31592956592956595</v>
      </c>
      <c r="D60" s="44">
        <f t="shared" ref="D60:N60" si="23">D58/$O$58</f>
        <v>0.26597051597051596</v>
      </c>
      <c r="E60" s="44">
        <f t="shared" si="23"/>
        <v>5.9991809991809988E-2</v>
      </c>
      <c r="F60" s="44">
        <f t="shared" si="23"/>
        <v>0.27723177723177722</v>
      </c>
      <c r="G60" s="44">
        <f t="shared" si="23"/>
        <v>3.4807534807534809E-3</v>
      </c>
      <c r="H60" s="44">
        <f t="shared" si="23"/>
        <v>5.1187551187551186E-3</v>
      </c>
      <c r="I60" s="44">
        <f t="shared" si="23"/>
        <v>4.5659295659295662E-2</v>
      </c>
      <c r="J60" s="44">
        <f t="shared" si="23"/>
        <v>1.5561015561015561E-2</v>
      </c>
      <c r="K60" s="44">
        <f t="shared" si="23"/>
        <v>6.5520065520065524E-3</v>
      </c>
      <c r="L60" s="44">
        <f t="shared" si="23"/>
        <v>4.5045045045045045E-3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3" t="str">
        <f>'24.07 KABUSU-RUBAGA'!G5:H5</f>
        <v>CHAD SUPERMARKET</v>
      </c>
      <c r="H5" s="64"/>
      <c r="I5" s="14"/>
      <c r="J5" s="2" t="s">
        <v>5</v>
      </c>
      <c r="K5" s="63" t="str">
        <f>'24.07 KABUSU-RUBAGA'!K5:L5</f>
        <v>MBERE IVAN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RUBAGA-KABUSU'!D6:E6</f>
        <v>RUBAGA</v>
      </c>
      <c r="E6" s="64"/>
      <c r="F6" s="2" t="s">
        <v>2</v>
      </c>
      <c r="G6" s="63" t="str">
        <f>'22.07 RUBAGA-KABUSU'!G6:H6</f>
        <v>KABUSU</v>
      </c>
      <c r="H6" s="64"/>
      <c r="J6" s="2" t="s">
        <v>21</v>
      </c>
      <c r="K6" s="63" t="str">
        <f>'24.07 KABUSU-RUBAGA'!K6:L6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66</v>
      </c>
      <c r="D10" s="50">
        <v>14</v>
      </c>
      <c r="E10" s="50">
        <v>4</v>
      </c>
      <c r="F10" s="50">
        <v>18</v>
      </c>
      <c r="G10" s="50">
        <v>0</v>
      </c>
      <c r="H10" s="50">
        <v>1</v>
      </c>
      <c r="I10" s="50">
        <v>2</v>
      </c>
      <c r="J10" s="50">
        <v>0</v>
      </c>
      <c r="K10" s="50">
        <v>0</v>
      </c>
      <c r="L10" s="50">
        <v>0</v>
      </c>
      <c r="M10" s="50">
        <v>79</v>
      </c>
      <c r="N10" s="50">
        <v>0</v>
      </c>
      <c r="O10" s="15">
        <f t="shared" ref="O10:O57" si="0">SUM(C10:L10,N10)</f>
        <v>105</v>
      </c>
      <c r="P10" s="15">
        <f t="shared" ref="P10:P57" si="1">SUM(C10:N10)</f>
        <v>184</v>
      </c>
      <c r="R10" s="1" t="s">
        <v>6</v>
      </c>
      <c r="S10" s="17">
        <f t="shared" ref="S10:AF10" si="2">SUM(C10:C13)</f>
        <v>138</v>
      </c>
      <c r="T10" s="17">
        <f t="shared" si="2"/>
        <v>28</v>
      </c>
      <c r="U10" s="17">
        <f t="shared" si="2"/>
        <v>10</v>
      </c>
      <c r="V10" s="17">
        <f t="shared" si="2"/>
        <v>82</v>
      </c>
      <c r="W10" s="17">
        <f t="shared" si="2"/>
        <v>3</v>
      </c>
      <c r="X10" s="17">
        <f t="shared" si="2"/>
        <v>4</v>
      </c>
      <c r="Y10" s="17">
        <f t="shared" si="2"/>
        <v>4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393</v>
      </c>
      <c r="AD10" s="17">
        <f t="shared" si="2"/>
        <v>0</v>
      </c>
      <c r="AE10" s="31">
        <f t="shared" si="2"/>
        <v>274</v>
      </c>
      <c r="AF10" s="31">
        <f t="shared" si="2"/>
        <v>667</v>
      </c>
    </row>
    <row r="11" spans="2:32" s="6" customFormat="1" ht="23.1" customHeight="1" x14ac:dyDescent="0.25">
      <c r="B11" s="23" t="s">
        <v>38</v>
      </c>
      <c r="C11" s="50">
        <v>20</v>
      </c>
      <c r="D11" s="50">
        <v>4</v>
      </c>
      <c r="E11" s="50">
        <v>2</v>
      </c>
      <c r="F11" s="50">
        <v>23</v>
      </c>
      <c r="G11" s="50">
        <v>2</v>
      </c>
      <c r="H11" s="50">
        <v>1</v>
      </c>
      <c r="I11" s="50">
        <v>1</v>
      </c>
      <c r="J11" s="50">
        <v>2</v>
      </c>
      <c r="K11" s="50">
        <v>0</v>
      </c>
      <c r="L11" s="50">
        <v>0</v>
      </c>
      <c r="M11" s="50">
        <v>112</v>
      </c>
      <c r="N11" s="50">
        <v>0</v>
      </c>
      <c r="O11" s="15">
        <f t="shared" si="0"/>
        <v>55</v>
      </c>
      <c r="P11" s="15">
        <f t="shared" si="1"/>
        <v>167</v>
      </c>
      <c r="R11" s="1" t="s">
        <v>7</v>
      </c>
      <c r="S11" s="17">
        <f t="shared" ref="S11:AF11" si="3">SUM(C14:C17)</f>
        <v>78</v>
      </c>
      <c r="T11" s="17">
        <f t="shared" si="3"/>
        <v>15</v>
      </c>
      <c r="U11" s="17">
        <f t="shared" si="3"/>
        <v>4</v>
      </c>
      <c r="V11" s="17">
        <f t="shared" si="3"/>
        <v>87</v>
      </c>
      <c r="W11" s="17">
        <f t="shared" si="3"/>
        <v>3</v>
      </c>
      <c r="X11" s="17">
        <f t="shared" si="3"/>
        <v>0</v>
      </c>
      <c r="Y11" s="17">
        <f t="shared" si="3"/>
        <v>10</v>
      </c>
      <c r="Z11" s="17">
        <f t="shared" si="3"/>
        <v>7</v>
      </c>
      <c r="AA11" s="17">
        <f t="shared" si="3"/>
        <v>0</v>
      </c>
      <c r="AB11" s="17">
        <f t="shared" si="3"/>
        <v>2</v>
      </c>
      <c r="AC11" s="17">
        <f t="shared" si="3"/>
        <v>712</v>
      </c>
      <c r="AD11" s="17">
        <f t="shared" si="3"/>
        <v>0</v>
      </c>
      <c r="AE11" s="31">
        <f t="shared" si="3"/>
        <v>206</v>
      </c>
      <c r="AF11" s="31">
        <f t="shared" si="3"/>
        <v>918</v>
      </c>
    </row>
    <row r="12" spans="2:32" ht="23.1" customHeight="1" x14ac:dyDescent="0.25">
      <c r="B12" s="23" t="s">
        <v>39</v>
      </c>
      <c r="C12" s="50">
        <v>22</v>
      </c>
      <c r="D12" s="50">
        <v>3</v>
      </c>
      <c r="E12" s="50">
        <v>3</v>
      </c>
      <c r="F12" s="50">
        <v>20</v>
      </c>
      <c r="G12" s="50">
        <v>1</v>
      </c>
      <c r="H12" s="50">
        <v>2</v>
      </c>
      <c r="I12" s="50">
        <v>1</v>
      </c>
      <c r="J12" s="50">
        <v>2</v>
      </c>
      <c r="K12" s="50">
        <v>0</v>
      </c>
      <c r="L12" s="50">
        <v>0</v>
      </c>
      <c r="M12" s="50">
        <v>93</v>
      </c>
      <c r="N12" s="50">
        <v>0</v>
      </c>
      <c r="O12" s="15">
        <f t="shared" si="0"/>
        <v>54</v>
      </c>
      <c r="P12" s="15">
        <f t="shared" si="1"/>
        <v>147</v>
      </c>
      <c r="R12" s="1" t="s">
        <v>8</v>
      </c>
      <c r="S12" s="17">
        <f t="shared" ref="S12:AF12" si="4">SUM(C18:C21)</f>
        <v>85</v>
      </c>
      <c r="T12" s="17">
        <f t="shared" si="4"/>
        <v>15</v>
      </c>
      <c r="U12" s="17">
        <f t="shared" si="4"/>
        <v>15</v>
      </c>
      <c r="V12" s="17">
        <f t="shared" si="4"/>
        <v>85</v>
      </c>
      <c r="W12" s="17">
        <f t="shared" si="4"/>
        <v>1</v>
      </c>
      <c r="X12" s="17">
        <f t="shared" si="4"/>
        <v>2</v>
      </c>
      <c r="Y12" s="17">
        <f t="shared" si="4"/>
        <v>10</v>
      </c>
      <c r="Z12" s="17">
        <f t="shared" si="4"/>
        <v>12</v>
      </c>
      <c r="AA12" s="17">
        <f t="shared" si="4"/>
        <v>1</v>
      </c>
      <c r="AB12" s="17">
        <f t="shared" si="4"/>
        <v>3</v>
      </c>
      <c r="AC12" s="17">
        <f t="shared" si="4"/>
        <v>445</v>
      </c>
      <c r="AD12" s="17">
        <f t="shared" si="4"/>
        <v>0</v>
      </c>
      <c r="AE12" s="31">
        <f t="shared" si="4"/>
        <v>229</v>
      </c>
      <c r="AF12" s="31">
        <f t="shared" si="4"/>
        <v>674</v>
      </c>
    </row>
    <row r="13" spans="2:32" ht="23.1" customHeight="1" x14ac:dyDescent="0.25">
      <c r="B13" s="23" t="s">
        <v>40</v>
      </c>
      <c r="C13" s="50">
        <v>30</v>
      </c>
      <c r="D13" s="50">
        <v>7</v>
      </c>
      <c r="E13" s="50">
        <v>1</v>
      </c>
      <c r="F13" s="50">
        <v>21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109</v>
      </c>
      <c r="N13" s="50">
        <v>0</v>
      </c>
      <c r="O13" s="15">
        <f t="shared" si="0"/>
        <v>60</v>
      </c>
      <c r="P13" s="15">
        <f t="shared" si="1"/>
        <v>169</v>
      </c>
      <c r="R13" s="1" t="s">
        <v>9</v>
      </c>
      <c r="S13" s="17">
        <f t="shared" ref="S13:AF13" si="5">SUM(C22:C25)</f>
        <v>91</v>
      </c>
      <c r="T13" s="17">
        <f t="shared" si="5"/>
        <v>17</v>
      </c>
      <c r="U13" s="17">
        <f t="shared" si="5"/>
        <v>12</v>
      </c>
      <c r="V13" s="17">
        <f t="shared" si="5"/>
        <v>45</v>
      </c>
      <c r="W13" s="17">
        <f t="shared" si="5"/>
        <v>4</v>
      </c>
      <c r="X13" s="17">
        <f t="shared" si="5"/>
        <v>1</v>
      </c>
      <c r="Y13" s="17">
        <f t="shared" si="5"/>
        <v>11</v>
      </c>
      <c r="Z13" s="17">
        <f t="shared" si="5"/>
        <v>8</v>
      </c>
      <c r="AA13" s="17">
        <f t="shared" si="5"/>
        <v>2</v>
      </c>
      <c r="AB13" s="17">
        <f t="shared" si="5"/>
        <v>0</v>
      </c>
      <c r="AC13" s="17">
        <f t="shared" si="5"/>
        <v>543</v>
      </c>
      <c r="AD13" s="17">
        <f t="shared" si="5"/>
        <v>0</v>
      </c>
      <c r="AE13" s="31">
        <f t="shared" si="5"/>
        <v>191</v>
      </c>
      <c r="AF13" s="31">
        <f t="shared" si="5"/>
        <v>734</v>
      </c>
    </row>
    <row r="14" spans="2:32" ht="23.1" customHeight="1" x14ac:dyDescent="0.25">
      <c r="B14" s="23" t="s">
        <v>41</v>
      </c>
      <c r="C14" s="50">
        <v>22</v>
      </c>
      <c r="D14" s="50">
        <v>2</v>
      </c>
      <c r="E14" s="50">
        <v>2</v>
      </c>
      <c r="F14" s="50">
        <v>23</v>
      </c>
      <c r="G14" s="50">
        <v>1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202</v>
      </c>
      <c r="N14" s="50">
        <v>0</v>
      </c>
      <c r="O14" s="15">
        <f t="shared" si="0"/>
        <v>54</v>
      </c>
      <c r="P14" s="15">
        <f t="shared" si="1"/>
        <v>256</v>
      </c>
      <c r="R14" s="1" t="s">
        <v>10</v>
      </c>
      <c r="S14" s="17">
        <f t="shared" ref="S14:AF14" si="6">SUM(C26:C29)</f>
        <v>122</v>
      </c>
      <c r="T14" s="17">
        <f t="shared" si="6"/>
        <v>23</v>
      </c>
      <c r="U14" s="17">
        <f t="shared" si="6"/>
        <v>11</v>
      </c>
      <c r="V14" s="17">
        <f t="shared" si="6"/>
        <v>60</v>
      </c>
      <c r="W14" s="17">
        <f t="shared" si="6"/>
        <v>2</v>
      </c>
      <c r="X14" s="17">
        <f t="shared" si="6"/>
        <v>0</v>
      </c>
      <c r="Y14" s="17">
        <f t="shared" si="6"/>
        <v>17</v>
      </c>
      <c r="Z14" s="17">
        <f t="shared" si="6"/>
        <v>7</v>
      </c>
      <c r="AA14" s="17">
        <f t="shared" si="6"/>
        <v>6</v>
      </c>
      <c r="AB14" s="17">
        <f t="shared" si="6"/>
        <v>1</v>
      </c>
      <c r="AC14" s="17">
        <f t="shared" si="6"/>
        <v>675</v>
      </c>
      <c r="AD14" s="17">
        <f t="shared" si="6"/>
        <v>0</v>
      </c>
      <c r="AE14" s="31">
        <f t="shared" si="6"/>
        <v>249</v>
      </c>
      <c r="AF14" s="31">
        <f t="shared" si="6"/>
        <v>924</v>
      </c>
    </row>
    <row r="15" spans="2:32" ht="23.1" customHeight="1" x14ac:dyDescent="0.25">
      <c r="B15" s="23" t="s">
        <v>42</v>
      </c>
      <c r="C15" s="50">
        <v>30</v>
      </c>
      <c r="D15" s="50">
        <v>8</v>
      </c>
      <c r="E15" s="50">
        <v>2</v>
      </c>
      <c r="F15" s="50">
        <v>19</v>
      </c>
      <c r="G15" s="50">
        <v>1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225</v>
      </c>
      <c r="N15" s="50">
        <v>0</v>
      </c>
      <c r="O15" s="15">
        <f t="shared" si="0"/>
        <v>63</v>
      </c>
      <c r="P15" s="15">
        <f t="shared" si="1"/>
        <v>288</v>
      </c>
      <c r="R15" s="1" t="s">
        <v>11</v>
      </c>
      <c r="S15" s="17">
        <f t="shared" ref="S15:AF15" si="7">SUM(C30:C33)</f>
        <v>121</v>
      </c>
      <c r="T15" s="17">
        <f t="shared" si="7"/>
        <v>18</v>
      </c>
      <c r="U15" s="17">
        <f t="shared" si="7"/>
        <v>15</v>
      </c>
      <c r="V15" s="17">
        <f t="shared" si="7"/>
        <v>61</v>
      </c>
      <c r="W15" s="17">
        <f t="shared" si="7"/>
        <v>2</v>
      </c>
      <c r="X15" s="17">
        <f t="shared" si="7"/>
        <v>3</v>
      </c>
      <c r="Y15" s="17">
        <f t="shared" si="7"/>
        <v>19</v>
      </c>
      <c r="Z15" s="17">
        <f t="shared" si="7"/>
        <v>11</v>
      </c>
      <c r="AA15" s="17">
        <f t="shared" si="7"/>
        <v>4</v>
      </c>
      <c r="AB15" s="17">
        <f t="shared" si="7"/>
        <v>5</v>
      </c>
      <c r="AC15" s="17">
        <f t="shared" si="7"/>
        <v>579</v>
      </c>
      <c r="AD15" s="17">
        <f t="shared" si="7"/>
        <v>0</v>
      </c>
      <c r="AE15" s="31">
        <f t="shared" si="7"/>
        <v>259</v>
      </c>
      <c r="AF15" s="31">
        <f t="shared" si="7"/>
        <v>838</v>
      </c>
    </row>
    <row r="16" spans="2:32" ht="23.1" customHeight="1" x14ac:dyDescent="0.25">
      <c r="B16" s="23" t="s">
        <v>43</v>
      </c>
      <c r="C16" s="50">
        <v>13</v>
      </c>
      <c r="D16" s="50">
        <v>4</v>
      </c>
      <c r="E16" s="50">
        <v>0</v>
      </c>
      <c r="F16" s="50">
        <v>18</v>
      </c>
      <c r="G16" s="50">
        <v>1</v>
      </c>
      <c r="H16" s="50">
        <v>0</v>
      </c>
      <c r="I16" s="50">
        <v>5</v>
      </c>
      <c r="J16" s="50">
        <v>2</v>
      </c>
      <c r="K16" s="50">
        <v>0</v>
      </c>
      <c r="L16" s="50">
        <v>2</v>
      </c>
      <c r="M16" s="50">
        <v>145</v>
      </c>
      <c r="N16" s="50">
        <v>0</v>
      </c>
      <c r="O16" s="15">
        <f t="shared" si="0"/>
        <v>45</v>
      </c>
      <c r="P16" s="15">
        <f t="shared" si="1"/>
        <v>190</v>
      </c>
      <c r="R16" s="1" t="s">
        <v>12</v>
      </c>
      <c r="S16" s="17">
        <f t="shared" ref="S16:AF16" si="8">SUM(C34:C37)</f>
        <v>111</v>
      </c>
      <c r="T16" s="17">
        <f t="shared" si="8"/>
        <v>15</v>
      </c>
      <c r="U16" s="17">
        <f t="shared" si="8"/>
        <v>15</v>
      </c>
      <c r="V16" s="17">
        <f t="shared" si="8"/>
        <v>47</v>
      </c>
      <c r="W16" s="17">
        <f t="shared" si="8"/>
        <v>1</v>
      </c>
      <c r="X16" s="17">
        <f t="shared" si="8"/>
        <v>2</v>
      </c>
      <c r="Y16" s="17">
        <f t="shared" si="8"/>
        <v>5</v>
      </c>
      <c r="Z16" s="17">
        <f t="shared" si="8"/>
        <v>8</v>
      </c>
      <c r="AA16" s="17">
        <f t="shared" si="8"/>
        <v>4</v>
      </c>
      <c r="AB16" s="17">
        <f t="shared" si="8"/>
        <v>0</v>
      </c>
      <c r="AC16" s="17">
        <f t="shared" si="8"/>
        <v>276</v>
      </c>
      <c r="AD16" s="17">
        <f t="shared" si="8"/>
        <v>0</v>
      </c>
      <c r="AE16" s="31">
        <f t="shared" si="8"/>
        <v>208</v>
      </c>
      <c r="AF16" s="31">
        <f t="shared" si="8"/>
        <v>484</v>
      </c>
    </row>
    <row r="17" spans="2:32" ht="23.1" customHeight="1" x14ac:dyDescent="0.25">
      <c r="B17" s="23" t="s">
        <v>44</v>
      </c>
      <c r="C17" s="50">
        <v>13</v>
      </c>
      <c r="D17" s="50">
        <v>1</v>
      </c>
      <c r="E17" s="50">
        <v>0</v>
      </c>
      <c r="F17" s="50">
        <v>27</v>
      </c>
      <c r="G17" s="50">
        <v>0</v>
      </c>
      <c r="H17" s="50">
        <v>0</v>
      </c>
      <c r="I17" s="50">
        <v>0</v>
      </c>
      <c r="J17" s="50">
        <v>3</v>
      </c>
      <c r="K17" s="50">
        <v>0</v>
      </c>
      <c r="L17" s="50">
        <v>0</v>
      </c>
      <c r="M17" s="50">
        <v>140</v>
      </c>
      <c r="N17" s="50">
        <v>0</v>
      </c>
      <c r="O17" s="15">
        <f t="shared" si="0"/>
        <v>44</v>
      </c>
      <c r="P17" s="15">
        <f t="shared" si="1"/>
        <v>184</v>
      </c>
      <c r="R17" s="1" t="s">
        <v>13</v>
      </c>
      <c r="S17" s="17">
        <f t="shared" ref="S17:AF17" si="9">SUM(C38:C41)</f>
        <v>107</v>
      </c>
      <c r="T17" s="17">
        <f t="shared" si="9"/>
        <v>28</v>
      </c>
      <c r="U17" s="17">
        <f t="shared" si="9"/>
        <v>14</v>
      </c>
      <c r="V17" s="17">
        <f t="shared" si="9"/>
        <v>38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8</v>
      </c>
      <c r="AA17" s="17">
        <f t="shared" si="9"/>
        <v>4</v>
      </c>
      <c r="AB17" s="17">
        <f t="shared" si="9"/>
        <v>5</v>
      </c>
      <c r="AC17" s="17">
        <f t="shared" si="9"/>
        <v>325</v>
      </c>
      <c r="AD17" s="17">
        <f t="shared" si="9"/>
        <v>0</v>
      </c>
      <c r="AE17" s="31">
        <f t="shared" si="9"/>
        <v>213</v>
      </c>
      <c r="AF17" s="31">
        <f t="shared" si="9"/>
        <v>538</v>
      </c>
    </row>
    <row r="18" spans="2:32" ht="23.1" customHeight="1" x14ac:dyDescent="0.25">
      <c r="B18" s="23" t="s">
        <v>45</v>
      </c>
      <c r="C18" s="50">
        <v>29</v>
      </c>
      <c r="D18" s="50">
        <v>3</v>
      </c>
      <c r="E18" s="50">
        <v>4</v>
      </c>
      <c r="F18" s="50">
        <v>28</v>
      </c>
      <c r="G18" s="50">
        <v>0</v>
      </c>
      <c r="H18" s="50">
        <v>1</v>
      </c>
      <c r="I18" s="50">
        <v>1</v>
      </c>
      <c r="J18" s="50">
        <v>4</v>
      </c>
      <c r="K18" s="50">
        <v>0</v>
      </c>
      <c r="L18" s="50">
        <v>2</v>
      </c>
      <c r="M18" s="50">
        <v>140</v>
      </c>
      <c r="N18" s="50">
        <v>0</v>
      </c>
      <c r="O18" s="15">
        <f t="shared" si="0"/>
        <v>72</v>
      </c>
      <c r="P18" s="15">
        <f t="shared" si="1"/>
        <v>212</v>
      </c>
      <c r="R18" s="1" t="s">
        <v>14</v>
      </c>
      <c r="S18" s="17">
        <f t="shared" ref="S18:AF18" si="10">SUM(C42:C45)</f>
        <v>144</v>
      </c>
      <c r="T18" s="17">
        <f t="shared" si="10"/>
        <v>24</v>
      </c>
      <c r="U18" s="17">
        <f t="shared" si="10"/>
        <v>10</v>
      </c>
      <c r="V18" s="17">
        <f t="shared" si="10"/>
        <v>43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11</v>
      </c>
      <c r="AA18" s="17">
        <f t="shared" si="10"/>
        <v>2</v>
      </c>
      <c r="AB18" s="17">
        <f t="shared" si="10"/>
        <v>1</v>
      </c>
      <c r="AC18" s="17">
        <f t="shared" si="10"/>
        <v>311</v>
      </c>
      <c r="AD18" s="17">
        <f t="shared" si="10"/>
        <v>0</v>
      </c>
      <c r="AE18" s="31">
        <f t="shared" si="10"/>
        <v>250</v>
      </c>
      <c r="AF18" s="31">
        <f t="shared" si="10"/>
        <v>561</v>
      </c>
    </row>
    <row r="19" spans="2:32" ht="23.1" customHeight="1" x14ac:dyDescent="0.25">
      <c r="B19" s="23" t="s">
        <v>46</v>
      </c>
      <c r="C19" s="50">
        <v>11</v>
      </c>
      <c r="D19" s="50">
        <v>6</v>
      </c>
      <c r="E19" s="50">
        <v>3</v>
      </c>
      <c r="F19" s="50">
        <v>18</v>
      </c>
      <c r="G19" s="50">
        <v>0</v>
      </c>
      <c r="H19" s="50">
        <v>0</v>
      </c>
      <c r="I19" s="50">
        <v>3</v>
      </c>
      <c r="J19" s="50">
        <v>4</v>
      </c>
      <c r="K19" s="50">
        <v>0</v>
      </c>
      <c r="L19" s="50">
        <v>0</v>
      </c>
      <c r="M19" s="50">
        <v>90</v>
      </c>
      <c r="N19" s="50">
        <v>0</v>
      </c>
      <c r="O19" s="15">
        <f t="shared" si="0"/>
        <v>45</v>
      </c>
      <c r="P19" s="15">
        <f t="shared" si="1"/>
        <v>135</v>
      </c>
      <c r="R19" s="1" t="s">
        <v>15</v>
      </c>
      <c r="S19" s="17">
        <f t="shared" ref="S19:AF19" si="11">SUM(C46:C49)</f>
        <v>132</v>
      </c>
      <c r="T19" s="17">
        <f t="shared" si="11"/>
        <v>33</v>
      </c>
      <c r="U19" s="17">
        <f t="shared" si="11"/>
        <v>13</v>
      </c>
      <c r="V19" s="17">
        <f t="shared" si="11"/>
        <v>44</v>
      </c>
      <c r="W19" s="17">
        <f t="shared" si="11"/>
        <v>2</v>
      </c>
      <c r="X19" s="17">
        <f t="shared" si="11"/>
        <v>2</v>
      </c>
      <c r="Y19" s="17">
        <f t="shared" si="11"/>
        <v>11</v>
      </c>
      <c r="Z19" s="17">
        <f t="shared" si="11"/>
        <v>9</v>
      </c>
      <c r="AA19" s="17">
        <f t="shared" si="11"/>
        <v>2</v>
      </c>
      <c r="AB19" s="17">
        <f t="shared" si="11"/>
        <v>1</v>
      </c>
      <c r="AC19" s="17">
        <f t="shared" si="11"/>
        <v>389</v>
      </c>
      <c r="AD19" s="17">
        <f t="shared" si="11"/>
        <v>0</v>
      </c>
      <c r="AE19" s="31">
        <f t="shared" si="11"/>
        <v>249</v>
      </c>
      <c r="AF19" s="31">
        <f t="shared" si="11"/>
        <v>638</v>
      </c>
    </row>
    <row r="20" spans="2:32" ht="23.1" customHeight="1" x14ac:dyDescent="0.25">
      <c r="B20" s="23" t="s">
        <v>47</v>
      </c>
      <c r="C20" s="50">
        <v>20</v>
      </c>
      <c r="D20" s="50">
        <v>3</v>
      </c>
      <c r="E20" s="50">
        <v>3</v>
      </c>
      <c r="F20" s="50">
        <v>23</v>
      </c>
      <c r="G20" s="50">
        <v>0</v>
      </c>
      <c r="H20" s="50">
        <v>0</v>
      </c>
      <c r="I20" s="50">
        <v>4</v>
      </c>
      <c r="J20" s="50">
        <v>3</v>
      </c>
      <c r="K20" s="50">
        <v>1</v>
      </c>
      <c r="L20" s="50">
        <v>0</v>
      </c>
      <c r="M20" s="50">
        <v>116</v>
      </c>
      <c r="N20" s="50">
        <v>0</v>
      </c>
      <c r="O20" s="15">
        <f t="shared" si="0"/>
        <v>57</v>
      </c>
      <c r="P20" s="15">
        <f t="shared" si="1"/>
        <v>173</v>
      </c>
      <c r="R20" s="1" t="s">
        <v>16</v>
      </c>
      <c r="S20" s="17">
        <f t="shared" ref="S20:AF20" si="12">SUM(C50:C53)</f>
        <v>198</v>
      </c>
      <c r="T20" s="17">
        <f t="shared" si="12"/>
        <v>47</v>
      </c>
      <c r="U20" s="17">
        <f t="shared" si="12"/>
        <v>10</v>
      </c>
      <c r="V20" s="17">
        <f t="shared" si="12"/>
        <v>33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9</v>
      </c>
      <c r="AA20" s="17">
        <f t="shared" si="12"/>
        <v>2</v>
      </c>
      <c r="AB20" s="17">
        <f t="shared" si="12"/>
        <v>0</v>
      </c>
      <c r="AC20" s="17">
        <f t="shared" si="12"/>
        <v>388</v>
      </c>
      <c r="AD20" s="17">
        <f t="shared" si="12"/>
        <v>0</v>
      </c>
      <c r="AE20" s="31">
        <f t="shared" si="12"/>
        <v>304</v>
      </c>
      <c r="AF20" s="31">
        <f t="shared" si="12"/>
        <v>692</v>
      </c>
    </row>
    <row r="21" spans="2:32" ht="23.1" customHeight="1" x14ac:dyDescent="0.25">
      <c r="B21" s="23" t="s">
        <v>48</v>
      </c>
      <c r="C21" s="50">
        <v>25</v>
      </c>
      <c r="D21" s="50">
        <v>3</v>
      </c>
      <c r="E21" s="50">
        <v>5</v>
      </c>
      <c r="F21" s="50">
        <v>16</v>
      </c>
      <c r="G21" s="50">
        <v>1</v>
      </c>
      <c r="H21" s="50">
        <v>1</v>
      </c>
      <c r="I21" s="50">
        <v>2</v>
      </c>
      <c r="J21" s="50">
        <v>1</v>
      </c>
      <c r="K21" s="50">
        <v>0</v>
      </c>
      <c r="L21" s="50">
        <v>1</v>
      </c>
      <c r="M21" s="50">
        <v>99</v>
      </c>
      <c r="N21" s="50">
        <v>0</v>
      </c>
      <c r="O21" s="15">
        <f t="shared" si="0"/>
        <v>55</v>
      </c>
      <c r="P21" s="15">
        <f t="shared" si="1"/>
        <v>154</v>
      </c>
      <c r="R21" s="36" t="s">
        <v>20</v>
      </c>
      <c r="S21" s="34">
        <f t="shared" ref="S21:AF21" si="13">SUM(C54:C57)</f>
        <v>200</v>
      </c>
      <c r="T21" s="17">
        <f t="shared" si="13"/>
        <v>48</v>
      </c>
      <c r="U21" s="17">
        <f t="shared" si="13"/>
        <v>20</v>
      </c>
      <c r="V21" s="17">
        <f t="shared" si="13"/>
        <v>18</v>
      </c>
      <c r="W21" s="17">
        <f t="shared" si="13"/>
        <v>1</v>
      </c>
      <c r="X21" s="17">
        <f t="shared" si="13"/>
        <v>2</v>
      </c>
      <c r="Y21" s="17">
        <f t="shared" si="13"/>
        <v>11</v>
      </c>
      <c r="Z21" s="17">
        <f t="shared" si="13"/>
        <v>19</v>
      </c>
      <c r="AA21" s="17">
        <f t="shared" si="13"/>
        <v>7</v>
      </c>
      <c r="AB21" s="17">
        <f t="shared" si="13"/>
        <v>3</v>
      </c>
      <c r="AC21" s="17">
        <f t="shared" si="13"/>
        <v>329</v>
      </c>
      <c r="AD21" s="17">
        <f t="shared" si="13"/>
        <v>0</v>
      </c>
      <c r="AE21" s="31">
        <f t="shared" si="13"/>
        <v>329</v>
      </c>
      <c r="AF21" s="31">
        <f t="shared" si="13"/>
        <v>658</v>
      </c>
    </row>
    <row r="22" spans="2:32" ht="23.1" customHeight="1" x14ac:dyDescent="0.25">
      <c r="B22" s="23" t="s">
        <v>49</v>
      </c>
      <c r="C22" s="50">
        <v>31</v>
      </c>
      <c r="D22" s="50">
        <v>4</v>
      </c>
      <c r="E22" s="50">
        <v>3</v>
      </c>
      <c r="F22" s="50">
        <v>12</v>
      </c>
      <c r="G22" s="50">
        <v>2</v>
      </c>
      <c r="H22" s="50">
        <v>0</v>
      </c>
      <c r="I22" s="50">
        <v>2</v>
      </c>
      <c r="J22" s="50">
        <v>3</v>
      </c>
      <c r="K22" s="50">
        <v>1</v>
      </c>
      <c r="L22" s="50">
        <v>0</v>
      </c>
      <c r="M22" s="50">
        <v>150</v>
      </c>
      <c r="N22" s="50">
        <v>0</v>
      </c>
      <c r="O22" s="15">
        <f t="shared" si="0"/>
        <v>58</v>
      </c>
      <c r="P22" s="15">
        <f t="shared" si="1"/>
        <v>208</v>
      </c>
      <c r="R22" s="38" t="s">
        <v>90</v>
      </c>
      <c r="S22" s="39">
        <f>MAX(S10:S12)</f>
        <v>138</v>
      </c>
      <c r="T22" s="39">
        <f t="shared" ref="T22:AF22" si="14">MAX(T10:T12)</f>
        <v>28</v>
      </c>
      <c r="U22" s="39">
        <f t="shared" si="14"/>
        <v>15</v>
      </c>
      <c r="V22" s="39">
        <f t="shared" si="14"/>
        <v>87</v>
      </c>
      <c r="W22" s="39">
        <f t="shared" si="14"/>
        <v>3</v>
      </c>
      <c r="X22" s="39">
        <f t="shared" si="14"/>
        <v>4</v>
      </c>
      <c r="Y22" s="39">
        <f t="shared" si="14"/>
        <v>10</v>
      </c>
      <c r="Z22" s="39">
        <f t="shared" si="14"/>
        <v>12</v>
      </c>
      <c r="AA22" s="39">
        <f t="shared" si="14"/>
        <v>1</v>
      </c>
      <c r="AB22" s="39">
        <f t="shared" si="14"/>
        <v>3</v>
      </c>
      <c r="AC22" s="39">
        <f t="shared" si="14"/>
        <v>712</v>
      </c>
      <c r="AD22" s="39">
        <f t="shared" si="14"/>
        <v>0</v>
      </c>
      <c r="AE22" s="40">
        <f t="shared" si="14"/>
        <v>274</v>
      </c>
      <c r="AF22" s="40">
        <f t="shared" si="14"/>
        <v>918</v>
      </c>
    </row>
    <row r="23" spans="2:32" ht="23.1" customHeight="1" x14ac:dyDescent="0.25">
      <c r="B23" s="23" t="s">
        <v>50</v>
      </c>
      <c r="C23" s="50">
        <v>15</v>
      </c>
      <c r="D23" s="50">
        <v>5</v>
      </c>
      <c r="E23" s="50">
        <v>1</v>
      </c>
      <c r="F23" s="50">
        <v>9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166</v>
      </c>
      <c r="N23" s="50">
        <v>0</v>
      </c>
      <c r="O23" s="15">
        <f t="shared" si="0"/>
        <v>32</v>
      </c>
      <c r="P23" s="15">
        <f t="shared" si="1"/>
        <v>198</v>
      </c>
      <c r="R23" s="38" t="s">
        <v>91</v>
      </c>
      <c r="S23" s="39">
        <f>MAX(S13:S18)</f>
        <v>144</v>
      </c>
      <c r="T23" s="39">
        <f t="shared" ref="T23:AF23" si="15">MAX(T13:T18)</f>
        <v>28</v>
      </c>
      <c r="U23" s="39">
        <f t="shared" si="15"/>
        <v>15</v>
      </c>
      <c r="V23" s="39">
        <f t="shared" si="15"/>
        <v>61</v>
      </c>
      <c r="W23" s="39">
        <f t="shared" si="15"/>
        <v>4</v>
      </c>
      <c r="X23" s="39">
        <f t="shared" si="15"/>
        <v>3</v>
      </c>
      <c r="Y23" s="39">
        <f t="shared" si="15"/>
        <v>19</v>
      </c>
      <c r="Z23" s="39">
        <f t="shared" si="15"/>
        <v>11</v>
      </c>
      <c r="AA23" s="39">
        <f t="shared" si="15"/>
        <v>6</v>
      </c>
      <c r="AB23" s="39">
        <f t="shared" si="15"/>
        <v>5</v>
      </c>
      <c r="AC23" s="39">
        <f t="shared" si="15"/>
        <v>675</v>
      </c>
      <c r="AD23" s="39">
        <f t="shared" si="15"/>
        <v>0</v>
      </c>
      <c r="AE23" s="40">
        <f t="shared" si="15"/>
        <v>259</v>
      </c>
      <c r="AF23" s="40">
        <f t="shared" si="15"/>
        <v>924</v>
      </c>
    </row>
    <row r="24" spans="2:32" ht="23.1" customHeight="1" x14ac:dyDescent="0.25">
      <c r="B24" s="23" t="s">
        <v>51</v>
      </c>
      <c r="C24" s="50">
        <v>24</v>
      </c>
      <c r="D24" s="50">
        <v>5</v>
      </c>
      <c r="E24" s="50">
        <v>5</v>
      </c>
      <c r="F24" s="50">
        <v>13</v>
      </c>
      <c r="G24" s="50">
        <v>2</v>
      </c>
      <c r="H24" s="50">
        <v>0</v>
      </c>
      <c r="I24" s="50">
        <v>5</v>
      </c>
      <c r="J24" s="50">
        <v>2</v>
      </c>
      <c r="K24" s="50">
        <v>1</v>
      </c>
      <c r="L24" s="50">
        <v>0</v>
      </c>
      <c r="M24" s="50">
        <v>122</v>
      </c>
      <c r="N24" s="50">
        <v>0</v>
      </c>
      <c r="O24" s="15">
        <f t="shared" si="0"/>
        <v>57</v>
      </c>
      <c r="P24" s="15">
        <f t="shared" si="1"/>
        <v>179</v>
      </c>
      <c r="R24" s="38" t="s">
        <v>92</v>
      </c>
      <c r="S24" s="39">
        <f>MAX(S19:S21)</f>
        <v>200</v>
      </c>
      <c r="T24" s="39">
        <f t="shared" ref="T24:AF24" si="16">MAX(T19:T21)</f>
        <v>48</v>
      </c>
      <c r="U24" s="39">
        <f t="shared" si="16"/>
        <v>20</v>
      </c>
      <c r="V24" s="39">
        <f t="shared" si="16"/>
        <v>44</v>
      </c>
      <c r="W24" s="39">
        <f t="shared" si="16"/>
        <v>2</v>
      </c>
      <c r="X24" s="39">
        <f t="shared" si="16"/>
        <v>2</v>
      </c>
      <c r="Y24" s="39">
        <f t="shared" si="16"/>
        <v>11</v>
      </c>
      <c r="Z24" s="39">
        <f t="shared" si="16"/>
        <v>19</v>
      </c>
      <c r="AA24" s="39">
        <f t="shared" si="16"/>
        <v>7</v>
      </c>
      <c r="AB24" s="39">
        <f t="shared" si="16"/>
        <v>3</v>
      </c>
      <c r="AC24" s="39">
        <f t="shared" si="16"/>
        <v>389</v>
      </c>
      <c r="AD24" s="39">
        <f t="shared" si="16"/>
        <v>0</v>
      </c>
      <c r="AE24" s="40">
        <f t="shared" si="16"/>
        <v>329</v>
      </c>
      <c r="AF24" s="40">
        <f t="shared" si="16"/>
        <v>692</v>
      </c>
    </row>
    <row r="25" spans="2:32" ht="23.1" customHeight="1" x14ac:dyDescent="0.25">
      <c r="B25" s="23" t="s">
        <v>52</v>
      </c>
      <c r="C25" s="50">
        <v>21</v>
      </c>
      <c r="D25" s="50">
        <v>3</v>
      </c>
      <c r="E25" s="50">
        <v>3</v>
      </c>
      <c r="F25" s="50">
        <v>11</v>
      </c>
      <c r="G25" s="50">
        <v>0</v>
      </c>
      <c r="H25" s="50">
        <v>1</v>
      </c>
      <c r="I25" s="50">
        <v>4</v>
      </c>
      <c r="J25" s="50">
        <v>1</v>
      </c>
      <c r="K25" s="50">
        <v>0</v>
      </c>
      <c r="L25" s="50">
        <v>0</v>
      </c>
      <c r="M25" s="50">
        <v>105</v>
      </c>
      <c r="N25" s="50">
        <v>0</v>
      </c>
      <c r="O25" s="15">
        <f t="shared" si="0"/>
        <v>44</v>
      </c>
      <c r="P25" s="15">
        <f t="shared" si="1"/>
        <v>149</v>
      </c>
      <c r="R25" s="37" t="s">
        <v>85</v>
      </c>
      <c r="S25" s="35">
        <f t="shared" ref="S25:AF25" si="17">SUM(S10:S12)</f>
        <v>301</v>
      </c>
      <c r="T25" s="16">
        <f t="shared" si="17"/>
        <v>58</v>
      </c>
      <c r="U25" s="16">
        <f t="shared" si="17"/>
        <v>29</v>
      </c>
      <c r="V25" s="16">
        <f t="shared" si="17"/>
        <v>254</v>
      </c>
      <c r="W25" s="16">
        <f t="shared" si="17"/>
        <v>7</v>
      </c>
      <c r="X25" s="16">
        <f t="shared" si="17"/>
        <v>6</v>
      </c>
      <c r="Y25" s="16">
        <f t="shared" si="17"/>
        <v>24</v>
      </c>
      <c r="Z25" s="16">
        <f t="shared" si="17"/>
        <v>24</v>
      </c>
      <c r="AA25" s="16">
        <f t="shared" si="17"/>
        <v>1</v>
      </c>
      <c r="AB25" s="16">
        <f t="shared" si="17"/>
        <v>5</v>
      </c>
      <c r="AC25" s="16">
        <f t="shared" si="17"/>
        <v>1550</v>
      </c>
      <c r="AD25" s="16">
        <f t="shared" si="17"/>
        <v>0</v>
      </c>
      <c r="AE25" s="32">
        <f t="shared" si="17"/>
        <v>709</v>
      </c>
      <c r="AF25" s="32">
        <f t="shared" si="17"/>
        <v>2259</v>
      </c>
    </row>
    <row r="26" spans="2:32" ht="23.1" customHeight="1" x14ac:dyDescent="0.25">
      <c r="B26" s="23" t="s">
        <v>53</v>
      </c>
      <c r="C26" s="50">
        <v>39</v>
      </c>
      <c r="D26" s="50">
        <v>4</v>
      </c>
      <c r="E26" s="50">
        <v>0</v>
      </c>
      <c r="F26" s="50">
        <v>8</v>
      </c>
      <c r="G26" s="50">
        <v>1</v>
      </c>
      <c r="H26" s="50">
        <v>0</v>
      </c>
      <c r="I26" s="50">
        <v>4</v>
      </c>
      <c r="J26" s="50">
        <v>3</v>
      </c>
      <c r="K26" s="50">
        <v>1</v>
      </c>
      <c r="L26" s="50">
        <v>0</v>
      </c>
      <c r="M26" s="50">
        <v>175</v>
      </c>
      <c r="N26" s="50">
        <v>0</v>
      </c>
      <c r="O26" s="15">
        <f t="shared" si="0"/>
        <v>60</v>
      </c>
      <c r="P26" s="15">
        <f t="shared" si="1"/>
        <v>235</v>
      </c>
      <c r="R26" s="28" t="s">
        <v>86</v>
      </c>
      <c r="S26" s="16">
        <f t="shared" ref="S26:AF26" si="18">SUM(S13:S18)</f>
        <v>696</v>
      </c>
      <c r="T26" s="16">
        <f t="shared" si="18"/>
        <v>125</v>
      </c>
      <c r="U26" s="16">
        <f t="shared" si="18"/>
        <v>77</v>
      </c>
      <c r="V26" s="16">
        <f t="shared" si="18"/>
        <v>294</v>
      </c>
      <c r="W26" s="16">
        <f t="shared" si="18"/>
        <v>9</v>
      </c>
      <c r="X26" s="16">
        <f t="shared" si="18"/>
        <v>6</v>
      </c>
      <c r="Y26" s="16">
        <f t="shared" si="18"/>
        <v>76</v>
      </c>
      <c r="Z26" s="16">
        <f t="shared" si="18"/>
        <v>53</v>
      </c>
      <c r="AA26" s="16">
        <f t="shared" si="18"/>
        <v>22</v>
      </c>
      <c r="AB26" s="16">
        <f t="shared" si="18"/>
        <v>12</v>
      </c>
      <c r="AC26" s="16">
        <f t="shared" si="18"/>
        <v>2709</v>
      </c>
      <c r="AD26" s="16">
        <f t="shared" si="18"/>
        <v>0</v>
      </c>
      <c r="AE26" s="32">
        <f t="shared" si="18"/>
        <v>1370</v>
      </c>
      <c r="AF26" s="32">
        <f t="shared" si="18"/>
        <v>4079</v>
      </c>
    </row>
    <row r="27" spans="2:32" ht="23.1" customHeight="1" x14ac:dyDescent="0.25">
      <c r="B27" s="23" t="s">
        <v>54</v>
      </c>
      <c r="C27" s="50">
        <v>23</v>
      </c>
      <c r="D27" s="50">
        <v>3</v>
      </c>
      <c r="E27" s="50">
        <v>2</v>
      </c>
      <c r="F27" s="50">
        <v>15</v>
      </c>
      <c r="G27" s="50">
        <v>1</v>
      </c>
      <c r="H27" s="50">
        <v>0</v>
      </c>
      <c r="I27" s="50">
        <v>3</v>
      </c>
      <c r="J27" s="50">
        <v>1</v>
      </c>
      <c r="K27" s="50">
        <v>2</v>
      </c>
      <c r="L27" s="50">
        <v>0</v>
      </c>
      <c r="M27" s="50">
        <v>160</v>
      </c>
      <c r="N27" s="50">
        <v>0</v>
      </c>
      <c r="O27" s="15">
        <f t="shared" si="0"/>
        <v>50</v>
      </c>
      <c r="P27" s="15">
        <f t="shared" si="1"/>
        <v>210</v>
      </c>
      <c r="R27" s="29" t="s">
        <v>87</v>
      </c>
      <c r="S27" s="16">
        <f t="shared" ref="S27:AF27" si="19">SUM(S19:S21)</f>
        <v>530</v>
      </c>
      <c r="T27" s="16">
        <f t="shared" si="19"/>
        <v>128</v>
      </c>
      <c r="U27" s="16">
        <f t="shared" si="19"/>
        <v>43</v>
      </c>
      <c r="V27" s="16">
        <f t="shared" si="19"/>
        <v>95</v>
      </c>
      <c r="W27" s="16">
        <f t="shared" si="19"/>
        <v>4</v>
      </c>
      <c r="X27" s="16">
        <f t="shared" si="19"/>
        <v>4</v>
      </c>
      <c r="Y27" s="16">
        <f t="shared" si="19"/>
        <v>26</v>
      </c>
      <c r="Z27" s="16">
        <f t="shared" si="19"/>
        <v>37</v>
      </c>
      <c r="AA27" s="16">
        <f t="shared" si="19"/>
        <v>11</v>
      </c>
      <c r="AB27" s="16">
        <f t="shared" si="19"/>
        <v>4</v>
      </c>
      <c r="AC27" s="16">
        <f t="shared" si="19"/>
        <v>1106</v>
      </c>
      <c r="AD27" s="16">
        <f t="shared" si="19"/>
        <v>0</v>
      </c>
      <c r="AE27" s="32">
        <f t="shared" si="19"/>
        <v>882</v>
      </c>
      <c r="AF27" s="32">
        <f t="shared" si="19"/>
        <v>1988</v>
      </c>
    </row>
    <row r="28" spans="2:32" ht="23.1" customHeight="1" x14ac:dyDescent="0.25">
      <c r="B28" s="23" t="s">
        <v>55</v>
      </c>
      <c r="C28" s="50">
        <v>33</v>
      </c>
      <c r="D28" s="50">
        <v>8</v>
      </c>
      <c r="E28" s="50">
        <v>4</v>
      </c>
      <c r="F28" s="50">
        <v>24</v>
      </c>
      <c r="G28" s="50">
        <v>0</v>
      </c>
      <c r="H28" s="50">
        <v>0</v>
      </c>
      <c r="I28" s="50">
        <v>5</v>
      </c>
      <c r="J28" s="50">
        <v>1</v>
      </c>
      <c r="K28" s="50">
        <v>2</v>
      </c>
      <c r="L28" s="50">
        <v>1</v>
      </c>
      <c r="M28" s="50">
        <v>120</v>
      </c>
      <c r="N28" s="50">
        <v>0</v>
      </c>
      <c r="O28" s="15">
        <f t="shared" si="0"/>
        <v>78</v>
      </c>
      <c r="P28" s="15">
        <f t="shared" si="1"/>
        <v>198</v>
      </c>
      <c r="R28" s="5" t="s">
        <v>17</v>
      </c>
      <c r="S28" s="16">
        <f t="shared" ref="S28:AF28" si="20">SUM(S10:S21)</f>
        <v>1527</v>
      </c>
      <c r="T28" s="16">
        <f t="shared" si="20"/>
        <v>311</v>
      </c>
      <c r="U28" s="16">
        <f t="shared" si="20"/>
        <v>149</v>
      </c>
      <c r="V28" s="16">
        <f t="shared" si="20"/>
        <v>643</v>
      </c>
      <c r="W28" s="16">
        <f t="shared" si="20"/>
        <v>20</v>
      </c>
      <c r="X28" s="16">
        <f t="shared" si="20"/>
        <v>16</v>
      </c>
      <c r="Y28" s="16">
        <f t="shared" si="20"/>
        <v>126</v>
      </c>
      <c r="Z28" s="16">
        <f t="shared" si="20"/>
        <v>114</v>
      </c>
      <c r="AA28" s="16">
        <f t="shared" si="20"/>
        <v>34</v>
      </c>
      <c r="AB28" s="16">
        <f t="shared" si="20"/>
        <v>21</v>
      </c>
      <c r="AC28" s="16">
        <f t="shared" si="20"/>
        <v>5365</v>
      </c>
      <c r="AD28" s="16">
        <f t="shared" si="20"/>
        <v>0</v>
      </c>
      <c r="AE28" s="32">
        <f t="shared" si="20"/>
        <v>2961</v>
      </c>
      <c r="AF28" s="32">
        <f t="shared" si="20"/>
        <v>8326</v>
      </c>
    </row>
    <row r="29" spans="2:32" ht="23.1" customHeight="1" x14ac:dyDescent="0.25">
      <c r="B29" s="23" t="s">
        <v>56</v>
      </c>
      <c r="C29" s="50">
        <v>27</v>
      </c>
      <c r="D29" s="50">
        <v>8</v>
      </c>
      <c r="E29" s="50">
        <v>5</v>
      </c>
      <c r="F29" s="50">
        <v>13</v>
      </c>
      <c r="G29" s="50">
        <v>0</v>
      </c>
      <c r="H29" s="50">
        <v>0</v>
      </c>
      <c r="I29" s="50">
        <v>5</v>
      </c>
      <c r="J29" s="50">
        <v>2</v>
      </c>
      <c r="K29" s="50">
        <v>1</v>
      </c>
      <c r="L29" s="50">
        <v>0</v>
      </c>
      <c r="M29" s="50">
        <v>220</v>
      </c>
      <c r="N29" s="50">
        <v>0</v>
      </c>
      <c r="O29" s="15">
        <f t="shared" si="0"/>
        <v>61</v>
      </c>
      <c r="P29" s="15">
        <f t="shared" si="1"/>
        <v>281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3</v>
      </c>
      <c r="E30" s="50">
        <v>2</v>
      </c>
      <c r="F30" s="50">
        <v>17</v>
      </c>
      <c r="G30" s="50">
        <v>1</v>
      </c>
      <c r="H30" s="50">
        <v>0</v>
      </c>
      <c r="I30" s="50">
        <v>6</v>
      </c>
      <c r="J30" s="50">
        <v>3</v>
      </c>
      <c r="K30" s="50">
        <v>1</v>
      </c>
      <c r="L30" s="50">
        <v>1</v>
      </c>
      <c r="M30" s="50">
        <v>189</v>
      </c>
      <c r="N30" s="50">
        <v>0</v>
      </c>
      <c r="O30" s="15">
        <f t="shared" si="0"/>
        <v>54</v>
      </c>
      <c r="P30" s="15">
        <f t="shared" si="1"/>
        <v>243</v>
      </c>
    </row>
    <row r="31" spans="2:32" ht="23.1" customHeight="1" x14ac:dyDescent="0.25">
      <c r="B31" s="24" t="s">
        <v>58</v>
      </c>
      <c r="C31" s="50">
        <v>29</v>
      </c>
      <c r="D31" s="50">
        <v>9</v>
      </c>
      <c r="E31" s="50">
        <v>6</v>
      </c>
      <c r="F31" s="50">
        <v>17</v>
      </c>
      <c r="G31" s="50">
        <v>1</v>
      </c>
      <c r="H31" s="50">
        <v>0</v>
      </c>
      <c r="I31" s="50">
        <v>6</v>
      </c>
      <c r="J31" s="50">
        <v>2</v>
      </c>
      <c r="K31" s="50">
        <v>2</v>
      </c>
      <c r="L31" s="50">
        <v>1</v>
      </c>
      <c r="M31" s="50">
        <v>170</v>
      </c>
      <c r="N31" s="50">
        <v>0</v>
      </c>
      <c r="O31" s="15">
        <f t="shared" si="0"/>
        <v>73</v>
      </c>
      <c r="P31" s="15">
        <f t="shared" si="1"/>
        <v>243</v>
      </c>
    </row>
    <row r="32" spans="2:32" ht="23.1" customHeight="1" x14ac:dyDescent="0.25">
      <c r="B32" s="24" t="s">
        <v>59</v>
      </c>
      <c r="C32" s="50">
        <v>38</v>
      </c>
      <c r="D32" s="50">
        <v>2</v>
      </c>
      <c r="E32" s="50">
        <v>3</v>
      </c>
      <c r="F32" s="50">
        <v>12</v>
      </c>
      <c r="G32" s="50">
        <v>0</v>
      </c>
      <c r="H32" s="50">
        <v>1</v>
      </c>
      <c r="I32" s="50">
        <v>6</v>
      </c>
      <c r="J32" s="50">
        <v>3</v>
      </c>
      <c r="K32" s="50">
        <v>0</v>
      </c>
      <c r="L32" s="50">
        <v>3</v>
      </c>
      <c r="M32" s="50">
        <v>140</v>
      </c>
      <c r="N32" s="50">
        <v>0</v>
      </c>
      <c r="O32" s="15">
        <f t="shared" si="0"/>
        <v>68</v>
      </c>
      <c r="P32" s="15">
        <f t="shared" si="1"/>
        <v>208</v>
      </c>
    </row>
    <row r="33" spans="2:20" ht="23.1" customHeight="1" x14ac:dyDescent="0.25">
      <c r="B33" s="23" t="s">
        <v>60</v>
      </c>
      <c r="C33" s="50">
        <v>34</v>
      </c>
      <c r="D33" s="50">
        <v>4</v>
      </c>
      <c r="E33" s="50">
        <v>4</v>
      </c>
      <c r="F33" s="50">
        <v>15</v>
      </c>
      <c r="G33" s="50">
        <v>0</v>
      </c>
      <c r="H33" s="50">
        <v>2</v>
      </c>
      <c r="I33" s="50">
        <v>1</v>
      </c>
      <c r="J33" s="50">
        <v>3</v>
      </c>
      <c r="K33" s="50">
        <v>1</v>
      </c>
      <c r="L33" s="50">
        <v>0</v>
      </c>
      <c r="M33" s="50">
        <v>80</v>
      </c>
      <c r="N33" s="50">
        <v>0</v>
      </c>
      <c r="O33" s="15">
        <f t="shared" si="0"/>
        <v>64</v>
      </c>
      <c r="P33" s="15">
        <f t="shared" si="1"/>
        <v>144</v>
      </c>
    </row>
    <row r="34" spans="2:20" ht="23.1" customHeight="1" x14ac:dyDescent="0.25">
      <c r="B34" s="24" t="s">
        <v>61</v>
      </c>
      <c r="C34" s="50">
        <v>38</v>
      </c>
      <c r="D34" s="50">
        <v>2</v>
      </c>
      <c r="E34" s="50">
        <v>2</v>
      </c>
      <c r="F34" s="50">
        <v>12</v>
      </c>
      <c r="G34" s="50">
        <v>0</v>
      </c>
      <c r="H34" s="50">
        <v>1</v>
      </c>
      <c r="I34" s="50">
        <v>1</v>
      </c>
      <c r="J34" s="50">
        <v>2</v>
      </c>
      <c r="K34" s="50">
        <v>0</v>
      </c>
      <c r="L34" s="50">
        <v>0</v>
      </c>
      <c r="M34" s="50">
        <v>73</v>
      </c>
      <c r="N34" s="50">
        <v>0</v>
      </c>
      <c r="O34" s="15">
        <f t="shared" si="0"/>
        <v>58</v>
      </c>
      <c r="P34" s="15">
        <f t="shared" si="1"/>
        <v>131</v>
      </c>
    </row>
    <row r="35" spans="2:20" ht="23.1" customHeight="1" x14ac:dyDescent="0.25">
      <c r="B35" s="24" t="s">
        <v>62</v>
      </c>
      <c r="C35" s="50">
        <v>35</v>
      </c>
      <c r="D35" s="50">
        <v>4</v>
      </c>
      <c r="E35" s="50">
        <v>4</v>
      </c>
      <c r="F35" s="50">
        <v>16</v>
      </c>
      <c r="G35" s="50">
        <v>0</v>
      </c>
      <c r="H35" s="50">
        <v>0</v>
      </c>
      <c r="I35" s="50">
        <v>2</v>
      </c>
      <c r="J35" s="50">
        <v>2</v>
      </c>
      <c r="K35" s="50">
        <v>1</v>
      </c>
      <c r="L35" s="50">
        <v>0</v>
      </c>
      <c r="M35" s="50">
        <v>80</v>
      </c>
      <c r="N35" s="50">
        <v>0</v>
      </c>
      <c r="O35" s="15">
        <f t="shared" si="0"/>
        <v>64</v>
      </c>
      <c r="P35" s="15">
        <f t="shared" si="1"/>
        <v>144</v>
      </c>
    </row>
    <row r="36" spans="2:20" ht="23.1" customHeight="1" x14ac:dyDescent="0.25">
      <c r="B36" s="24" t="s">
        <v>63</v>
      </c>
      <c r="C36" s="50">
        <v>24</v>
      </c>
      <c r="D36" s="50">
        <v>6</v>
      </c>
      <c r="E36" s="50">
        <v>5</v>
      </c>
      <c r="F36" s="50">
        <v>13</v>
      </c>
      <c r="G36" s="50">
        <v>1</v>
      </c>
      <c r="H36" s="50">
        <v>0</v>
      </c>
      <c r="I36" s="50">
        <v>0</v>
      </c>
      <c r="J36" s="50">
        <v>4</v>
      </c>
      <c r="K36" s="50">
        <v>1</v>
      </c>
      <c r="L36" s="50">
        <v>0</v>
      </c>
      <c r="M36" s="50">
        <v>63</v>
      </c>
      <c r="N36" s="50">
        <v>0</v>
      </c>
      <c r="O36" s="15">
        <f t="shared" si="0"/>
        <v>54</v>
      </c>
      <c r="P36" s="15">
        <f t="shared" si="1"/>
        <v>117</v>
      </c>
    </row>
    <row r="37" spans="2:20" ht="23.1" customHeight="1" x14ac:dyDescent="0.25">
      <c r="B37" s="23" t="s">
        <v>64</v>
      </c>
      <c r="C37" s="50">
        <v>14</v>
      </c>
      <c r="D37" s="50">
        <v>3</v>
      </c>
      <c r="E37" s="50">
        <v>4</v>
      </c>
      <c r="F37" s="50">
        <v>6</v>
      </c>
      <c r="G37" s="50">
        <v>0</v>
      </c>
      <c r="H37" s="50">
        <v>1</v>
      </c>
      <c r="I37" s="50">
        <v>2</v>
      </c>
      <c r="J37" s="50">
        <v>0</v>
      </c>
      <c r="K37" s="50">
        <v>2</v>
      </c>
      <c r="L37" s="50">
        <v>0</v>
      </c>
      <c r="M37" s="50">
        <v>60</v>
      </c>
      <c r="N37" s="50">
        <v>0</v>
      </c>
      <c r="O37" s="15">
        <f t="shared" si="0"/>
        <v>32</v>
      </c>
      <c r="P37" s="15">
        <f t="shared" si="1"/>
        <v>92</v>
      </c>
    </row>
    <row r="38" spans="2:20" ht="23.1" customHeight="1" x14ac:dyDescent="0.25">
      <c r="B38" s="24" t="s">
        <v>65</v>
      </c>
      <c r="C38" s="50">
        <v>29</v>
      </c>
      <c r="D38" s="50">
        <v>6</v>
      </c>
      <c r="E38" s="50">
        <v>5</v>
      </c>
      <c r="F38" s="50">
        <v>9</v>
      </c>
      <c r="G38" s="50">
        <v>0</v>
      </c>
      <c r="H38" s="50">
        <v>0</v>
      </c>
      <c r="I38" s="50">
        <v>1</v>
      </c>
      <c r="J38" s="50">
        <v>0</v>
      </c>
      <c r="K38" s="50">
        <v>2</v>
      </c>
      <c r="L38" s="50">
        <v>1</v>
      </c>
      <c r="M38" s="50">
        <v>72</v>
      </c>
      <c r="N38" s="50">
        <v>0</v>
      </c>
      <c r="O38" s="15">
        <f t="shared" si="0"/>
        <v>53</v>
      </c>
      <c r="P38" s="15">
        <f t="shared" si="1"/>
        <v>125</v>
      </c>
    </row>
    <row r="39" spans="2:20" ht="23.1" customHeight="1" x14ac:dyDescent="0.25">
      <c r="B39" s="24" t="s">
        <v>66</v>
      </c>
      <c r="C39" s="50">
        <v>21</v>
      </c>
      <c r="D39" s="50">
        <v>5</v>
      </c>
      <c r="E39" s="50">
        <v>2</v>
      </c>
      <c r="F39" s="50">
        <v>8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3</v>
      </c>
      <c r="M39" s="50">
        <v>49</v>
      </c>
      <c r="N39" s="50">
        <v>0</v>
      </c>
      <c r="O39" s="15">
        <f t="shared" si="0"/>
        <v>42</v>
      </c>
      <c r="P39" s="15">
        <f t="shared" si="1"/>
        <v>91</v>
      </c>
    </row>
    <row r="40" spans="2:20" ht="23.1" customHeight="1" x14ac:dyDescent="0.25">
      <c r="B40" s="24" t="s">
        <v>67</v>
      </c>
      <c r="C40" s="50">
        <v>30</v>
      </c>
      <c r="D40" s="50">
        <v>9</v>
      </c>
      <c r="E40" s="50">
        <v>4</v>
      </c>
      <c r="F40" s="50">
        <v>15</v>
      </c>
      <c r="G40" s="50">
        <v>0</v>
      </c>
      <c r="H40" s="50">
        <v>0</v>
      </c>
      <c r="I40" s="50">
        <v>1</v>
      </c>
      <c r="J40" s="50">
        <v>4</v>
      </c>
      <c r="K40" s="50">
        <v>1</v>
      </c>
      <c r="L40" s="50">
        <v>0</v>
      </c>
      <c r="M40" s="50">
        <v>99</v>
      </c>
      <c r="N40" s="50">
        <v>0</v>
      </c>
      <c r="O40" s="15">
        <f t="shared" si="0"/>
        <v>64</v>
      </c>
      <c r="P40" s="15">
        <f t="shared" si="1"/>
        <v>163</v>
      </c>
    </row>
    <row r="41" spans="2:20" ht="23.1" customHeight="1" x14ac:dyDescent="0.25">
      <c r="B41" s="23" t="s">
        <v>68</v>
      </c>
      <c r="C41" s="50">
        <v>27</v>
      </c>
      <c r="D41" s="50">
        <v>8</v>
      </c>
      <c r="E41" s="50">
        <v>3</v>
      </c>
      <c r="F41" s="50">
        <v>6</v>
      </c>
      <c r="G41" s="50">
        <v>0</v>
      </c>
      <c r="H41" s="50">
        <v>0</v>
      </c>
      <c r="I41" s="50">
        <v>6</v>
      </c>
      <c r="J41" s="50">
        <v>2</v>
      </c>
      <c r="K41" s="50">
        <v>1</v>
      </c>
      <c r="L41" s="50">
        <v>1</v>
      </c>
      <c r="M41" s="50">
        <v>105</v>
      </c>
      <c r="N41" s="50">
        <v>0</v>
      </c>
      <c r="O41" s="15">
        <f t="shared" si="0"/>
        <v>54</v>
      </c>
      <c r="P41" s="15">
        <f t="shared" si="1"/>
        <v>159</v>
      </c>
    </row>
    <row r="42" spans="2:20" ht="23.1" customHeight="1" x14ac:dyDescent="0.25">
      <c r="B42" s="24" t="s">
        <v>69</v>
      </c>
      <c r="C42" s="50">
        <v>42</v>
      </c>
      <c r="D42" s="50">
        <v>6</v>
      </c>
      <c r="E42" s="50">
        <v>4</v>
      </c>
      <c r="F42" s="50">
        <v>5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48</v>
      </c>
      <c r="N42" s="50">
        <v>0</v>
      </c>
      <c r="O42" s="15">
        <f t="shared" si="0"/>
        <v>59</v>
      </c>
      <c r="P42" s="15">
        <f t="shared" si="1"/>
        <v>107</v>
      </c>
    </row>
    <row r="43" spans="2:20" ht="23.1" customHeight="1" x14ac:dyDescent="0.25">
      <c r="B43" s="23" t="s">
        <v>70</v>
      </c>
      <c r="C43" s="50">
        <v>36</v>
      </c>
      <c r="D43" s="50">
        <v>5</v>
      </c>
      <c r="E43" s="50">
        <v>1</v>
      </c>
      <c r="F43" s="50">
        <v>9</v>
      </c>
      <c r="G43" s="50">
        <v>0</v>
      </c>
      <c r="H43" s="50">
        <v>0</v>
      </c>
      <c r="I43" s="50">
        <v>6</v>
      </c>
      <c r="J43" s="50">
        <v>3</v>
      </c>
      <c r="K43" s="50">
        <v>1</v>
      </c>
      <c r="L43" s="50">
        <v>0</v>
      </c>
      <c r="M43" s="50">
        <v>95</v>
      </c>
      <c r="N43" s="50">
        <v>0</v>
      </c>
      <c r="O43" s="15">
        <f t="shared" si="0"/>
        <v>61</v>
      </c>
      <c r="P43" s="15">
        <f t="shared" si="1"/>
        <v>156</v>
      </c>
    </row>
    <row r="44" spans="2:20" ht="23.1" customHeight="1" x14ac:dyDescent="0.25">
      <c r="B44" s="25" t="s">
        <v>71</v>
      </c>
      <c r="C44" s="50">
        <v>34</v>
      </c>
      <c r="D44" s="50">
        <v>8</v>
      </c>
      <c r="E44" s="50">
        <v>2</v>
      </c>
      <c r="F44" s="50">
        <v>12</v>
      </c>
      <c r="G44" s="50">
        <v>0</v>
      </c>
      <c r="H44" s="50">
        <v>0</v>
      </c>
      <c r="I44" s="50">
        <v>1</v>
      </c>
      <c r="J44" s="50">
        <v>4</v>
      </c>
      <c r="K44" s="50">
        <v>0</v>
      </c>
      <c r="L44" s="50">
        <v>1</v>
      </c>
      <c r="M44" s="50">
        <v>78</v>
      </c>
      <c r="N44" s="50">
        <v>0</v>
      </c>
      <c r="O44" s="15">
        <f t="shared" si="0"/>
        <v>62</v>
      </c>
      <c r="P44" s="15">
        <f t="shared" si="1"/>
        <v>140</v>
      </c>
    </row>
    <row r="45" spans="2:20" ht="23.1" customHeight="1" x14ac:dyDescent="0.25">
      <c r="B45" s="23" t="s">
        <v>72</v>
      </c>
      <c r="C45" s="50">
        <v>32</v>
      </c>
      <c r="D45" s="50">
        <v>5</v>
      </c>
      <c r="E45" s="50">
        <v>3</v>
      </c>
      <c r="F45" s="50">
        <v>17</v>
      </c>
      <c r="G45" s="50">
        <v>0</v>
      </c>
      <c r="H45" s="50">
        <v>0</v>
      </c>
      <c r="I45" s="50">
        <v>6</v>
      </c>
      <c r="J45" s="50">
        <v>4</v>
      </c>
      <c r="K45" s="50">
        <v>1</v>
      </c>
      <c r="L45" s="50">
        <v>0</v>
      </c>
      <c r="M45" s="50">
        <v>90</v>
      </c>
      <c r="N45" s="50">
        <v>0</v>
      </c>
      <c r="O45" s="15">
        <f t="shared" si="0"/>
        <v>68</v>
      </c>
      <c r="P45" s="15">
        <f t="shared" si="1"/>
        <v>158</v>
      </c>
    </row>
    <row r="46" spans="2:20" ht="23.1" customHeight="1" x14ac:dyDescent="0.25">
      <c r="B46" s="24" t="s">
        <v>73</v>
      </c>
      <c r="C46" s="50">
        <v>36</v>
      </c>
      <c r="D46" s="50">
        <v>9</v>
      </c>
      <c r="E46" s="50">
        <v>2</v>
      </c>
      <c r="F46" s="50">
        <v>6</v>
      </c>
      <c r="G46" s="50">
        <v>1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60</v>
      </c>
      <c r="N46" s="50">
        <v>0</v>
      </c>
      <c r="O46" s="15">
        <f t="shared" si="0"/>
        <v>59</v>
      </c>
      <c r="P46" s="15">
        <f t="shared" si="1"/>
        <v>119</v>
      </c>
      <c r="R46" s="8"/>
      <c r="T46"/>
    </row>
    <row r="47" spans="2:20" ht="23.1" customHeight="1" x14ac:dyDescent="0.25">
      <c r="B47" s="24" t="s">
        <v>74</v>
      </c>
      <c r="C47" s="50">
        <v>26</v>
      </c>
      <c r="D47" s="50">
        <v>7</v>
      </c>
      <c r="E47" s="50">
        <v>6</v>
      </c>
      <c r="F47" s="50">
        <v>18</v>
      </c>
      <c r="G47" s="50">
        <v>1</v>
      </c>
      <c r="H47" s="50">
        <v>0</v>
      </c>
      <c r="I47" s="50">
        <v>3</v>
      </c>
      <c r="J47" s="50">
        <v>5</v>
      </c>
      <c r="K47" s="50">
        <v>1</v>
      </c>
      <c r="L47" s="50">
        <v>0</v>
      </c>
      <c r="M47" s="50">
        <v>79</v>
      </c>
      <c r="N47" s="50">
        <v>0</v>
      </c>
      <c r="O47" s="15">
        <f t="shared" si="0"/>
        <v>67</v>
      </c>
      <c r="P47" s="15">
        <f t="shared" si="1"/>
        <v>146</v>
      </c>
      <c r="R47" s="8"/>
      <c r="T47"/>
    </row>
    <row r="48" spans="2:20" ht="23.1" customHeight="1" x14ac:dyDescent="0.25">
      <c r="B48" s="24" t="s">
        <v>75</v>
      </c>
      <c r="C48" s="50">
        <v>39</v>
      </c>
      <c r="D48" s="50">
        <v>12</v>
      </c>
      <c r="E48" s="50">
        <v>0</v>
      </c>
      <c r="F48" s="50">
        <v>10</v>
      </c>
      <c r="G48" s="50">
        <v>0</v>
      </c>
      <c r="H48" s="50">
        <v>2</v>
      </c>
      <c r="I48" s="50">
        <v>3</v>
      </c>
      <c r="J48" s="50">
        <v>0</v>
      </c>
      <c r="K48" s="50">
        <v>0</v>
      </c>
      <c r="L48" s="50">
        <v>1</v>
      </c>
      <c r="M48" s="50">
        <v>115</v>
      </c>
      <c r="N48" s="50">
        <v>0</v>
      </c>
      <c r="O48" s="15">
        <f t="shared" si="0"/>
        <v>67</v>
      </c>
      <c r="P48" s="15">
        <f t="shared" si="1"/>
        <v>182</v>
      </c>
      <c r="R48" s="8"/>
      <c r="T48"/>
    </row>
    <row r="49" spans="2:20" ht="23.1" customHeight="1" x14ac:dyDescent="0.25">
      <c r="B49" s="23" t="s">
        <v>76</v>
      </c>
      <c r="C49" s="50">
        <v>31</v>
      </c>
      <c r="D49" s="50">
        <v>5</v>
      </c>
      <c r="E49" s="50">
        <v>5</v>
      </c>
      <c r="F49" s="50">
        <v>10</v>
      </c>
      <c r="G49" s="50">
        <v>0</v>
      </c>
      <c r="H49" s="50">
        <v>0</v>
      </c>
      <c r="I49" s="50">
        <v>2</v>
      </c>
      <c r="J49" s="50">
        <v>2</v>
      </c>
      <c r="K49" s="50">
        <v>1</v>
      </c>
      <c r="L49" s="50">
        <v>0</v>
      </c>
      <c r="M49" s="50">
        <v>135</v>
      </c>
      <c r="N49" s="50">
        <v>0</v>
      </c>
      <c r="O49" s="15">
        <f t="shared" si="0"/>
        <v>56</v>
      </c>
      <c r="P49" s="15">
        <f t="shared" si="1"/>
        <v>191</v>
      </c>
      <c r="R49" s="8"/>
      <c r="T49"/>
    </row>
    <row r="50" spans="2:20" ht="23.1" customHeight="1" x14ac:dyDescent="0.25">
      <c r="B50" s="24" t="s">
        <v>77</v>
      </c>
      <c r="C50" s="50">
        <v>35</v>
      </c>
      <c r="D50" s="50">
        <v>7</v>
      </c>
      <c r="E50" s="50">
        <v>4</v>
      </c>
      <c r="F50" s="50">
        <v>12</v>
      </c>
      <c r="G50" s="50">
        <v>1</v>
      </c>
      <c r="H50" s="50">
        <v>0</v>
      </c>
      <c r="I50" s="50">
        <v>2</v>
      </c>
      <c r="J50" s="50">
        <v>4</v>
      </c>
      <c r="K50" s="50">
        <v>0</v>
      </c>
      <c r="L50" s="50">
        <v>0</v>
      </c>
      <c r="M50" s="50">
        <v>90</v>
      </c>
      <c r="N50" s="50">
        <v>0</v>
      </c>
      <c r="O50" s="15">
        <f t="shared" si="0"/>
        <v>65</v>
      </c>
      <c r="P50" s="15">
        <f t="shared" si="1"/>
        <v>155</v>
      </c>
      <c r="R50" s="8"/>
      <c r="T50"/>
    </row>
    <row r="51" spans="2:20" ht="23.1" customHeight="1" x14ac:dyDescent="0.25">
      <c r="B51" s="24" t="s">
        <v>78</v>
      </c>
      <c r="C51" s="50">
        <v>55</v>
      </c>
      <c r="D51" s="50">
        <v>14</v>
      </c>
      <c r="E51" s="50">
        <v>2</v>
      </c>
      <c r="F51" s="50">
        <v>7</v>
      </c>
      <c r="G51" s="50">
        <v>0</v>
      </c>
      <c r="H51" s="50">
        <v>0</v>
      </c>
      <c r="I51" s="50">
        <v>0</v>
      </c>
      <c r="J51" s="50">
        <v>3</v>
      </c>
      <c r="K51" s="50">
        <v>2</v>
      </c>
      <c r="L51" s="50">
        <v>0</v>
      </c>
      <c r="M51" s="50">
        <v>125</v>
      </c>
      <c r="N51" s="50">
        <v>0</v>
      </c>
      <c r="O51" s="15">
        <f t="shared" si="0"/>
        <v>83</v>
      </c>
      <c r="P51" s="15">
        <f t="shared" si="1"/>
        <v>208</v>
      </c>
      <c r="R51" s="8"/>
      <c r="T51"/>
    </row>
    <row r="52" spans="2:20" ht="23.1" customHeight="1" x14ac:dyDescent="0.25">
      <c r="B52" s="24" t="s">
        <v>79</v>
      </c>
      <c r="C52" s="50">
        <v>78</v>
      </c>
      <c r="D52" s="50">
        <v>7</v>
      </c>
      <c r="E52" s="50">
        <v>0</v>
      </c>
      <c r="F52" s="50">
        <v>9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93</v>
      </c>
      <c r="N52" s="50">
        <v>0</v>
      </c>
      <c r="O52" s="15">
        <f t="shared" si="0"/>
        <v>94</v>
      </c>
      <c r="P52" s="15">
        <f t="shared" si="1"/>
        <v>187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19</v>
      </c>
      <c r="E53" s="50">
        <v>4</v>
      </c>
      <c r="F53" s="50">
        <v>5</v>
      </c>
      <c r="G53" s="50">
        <v>0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62</v>
      </c>
      <c r="P53" s="15">
        <f t="shared" si="1"/>
        <v>142</v>
      </c>
      <c r="R53" s="8"/>
      <c r="T53"/>
    </row>
    <row r="54" spans="2:20" ht="23.1" customHeight="1" x14ac:dyDescent="0.25">
      <c r="B54" s="23" t="s">
        <v>81</v>
      </c>
      <c r="C54" s="50">
        <v>64</v>
      </c>
      <c r="D54" s="50">
        <v>22</v>
      </c>
      <c r="E54" s="50">
        <v>6</v>
      </c>
      <c r="F54" s="50">
        <v>4</v>
      </c>
      <c r="G54" s="50">
        <v>1</v>
      </c>
      <c r="H54" s="50">
        <v>2</v>
      </c>
      <c r="I54" s="50">
        <v>3</v>
      </c>
      <c r="J54" s="50">
        <v>7</v>
      </c>
      <c r="K54" s="50">
        <v>2</v>
      </c>
      <c r="L54" s="50">
        <v>1</v>
      </c>
      <c r="M54" s="50">
        <v>93</v>
      </c>
      <c r="N54" s="50">
        <v>0</v>
      </c>
      <c r="O54" s="15">
        <f t="shared" si="0"/>
        <v>112</v>
      </c>
      <c r="P54" s="15">
        <f t="shared" si="1"/>
        <v>205</v>
      </c>
      <c r="R54" s="8"/>
      <c r="T54"/>
    </row>
    <row r="55" spans="2:20" ht="23.1" customHeight="1" x14ac:dyDescent="0.25">
      <c r="B55" s="23" t="s">
        <v>82</v>
      </c>
      <c r="C55" s="50">
        <v>44</v>
      </c>
      <c r="D55" s="50">
        <v>9</v>
      </c>
      <c r="E55" s="50">
        <v>3</v>
      </c>
      <c r="F55" s="50">
        <v>4</v>
      </c>
      <c r="G55" s="50">
        <v>0</v>
      </c>
      <c r="H55" s="50">
        <v>0</v>
      </c>
      <c r="I55" s="50">
        <v>1</v>
      </c>
      <c r="J55" s="50">
        <v>2</v>
      </c>
      <c r="K55" s="50">
        <v>2</v>
      </c>
      <c r="L55" s="50">
        <v>1</v>
      </c>
      <c r="M55" s="50">
        <v>81</v>
      </c>
      <c r="N55" s="50">
        <v>0</v>
      </c>
      <c r="O55" s="15">
        <f t="shared" si="0"/>
        <v>66</v>
      </c>
      <c r="P55" s="15">
        <f t="shared" si="1"/>
        <v>147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5</v>
      </c>
      <c r="E56" s="50">
        <v>8</v>
      </c>
      <c r="F56" s="50">
        <v>6</v>
      </c>
      <c r="G56" s="50">
        <v>0</v>
      </c>
      <c r="H56" s="50">
        <v>0</v>
      </c>
      <c r="I56" s="50">
        <v>3</v>
      </c>
      <c r="J56" s="50">
        <v>7</v>
      </c>
      <c r="K56" s="50">
        <v>1</v>
      </c>
      <c r="L56" s="50">
        <v>0</v>
      </c>
      <c r="M56" s="50">
        <v>61</v>
      </c>
      <c r="N56" s="50">
        <v>0</v>
      </c>
      <c r="O56" s="15">
        <f t="shared" si="0"/>
        <v>70</v>
      </c>
      <c r="P56" s="15">
        <f t="shared" si="1"/>
        <v>131</v>
      </c>
      <c r="R56" s="8"/>
      <c r="T56"/>
    </row>
    <row r="57" spans="2:20" ht="23.1" customHeight="1" x14ac:dyDescent="0.25">
      <c r="B57" s="23" t="s">
        <v>84</v>
      </c>
      <c r="C57" s="50">
        <v>52</v>
      </c>
      <c r="D57" s="50">
        <v>12</v>
      </c>
      <c r="E57" s="50">
        <v>3</v>
      </c>
      <c r="F57" s="50">
        <v>4</v>
      </c>
      <c r="G57" s="50">
        <v>0</v>
      </c>
      <c r="H57" s="50">
        <v>0</v>
      </c>
      <c r="I57" s="50">
        <v>4</v>
      </c>
      <c r="J57" s="50">
        <v>3</v>
      </c>
      <c r="K57" s="50">
        <v>2</v>
      </c>
      <c r="L57" s="50">
        <v>1</v>
      </c>
      <c r="M57" s="50">
        <v>94</v>
      </c>
      <c r="N57" s="50">
        <v>0</v>
      </c>
      <c r="O57" s="15">
        <f t="shared" si="0"/>
        <v>81</v>
      </c>
      <c r="P57" s="15">
        <f t="shared" si="1"/>
        <v>175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1527</v>
      </c>
      <c r="D58" s="16">
        <f t="shared" si="21"/>
        <v>311</v>
      </c>
      <c r="E58" s="16">
        <f t="shared" si="21"/>
        <v>149</v>
      </c>
      <c r="F58" s="16">
        <f t="shared" si="21"/>
        <v>643</v>
      </c>
      <c r="G58" s="16">
        <f t="shared" si="21"/>
        <v>20</v>
      </c>
      <c r="H58" s="16">
        <f t="shared" si="21"/>
        <v>16</v>
      </c>
      <c r="I58" s="16">
        <f t="shared" si="21"/>
        <v>126</v>
      </c>
      <c r="J58" s="16">
        <f t="shared" si="21"/>
        <v>114</v>
      </c>
      <c r="K58" s="16">
        <f t="shared" si="21"/>
        <v>34</v>
      </c>
      <c r="L58" s="16">
        <f t="shared" si="21"/>
        <v>21</v>
      </c>
      <c r="M58" s="16">
        <f t="shared" si="21"/>
        <v>5365</v>
      </c>
      <c r="N58" s="16">
        <f t="shared" si="21"/>
        <v>0</v>
      </c>
      <c r="O58" s="16">
        <f t="shared" si="21"/>
        <v>2961</v>
      </c>
      <c r="P58" s="16">
        <f t="shared" si="21"/>
        <v>8326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0.18340139322603891</v>
      </c>
      <c r="D59" s="43">
        <f t="shared" si="22"/>
        <v>3.7352870526062933E-2</v>
      </c>
      <c r="E59" s="43">
        <f t="shared" si="22"/>
        <v>1.7895748258467452E-2</v>
      </c>
      <c r="F59" s="43">
        <f t="shared" si="22"/>
        <v>7.7227960605332699E-2</v>
      </c>
      <c r="G59" s="43">
        <f t="shared" si="22"/>
        <v>2.4021138601969735E-3</v>
      </c>
      <c r="H59" s="43">
        <f t="shared" si="22"/>
        <v>1.9216910881575786E-3</v>
      </c>
      <c r="I59" s="43">
        <f t="shared" si="22"/>
        <v>1.5133317319240933E-2</v>
      </c>
      <c r="J59" s="43">
        <f t="shared" si="22"/>
        <v>1.3692049003122748E-2</v>
      </c>
      <c r="K59" s="43">
        <f t="shared" si="22"/>
        <v>4.0835935623348548E-3</v>
      </c>
      <c r="L59" s="43">
        <f t="shared" si="22"/>
        <v>2.522219553206822E-3</v>
      </c>
      <c r="M59" s="43">
        <f t="shared" si="22"/>
        <v>0.64436704299783809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0.51570415400202629</v>
      </c>
      <c r="D60" s="44">
        <f t="shared" ref="D60:N60" si="23">D58/$O$58</f>
        <v>0.10503208375548802</v>
      </c>
      <c r="E60" s="44">
        <f t="shared" si="23"/>
        <v>5.0320837554880107E-2</v>
      </c>
      <c r="F60" s="44">
        <f t="shared" si="23"/>
        <v>0.2171563660925363</v>
      </c>
      <c r="G60" s="44">
        <f t="shared" si="23"/>
        <v>6.7544748395812221E-3</v>
      </c>
      <c r="H60" s="44">
        <f t="shared" si="23"/>
        <v>5.4035798716649784E-3</v>
      </c>
      <c r="I60" s="44">
        <f t="shared" si="23"/>
        <v>4.2553191489361701E-2</v>
      </c>
      <c r="J60" s="44">
        <f t="shared" si="23"/>
        <v>3.8500506585612972E-2</v>
      </c>
      <c r="K60" s="44">
        <f t="shared" si="23"/>
        <v>1.1482607227288078E-2</v>
      </c>
      <c r="L60" s="44">
        <f t="shared" si="23"/>
        <v>7.0921985815602835E-3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RUBAGA-KABUSU'!D5</f>
        <v>25.07.19</v>
      </c>
      <c r="E5" s="3"/>
      <c r="F5" s="41" t="s">
        <v>1</v>
      </c>
      <c r="G5" s="63" t="str">
        <f>'25.07 RUBAGA-KABUSU'!G5:H5</f>
        <v>CHAD SUPERMARKET</v>
      </c>
      <c r="H5" s="64"/>
      <c r="I5" s="14"/>
      <c r="J5" s="2" t="s">
        <v>5</v>
      </c>
      <c r="K5" s="63" t="str">
        <f>'25.07 RUBAGA-KABUSU'!K5:L5</f>
        <v>MBERE IVAN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KABUSU-RUBAGA'!D6:E6</f>
        <v>KABUSU</v>
      </c>
      <c r="E6" s="64"/>
      <c r="F6" s="2" t="s">
        <v>2</v>
      </c>
      <c r="G6" s="63" t="str">
        <f>'22.07 KABUSU-RUBAGA'!G6:H6</f>
        <v>RUBAGA</v>
      </c>
      <c r="H6" s="64"/>
      <c r="J6" s="2" t="s">
        <v>21</v>
      </c>
      <c r="K6" s="63" t="str">
        <f>'25.07 RUBAGA-KABUSU'!K6:L6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62</v>
      </c>
      <c r="D10" s="50">
        <v>64</v>
      </c>
      <c r="E10" s="50">
        <v>10</v>
      </c>
      <c r="F10" s="50">
        <v>41</v>
      </c>
      <c r="G10" s="50">
        <v>1</v>
      </c>
      <c r="H10" s="50">
        <v>2</v>
      </c>
      <c r="I10" s="50">
        <v>8</v>
      </c>
      <c r="J10" s="50">
        <v>4</v>
      </c>
      <c r="K10" s="50">
        <v>2</v>
      </c>
      <c r="L10" s="50">
        <v>0</v>
      </c>
      <c r="M10" s="50">
        <v>160</v>
      </c>
      <c r="N10" s="50">
        <v>0</v>
      </c>
      <c r="O10" s="15">
        <f t="shared" ref="O10:O57" si="0">SUM(C10:L10,N10)</f>
        <v>194</v>
      </c>
      <c r="P10" s="15">
        <f t="shared" ref="P10:P57" si="1">SUM(C10:N10)</f>
        <v>354</v>
      </c>
      <c r="R10" s="1" t="s">
        <v>6</v>
      </c>
      <c r="S10" s="17">
        <f t="shared" ref="S10:AF10" si="2">SUM(C10:C13)</f>
        <v>244</v>
      </c>
      <c r="T10" s="17">
        <f t="shared" si="2"/>
        <v>201</v>
      </c>
      <c r="U10" s="17">
        <f t="shared" si="2"/>
        <v>27</v>
      </c>
      <c r="V10" s="17">
        <f t="shared" si="2"/>
        <v>169</v>
      </c>
      <c r="W10" s="17">
        <f t="shared" si="2"/>
        <v>2</v>
      </c>
      <c r="X10" s="17">
        <f t="shared" si="2"/>
        <v>2</v>
      </c>
      <c r="Y10" s="17">
        <f t="shared" si="2"/>
        <v>20</v>
      </c>
      <c r="Z10" s="17">
        <f t="shared" si="2"/>
        <v>7</v>
      </c>
      <c r="AA10" s="17">
        <f t="shared" si="2"/>
        <v>2</v>
      </c>
      <c r="AB10" s="17">
        <f t="shared" si="2"/>
        <v>1</v>
      </c>
      <c r="AC10" s="17">
        <f t="shared" si="2"/>
        <v>910</v>
      </c>
      <c r="AD10" s="17">
        <f t="shared" si="2"/>
        <v>0</v>
      </c>
      <c r="AE10" s="31">
        <f t="shared" si="2"/>
        <v>675</v>
      </c>
      <c r="AF10" s="31">
        <f t="shared" si="2"/>
        <v>1585</v>
      </c>
    </row>
    <row r="11" spans="2:32" s="6" customFormat="1" ht="23.1" customHeight="1" x14ac:dyDescent="0.25">
      <c r="B11" s="23" t="s">
        <v>38</v>
      </c>
      <c r="C11" s="50">
        <v>55</v>
      </c>
      <c r="D11" s="50">
        <v>50</v>
      </c>
      <c r="E11" s="50">
        <v>4</v>
      </c>
      <c r="F11" s="50">
        <v>37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210</v>
      </c>
      <c r="N11" s="50">
        <v>0</v>
      </c>
      <c r="O11" s="15">
        <f t="shared" si="0"/>
        <v>149</v>
      </c>
      <c r="P11" s="15">
        <f t="shared" si="1"/>
        <v>359</v>
      </c>
      <c r="R11" s="1" t="s">
        <v>7</v>
      </c>
      <c r="S11" s="17">
        <f t="shared" ref="S11:AF11" si="3">SUM(C14:C17)</f>
        <v>188</v>
      </c>
      <c r="T11" s="17">
        <f t="shared" si="3"/>
        <v>165</v>
      </c>
      <c r="U11" s="17">
        <f t="shared" si="3"/>
        <v>24</v>
      </c>
      <c r="V11" s="17">
        <f t="shared" si="3"/>
        <v>118</v>
      </c>
      <c r="W11" s="17">
        <f t="shared" si="3"/>
        <v>2</v>
      </c>
      <c r="X11" s="17">
        <f t="shared" si="3"/>
        <v>0</v>
      </c>
      <c r="Y11" s="17">
        <f t="shared" si="3"/>
        <v>15</v>
      </c>
      <c r="Z11" s="17">
        <f t="shared" si="3"/>
        <v>9</v>
      </c>
      <c r="AA11" s="17">
        <f t="shared" si="3"/>
        <v>4</v>
      </c>
      <c r="AB11" s="17">
        <f t="shared" si="3"/>
        <v>2</v>
      </c>
      <c r="AC11" s="17">
        <f t="shared" si="3"/>
        <v>1200</v>
      </c>
      <c r="AD11" s="17">
        <f t="shared" si="3"/>
        <v>0</v>
      </c>
      <c r="AE11" s="31">
        <f t="shared" si="3"/>
        <v>527</v>
      </c>
      <c r="AF11" s="31">
        <f t="shared" si="3"/>
        <v>1727</v>
      </c>
    </row>
    <row r="12" spans="2:32" ht="23.1" customHeight="1" x14ac:dyDescent="0.25">
      <c r="B12" s="23" t="s">
        <v>39</v>
      </c>
      <c r="C12" s="50">
        <v>73</v>
      </c>
      <c r="D12" s="50">
        <v>39</v>
      </c>
      <c r="E12" s="50">
        <v>6</v>
      </c>
      <c r="F12" s="50">
        <v>48</v>
      </c>
      <c r="G12" s="50">
        <v>1</v>
      </c>
      <c r="H12" s="50">
        <v>0</v>
      </c>
      <c r="I12" s="50">
        <v>4</v>
      </c>
      <c r="J12" s="50">
        <v>0</v>
      </c>
      <c r="K12" s="50">
        <v>0</v>
      </c>
      <c r="L12" s="50">
        <v>1</v>
      </c>
      <c r="M12" s="50">
        <v>255</v>
      </c>
      <c r="N12" s="50">
        <v>0</v>
      </c>
      <c r="O12" s="15">
        <f t="shared" si="0"/>
        <v>172</v>
      </c>
      <c r="P12" s="15">
        <f t="shared" si="1"/>
        <v>427</v>
      </c>
      <c r="R12" s="1" t="s">
        <v>8</v>
      </c>
      <c r="S12" s="17">
        <f t="shared" ref="S12:AF12" si="4">SUM(C18:C21)</f>
        <v>163</v>
      </c>
      <c r="T12" s="17">
        <f t="shared" si="4"/>
        <v>128</v>
      </c>
      <c r="U12" s="17">
        <f t="shared" si="4"/>
        <v>26</v>
      </c>
      <c r="V12" s="17">
        <f t="shared" si="4"/>
        <v>118</v>
      </c>
      <c r="W12" s="17">
        <f t="shared" si="4"/>
        <v>1</v>
      </c>
      <c r="X12" s="17">
        <f t="shared" si="4"/>
        <v>1</v>
      </c>
      <c r="Y12" s="17">
        <f t="shared" si="4"/>
        <v>16</v>
      </c>
      <c r="Z12" s="17">
        <f t="shared" si="4"/>
        <v>3</v>
      </c>
      <c r="AA12" s="17">
        <f t="shared" si="4"/>
        <v>7</v>
      </c>
      <c r="AB12" s="17">
        <f t="shared" si="4"/>
        <v>1</v>
      </c>
      <c r="AC12" s="17">
        <f t="shared" si="4"/>
        <v>878</v>
      </c>
      <c r="AD12" s="17">
        <f t="shared" si="4"/>
        <v>0</v>
      </c>
      <c r="AE12" s="31">
        <f t="shared" si="4"/>
        <v>464</v>
      </c>
      <c r="AF12" s="31">
        <f t="shared" si="4"/>
        <v>1342</v>
      </c>
    </row>
    <row r="13" spans="2:32" ht="23.1" customHeight="1" x14ac:dyDescent="0.25">
      <c r="B13" s="23" t="s">
        <v>40</v>
      </c>
      <c r="C13" s="50">
        <v>54</v>
      </c>
      <c r="D13" s="50">
        <v>48</v>
      </c>
      <c r="E13" s="50">
        <v>7</v>
      </c>
      <c r="F13" s="50">
        <v>43</v>
      </c>
      <c r="G13" s="50">
        <v>0</v>
      </c>
      <c r="H13" s="50">
        <v>0</v>
      </c>
      <c r="I13" s="50">
        <v>6</v>
      </c>
      <c r="J13" s="50">
        <v>2</v>
      </c>
      <c r="K13" s="50">
        <v>0</v>
      </c>
      <c r="L13" s="50">
        <v>0</v>
      </c>
      <c r="M13" s="50">
        <v>285</v>
      </c>
      <c r="N13" s="50">
        <v>0</v>
      </c>
      <c r="O13" s="15">
        <f t="shared" si="0"/>
        <v>160</v>
      </c>
      <c r="P13" s="15">
        <f t="shared" si="1"/>
        <v>445</v>
      </c>
      <c r="R13" s="1" t="s">
        <v>9</v>
      </c>
      <c r="S13" s="17">
        <f t="shared" ref="S13:AF13" si="5">SUM(C22:C25)</f>
        <v>122</v>
      </c>
      <c r="T13" s="17">
        <f t="shared" si="5"/>
        <v>85</v>
      </c>
      <c r="U13" s="17">
        <f t="shared" si="5"/>
        <v>21</v>
      </c>
      <c r="V13" s="17">
        <f t="shared" si="5"/>
        <v>91</v>
      </c>
      <c r="W13" s="17">
        <f t="shared" si="5"/>
        <v>2</v>
      </c>
      <c r="X13" s="17">
        <f t="shared" si="5"/>
        <v>0</v>
      </c>
      <c r="Y13" s="17">
        <f t="shared" si="5"/>
        <v>9</v>
      </c>
      <c r="Z13" s="17">
        <f t="shared" si="5"/>
        <v>7</v>
      </c>
      <c r="AA13" s="17">
        <f t="shared" si="5"/>
        <v>4</v>
      </c>
      <c r="AB13" s="17">
        <f t="shared" si="5"/>
        <v>4</v>
      </c>
      <c r="AC13" s="17">
        <f t="shared" si="5"/>
        <v>680</v>
      </c>
      <c r="AD13" s="17">
        <f t="shared" si="5"/>
        <v>0</v>
      </c>
      <c r="AE13" s="31">
        <f t="shared" si="5"/>
        <v>345</v>
      </c>
      <c r="AF13" s="31">
        <f t="shared" si="5"/>
        <v>1025</v>
      </c>
    </row>
    <row r="14" spans="2:32" ht="23.1" customHeight="1" x14ac:dyDescent="0.25">
      <c r="B14" s="23" t="s">
        <v>41</v>
      </c>
      <c r="C14" s="50">
        <v>53</v>
      </c>
      <c r="D14" s="50">
        <v>54</v>
      </c>
      <c r="E14" s="50">
        <v>6</v>
      </c>
      <c r="F14" s="50">
        <v>23</v>
      </c>
      <c r="G14" s="50">
        <v>0</v>
      </c>
      <c r="H14" s="50">
        <v>0</v>
      </c>
      <c r="I14" s="50">
        <v>3</v>
      </c>
      <c r="J14" s="50">
        <v>3</v>
      </c>
      <c r="K14" s="50">
        <v>0</v>
      </c>
      <c r="L14" s="50">
        <v>0</v>
      </c>
      <c r="M14" s="50">
        <v>335</v>
      </c>
      <c r="N14" s="50">
        <v>0</v>
      </c>
      <c r="O14" s="15">
        <f t="shared" si="0"/>
        <v>142</v>
      </c>
      <c r="P14" s="15">
        <f t="shared" si="1"/>
        <v>477</v>
      </c>
      <c r="R14" s="1" t="s">
        <v>10</v>
      </c>
      <c r="S14" s="17">
        <f t="shared" ref="S14:AF14" si="6">SUM(C26:C29)</f>
        <v>101</v>
      </c>
      <c r="T14" s="17">
        <f t="shared" si="6"/>
        <v>81</v>
      </c>
      <c r="U14" s="17">
        <f t="shared" si="6"/>
        <v>22</v>
      </c>
      <c r="V14" s="17">
        <f t="shared" si="6"/>
        <v>101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11</v>
      </c>
      <c r="AA14" s="17">
        <f t="shared" si="6"/>
        <v>3</v>
      </c>
      <c r="AB14" s="17">
        <f t="shared" si="6"/>
        <v>2</v>
      </c>
      <c r="AC14" s="17">
        <f t="shared" si="6"/>
        <v>770</v>
      </c>
      <c r="AD14" s="17">
        <f t="shared" si="6"/>
        <v>0</v>
      </c>
      <c r="AE14" s="31">
        <f t="shared" si="6"/>
        <v>335</v>
      </c>
      <c r="AF14" s="31">
        <f t="shared" si="6"/>
        <v>1105</v>
      </c>
    </row>
    <row r="15" spans="2:32" ht="23.1" customHeight="1" x14ac:dyDescent="0.25">
      <c r="B15" s="23" t="s">
        <v>42</v>
      </c>
      <c r="C15" s="50">
        <v>41</v>
      </c>
      <c r="D15" s="50">
        <v>49</v>
      </c>
      <c r="E15" s="50">
        <v>8</v>
      </c>
      <c r="F15" s="50">
        <v>37</v>
      </c>
      <c r="G15" s="50">
        <v>2</v>
      </c>
      <c r="H15" s="50">
        <v>0</v>
      </c>
      <c r="I15" s="50">
        <v>5</v>
      </c>
      <c r="J15" s="50">
        <v>3</v>
      </c>
      <c r="K15" s="50">
        <v>0</v>
      </c>
      <c r="L15" s="50">
        <v>0</v>
      </c>
      <c r="M15" s="50">
        <v>265</v>
      </c>
      <c r="N15" s="50">
        <v>0</v>
      </c>
      <c r="O15" s="15">
        <f t="shared" si="0"/>
        <v>145</v>
      </c>
      <c r="P15" s="15">
        <f t="shared" si="1"/>
        <v>410</v>
      </c>
      <c r="R15" s="1" t="s">
        <v>11</v>
      </c>
      <c r="S15" s="17">
        <f t="shared" ref="S15:AF15" si="7">SUM(C30:C33)</f>
        <v>82</v>
      </c>
      <c r="T15" s="17">
        <f t="shared" si="7"/>
        <v>90</v>
      </c>
      <c r="U15" s="17">
        <f t="shared" si="7"/>
        <v>22</v>
      </c>
      <c r="V15" s="17">
        <f t="shared" si="7"/>
        <v>89</v>
      </c>
      <c r="W15" s="17">
        <f t="shared" si="7"/>
        <v>1</v>
      </c>
      <c r="X15" s="17">
        <f t="shared" si="7"/>
        <v>1</v>
      </c>
      <c r="Y15" s="17">
        <f t="shared" si="7"/>
        <v>18</v>
      </c>
      <c r="Z15" s="17">
        <f t="shared" si="7"/>
        <v>10</v>
      </c>
      <c r="AA15" s="17">
        <f t="shared" si="7"/>
        <v>8</v>
      </c>
      <c r="AB15" s="17">
        <f t="shared" si="7"/>
        <v>3</v>
      </c>
      <c r="AC15" s="17">
        <f t="shared" si="7"/>
        <v>748</v>
      </c>
      <c r="AD15" s="17">
        <f t="shared" si="7"/>
        <v>0</v>
      </c>
      <c r="AE15" s="31">
        <f t="shared" si="7"/>
        <v>324</v>
      </c>
      <c r="AF15" s="31">
        <f t="shared" si="7"/>
        <v>1072</v>
      </c>
    </row>
    <row r="16" spans="2:32" ht="23.1" customHeight="1" x14ac:dyDescent="0.25">
      <c r="B16" s="23" t="s">
        <v>43</v>
      </c>
      <c r="C16" s="50">
        <v>43</v>
      </c>
      <c r="D16" s="50">
        <v>29</v>
      </c>
      <c r="E16" s="50">
        <v>6</v>
      </c>
      <c r="F16" s="50">
        <v>37</v>
      </c>
      <c r="G16" s="50">
        <v>0</v>
      </c>
      <c r="H16" s="50">
        <v>0</v>
      </c>
      <c r="I16" s="50">
        <v>5</v>
      </c>
      <c r="J16" s="50">
        <v>2</v>
      </c>
      <c r="K16" s="50">
        <v>3</v>
      </c>
      <c r="L16" s="50">
        <v>1</v>
      </c>
      <c r="M16" s="50">
        <v>305</v>
      </c>
      <c r="N16" s="50">
        <v>0</v>
      </c>
      <c r="O16" s="15">
        <f t="shared" si="0"/>
        <v>126</v>
      </c>
      <c r="P16" s="15">
        <f t="shared" si="1"/>
        <v>431</v>
      </c>
      <c r="R16" s="1" t="s">
        <v>12</v>
      </c>
      <c r="S16" s="17">
        <f t="shared" ref="S16:AF16" si="8">SUM(C34:C37)</f>
        <v>105</v>
      </c>
      <c r="T16" s="17">
        <f t="shared" si="8"/>
        <v>96</v>
      </c>
      <c r="U16" s="17">
        <f t="shared" si="8"/>
        <v>23</v>
      </c>
      <c r="V16" s="17">
        <f t="shared" si="8"/>
        <v>71</v>
      </c>
      <c r="W16" s="17">
        <f t="shared" si="8"/>
        <v>0</v>
      </c>
      <c r="X16" s="17">
        <f t="shared" si="8"/>
        <v>1</v>
      </c>
      <c r="Y16" s="17">
        <f t="shared" si="8"/>
        <v>17</v>
      </c>
      <c r="Z16" s="17">
        <f t="shared" si="8"/>
        <v>17</v>
      </c>
      <c r="AA16" s="17">
        <f t="shared" si="8"/>
        <v>6</v>
      </c>
      <c r="AB16" s="17">
        <f t="shared" si="8"/>
        <v>3</v>
      </c>
      <c r="AC16" s="17">
        <f t="shared" si="8"/>
        <v>736</v>
      </c>
      <c r="AD16" s="17">
        <f t="shared" si="8"/>
        <v>0</v>
      </c>
      <c r="AE16" s="31">
        <f t="shared" si="8"/>
        <v>339</v>
      </c>
      <c r="AF16" s="31">
        <f t="shared" si="8"/>
        <v>1075</v>
      </c>
    </row>
    <row r="17" spans="2:32" ht="23.1" customHeight="1" x14ac:dyDescent="0.25">
      <c r="B17" s="23" t="s">
        <v>44</v>
      </c>
      <c r="C17" s="50">
        <v>51</v>
      </c>
      <c r="D17" s="50">
        <v>33</v>
      </c>
      <c r="E17" s="50">
        <v>4</v>
      </c>
      <c r="F17" s="50">
        <v>21</v>
      </c>
      <c r="G17" s="50">
        <v>0</v>
      </c>
      <c r="H17" s="50">
        <v>0</v>
      </c>
      <c r="I17" s="50">
        <v>2</v>
      </c>
      <c r="J17" s="50">
        <v>1</v>
      </c>
      <c r="K17" s="50">
        <v>1</v>
      </c>
      <c r="L17" s="50">
        <v>1</v>
      </c>
      <c r="M17" s="50">
        <v>295</v>
      </c>
      <c r="N17" s="50">
        <v>0</v>
      </c>
      <c r="O17" s="15">
        <f t="shared" si="0"/>
        <v>114</v>
      </c>
      <c r="P17" s="15">
        <f t="shared" si="1"/>
        <v>409</v>
      </c>
      <c r="R17" s="1" t="s">
        <v>13</v>
      </c>
      <c r="S17" s="17">
        <f t="shared" ref="S17:AF17" si="9">SUM(C38:C41)</f>
        <v>104</v>
      </c>
      <c r="T17" s="17">
        <f t="shared" si="9"/>
        <v>56</v>
      </c>
      <c r="U17" s="17">
        <f t="shared" si="9"/>
        <v>10</v>
      </c>
      <c r="V17" s="17">
        <f t="shared" si="9"/>
        <v>82</v>
      </c>
      <c r="W17" s="17">
        <f t="shared" si="9"/>
        <v>1</v>
      </c>
      <c r="X17" s="17">
        <f t="shared" si="9"/>
        <v>2</v>
      </c>
      <c r="Y17" s="17">
        <f t="shared" si="9"/>
        <v>29</v>
      </c>
      <c r="Z17" s="17">
        <f t="shared" si="9"/>
        <v>8</v>
      </c>
      <c r="AA17" s="17">
        <f t="shared" si="9"/>
        <v>9</v>
      </c>
      <c r="AB17" s="17">
        <f t="shared" si="9"/>
        <v>2</v>
      </c>
      <c r="AC17" s="17">
        <f t="shared" si="9"/>
        <v>708</v>
      </c>
      <c r="AD17" s="17">
        <f t="shared" si="9"/>
        <v>0</v>
      </c>
      <c r="AE17" s="31">
        <f t="shared" si="9"/>
        <v>303</v>
      </c>
      <c r="AF17" s="31">
        <f t="shared" si="9"/>
        <v>1011</v>
      </c>
    </row>
    <row r="18" spans="2:32" ht="23.1" customHeight="1" x14ac:dyDescent="0.25">
      <c r="B18" s="23" t="s">
        <v>45</v>
      </c>
      <c r="C18" s="50">
        <v>54</v>
      </c>
      <c r="D18" s="50">
        <v>40</v>
      </c>
      <c r="E18" s="50">
        <v>5</v>
      </c>
      <c r="F18" s="50">
        <v>40</v>
      </c>
      <c r="G18" s="50">
        <v>0</v>
      </c>
      <c r="H18" s="50">
        <v>0</v>
      </c>
      <c r="I18" s="50">
        <v>3</v>
      </c>
      <c r="J18" s="50">
        <v>0</v>
      </c>
      <c r="K18" s="50">
        <v>2</v>
      </c>
      <c r="L18" s="50">
        <v>0</v>
      </c>
      <c r="M18" s="50">
        <v>305</v>
      </c>
      <c r="N18" s="50">
        <v>0</v>
      </c>
      <c r="O18" s="15">
        <f t="shared" si="0"/>
        <v>144</v>
      </c>
      <c r="P18" s="15">
        <f t="shared" si="1"/>
        <v>449</v>
      </c>
      <c r="R18" s="1" t="s">
        <v>14</v>
      </c>
      <c r="S18" s="17">
        <f t="shared" ref="S18:AF18" si="10">SUM(C42:C45)</f>
        <v>94</v>
      </c>
      <c r="T18" s="17">
        <f t="shared" si="10"/>
        <v>92</v>
      </c>
      <c r="U18" s="17">
        <f t="shared" si="10"/>
        <v>22</v>
      </c>
      <c r="V18" s="17">
        <f t="shared" si="10"/>
        <v>79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3</v>
      </c>
      <c r="AA18" s="17">
        <f t="shared" si="10"/>
        <v>2</v>
      </c>
      <c r="AB18" s="17">
        <f t="shared" si="10"/>
        <v>2</v>
      </c>
      <c r="AC18" s="17">
        <f t="shared" si="10"/>
        <v>566</v>
      </c>
      <c r="AD18" s="17">
        <f t="shared" si="10"/>
        <v>0</v>
      </c>
      <c r="AE18" s="31">
        <f t="shared" si="10"/>
        <v>308</v>
      </c>
      <c r="AF18" s="31">
        <f t="shared" si="10"/>
        <v>874</v>
      </c>
    </row>
    <row r="19" spans="2:32" ht="23.1" customHeight="1" x14ac:dyDescent="0.25">
      <c r="B19" s="23" t="s">
        <v>46</v>
      </c>
      <c r="C19" s="50">
        <v>37</v>
      </c>
      <c r="D19" s="50">
        <v>40</v>
      </c>
      <c r="E19" s="50">
        <v>6</v>
      </c>
      <c r="F19" s="50">
        <v>32</v>
      </c>
      <c r="G19" s="50">
        <v>0</v>
      </c>
      <c r="H19" s="50">
        <v>1</v>
      </c>
      <c r="I19" s="50">
        <v>3</v>
      </c>
      <c r="J19" s="50">
        <v>0</v>
      </c>
      <c r="K19" s="50">
        <v>2</v>
      </c>
      <c r="L19" s="50">
        <v>1</v>
      </c>
      <c r="M19" s="50">
        <v>175</v>
      </c>
      <c r="N19" s="50">
        <v>0</v>
      </c>
      <c r="O19" s="15">
        <f t="shared" si="0"/>
        <v>122</v>
      </c>
      <c r="P19" s="15">
        <f t="shared" si="1"/>
        <v>297</v>
      </c>
      <c r="R19" s="1" t="s">
        <v>15</v>
      </c>
      <c r="S19" s="17">
        <f t="shared" ref="S19:AF19" si="11">SUM(C46:C49)</f>
        <v>91</v>
      </c>
      <c r="T19" s="17">
        <f t="shared" si="11"/>
        <v>63</v>
      </c>
      <c r="U19" s="17">
        <f t="shared" si="11"/>
        <v>15</v>
      </c>
      <c r="V19" s="17">
        <f t="shared" si="11"/>
        <v>77</v>
      </c>
      <c r="W19" s="17">
        <f t="shared" si="11"/>
        <v>5</v>
      </c>
      <c r="X19" s="17">
        <f t="shared" si="11"/>
        <v>2</v>
      </c>
      <c r="Y19" s="17">
        <f t="shared" si="11"/>
        <v>24</v>
      </c>
      <c r="Z19" s="17">
        <f t="shared" si="11"/>
        <v>5</v>
      </c>
      <c r="AA19" s="17">
        <f t="shared" si="11"/>
        <v>3</v>
      </c>
      <c r="AB19" s="17">
        <f t="shared" si="11"/>
        <v>2</v>
      </c>
      <c r="AC19" s="17">
        <f t="shared" si="11"/>
        <v>503</v>
      </c>
      <c r="AD19" s="17">
        <f t="shared" si="11"/>
        <v>0</v>
      </c>
      <c r="AE19" s="31">
        <f t="shared" si="11"/>
        <v>287</v>
      </c>
      <c r="AF19" s="31">
        <f t="shared" si="11"/>
        <v>790</v>
      </c>
    </row>
    <row r="20" spans="2:32" ht="23.1" customHeight="1" x14ac:dyDescent="0.25">
      <c r="B20" s="23" t="s">
        <v>47</v>
      </c>
      <c r="C20" s="50">
        <v>34</v>
      </c>
      <c r="D20" s="50">
        <v>29</v>
      </c>
      <c r="E20" s="50">
        <v>7</v>
      </c>
      <c r="F20" s="50">
        <v>26</v>
      </c>
      <c r="G20" s="50">
        <v>0</v>
      </c>
      <c r="H20" s="50">
        <v>0</v>
      </c>
      <c r="I20" s="50">
        <v>5</v>
      </c>
      <c r="J20" s="50">
        <v>1</v>
      </c>
      <c r="K20" s="50">
        <v>1</v>
      </c>
      <c r="L20" s="50">
        <v>0</v>
      </c>
      <c r="M20" s="50">
        <v>180</v>
      </c>
      <c r="N20" s="50">
        <v>0</v>
      </c>
      <c r="O20" s="15">
        <f t="shared" si="0"/>
        <v>103</v>
      </c>
      <c r="P20" s="15">
        <f t="shared" si="1"/>
        <v>283</v>
      </c>
      <c r="R20" s="1" t="s">
        <v>16</v>
      </c>
      <c r="S20" s="17">
        <f t="shared" ref="S20:AF20" si="12">SUM(C50:C53)</f>
        <v>97</v>
      </c>
      <c r="T20" s="17">
        <f t="shared" si="12"/>
        <v>79</v>
      </c>
      <c r="U20" s="17">
        <f t="shared" si="12"/>
        <v>17</v>
      </c>
      <c r="V20" s="17">
        <f t="shared" si="12"/>
        <v>99</v>
      </c>
      <c r="W20" s="17">
        <f t="shared" si="12"/>
        <v>0</v>
      </c>
      <c r="X20" s="17">
        <f t="shared" si="12"/>
        <v>2</v>
      </c>
      <c r="Y20" s="17">
        <f t="shared" si="12"/>
        <v>14</v>
      </c>
      <c r="Z20" s="17">
        <f t="shared" si="12"/>
        <v>9</v>
      </c>
      <c r="AA20" s="17">
        <f t="shared" si="12"/>
        <v>2</v>
      </c>
      <c r="AB20" s="17">
        <f t="shared" si="12"/>
        <v>2</v>
      </c>
      <c r="AC20" s="17">
        <f t="shared" si="12"/>
        <v>471</v>
      </c>
      <c r="AD20" s="17">
        <f t="shared" si="12"/>
        <v>0</v>
      </c>
      <c r="AE20" s="31">
        <f t="shared" si="12"/>
        <v>321</v>
      </c>
      <c r="AF20" s="31">
        <f t="shared" si="12"/>
        <v>792</v>
      </c>
    </row>
    <row r="21" spans="2:32" ht="23.1" customHeight="1" x14ac:dyDescent="0.25">
      <c r="B21" s="23" t="s">
        <v>48</v>
      </c>
      <c r="C21" s="50">
        <v>38</v>
      </c>
      <c r="D21" s="50">
        <v>19</v>
      </c>
      <c r="E21" s="50">
        <v>8</v>
      </c>
      <c r="F21" s="50">
        <v>20</v>
      </c>
      <c r="G21" s="50">
        <v>1</v>
      </c>
      <c r="H21" s="50">
        <v>0</v>
      </c>
      <c r="I21" s="50">
        <v>5</v>
      </c>
      <c r="J21" s="50">
        <v>2</v>
      </c>
      <c r="K21" s="50">
        <v>2</v>
      </c>
      <c r="L21" s="50">
        <v>0</v>
      </c>
      <c r="M21" s="50">
        <v>218</v>
      </c>
      <c r="N21" s="50">
        <v>0</v>
      </c>
      <c r="O21" s="15">
        <f t="shared" si="0"/>
        <v>95</v>
      </c>
      <c r="P21" s="15">
        <f t="shared" si="1"/>
        <v>313</v>
      </c>
      <c r="R21" s="36" t="s">
        <v>20</v>
      </c>
      <c r="S21" s="34">
        <f t="shared" ref="S21:AF21" si="13">SUM(C54:C57)</f>
        <v>111</v>
      </c>
      <c r="T21" s="17">
        <f t="shared" si="13"/>
        <v>92</v>
      </c>
      <c r="U21" s="17">
        <f t="shared" si="13"/>
        <v>20</v>
      </c>
      <c r="V21" s="17">
        <f t="shared" si="13"/>
        <v>129</v>
      </c>
      <c r="W21" s="17">
        <f t="shared" si="13"/>
        <v>1</v>
      </c>
      <c r="X21" s="17">
        <f t="shared" si="13"/>
        <v>1</v>
      </c>
      <c r="Y21" s="17">
        <f t="shared" si="13"/>
        <v>9</v>
      </c>
      <c r="Z21" s="17">
        <f t="shared" si="13"/>
        <v>4</v>
      </c>
      <c r="AA21" s="17">
        <f t="shared" si="13"/>
        <v>0</v>
      </c>
      <c r="AB21" s="17">
        <f t="shared" si="13"/>
        <v>1</v>
      </c>
      <c r="AC21" s="17">
        <f t="shared" si="13"/>
        <v>755</v>
      </c>
      <c r="AD21" s="17">
        <f t="shared" si="13"/>
        <v>0</v>
      </c>
      <c r="AE21" s="31">
        <f t="shared" si="13"/>
        <v>368</v>
      </c>
      <c r="AF21" s="31">
        <f t="shared" si="13"/>
        <v>1123</v>
      </c>
    </row>
    <row r="22" spans="2:32" ht="23.1" customHeight="1" x14ac:dyDescent="0.25">
      <c r="B22" s="23" t="s">
        <v>49</v>
      </c>
      <c r="C22" s="50">
        <v>33</v>
      </c>
      <c r="D22" s="50">
        <v>15</v>
      </c>
      <c r="E22" s="50">
        <v>4</v>
      </c>
      <c r="F22" s="50">
        <v>30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162</v>
      </c>
      <c r="N22" s="50">
        <v>0</v>
      </c>
      <c r="O22" s="15">
        <f t="shared" si="0"/>
        <v>84</v>
      </c>
      <c r="P22" s="15">
        <f t="shared" si="1"/>
        <v>246</v>
      </c>
      <c r="R22" s="38" t="s">
        <v>90</v>
      </c>
      <c r="S22" s="39">
        <f>MAX(S10:S12)</f>
        <v>244</v>
      </c>
      <c r="T22" s="39">
        <f t="shared" ref="T22:AF22" si="14">MAX(T10:T12)</f>
        <v>201</v>
      </c>
      <c r="U22" s="39">
        <f t="shared" si="14"/>
        <v>27</v>
      </c>
      <c r="V22" s="39">
        <f t="shared" si="14"/>
        <v>169</v>
      </c>
      <c r="W22" s="39">
        <f t="shared" si="14"/>
        <v>2</v>
      </c>
      <c r="X22" s="39">
        <f t="shared" si="14"/>
        <v>2</v>
      </c>
      <c r="Y22" s="39">
        <f t="shared" si="14"/>
        <v>20</v>
      </c>
      <c r="Z22" s="39">
        <f t="shared" si="14"/>
        <v>9</v>
      </c>
      <c r="AA22" s="39">
        <f t="shared" si="14"/>
        <v>7</v>
      </c>
      <c r="AB22" s="39">
        <f t="shared" si="14"/>
        <v>2</v>
      </c>
      <c r="AC22" s="39">
        <f t="shared" si="14"/>
        <v>1200</v>
      </c>
      <c r="AD22" s="39">
        <f t="shared" si="14"/>
        <v>0</v>
      </c>
      <c r="AE22" s="40">
        <f t="shared" si="14"/>
        <v>675</v>
      </c>
      <c r="AF22" s="40">
        <f t="shared" si="14"/>
        <v>1727</v>
      </c>
    </row>
    <row r="23" spans="2:32" ht="23.1" customHeight="1" x14ac:dyDescent="0.25">
      <c r="B23" s="23" t="s">
        <v>50</v>
      </c>
      <c r="C23" s="50">
        <v>34</v>
      </c>
      <c r="D23" s="50">
        <v>28</v>
      </c>
      <c r="E23" s="50">
        <v>4</v>
      </c>
      <c r="F23" s="50">
        <v>19</v>
      </c>
      <c r="G23" s="50">
        <v>0</v>
      </c>
      <c r="H23" s="50">
        <v>0</v>
      </c>
      <c r="I23" s="50">
        <v>5</v>
      </c>
      <c r="J23" s="50">
        <v>2</v>
      </c>
      <c r="K23" s="50">
        <v>3</v>
      </c>
      <c r="L23" s="50">
        <v>0</v>
      </c>
      <c r="M23" s="50">
        <v>177</v>
      </c>
      <c r="N23" s="50">
        <v>0</v>
      </c>
      <c r="O23" s="15">
        <f t="shared" si="0"/>
        <v>95</v>
      </c>
      <c r="P23" s="15">
        <f t="shared" si="1"/>
        <v>272</v>
      </c>
      <c r="R23" s="38" t="s">
        <v>91</v>
      </c>
      <c r="S23" s="39">
        <f>MAX(S13:S18)</f>
        <v>122</v>
      </c>
      <c r="T23" s="39">
        <f t="shared" ref="T23:AF23" si="15">MAX(T13:T18)</f>
        <v>96</v>
      </c>
      <c r="U23" s="39">
        <f t="shared" si="15"/>
        <v>23</v>
      </c>
      <c r="V23" s="39">
        <f t="shared" si="15"/>
        <v>101</v>
      </c>
      <c r="W23" s="39">
        <f t="shared" si="15"/>
        <v>2</v>
      </c>
      <c r="X23" s="39">
        <f t="shared" si="15"/>
        <v>2</v>
      </c>
      <c r="Y23" s="39">
        <f t="shared" si="15"/>
        <v>29</v>
      </c>
      <c r="Z23" s="39">
        <f t="shared" si="15"/>
        <v>17</v>
      </c>
      <c r="AA23" s="39">
        <f t="shared" si="15"/>
        <v>9</v>
      </c>
      <c r="AB23" s="39">
        <f t="shared" si="15"/>
        <v>4</v>
      </c>
      <c r="AC23" s="39">
        <f t="shared" si="15"/>
        <v>770</v>
      </c>
      <c r="AD23" s="39">
        <f t="shared" si="15"/>
        <v>0</v>
      </c>
      <c r="AE23" s="40">
        <f t="shared" si="15"/>
        <v>345</v>
      </c>
      <c r="AF23" s="40">
        <f t="shared" si="15"/>
        <v>1105</v>
      </c>
    </row>
    <row r="24" spans="2:32" ht="23.1" customHeight="1" x14ac:dyDescent="0.25">
      <c r="B24" s="23" t="s">
        <v>51</v>
      </c>
      <c r="C24" s="50">
        <v>26</v>
      </c>
      <c r="D24" s="50">
        <v>22</v>
      </c>
      <c r="E24" s="50">
        <v>7</v>
      </c>
      <c r="F24" s="50">
        <v>25</v>
      </c>
      <c r="G24" s="50">
        <v>2</v>
      </c>
      <c r="H24" s="50">
        <v>0</v>
      </c>
      <c r="I24" s="50">
        <v>1</v>
      </c>
      <c r="J24" s="50">
        <v>4</v>
      </c>
      <c r="K24" s="50">
        <v>0</v>
      </c>
      <c r="L24" s="50">
        <v>3</v>
      </c>
      <c r="M24" s="50">
        <v>153</v>
      </c>
      <c r="N24" s="50">
        <v>0</v>
      </c>
      <c r="O24" s="15">
        <f t="shared" si="0"/>
        <v>90</v>
      </c>
      <c r="P24" s="15">
        <f t="shared" si="1"/>
        <v>243</v>
      </c>
      <c r="R24" s="38" t="s">
        <v>92</v>
      </c>
      <c r="S24" s="39">
        <f>MAX(S19:S21)</f>
        <v>111</v>
      </c>
      <c r="T24" s="39">
        <f t="shared" ref="T24:AF24" si="16">MAX(T19:T21)</f>
        <v>92</v>
      </c>
      <c r="U24" s="39">
        <f t="shared" si="16"/>
        <v>20</v>
      </c>
      <c r="V24" s="39">
        <f t="shared" si="16"/>
        <v>129</v>
      </c>
      <c r="W24" s="39">
        <f t="shared" si="16"/>
        <v>5</v>
      </c>
      <c r="X24" s="39">
        <f t="shared" si="16"/>
        <v>2</v>
      </c>
      <c r="Y24" s="39">
        <f t="shared" si="16"/>
        <v>24</v>
      </c>
      <c r="Z24" s="39">
        <f t="shared" si="16"/>
        <v>9</v>
      </c>
      <c r="AA24" s="39">
        <f t="shared" si="16"/>
        <v>3</v>
      </c>
      <c r="AB24" s="39">
        <f t="shared" si="16"/>
        <v>2</v>
      </c>
      <c r="AC24" s="39">
        <f t="shared" si="16"/>
        <v>755</v>
      </c>
      <c r="AD24" s="39">
        <f t="shared" si="16"/>
        <v>0</v>
      </c>
      <c r="AE24" s="40">
        <f t="shared" si="16"/>
        <v>368</v>
      </c>
      <c r="AF24" s="40">
        <f t="shared" si="16"/>
        <v>1123</v>
      </c>
    </row>
    <row r="25" spans="2:32" ht="23.1" customHeight="1" x14ac:dyDescent="0.25">
      <c r="B25" s="23" t="s">
        <v>52</v>
      </c>
      <c r="C25" s="50">
        <v>29</v>
      </c>
      <c r="D25" s="50">
        <v>20</v>
      </c>
      <c r="E25" s="50">
        <v>6</v>
      </c>
      <c r="F25" s="50">
        <v>17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1</v>
      </c>
      <c r="M25" s="50">
        <v>188</v>
      </c>
      <c r="N25" s="50">
        <v>0</v>
      </c>
      <c r="O25" s="15">
        <f t="shared" si="0"/>
        <v>76</v>
      </c>
      <c r="P25" s="15">
        <f t="shared" si="1"/>
        <v>264</v>
      </c>
      <c r="R25" s="37" t="s">
        <v>85</v>
      </c>
      <c r="S25" s="35">
        <f t="shared" ref="S25:AF25" si="17">SUM(S10:S12)</f>
        <v>595</v>
      </c>
      <c r="T25" s="16">
        <f t="shared" si="17"/>
        <v>494</v>
      </c>
      <c r="U25" s="16">
        <f t="shared" si="17"/>
        <v>77</v>
      </c>
      <c r="V25" s="16">
        <f t="shared" si="17"/>
        <v>405</v>
      </c>
      <c r="W25" s="16">
        <f t="shared" si="17"/>
        <v>5</v>
      </c>
      <c r="X25" s="16">
        <f t="shared" si="17"/>
        <v>3</v>
      </c>
      <c r="Y25" s="16">
        <f t="shared" si="17"/>
        <v>51</v>
      </c>
      <c r="Z25" s="16">
        <f t="shared" si="17"/>
        <v>19</v>
      </c>
      <c r="AA25" s="16">
        <f t="shared" si="17"/>
        <v>13</v>
      </c>
      <c r="AB25" s="16">
        <f t="shared" si="17"/>
        <v>4</v>
      </c>
      <c r="AC25" s="16">
        <f t="shared" si="17"/>
        <v>2988</v>
      </c>
      <c r="AD25" s="16">
        <f t="shared" si="17"/>
        <v>0</v>
      </c>
      <c r="AE25" s="32">
        <f t="shared" si="17"/>
        <v>1666</v>
      </c>
      <c r="AF25" s="32">
        <f t="shared" si="17"/>
        <v>4654</v>
      </c>
    </row>
    <row r="26" spans="2:32" ht="23.1" customHeight="1" x14ac:dyDescent="0.25">
      <c r="B26" s="23" t="s">
        <v>53</v>
      </c>
      <c r="C26" s="50">
        <v>27</v>
      </c>
      <c r="D26" s="50">
        <v>17</v>
      </c>
      <c r="E26" s="50">
        <v>4</v>
      </c>
      <c r="F26" s="50">
        <v>23</v>
      </c>
      <c r="G26" s="50">
        <v>0</v>
      </c>
      <c r="H26" s="50">
        <v>0</v>
      </c>
      <c r="I26" s="50">
        <v>3</v>
      </c>
      <c r="J26" s="50">
        <v>4</v>
      </c>
      <c r="K26" s="50">
        <v>0</v>
      </c>
      <c r="L26" s="50">
        <v>2</v>
      </c>
      <c r="M26" s="50">
        <v>225</v>
      </c>
      <c r="N26" s="50">
        <v>0</v>
      </c>
      <c r="O26" s="15">
        <f t="shared" si="0"/>
        <v>80</v>
      </c>
      <c r="P26" s="15">
        <f t="shared" si="1"/>
        <v>305</v>
      </c>
      <c r="R26" s="28" t="s">
        <v>86</v>
      </c>
      <c r="S26" s="16">
        <f t="shared" ref="S26:AF26" si="18">SUM(S13:S18)</f>
        <v>608</v>
      </c>
      <c r="T26" s="16">
        <f t="shared" si="18"/>
        <v>500</v>
      </c>
      <c r="U26" s="16">
        <f t="shared" si="18"/>
        <v>120</v>
      </c>
      <c r="V26" s="16">
        <f t="shared" si="18"/>
        <v>513</v>
      </c>
      <c r="W26" s="16">
        <f t="shared" si="18"/>
        <v>4</v>
      </c>
      <c r="X26" s="16">
        <f t="shared" si="18"/>
        <v>4</v>
      </c>
      <c r="Y26" s="16">
        <f t="shared" si="18"/>
        <v>101</v>
      </c>
      <c r="Z26" s="16">
        <f t="shared" si="18"/>
        <v>56</v>
      </c>
      <c r="AA26" s="16">
        <f t="shared" si="18"/>
        <v>32</v>
      </c>
      <c r="AB26" s="16">
        <f t="shared" si="18"/>
        <v>16</v>
      </c>
      <c r="AC26" s="16">
        <f t="shared" si="18"/>
        <v>4208</v>
      </c>
      <c r="AD26" s="16">
        <f t="shared" si="18"/>
        <v>0</v>
      </c>
      <c r="AE26" s="32">
        <f t="shared" si="18"/>
        <v>1954</v>
      </c>
      <c r="AF26" s="32">
        <f t="shared" si="18"/>
        <v>6162</v>
      </c>
    </row>
    <row r="27" spans="2:32" ht="23.1" customHeight="1" x14ac:dyDescent="0.25">
      <c r="B27" s="23" t="s">
        <v>54</v>
      </c>
      <c r="C27" s="50">
        <v>24</v>
      </c>
      <c r="D27" s="50">
        <v>25</v>
      </c>
      <c r="E27" s="50">
        <v>9</v>
      </c>
      <c r="F27" s="50">
        <v>32</v>
      </c>
      <c r="G27" s="50">
        <v>0</v>
      </c>
      <c r="H27" s="50">
        <v>0</v>
      </c>
      <c r="I27" s="50">
        <v>5</v>
      </c>
      <c r="J27" s="50">
        <v>1</v>
      </c>
      <c r="K27" s="50">
        <v>0</v>
      </c>
      <c r="L27" s="50">
        <v>0</v>
      </c>
      <c r="M27" s="50">
        <v>170</v>
      </c>
      <c r="N27" s="50">
        <v>0</v>
      </c>
      <c r="O27" s="15">
        <f t="shared" si="0"/>
        <v>96</v>
      </c>
      <c r="P27" s="15">
        <f t="shared" si="1"/>
        <v>266</v>
      </c>
      <c r="R27" s="29" t="s">
        <v>87</v>
      </c>
      <c r="S27" s="16">
        <f t="shared" ref="S27:AF27" si="19">SUM(S19:S21)</f>
        <v>299</v>
      </c>
      <c r="T27" s="16">
        <f t="shared" si="19"/>
        <v>234</v>
      </c>
      <c r="U27" s="16">
        <f t="shared" si="19"/>
        <v>52</v>
      </c>
      <c r="V27" s="16">
        <f t="shared" si="19"/>
        <v>305</v>
      </c>
      <c r="W27" s="16">
        <f t="shared" si="19"/>
        <v>6</v>
      </c>
      <c r="X27" s="16">
        <f t="shared" si="19"/>
        <v>5</v>
      </c>
      <c r="Y27" s="16">
        <f t="shared" si="19"/>
        <v>47</v>
      </c>
      <c r="Z27" s="16">
        <f t="shared" si="19"/>
        <v>18</v>
      </c>
      <c r="AA27" s="16">
        <f t="shared" si="19"/>
        <v>5</v>
      </c>
      <c r="AB27" s="16">
        <f t="shared" si="19"/>
        <v>5</v>
      </c>
      <c r="AC27" s="16">
        <f t="shared" si="19"/>
        <v>1729</v>
      </c>
      <c r="AD27" s="16">
        <f t="shared" si="19"/>
        <v>0</v>
      </c>
      <c r="AE27" s="32">
        <f t="shared" si="19"/>
        <v>976</v>
      </c>
      <c r="AF27" s="32">
        <f t="shared" si="19"/>
        <v>2705</v>
      </c>
    </row>
    <row r="28" spans="2:32" ht="23.1" customHeight="1" x14ac:dyDescent="0.25">
      <c r="B28" s="23" t="s">
        <v>55</v>
      </c>
      <c r="C28" s="50">
        <v>29</v>
      </c>
      <c r="D28" s="50">
        <v>22</v>
      </c>
      <c r="E28" s="50">
        <v>2</v>
      </c>
      <c r="F28" s="50">
        <v>20</v>
      </c>
      <c r="G28" s="50">
        <v>0</v>
      </c>
      <c r="H28" s="50">
        <v>0</v>
      </c>
      <c r="I28" s="50">
        <v>1</v>
      </c>
      <c r="J28" s="50">
        <v>2</v>
      </c>
      <c r="K28" s="50">
        <v>1</v>
      </c>
      <c r="L28" s="50">
        <v>0</v>
      </c>
      <c r="M28" s="50">
        <v>180</v>
      </c>
      <c r="N28" s="50">
        <v>0</v>
      </c>
      <c r="O28" s="15">
        <f t="shared" si="0"/>
        <v>77</v>
      </c>
      <c r="P28" s="15">
        <f t="shared" si="1"/>
        <v>257</v>
      </c>
      <c r="R28" s="5" t="s">
        <v>17</v>
      </c>
      <c r="S28" s="16">
        <f t="shared" ref="S28:AF28" si="20">SUM(S10:S21)</f>
        <v>1502</v>
      </c>
      <c r="T28" s="16">
        <f t="shared" si="20"/>
        <v>1228</v>
      </c>
      <c r="U28" s="16">
        <f t="shared" si="20"/>
        <v>249</v>
      </c>
      <c r="V28" s="16">
        <f t="shared" si="20"/>
        <v>1223</v>
      </c>
      <c r="W28" s="16">
        <f t="shared" si="20"/>
        <v>15</v>
      </c>
      <c r="X28" s="16">
        <f t="shared" si="20"/>
        <v>12</v>
      </c>
      <c r="Y28" s="16">
        <f t="shared" si="20"/>
        <v>199</v>
      </c>
      <c r="Z28" s="16">
        <f t="shared" si="20"/>
        <v>93</v>
      </c>
      <c r="AA28" s="16">
        <f t="shared" si="20"/>
        <v>50</v>
      </c>
      <c r="AB28" s="16">
        <f t="shared" si="20"/>
        <v>25</v>
      </c>
      <c r="AC28" s="16">
        <f t="shared" si="20"/>
        <v>8925</v>
      </c>
      <c r="AD28" s="16">
        <f t="shared" si="20"/>
        <v>0</v>
      </c>
      <c r="AE28" s="32">
        <f t="shared" si="20"/>
        <v>4596</v>
      </c>
      <c r="AF28" s="32">
        <f t="shared" si="20"/>
        <v>13521</v>
      </c>
    </row>
    <row r="29" spans="2:32" ht="23.1" customHeight="1" x14ac:dyDescent="0.25">
      <c r="B29" s="23" t="s">
        <v>56</v>
      </c>
      <c r="C29" s="50">
        <v>21</v>
      </c>
      <c r="D29" s="50">
        <v>17</v>
      </c>
      <c r="E29" s="50">
        <v>7</v>
      </c>
      <c r="F29" s="50">
        <v>26</v>
      </c>
      <c r="G29" s="50">
        <v>0</v>
      </c>
      <c r="H29" s="50">
        <v>0</v>
      </c>
      <c r="I29" s="50">
        <v>5</v>
      </c>
      <c r="J29" s="50">
        <v>4</v>
      </c>
      <c r="K29" s="50">
        <v>2</v>
      </c>
      <c r="L29" s="50">
        <v>0</v>
      </c>
      <c r="M29" s="50">
        <v>195</v>
      </c>
      <c r="N29" s="50">
        <v>0</v>
      </c>
      <c r="O29" s="15">
        <f t="shared" si="0"/>
        <v>82</v>
      </c>
      <c r="P29" s="15">
        <f t="shared" si="1"/>
        <v>277</v>
      </c>
      <c r="R29"/>
      <c r="S29" s="20"/>
      <c r="T29" s="19"/>
    </row>
    <row r="30" spans="2:32" ht="23.1" customHeight="1" x14ac:dyDescent="0.25">
      <c r="B30" s="23" t="s">
        <v>57</v>
      </c>
      <c r="C30" s="50">
        <v>18</v>
      </c>
      <c r="D30" s="50">
        <v>22</v>
      </c>
      <c r="E30" s="50">
        <v>4</v>
      </c>
      <c r="F30" s="50">
        <v>17</v>
      </c>
      <c r="G30" s="50">
        <v>0</v>
      </c>
      <c r="H30" s="50">
        <v>0</v>
      </c>
      <c r="I30" s="50">
        <v>9</v>
      </c>
      <c r="J30" s="50">
        <v>2</v>
      </c>
      <c r="K30" s="50">
        <v>1</v>
      </c>
      <c r="L30" s="50">
        <v>0</v>
      </c>
      <c r="M30" s="50">
        <v>170</v>
      </c>
      <c r="N30" s="50">
        <v>0</v>
      </c>
      <c r="O30" s="15">
        <f t="shared" si="0"/>
        <v>73</v>
      </c>
      <c r="P30" s="15">
        <f t="shared" si="1"/>
        <v>243</v>
      </c>
    </row>
    <row r="31" spans="2:32" ht="23.1" customHeight="1" x14ac:dyDescent="0.25">
      <c r="B31" s="24" t="s">
        <v>58</v>
      </c>
      <c r="C31" s="50">
        <v>20</v>
      </c>
      <c r="D31" s="50">
        <v>35</v>
      </c>
      <c r="E31" s="50">
        <v>8</v>
      </c>
      <c r="F31" s="50">
        <v>25</v>
      </c>
      <c r="G31" s="50">
        <v>0</v>
      </c>
      <c r="H31" s="50">
        <v>0</v>
      </c>
      <c r="I31" s="50">
        <v>3</v>
      </c>
      <c r="J31" s="50">
        <v>1</v>
      </c>
      <c r="K31" s="50">
        <v>4</v>
      </c>
      <c r="L31" s="50">
        <v>1</v>
      </c>
      <c r="M31" s="50">
        <v>210</v>
      </c>
      <c r="N31" s="50">
        <v>0</v>
      </c>
      <c r="O31" s="15">
        <f t="shared" si="0"/>
        <v>97</v>
      </c>
      <c r="P31" s="15">
        <f t="shared" si="1"/>
        <v>307</v>
      </c>
    </row>
    <row r="32" spans="2:32" ht="23.1" customHeight="1" x14ac:dyDescent="0.25">
      <c r="B32" s="24" t="s">
        <v>59</v>
      </c>
      <c r="C32" s="50">
        <v>26</v>
      </c>
      <c r="D32" s="50">
        <v>16</v>
      </c>
      <c r="E32" s="50">
        <v>3</v>
      </c>
      <c r="F32" s="50">
        <v>28</v>
      </c>
      <c r="G32" s="50">
        <v>0</v>
      </c>
      <c r="H32" s="50">
        <v>0</v>
      </c>
      <c r="I32" s="50">
        <v>4</v>
      </c>
      <c r="J32" s="50">
        <v>2</v>
      </c>
      <c r="K32" s="50">
        <v>1</v>
      </c>
      <c r="L32" s="50">
        <v>2</v>
      </c>
      <c r="M32" s="50">
        <v>173</v>
      </c>
      <c r="N32" s="50">
        <v>0</v>
      </c>
      <c r="O32" s="15">
        <f t="shared" si="0"/>
        <v>82</v>
      </c>
      <c r="P32" s="15">
        <f t="shared" si="1"/>
        <v>255</v>
      </c>
    </row>
    <row r="33" spans="2:20" ht="23.1" customHeight="1" x14ac:dyDescent="0.25">
      <c r="B33" s="23" t="s">
        <v>60</v>
      </c>
      <c r="C33" s="50">
        <v>18</v>
      </c>
      <c r="D33" s="50">
        <v>17</v>
      </c>
      <c r="E33" s="50">
        <v>7</v>
      </c>
      <c r="F33" s="50">
        <v>19</v>
      </c>
      <c r="G33" s="50">
        <v>1</v>
      </c>
      <c r="H33" s="50">
        <v>1</v>
      </c>
      <c r="I33" s="50">
        <v>2</v>
      </c>
      <c r="J33" s="50">
        <v>5</v>
      </c>
      <c r="K33" s="50">
        <v>2</v>
      </c>
      <c r="L33" s="50">
        <v>0</v>
      </c>
      <c r="M33" s="50">
        <v>195</v>
      </c>
      <c r="N33" s="50">
        <v>0</v>
      </c>
      <c r="O33" s="15">
        <f t="shared" si="0"/>
        <v>72</v>
      </c>
      <c r="P33" s="15">
        <f t="shared" si="1"/>
        <v>267</v>
      </c>
    </row>
    <row r="34" spans="2:20" ht="23.1" customHeight="1" x14ac:dyDescent="0.25">
      <c r="B34" s="24" t="s">
        <v>61</v>
      </c>
      <c r="C34" s="50">
        <v>18</v>
      </c>
      <c r="D34" s="50">
        <v>35</v>
      </c>
      <c r="E34" s="50">
        <v>4</v>
      </c>
      <c r="F34" s="50">
        <v>19</v>
      </c>
      <c r="G34" s="50">
        <v>0</v>
      </c>
      <c r="H34" s="50">
        <v>0</v>
      </c>
      <c r="I34" s="50">
        <v>2</v>
      </c>
      <c r="J34" s="50">
        <v>4</v>
      </c>
      <c r="K34" s="50">
        <v>2</v>
      </c>
      <c r="L34" s="50">
        <v>0</v>
      </c>
      <c r="M34" s="50">
        <v>148</v>
      </c>
      <c r="N34" s="50">
        <v>0</v>
      </c>
      <c r="O34" s="15">
        <f t="shared" si="0"/>
        <v>84</v>
      </c>
      <c r="P34" s="15">
        <f t="shared" si="1"/>
        <v>232</v>
      </c>
    </row>
    <row r="35" spans="2:20" ht="23.1" customHeight="1" x14ac:dyDescent="0.25">
      <c r="B35" s="24" t="s">
        <v>62</v>
      </c>
      <c r="C35" s="50">
        <v>15</v>
      </c>
      <c r="D35" s="50">
        <v>23</v>
      </c>
      <c r="E35" s="50">
        <v>5</v>
      </c>
      <c r="F35" s="50">
        <v>15</v>
      </c>
      <c r="G35" s="50">
        <v>0</v>
      </c>
      <c r="H35" s="50">
        <v>0</v>
      </c>
      <c r="I35" s="50">
        <v>11</v>
      </c>
      <c r="J35" s="50">
        <v>5</v>
      </c>
      <c r="K35" s="50">
        <v>1</v>
      </c>
      <c r="L35" s="50">
        <v>0</v>
      </c>
      <c r="M35" s="50">
        <v>178</v>
      </c>
      <c r="N35" s="50">
        <v>0</v>
      </c>
      <c r="O35" s="15">
        <f t="shared" si="0"/>
        <v>75</v>
      </c>
      <c r="P35" s="15">
        <f t="shared" si="1"/>
        <v>253</v>
      </c>
    </row>
    <row r="36" spans="2:20" ht="23.1" customHeight="1" x14ac:dyDescent="0.25">
      <c r="B36" s="24" t="s">
        <v>63</v>
      </c>
      <c r="C36" s="50">
        <v>35</v>
      </c>
      <c r="D36" s="50">
        <v>17</v>
      </c>
      <c r="E36" s="50">
        <v>10</v>
      </c>
      <c r="F36" s="50">
        <v>16</v>
      </c>
      <c r="G36" s="50">
        <v>0</v>
      </c>
      <c r="H36" s="50">
        <v>1</v>
      </c>
      <c r="I36" s="50">
        <v>1</v>
      </c>
      <c r="J36" s="50">
        <v>4</v>
      </c>
      <c r="K36" s="50">
        <v>2</v>
      </c>
      <c r="L36" s="50">
        <v>2</v>
      </c>
      <c r="M36" s="50">
        <v>205</v>
      </c>
      <c r="N36" s="50">
        <v>0</v>
      </c>
      <c r="O36" s="15">
        <f t="shared" si="0"/>
        <v>88</v>
      </c>
      <c r="P36" s="15">
        <f t="shared" si="1"/>
        <v>293</v>
      </c>
    </row>
    <row r="37" spans="2:20" ht="23.1" customHeight="1" x14ac:dyDescent="0.25">
      <c r="B37" s="23" t="s">
        <v>64</v>
      </c>
      <c r="C37" s="50">
        <v>37</v>
      </c>
      <c r="D37" s="50">
        <v>21</v>
      </c>
      <c r="E37" s="50">
        <v>4</v>
      </c>
      <c r="F37" s="50">
        <v>21</v>
      </c>
      <c r="G37" s="50">
        <v>0</v>
      </c>
      <c r="H37" s="50">
        <v>0</v>
      </c>
      <c r="I37" s="50">
        <v>3</v>
      </c>
      <c r="J37" s="50">
        <v>4</v>
      </c>
      <c r="K37" s="50">
        <v>1</v>
      </c>
      <c r="L37" s="50">
        <v>1</v>
      </c>
      <c r="M37" s="50">
        <v>205</v>
      </c>
      <c r="N37" s="50">
        <v>0</v>
      </c>
      <c r="O37" s="15">
        <f t="shared" si="0"/>
        <v>92</v>
      </c>
      <c r="P37" s="15">
        <f t="shared" si="1"/>
        <v>297</v>
      </c>
    </row>
    <row r="38" spans="2:20" ht="23.1" customHeight="1" x14ac:dyDescent="0.25">
      <c r="B38" s="24" t="s">
        <v>65</v>
      </c>
      <c r="C38" s="50">
        <v>27</v>
      </c>
      <c r="D38" s="50">
        <v>10</v>
      </c>
      <c r="E38" s="50">
        <v>2</v>
      </c>
      <c r="F38" s="50">
        <v>23</v>
      </c>
      <c r="G38" s="50">
        <v>0</v>
      </c>
      <c r="H38" s="50">
        <v>0</v>
      </c>
      <c r="I38" s="50">
        <v>19</v>
      </c>
      <c r="J38" s="50">
        <v>3</v>
      </c>
      <c r="K38" s="50">
        <v>2</v>
      </c>
      <c r="L38" s="50">
        <v>0</v>
      </c>
      <c r="M38" s="50">
        <v>180</v>
      </c>
      <c r="N38" s="50">
        <v>0</v>
      </c>
      <c r="O38" s="15">
        <f t="shared" si="0"/>
        <v>86</v>
      </c>
      <c r="P38" s="15">
        <f t="shared" si="1"/>
        <v>266</v>
      </c>
    </row>
    <row r="39" spans="2:20" ht="23.1" customHeight="1" x14ac:dyDescent="0.25">
      <c r="B39" s="24" t="s">
        <v>66</v>
      </c>
      <c r="C39" s="50">
        <v>38</v>
      </c>
      <c r="D39" s="50">
        <v>15</v>
      </c>
      <c r="E39" s="50">
        <v>3</v>
      </c>
      <c r="F39" s="50">
        <v>15</v>
      </c>
      <c r="G39" s="50">
        <v>1</v>
      </c>
      <c r="H39" s="50">
        <v>1</v>
      </c>
      <c r="I39" s="50">
        <v>0</v>
      </c>
      <c r="J39" s="50">
        <v>1</v>
      </c>
      <c r="K39" s="50">
        <v>0</v>
      </c>
      <c r="L39" s="50">
        <v>0</v>
      </c>
      <c r="M39" s="50">
        <v>183</v>
      </c>
      <c r="N39" s="50">
        <v>0</v>
      </c>
      <c r="O39" s="15">
        <f t="shared" si="0"/>
        <v>74</v>
      </c>
      <c r="P39" s="15">
        <f t="shared" si="1"/>
        <v>257</v>
      </c>
    </row>
    <row r="40" spans="2:20" ht="23.1" customHeight="1" x14ac:dyDescent="0.25">
      <c r="B40" s="24" t="s">
        <v>67</v>
      </c>
      <c r="C40" s="50">
        <v>18</v>
      </c>
      <c r="D40" s="50">
        <v>17</v>
      </c>
      <c r="E40" s="50">
        <v>3</v>
      </c>
      <c r="F40" s="50">
        <v>20</v>
      </c>
      <c r="G40" s="50">
        <v>0</v>
      </c>
      <c r="H40" s="50">
        <v>0</v>
      </c>
      <c r="I40" s="50">
        <v>7</v>
      </c>
      <c r="J40" s="50">
        <v>2</v>
      </c>
      <c r="K40" s="50">
        <v>4</v>
      </c>
      <c r="L40" s="50">
        <v>0</v>
      </c>
      <c r="M40" s="50">
        <v>235</v>
      </c>
      <c r="N40" s="50">
        <v>0</v>
      </c>
      <c r="O40" s="15">
        <f t="shared" si="0"/>
        <v>71</v>
      </c>
      <c r="P40" s="15">
        <f t="shared" si="1"/>
        <v>306</v>
      </c>
    </row>
    <row r="41" spans="2:20" ht="23.1" customHeight="1" x14ac:dyDescent="0.25">
      <c r="B41" s="23" t="s">
        <v>68</v>
      </c>
      <c r="C41" s="50">
        <v>21</v>
      </c>
      <c r="D41" s="50">
        <v>14</v>
      </c>
      <c r="E41" s="50">
        <v>2</v>
      </c>
      <c r="F41" s="50">
        <v>24</v>
      </c>
      <c r="G41" s="50">
        <v>0</v>
      </c>
      <c r="H41" s="50">
        <v>1</v>
      </c>
      <c r="I41" s="50">
        <v>3</v>
      </c>
      <c r="J41" s="50">
        <v>2</v>
      </c>
      <c r="K41" s="50">
        <v>3</v>
      </c>
      <c r="L41" s="50">
        <v>2</v>
      </c>
      <c r="M41" s="50">
        <v>110</v>
      </c>
      <c r="N41" s="50">
        <v>0</v>
      </c>
      <c r="O41" s="15">
        <f t="shared" si="0"/>
        <v>72</v>
      </c>
      <c r="P41" s="15">
        <f t="shared" si="1"/>
        <v>182</v>
      </c>
    </row>
    <row r="42" spans="2:20" ht="23.1" customHeight="1" x14ac:dyDescent="0.25">
      <c r="B42" s="24" t="s">
        <v>69</v>
      </c>
      <c r="C42" s="50">
        <v>18</v>
      </c>
      <c r="D42" s="50">
        <v>17</v>
      </c>
      <c r="E42" s="50">
        <v>4</v>
      </c>
      <c r="F42" s="50">
        <v>16</v>
      </c>
      <c r="G42" s="50">
        <v>0</v>
      </c>
      <c r="H42" s="50">
        <v>0</v>
      </c>
      <c r="I42" s="50">
        <v>3</v>
      </c>
      <c r="J42" s="50">
        <v>0</v>
      </c>
      <c r="K42" s="50">
        <v>1</v>
      </c>
      <c r="L42" s="50">
        <v>1</v>
      </c>
      <c r="M42" s="50">
        <v>135</v>
      </c>
      <c r="N42" s="50">
        <v>0</v>
      </c>
      <c r="O42" s="15">
        <f t="shared" si="0"/>
        <v>60</v>
      </c>
      <c r="P42" s="15">
        <f t="shared" si="1"/>
        <v>195</v>
      </c>
    </row>
    <row r="43" spans="2:20" ht="23.1" customHeight="1" x14ac:dyDescent="0.25">
      <c r="B43" s="23" t="s">
        <v>70</v>
      </c>
      <c r="C43" s="50">
        <v>17</v>
      </c>
      <c r="D43" s="50">
        <v>13</v>
      </c>
      <c r="E43" s="50">
        <v>2</v>
      </c>
      <c r="F43" s="50">
        <v>23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113</v>
      </c>
      <c r="N43" s="50">
        <v>0</v>
      </c>
      <c r="O43" s="15">
        <f t="shared" si="0"/>
        <v>60</v>
      </c>
      <c r="P43" s="15">
        <f t="shared" si="1"/>
        <v>173</v>
      </c>
    </row>
    <row r="44" spans="2:20" ht="23.1" customHeight="1" x14ac:dyDescent="0.25">
      <c r="B44" s="25" t="s">
        <v>71</v>
      </c>
      <c r="C44" s="50">
        <v>40</v>
      </c>
      <c r="D44" s="50">
        <v>26</v>
      </c>
      <c r="E44" s="50">
        <v>8</v>
      </c>
      <c r="F44" s="50">
        <v>25</v>
      </c>
      <c r="G44" s="50">
        <v>0</v>
      </c>
      <c r="H44" s="50">
        <v>0</v>
      </c>
      <c r="I44" s="50">
        <v>3</v>
      </c>
      <c r="J44" s="50">
        <v>2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104</v>
      </c>
      <c r="P44" s="15">
        <f t="shared" si="1"/>
        <v>254</v>
      </c>
    </row>
    <row r="45" spans="2:20" ht="23.1" customHeight="1" x14ac:dyDescent="0.25">
      <c r="B45" s="23" t="s">
        <v>72</v>
      </c>
      <c r="C45" s="50">
        <v>19</v>
      </c>
      <c r="D45" s="50">
        <v>36</v>
      </c>
      <c r="E45" s="50">
        <v>8</v>
      </c>
      <c r="F45" s="50">
        <v>15</v>
      </c>
      <c r="G45" s="50">
        <v>0</v>
      </c>
      <c r="H45" s="50">
        <v>0</v>
      </c>
      <c r="I45" s="50">
        <v>4</v>
      </c>
      <c r="J45" s="50">
        <v>0</v>
      </c>
      <c r="K45" s="50">
        <v>1</v>
      </c>
      <c r="L45" s="50">
        <v>1</v>
      </c>
      <c r="M45" s="50">
        <v>168</v>
      </c>
      <c r="N45" s="50">
        <v>0</v>
      </c>
      <c r="O45" s="15">
        <f t="shared" si="0"/>
        <v>84</v>
      </c>
      <c r="P45" s="15">
        <f t="shared" si="1"/>
        <v>252</v>
      </c>
    </row>
    <row r="46" spans="2:20" ht="23.1" customHeight="1" x14ac:dyDescent="0.25">
      <c r="B46" s="24" t="s">
        <v>73</v>
      </c>
      <c r="C46" s="50">
        <v>16</v>
      </c>
      <c r="D46" s="50">
        <v>11</v>
      </c>
      <c r="E46" s="50">
        <v>3</v>
      </c>
      <c r="F46" s="50">
        <v>20</v>
      </c>
      <c r="G46" s="50">
        <v>2</v>
      </c>
      <c r="H46" s="50">
        <v>0</v>
      </c>
      <c r="I46" s="50">
        <v>13</v>
      </c>
      <c r="J46" s="50">
        <v>1</v>
      </c>
      <c r="K46" s="50">
        <v>1</v>
      </c>
      <c r="L46" s="50">
        <v>0</v>
      </c>
      <c r="M46" s="50">
        <v>59</v>
      </c>
      <c r="N46" s="50">
        <v>0</v>
      </c>
      <c r="O46" s="15">
        <f t="shared" si="0"/>
        <v>67</v>
      </c>
      <c r="P46" s="15">
        <f t="shared" si="1"/>
        <v>126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20</v>
      </c>
      <c r="E47" s="50">
        <v>5</v>
      </c>
      <c r="F47" s="50">
        <v>18</v>
      </c>
      <c r="G47" s="50">
        <v>0</v>
      </c>
      <c r="H47" s="50">
        <v>1</v>
      </c>
      <c r="I47" s="50">
        <v>3</v>
      </c>
      <c r="J47" s="50">
        <v>1</v>
      </c>
      <c r="K47" s="50">
        <v>0</v>
      </c>
      <c r="L47" s="50">
        <v>0</v>
      </c>
      <c r="M47" s="50">
        <v>125</v>
      </c>
      <c r="N47" s="50">
        <v>0</v>
      </c>
      <c r="O47" s="15">
        <f t="shared" si="0"/>
        <v>67</v>
      </c>
      <c r="P47" s="15">
        <f t="shared" si="1"/>
        <v>192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18</v>
      </c>
      <c r="E48" s="50">
        <v>3</v>
      </c>
      <c r="F48" s="50">
        <v>17</v>
      </c>
      <c r="G48" s="50">
        <v>3</v>
      </c>
      <c r="H48" s="50">
        <v>0</v>
      </c>
      <c r="I48" s="50">
        <v>5</v>
      </c>
      <c r="J48" s="50">
        <v>2</v>
      </c>
      <c r="K48" s="50">
        <v>1</v>
      </c>
      <c r="L48" s="50">
        <v>2</v>
      </c>
      <c r="M48" s="50">
        <v>148</v>
      </c>
      <c r="N48" s="50">
        <v>0</v>
      </c>
      <c r="O48" s="15">
        <f t="shared" si="0"/>
        <v>76</v>
      </c>
      <c r="P48" s="15">
        <f t="shared" si="1"/>
        <v>224</v>
      </c>
      <c r="R48" s="8"/>
      <c r="T48"/>
    </row>
    <row r="49" spans="2:20" ht="23.1" customHeight="1" x14ac:dyDescent="0.25">
      <c r="B49" s="23" t="s">
        <v>76</v>
      </c>
      <c r="C49" s="50">
        <v>31</v>
      </c>
      <c r="D49" s="50">
        <v>14</v>
      </c>
      <c r="E49" s="50">
        <v>4</v>
      </c>
      <c r="F49" s="50">
        <v>22</v>
      </c>
      <c r="G49" s="50">
        <v>0</v>
      </c>
      <c r="H49" s="50">
        <v>1</v>
      </c>
      <c r="I49" s="50">
        <v>3</v>
      </c>
      <c r="J49" s="50">
        <v>1</v>
      </c>
      <c r="K49" s="50">
        <v>1</v>
      </c>
      <c r="L49" s="50">
        <v>0</v>
      </c>
      <c r="M49" s="50">
        <v>171</v>
      </c>
      <c r="N49" s="50">
        <v>0</v>
      </c>
      <c r="O49" s="15">
        <f t="shared" si="0"/>
        <v>77</v>
      </c>
      <c r="P49" s="15">
        <f t="shared" si="1"/>
        <v>248</v>
      </c>
      <c r="R49" s="8"/>
      <c r="T49"/>
    </row>
    <row r="50" spans="2:20" ht="23.1" customHeight="1" x14ac:dyDescent="0.25">
      <c r="B50" s="24" t="s">
        <v>77</v>
      </c>
      <c r="C50" s="50">
        <v>35</v>
      </c>
      <c r="D50" s="50">
        <v>30</v>
      </c>
      <c r="E50" s="50">
        <v>3</v>
      </c>
      <c r="F50" s="50">
        <v>37</v>
      </c>
      <c r="G50" s="50">
        <v>0</v>
      </c>
      <c r="H50" s="50">
        <v>0</v>
      </c>
      <c r="I50" s="50">
        <v>4</v>
      </c>
      <c r="J50" s="50">
        <v>7</v>
      </c>
      <c r="K50" s="50">
        <v>0</v>
      </c>
      <c r="L50" s="50">
        <v>0</v>
      </c>
      <c r="M50" s="50">
        <v>153</v>
      </c>
      <c r="N50" s="50">
        <v>0</v>
      </c>
      <c r="O50" s="15">
        <f t="shared" si="0"/>
        <v>116</v>
      </c>
      <c r="P50" s="15">
        <f t="shared" si="1"/>
        <v>269</v>
      </c>
      <c r="R50" s="8"/>
      <c r="T50"/>
    </row>
    <row r="51" spans="2:20" ht="23.1" customHeight="1" x14ac:dyDescent="0.25">
      <c r="B51" s="24" t="s">
        <v>78</v>
      </c>
      <c r="C51" s="50">
        <v>16</v>
      </c>
      <c r="D51" s="50">
        <v>18</v>
      </c>
      <c r="E51" s="50">
        <v>5</v>
      </c>
      <c r="F51" s="50">
        <v>23</v>
      </c>
      <c r="G51" s="50">
        <v>0</v>
      </c>
      <c r="H51" s="50">
        <v>1</v>
      </c>
      <c r="I51" s="50">
        <v>6</v>
      </c>
      <c r="J51" s="50">
        <v>0</v>
      </c>
      <c r="K51" s="50">
        <v>0</v>
      </c>
      <c r="L51" s="50">
        <v>0</v>
      </c>
      <c r="M51" s="50">
        <v>85</v>
      </c>
      <c r="N51" s="50">
        <v>0</v>
      </c>
      <c r="O51" s="15">
        <f t="shared" si="0"/>
        <v>69</v>
      </c>
      <c r="P51" s="15">
        <f t="shared" si="1"/>
        <v>154</v>
      </c>
      <c r="R51" s="8"/>
      <c r="T51"/>
    </row>
    <row r="52" spans="2:20" ht="23.1" customHeight="1" x14ac:dyDescent="0.25">
      <c r="B52" s="24" t="s">
        <v>79</v>
      </c>
      <c r="C52" s="50">
        <v>26</v>
      </c>
      <c r="D52" s="50">
        <v>14</v>
      </c>
      <c r="E52" s="50">
        <v>1</v>
      </c>
      <c r="F52" s="50">
        <v>14</v>
      </c>
      <c r="G52" s="50">
        <v>0</v>
      </c>
      <c r="H52" s="50">
        <v>1</v>
      </c>
      <c r="I52" s="50">
        <v>2</v>
      </c>
      <c r="J52" s="50">
        <v>1</v>
      </c>
      <c r="K52" s="50">
        <v>0</v>
      </c>
      <c r="L52" s="50">
        <v>2</v>
      </c>
      <c r="M52" s="50">
        <v>108</v>
      </c>
      <c r="N52" s="50">
        <v>0</v>
      </c>
      <c r="O52" s="15">
        <f t="shared" si="0"/>
        <v>61</v>
      </c>
      <c r="P52" s="15">
        <f t="shared" si="1"/>
        <v>169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17</v>
      </c>
      <c r="E53" s="50">
        <v>8</v>
      </c>
      <c r="F53" s="50">
        <v>25</v>
      </c>
      <c r="G53" s="50">
        <v>0</v>
      </c>
      <c r="H53" s="50">
        <v>0</v>
      </c>
      <c r="I53" s="50">
        <v>2</v>
      </c>
      <c r="J53" s="50">
        <v>1</v>
      </c>
      <c r="K53" s="50">
        <v>2</v>
      </c>
      <c r="L53" s="50">
        <v>0</v>
      </c>
      <c r="M53" s="50">
        <v>125</v>
      </c>
      <c r="N53" s="50">
        <v>0</v>
      </c>
      <c r="O53" s="15">
        <f t="shared" si="0"/>
        <v>75</v>
      </c>
      <c r="P53" s="15">
        <f t="shared" si="1"/>
        <v>200</v>
      </c>
      <c r="R53" s="8"/>
      <c r="T53"/>
    </row>
    <row r="54" spans="2:20" ht="23.1" customHeight="1" x14ac:dyDescent="0.25">
      <c r="B54" s="23" t="s">
        <v>81</v>
      </c>
      <c r="C54" s="50">
        <v>24</v>
      </c>
      <c r="D54" s="50">
        <v>23</v>
      </c>
      <c r="E54" s="50">
        <v>7</v>
      </c>
      <c r="F54" s="50">
        <v>29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1</v>
      </c>
      <c r="M54" s="50">
        <v>230</v>
      </c>
      <c r="N54" s="50">
        <v>0</v>
      </c>
      <c r="O54" s="15">
        <f t="shared" si="0"/>
        <v>88</v>
      </c>
      <c r="P54" s="15">
        <f t="shared" si="1"/>
        <v>318</v>
      </c>
      <c r="R54" s="8"/>
      <c r="T54"/>
    </row>
    <row r="55" spans="2:20" ht="23.1" customHeight="1" x14ac:dyDescent="0.25">
      <c r="B55" s="23" t="s">
        <v>82</v>
      </c>
      <c r="C55" s="50">
        <v>22</v>
      </c>
      <c r="D55" s="50">
        <v>15</v>
      </c>
      <c r="E55" s="50">
        <v>1</v>
      </c>
      <c r="F55" s="50">
        <v>35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145</v>
      </c>
      <c r="N55" s="50">
        <v>0</v>
      </c>
      <c r="O55" s="15">
        <f t="shared" si="0"/>
        <v>73</v>
      </c>
      <c r="P55" s="15">
        <f t="shared" si="1"/>
        <v>218</v>
      </c>
      <c r="R55" s="8"/>
      <c r="T55"/>
    </row>
    <row r="56" spans="2:20" ht="23.1" customHeight="1" x14ac:dyDescent="0.25">
      <c r="B56" s="23" t="s">
        <v>83</v>
      </c>
      <c r="C56" s="50">
        <v>26</v>
      </c>
      <c r="D56" s="50">
        <v>14</v>
      </c>
      <c r="E56" s="50">
        <v>5</v>
      </c>
      <c r="F56" s="50">
        <v>33</v>
      </c>
      <c r="G56" s="50">
        <v>1</v>
      </c>
      <c r="H56" s="50">
        <v>1</v>
      </c>
      <c r="I56" s="50">
        <v>2</v>
      </c>
      <c r="J56" s="50">
        <v>2</v>
      </c>
      <c r="K56" s="50">
        <v>0</v>
      </c>
      <c r="L56" s="50">
        <v>0</v>
      </c>
      <c r="M56" s="50">
        <v>195</v>
      </c>
      <c r="N56" s="50">
        <v>0</v>
      </c>
      <c r="O56" s="15">
        <f t="shared" si="0"/>
        <v>84</v>
      </c>
      <c r="P56" s="15">
        <f t="shared" si="1"/>
        <v>279</v>
      </c>
      <c r="R56" s="8"/>
      <c r="T56"/>
    </row>
    <row r="57" spans="2:20" ht="23.1" customHeight="1" x14ac:dyDescent="0.25">
      <c r="B57" s="23" t="s">
        <v>84</v>
      </c>
      <c r="C57" s="50">
        <v>39</v>
      </c>
      <c r="D57" s="50">
        <v>40</v>
      </c>
      <c r="E57" s="50">
        <v>7</v>
      </c>
      <c r="F57" s="50">
        <v>32</v>
      </c>
      <c r="G57" s="50">
        <v>0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185</v>
      </c>
      <c r="N57" s="50">
        <v>0</v>
      </c>
      <c r="O57" s="15">
        <f t="shared" si="0"/>
        <v>123</v>
      </c>
      <c r="P57" s="15">
        <f t="shared" si="1"/>
        <v>308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1502</v>
      </c>
      <c r="D58" s="16">
        <f t="shared" si="21"/>
        <v>1228</v>
      </c>
      <c r="E58" s="16">
        <f t="shared" si="21"/>
        <v>249</v>
      </c>
      <c r="F58" s="16">
        <f t="shared" si="21"/>
        <v>1223</v>
      </c>
      <c r="G58" s="16">
        <f t="shared" si="21"/>
        <v>15</v>
      </c>
      <c r="H58" s="16">
        <f t="shared" si="21"/>
        <v>12</v>
      </c>
      <c r="I58" s="16">
        <f t="shared" si="21"/>
        <v>199</v>
      </c>
      <c r="J58" s="16">
        <f t="shared" si="21"/>
        <v>93</v>
      </c>
      <c r="K58" s="16">
        <f t="shared" si="21"/>
        <v>50</v>
      </c>
      <c r="L58" s="16">
        <f t="shared" si="21"/>
        <v>25</v>
      </c>
      <c r="M58" s="16">
        <f t="shared" si="21"/>
        <v>8925</v>
      </c>
      <c r="N58" s="16">
        <f t="shared" si="21"/>
        <v>0</v>
      </c>
      <c r="O58" s="16">
        <f t="shared" si="21"/>
        <v>4596</v>
      </c>
      <c r="P58" s="16">
        <f t="shared" si="21"/>
        <v>13521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0.11108645810221138</v>
      </c>
      <c r="D59" s="43">
        <f t="shared" si="22"/>
        <v>9.0821684786628207E-2</v>
      </c>
      <c r="E59" s="43">
        <f t="shared" si="22"/>
        <v>1.8415797648102951E-2</v>
      </c>
      <c r="F59" s="43">
        <f t="shared" si="22"/>
        <v>9.0451889653132167E-2</v>
      </c>
      <c r="G59" s="43">
        <f t="shared" si="22"/>
        <v>1.1093854004881295E-3</v>
      </c>
      <c r="H59" s="43">
        <f t="shared" si="22"/>
        <v>8.8750832039050369E-4</v>
      </c>
      <c r="I59" s="43">
        <f t="shared" si="22"/>
        <v>1.4717846313142519E-2</v>
      </c>
      <c r="J59" s="43">
        <f t="shared" si="22"/>
        <v>6.8781894830264034E-3</v>
      </c>
      <c r="K59" s="43">
        <f t="shared" si="22"/>
        <v>3.6979513349604319E-3</v>
      </c>
      <c r="L59" s="43">
        <f t="shared" si="22"/>
        <v>1.8489756674802159E-3</v>
      </c>
      <c r="M59" s="43">
        <f t="shared" si="22"/>
        <v>0.66008431329043715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0.3268059181897302</v>
      </c>
      <c r="D60" s="44">
        <f t="shared" ref="D60:N60" si="23">D58/$O$58</f>
        <v>0.26718885987815494</v>
      </c>
      <c r="E60" s="44">
        <f t="shared" si="23"/>
        <v>5.4177545691906005E-2</v>
      </c>
      <c r="F60" s="44">
        <f t="shared" si="23"/>
        <v>0.26610095735422107</v>
      </c>
      <c r="G60" s="44">
        <f t="shared" si="23"/>
        <v>3.2637075718015664E-3</v>
      </c>
      <c r="H60" s="44">
        <f t="shared" si="23"/>
        <v>2.6109660574412533E-3</v>
      </c>
      <c r="I60" s="44">
        <f t="shared" si="23"/>
        <v>4.3298520452567449E-2</v>
      </c>
      <c r="J60" s="44">
        <f t="shared" si="23"/>
        <v>2.0234986945169713E-2</v>
      </c>
      <c r="K60" s="44">
        <f t="shared" si="23"/>
        <v>1.0879025239338555E-2</v>
      </c>
      <c r="L60" s="44">
        <f t="shared" si="23"/>
        <v>5.4395126196692773E-3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4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3" t="str">
        <f>'25.07 KABUSU-RUBAGA'!G5:H5</f>
        <v>CHAD SUPERMARKET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RUBAGA-KABUSU'!D6:E6</f>
        <v>RUBAGA</v>
      </c>
      <c r="E6" s="64"/>
      <c r="F6" s="2" t="s">
        <v>2</v>
      </c>
      <c r="G6" s="63" t="str">
        <f>'22.07 RUBAGA-KABUSU'!G6:H6</f>
        <v>KABUSU</v>
      </c>
      <c r="H6" s="64"/>
      <c r="J6" s="2" t="s">
        <v>21</v>
      </c>
      <c r="K6" s="63" t="str">
        <f>'25.07 KABUSU-RUBAGA'!K6:L6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36</v>
      </c>
      <c r="D10" s="50">
        <v>5</v>
      </c>
      <c r="E10" s="50">
        <v>3</v>
      </c>
      <c r="F10" s="50">
        <v>13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74</v>
      </c>
      <c r="N10" s="50">
        <v>0</v>
      </c>
      <c r="O10" s="15">
        <f t="shared" ref="O10:O57" si="0">SUM(C10:L10,N10)</f>
        <v>57</v>
      </c>
      <c r="P10" s="15">
        <f t="shared" ref="P10:P57" si="1">SUM(C10:N10)</f>
        <v>131</v>
      </c>
      <c r="R10" s="1" t="s">
        <v>6</v>
      </c>
      <c r="S10" s="17">
        <f t="shared" ref="S10:AF10" si="2">SUM(C10:C13)</f>
        <v>127</v>
      </c>
      <c r="T10" s="17">
        <f t="shared" si="2"/>
        <v>18</v>
      </c>
      <c r="U10" s="17">
        <f t="shared" si="2"/>
        <v>9</v>
      </c>
      <c r="V10" s="17">
        <f t="shared" si="2"/>
        <v>89</v>
      </c>
      <c r="W10" s="17">
        <f t="shared" si="2"/>
        <v>5</v>
      </c>
      <c r="X10" s="17">
        <f t="shared" si="2"/>
        <v>5</v>
      </c>
      <c r="Y10" s="17">
        <f t="shared" si="2"/>
        <v>5</v>
      </c>
      <c r="Z10" s="17">
        <f t="shared" si="2"/>
        <v>2</v>
      </c>
      <c r="AA10" s="17">
        <f t="shared" si="2"/>
        <v>0</v>
      </c>
      <c r="AB10" s="17">
        <f t="shared" si="2"/>
        <v>1</v>
      </c>
      <c r="AC10" s="17">
        <f t="shared" si="2"/>
        <v>405</v>
      </c>
      <c r="AD10" s="17">
        <f t="shared" si="2"/>
        <v>0</v>
      </c>
      <c r="AE10" s="31">
        <f t="shared" si="2"/>
        <v>261</v>
      </c>
      <c r="AF10" s="31">
        <f t="shared" si="2"/>
        <v>666</v>
      </c>
    </row>
    <row r="11" spans="2:32" s="6" customFormat="1" ht="23.1" customHeight="1" x14ac:dyDescent="0.25">
      <c r="B11" s="45" t="s">
        <v>38</v>
      </c>
      <c r="C11" s="50">
        <v>29</v>
      </c>
      <c r="D11" s="50">
        <v>5</v>
      </c>
      <c r="E11" s="50">
        <v>2</v>
      </c>
      <c r="F11" s="50">
        <v>33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116</v>
      </c>
      <c r="N11" s="50">
        <v>0</v>
      </c>
      <c r="O11" s="15">
        <f t="shared" si="0"/>
        <v>70</v>
      </c>
      <c r="P11" s="15">
        <f t="shared" si="1"/>
        <v>186</v>
      </c>
      <c r="R11" s="1" t="s">
        <v>7</v>
      </c>
      <c r="S11" s="17">
        <f t="shared" ref="S11:AF11" si="3">SUM(C14:C17)</f>
        <v>88</v>
      </c>
      <c r="T11" s="17">
        <f t="shared" si="3"/>
        <v>15</v>
      </c>
      <c r="U11" s="17">
        <f t="shared" si="3"/>
        <v>11</v>
      </c>
      <c r="V11" s="17">
        <f t="shared" si="3"/>
        <v>78</v>
      </c>
      <c r="W11" s="17">
        <f t="shared" si="3"/>
        <v>3</v>
      </c>
      <c r="X11" s="17">
        <f t="shared" si="3"/>
        <v>2</v>
      </c>
      <c r="Y11" s="17">
        <f t="shared" si="3"/>
        <v>7</v>
      </c>
      <c r="Z11" s="17">
        <f t="shared" si="3"/>
        <v>7</v>
      </c>
      <c r="AA11" s="17">
        <f t="shared" si="3"/>
        <v>0</v>
      </c>
      <c r="AB11" s="17">
        <f t="shared" si="3"/>
        <v>0</v>
      </c>
      <c r="AC11" s="17">
        <f t="shared" si="3"/>
        <v>647</v>
      </c>
      <c r="AD11" s="17">
        <f t="shared" si="3"/>
        <v>0</v>
      </c>
      <c r="AE11" s="31">
        <f t="shared" si="3"/>
        <v>211</v>
      </c>
      <c r="AF11" s="31">
        <f t="shared" si="3"/>
        <v>858</v>
      </c>
    </row>
    <row r="12" spans="2:32" ht="23.1" customHeight="1" x14ac:dyDescent="0.25">
      <c r="B12" s="45" t="s">
        <v>39</v>
      </c>
      <c r="C12" s="50">
        <v>36</v>
      </c>
      <c r="D12" s="50">
        <v>4</v>
      </c>
      <c r="E12" s="50">
        <v>1</v>
      </c>
      <c r="F12" s="50">
        <v>22</v>
      </c>
      <c r="G12" s="50">
        <v>3</v>
      </c>
      <c r="H12" s="50">
        <v>3</v>
      </c>
      <c r="I12" s="50">
        <v>3</v>
      </c>
      <c r="J12" s="50">
        <v>1</v>
      </c>
      <c r="K12" s="50">
        <v>0</v>
      </c>
      <c r="L12" s="50">
        <v>1</v>
      </c>
      <c r="M12" s="50">
        <v>95</v>
      </c>
      <c r="N12" s="50">
        <v>0</v>
      </c>
      <c r="O12" s="15">
        <f t="shared" si="0"/>
        <v>74</v>
      </c>
      <c r="P12" s="15">
        <f t="shared" si="1"/>
        <v>169</v>
      </c>
      <c r="R12" s="1" t="s">
        <v>8</v>
      </c>
      <c r="S12" s="17">
        <f t="shared" ref="S12:AF12" si="4">SUM(C18:C21)</f>
        <v>106</v>
      </c>
      <c r="T12" s="17">
        <f t="shared" si="4"/>
        <v>13</v>
      </c>
      <c r="U12" s="17">
        <f t="shared" si="4"/>
        <v>9</v>
      </c>
      <c r="V12" s="17">
        <f t="shared" si="4"/>
        <v>73</v>
      </c>
      <c r="W12" s="17">
        <f t="shared" si="4"/>
        <v>3</v>
      </c>
      <c r="X12" s="17">
        <f t="shared" si="4"/>
        <v>0</v>
      </c>
      <c r="Y12" s="17">
        <f t="shared" si="4"/>
        <v>14</v>
      </c>
      <c r="Z12" s="17">
        <f t="shared" si="4"/>
        <v>7</v>
      </c>
      <c r="AA12" s="17">
        <f t="shared" si="4"/>
        <v>1</v>
      </c>
      <c r="AB12" s="17">
        <f t="shared" si="4"/>
        <v>2</v>
      </c>
      <c r="AC12" s="17">
        <f t="shared" si="4"/>
        <v>645</v>
      </c>
      <c r="AD12" s="17">
        <f t="shared" si="4"/>
        <v>0</v>
      </c>
      <c r="AE12" s="31">
        <f t="shared" si="4"/>
        <v>228</v>
      </c>
      <c r="AF12" s="31">
        <f t="shared" si="4"/>
        <v>873</v>
      </c>
    </row>
    <row r="13" spans="2:32" ht="23.1" customHeight="1" x14ac:dyDescent="0.25">
      <c r="B13" s="45" t="s">
        <v>40</v>
      </c>
      <c r="C13" s="50">
        <v>26</v>
      </c>
      <c r="D13" s="50">
        <v>4</v>
      </c>
      <c r="E13" s="50">
        <v>3</v>
      </c>
      <c r="F13" s="50">
        <v>21</v>
      </c>
      <c r="G13" s="50">
        <v>2</v>
      </c>
      <c r="H13" s="50">
        <v>1</v>
      </c>
      <c r="I13" s="50">
        <v>2</v>
      </c>
      <c r="J13" s="50">
        <v>1</v>
      </c>
      <c r="K13" s="50">
        <v>0</v>
      </c>
      <c r="L13" s="50">
        <v>0</v>
      </c>
      <c r="M13" s="50">
        <v>120</v>
      </c>
      <c r="N13" s="50">
        <v>0</v>
      </c>
      <c r="O13" s="15">
        <f t="shared" si="0"/>
        <v>60</v>
      </c>
      <c r="P13" s="15">
        <f t="shared" si="1"/>
        <v>180</v>
      </c>
      <c r="R13" s="1" t="s">
        <v>9</v>
      </c>
      <c r="S13" s="17">
        <f t="shared" ref="S13:AF13" si="5">SUM(C22:C25)</f>
        <v>52</v>
      </c>
      <c r="T13" s="17">
        <f t="shared" si="5"/>
        <v>12</v>
      </c>
      <c r="U13" s="17">
        <f t="shared" si="5"/>
        <v>6</v>
      </c>
      <c r="V13" s="17">
        <f t="shared" si="5"/>
        <v>35</v>
      </c>
      <c r="W13" s="17">
        <f t="shared" si="5"/>
        <v>2</v>
      </c>
      <c r="X13" s="17">
        <f t="shared" si="5"/>
        <v>1</v>
      </c>
      <c r="Y13" s="17">
        <f t="shared" si="5"/>
        <v>9</v>
      </c>
      <c r="Z13" s="17">
        <f t="shared" si="5"/>
        <v>8</v>
      </c>
      <c r="AA13" s="17">
        <f t="shared" si="5"/>
        <v>1</v>
      </c>
      <c r="AB13" s="17">
        <f t="shared" si="5"/>
        <v>2</v>
      </c>
      <c r="AC13" s="17">
        <f t="shared" si="5"/>
        <v>388</v>
      </c>
      <c r="AD13" s="17">
        <f t="shared" si="5"/>
        <v>0</v>
      </c>
      <c r="AE13" s="31">
        <f t="shared" si="5"/>
        <v>128</v>
      </c>
      <c r="AF13" s="31">
        <f t="shared" si="5"/>
        <v>516</v>
      </c>
    </row>
    <row r="14" spans="2:32" ht="23.1" customHeight="1" x14ac:dyDescent="0.25">
      <c r="B14" s="45" t="s">
        <v>41</v>
      </c>
      <c r="C14" s="50">
        <v>18</v>
      </c>
      <c r="D14" s="50">
        <v>6</v>
      </c>
      <c r="E14" s="50">
        <v>1</v>
      </c>
      <c r="F14" s="50">
        <v>21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128</v>
      </c>
      <c r="N14" s="50">
        <v>0</v>
      </c>
      <c r="O14" s="15">
        <f t="shared" si="0"/>
        <v>49</v>
      </c>
      <c r="P14" s="15">
        <f t="shared" si="1"/>
        <v>177</v>
      </c>
      <c r="R14" s="1" t="s">
        <v>10</v>
      </c>
      <c r="S14" s="17">
        <f t="shared" ref="S14:AF14" si="6">SUM(C26:C29)</f>
        <v>86</v>
      </c>
      <c r="T14" s="17">
        <f t="shared" si="6"/>
        <v>16</v>
      </c>
      <c r="U14" s="17">
        <f t="shared" si="6"/>
        <v>8</v>
      </c>
      <c r="V14" s="17">
        <f t="shared" si="6"/>
        <v>52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5</v>
      </c>
      <c r="AA14" s="17">
        <f t="shared" si="6"/>
        <v>1</v>
      </c>
      <c r="AB14" s="17">
        <f t="shared" si="6"/>
        <v>1</v>
      </c>
      <c r="AC14" s="17">
        <f t="shared" si="6"/>
        <v>388</v>
      </c>
      <c r="AD14" s="17">
        <f t="shared" si="6"/>
        <v>0</v>
      </c>
      <c r="AE14" s="31">
        <f t="shared" si="6"/>
        <v>182</v>
      </c>
      <c r="AF14" s="31">
        <f t="shared" si="6"/>
        <v>570</v>
      </c>
    </row>
    <row r="15" spans="2:32" ht="23.1" customHeight="1" x14ac:dyDescent="0.25">
      <c r="B15" s="45" t="s">
        <v>42</v>
      </c>
      <c r="C15" s="50">
        <v>31</v>
      </c>
      <c r="D15" s="50">
        <v>2</v>
      </c>
      <c r="E15" s="50">
        <v>4</v>
      </c>
      <c r="F15" s="50">
        <v>17</v>
      </c>
      <c r="G15" s="50">
        <v>0</v>
      </c>
      <c r="H15" s="50">
        <v>1</v>
      </c>
      <c r="I15" s="50">
        <v>2</v>
      </c>
      <c r="J15" s="50">
        <v>2</v>
      </c>
      <c r="K15" s="50">
        <v>0</v>
      </c>
      <c r="L15" s="50">
        <v>0</v>
      </c>
      <c r="M15" s="50">
        <v>160</v>
      </c>
      <c r="N15" s="50">
        <v>0</v>
      </c>
      <c r="O15" s="15">
        <f t="shared" si="0"/>
        <v>59</v>
      </c>
      <c r="P15" s="15">
        <f t="shared" si="1"/>
        <v>219</v>
      </c>
      <c r="R15" s="1" t="s">
        <v>11</v>
      </c>
      <c r="S15" s="17">
        <f t="shared" ref="S15:AF15" si="7">SUM(C30:C33)</f>
        <v>82</v>
      </c>
      <c r="T15" s="17">
        <f t="shared" si="7"/>
        <v>16</v>
      </c>
      <c r="U15" s="17">
        <f t="shared" si="7"/>
        <v>9</v>
      </c>
      <c r="V15" s="17">
        <f t="shared" si="7"/>
        <v>27</v>
      </c>
      <c r="W15" s="17">
        <f t="shared" si="7"/>
        <v>1</v>
      </c>
      <c r="X15" s="17">
        <f t="shared" si="7"/>
        <v>0</v>
      </c>
      <c r="Y15" s="17">
        <f t="shared" si="7"/>
        <v>19</v>
      </c>
      <c r="Z15" s="17">
        <f t="shared" si="7"/>
        <v>2</v>
      </c>
      <c r="AA15" s="17">
        <f t="shared" si="7"/>
        <v>2</v>
      </c>
      <c r="AB15" s="17">
        <f t="shared" si="7"/>
        <v>1</v>
      </c>
      <c r="AC15" s="17">
        <f t="shared" si="7"/>
        <v>346</v>
      </c>
      <c r="AD15" s="17">
        <f t="shared" si="7"/>
        <v>0</v>
      </c>
      <c r="AE15" s="31">
        <f t="shared" si="7"/>
        <v>159</v>
      </c>
      <c r="AF15" s="31">
        <f t="shared" si="7"/>
        <v>505</v>
      </c>
    </row>
    <row r="16" spans="2:32" ht="23.1" customHeight="1" x14ac:dyDescent="0.25">
      <c r="B16" s="45" t="s">
        <v>43</v>
      </c>
      <c r="C16" s="50">
        <v>29</v>
      </c>
      <c r="D16" s="50">
        <v>4</v>
      </c>
      <c r="E16" s="50">
        <v>1</v>
      </c>
      <c r="F16" s="50">
        <v>21</v>
      </c>
      <c r="G16" s="50">
        <v>1</v>
      </c>
      <c r="H16" s="50">
        <v>1</v>
      </c>
      <c r="I16" s="50">
        <v>1</v>
      </c>
      <c r="J16" s="50">
        <v>2</v>
      </c>
      <c r="K16" s="50">
        <v>0</v>
      </c>
      <c r="L16" s="50">
        <v>0</v>
      </c>
      <c r="M16" s="50">
        <v>232</v>
      </c>
      <c r="N16" s="50">
        <v>0</v>
      </c>
      <c r="O16" s="15">
        <f t="shared" si="0"/>
        <v>60</v>
      </c>
      <c r="P16" s="15">
        <f t="shared" si="1"/>
        <v>292</v>
      </c>
      <c r="R16" s="1" t="s">
        <v>12</v>
      </c>
      <c r="S16" s="17">
        <f t="shared" ref="S16:AF16" si="8">SUM(C34:C37)</f>
        <v>106</v>
      </c>
      <c r="T16" s="17">
        <f t="shared" si="8"/>
        <v>20</v>
      </c>
      <c r="U16" s="17">
        <f t="shared" si="8"/>
        <v>14</v>
      </c>
      <c r="V16" s="17">
        <f t="shared" si="8"/>
        <v>44</v>
      </c>
      <c r="W16" s="17">
        <f t="shared" si="8"/>
        <v>1</v>
      </c>
      <c r="X16" s="17">
        <f t="shared" si="8"/>
        <v>3</v>
      </c>
      <c r="Y16" s="17">
        <f t="shared" si="8"/>
        <v>16</v>
      </c>
      <c r="Z16" s="17">
        <f t="shared" si="8"/>
        <v>4</v>
      </c>
      <c r="AA16" s="17">
        <f t="shared" si="8"/>
        <v>1</v>
      </c>
      <c r="AB16" s="17">
        <f t="shared" si="8"/>
        <v>2</v>
      </c>
      <c r="AC16" s="17">
        <f t="shared" si="8"/>
        <v>438</v>
      </c>
      <c r="AD16" s="17">
        <f t="shared" si="8"/>
        <v>0</v>
      </c>
      <c r="AE16" s="31">
        <f t="shared" si="8"/>
        <v>211</v>
      </c>
      <c r="AF16" s="31">
        <f t="shared" si="8"/>
        <v>649</v>
      </c>
    </row>
    <row r="17" spans="2:32" ht="23.1" customHeight="1" x14ac:dyDescent="0.25">
      <c r="B17" s="45" t="s">
        <v>44</v>
      </c>
      <c r="C17" s="50">
        <v>10</v>
      </c>
      <c r="D17" s="50">
        <v>3</v>
      </c>
      <c r="E17" s="50">
        <v>5</v>
      </c>
      <c r="F17" s="50">
        <v>19</v>
      </c>
      <c r="G17" s="50">
        <v>2</v>
      </c>
      <c r="H17" s="50">
        <v>0</v>
      </c>
      <c r="I17" s="50">
        <v>1</v>
      </c>
      <c r="J17" s="50">
        <v>3</v>
      </c>
      <c r="K17" s="50">
        <v>0</v>
      </c>
      <c r="L17" s="50">
        <v>0</v>
      </c>
      <c r="M17" s="50">
        <v>127</v>
      </c>
      <c r="N17" s="50">
        <v>0</v>
      </c>
      <c r="O17" s="15">
        <f t="shared" si="0"/>
        <v>43</v>
      </c>
      <c r="P17" s="15">
        <f t="shared" si="1"/>
        <v>170</v>
      </c>
      <c r="R17" s="1" t="s">
        <v>13</v>
      </c>
      <c r="S17" s="17">
        <f t="shared" ref="S17:AF17" si="9">SUM(C38:C41)</f>
        <v>107</v>
      </c>
      <c r="T17" s="17">
        <f t="shared" si="9"/>
        <v>20</v>
      </c>
      <c r="U17" s="17">
        <f t="shared" si="9"/>
        <v>16</v>
      </c>
      <c r="V17" s="17">
        <f t="shared" si="9"/>
        <v>40</v>
      </c>
      <c r="W17" s="17">
        <f t="shared" si="9"/>
        <v>2</v>
      </c>
      <c r="X17" s="17">
        <f t="shared" si="9"/>
        <v>2</v>
      </c>
      <c r="Y17" s="17">
        <f t="shared" si="9"/>
        <v>11</v>
      </c>
      <c r="Z17" s="17">
        <f t="shared" si="9"/>
        <v>7</v>
      </c>
      <c r="AA17" s="17">
        <f t="shared" si="9"/>
        <v>2</v>
      </c>
      <c r="AB17" s="17">
        <f t="shared" si="9"/>
        <v>0</v>
      </c>
      <c r="AC17" s="17">
        <f t="shared" si="9"/>
        <v>403</v>
      </c>
      <c r="AD17" s="17">
        <f t="shared" si="9"/>
        <v>0</v>
      </c>
      <c r="AE17" s="31">
        <f t="shared" si="9"/>
        <v>207</v>
      </c>
      <c r="AF17" s="31">
        <f t="shared" si="9"/>
        <v>610</v>
      </c>
    </row>
    <row r="18" spans="2:32" ht="23.1" customHeight="1" x14ac:dyDescent="0.25">
      <c r="B18" s="45" t="s">
        <v>45</v>
      </c>
      <c r="C18" s="50">
        <v>32</v>
      </c>
      <c r="D18" s="50">
        <v>0</v>
      </c>
      <c r="E18" s="50">
        <v>1</v>
      </c>
      <c r="F18" s="50">
        <v>14</v>
      </c>
      <c r="G18" s="50">
        <v>1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240</v>
      </c>
      <c r="N18" s="50">
        <v>0</v>
      </c>
      <c r="O18" s="15">
        <f t="shared" si="0"/>
        <v>53</v>
      </c>
      <c r="P18" s="15">
        <f t="shared" si="1"/>
        <v>293</v>
      </c>
      <c r="R18" s="1" t="s">
        <v>14</v>
      </c>
      <c r="S18" s="17">
        <f t="shared" ref="S18:AF18" si="10">SUM(C42:C45)</f>
        <v>137</v>
      </c>
      <c r="T18" s="17">
        <f t="shared" si="10"/>
        <v>23</v>
      </c>
      <c r="U18" s="17">
        <f t="shared" si="10"/>
        <v>20</v>
      </c>
      <c r="V18" s="17">
        <f t="shared" si="10"/>
        <v>45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4</v>
      </c>
      <c r="AA18" s="17">
        <f t="shared" si="10"/>
        <v>3</v>
      </c>
      <c r="AB18" s="17">
        <f t="shared" si="10"/>
        <v>0</v>
      </c>
      <c r="AC18" s="17">
        <f t="shared" si="10"/>
        <v>360</v>
      </c>
      <c r="AD18" s="17">
        <f t="shared" si="10"/>
        <v>0</v>
      </c>
      <c r="AE18" s="31">
        <f t="shared" si="10"/>
        <v>252</v>
      </c>
      <c r="AF18" s="31">
        <f t="shared" si="10"/>
        <v>612</v>
      </c>
    </row>
    <row r="19" spans="2:32" ht="23.1" customHeight="1" x14ac:dyDescent="0.25">
      <c r="B19" s="45" t="s">
        <v>46</v>
      </c>
      <c r="C19" s="50">
        <v>29</v>
      </c>
      <c r="D19" s="50">
        <v>3</v>
      </c>
      <c r="E19" s="50">
        <v>3</v>
      </c>
      <c r="F19" s="50">
        <v>22</v>
      </c>
      <c r="G19" s="50">
        <v>1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183</v>
      </c>
      <c r="N19" s="50">
        <v>0</v>
      </c>
      <c r="O19" s="15">
        <f t="shared" si="0"/>
        <v>63</v>
      </c>
      <c r="P19" s="15">
        <f t="shared" si="1"/>
        <v>246</v>
      </c>
      <c r="R19" s="1" t="s">
        <v>15</v>
      </c>
      <c r="S19" s="17">
        <f t="shared" ref="S19:AF19" si="11">SUM(C46:C49)</f>
        <v>176</v>
      </c>
      <c r="T19" s="17">
        <f t="shared" si="11"/>
        <v>30</v>
      </c>
      <c r="U19" s="17">
        <f t="shared" si="11"/>
        <v>16</v>
      </c>
      <c r="V19" s="17">
        <f t="shared" si="11"/>
        <v>72</v>
      </c>
      <c r="W19" s="17">
        <f t="shared" si="11"/>
        <v>1</v>
      </c>
      <c r="X19" s="17">
        <f t="shared" si="11"/>
        <v>1</v>
      </c>
      <c r="Y19" s="17">
        <f t="shared" si="11"/>
        <v>21</v>
      </c>
      <c r="Z19" s="17">
        <f t="shared" si="11"/>
        <v>9</v>
      </c>
      <c r="AA19" s="17">
        <f t="shared" si="11"/>
        <v>0</v>
      </c>
      <c r="AB19" s="17">
        <f t="shared" si="11"/>
        <v>0</v>
      </c>
      <c r="AC19" s="17">
        <f t="shared" si="11"/>
        <v>850</v>
      </c>
      <c r="AD19" s="17">
        <f t="shared" si="11"/>
        <v>0</v>
      </c>
      <c r="AE19" s="31">
        <f t="shared" si="11"/>
        <v>326</v>
      </c>
      <c r="AF19" s="31">
        <f t="shared" si="11"/>
        <v>1176</v>
      </c>
    </row>
    <row r="20" spans="2:32" ht="23.1" customHeight="1" x14ac:dyDescent="0.25">
      <c r="B20" s="45" t="s">
        <v>47</v>
      </c>
      <c r="C20" s="50">
        <v>23</v>
      </c>
      <c r="D20" s="50">
        <v>8</v>
      </c>
      <c r="E20" s="50">
        <v>1</v>
      </c>
      <c r="F20" s="50">
        <v>23</v>
      </c>
      <c r="G20" s="50">
        <v>1</v>
      </c>
      <c r="H20" s="50">
        <v>0</v>
      </c>
      <c r="I20" s="50">
        <v>4</v>
      </c>
      <c r="J20" s="50">
        <v>1</v>
      </c>
      <c r="K20" s="50">
        <v>0</v>
      </c>
      <c r="L20" s="50">
        <v>0</v>
      </c>
      <c r="M20" s="50">
        <v>102</v>
      </c>
      <c r="N20" s="50">
        <v>0</v>
      </c>
      <c r="O20" s="15">
        <f t="shared" si="0"/>
        <v>61</v>
      </c>
      <c r="P20" s="15">
        <f t="shared" si="1"/>
        <v>163</v>
      </c>
      <c r="R20" s="1" t="s">
        <v>16</v>
      </c>
      <c r="S20" s="17">
        <f t="shared" ref="S20:AF20" si="12">SUM(C50:C53)</f>
        <v>216</v>
      </c>
      <c r="T20" s="17">
        <f t="shared" si="12"/>
        <v>63</v>
      </c>
      <c r="U20" s="17">
        <f t="shared" si="12"/>
        <v>22</v>
      </c>
      <c r="V20" s="17">
        <f t="shared" si="12"/>
        <v>52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11</v>
      </c>
      <c r="AA20" s="17">
        <f t="shared" si="12"/>
        <v>5</v>
      </c>
      <c r="AB20" s="17">
        <f t="shared" si="12"/>
        <v>3</v>
      </c>
      <c r="AC20" s="17">
        <f t="shared" si="12"/>
        <v>514</v>
      </c>
      <c r="AD20" s="17">
        <f t="shared" si="12"/>
        <v>0</v>
      </c>
      <c r="AE20" s="31">
        <f t="shared" si="12"/>
        <v>387</v>
      </c>
      <c r="AF20" s="31">
        <f t="shared" si="12"/>
        <v>901</v>
      </c>
    </row>
    <row r="21" spans="2:32" ht="23.1" customHeight="1" x14ac:dyDescent="0.25">
      <c r="B21" s="45" t="s">
        <v>48</v>
      </c>
      <c r="C21" s="50">
        <v>22</v>
      </c>
      <c r="D21" s="50">
        <v>2</v>
      </c>
      <c r="E21" s="50">
        <v>4</v>
      </c>
      <c r="F21" s="50">
        <v>14</v>
      </c>
      <c r="G21" s="50">
        <v>0</v>
      </c>
      <c r="H21" s="50">
        <v>0</v>
      </c>
      <c r="I21" s="50">
        <v>4</v>
      </c>
      <c r="J21" s="50">
        <v>2</v>
      </c>
      <c r="K21" s="50">
        <v>1</v>
      </c>
      <c r="L21" s="50">
        <v>2</v>
      </c>
      <c r="M21" s="50">
        <v>120</v>
      </c>
      <c r="N21" s="50">
        <v>0</v>
      </c>
      <c r="O21" s="15">
        <f t="shared" si="0"/>
        <v>51</v>
      </c>
      <c r="P21" s="15">
        <f t="shared" si="1"/>
        <v>171</v>
      </c>
      <c r="R21" s="36" t="s">
        <v>20</v>
      </c>
      <c r="S21" s="34">
        <f t="shared" ref="S21:AF21" si="13">SUM(C54:C57)</f>
        <v>289</v>
      </c>
      <c r="T21" s="17">
        <f t="shared" si="13"/>
        <v>68</v>
      </c>
      <c r="U21" s="17">
        <f t="shared" si="13"/>
        <v>25</v>
      </c>
      <c r="V21" s="17">
        <f t="shared" si="13"/>
        <v>67</v>
      </c>
      <c r="W21" s="17">
        <f t="shared" si="13"/>
        <v>0</v>
      </c>
      <c r="X21" s="17">
        <f t="shared" si="13"/>
        <v>2</v>
      </c>
      <c r="Y21" s="17">
        <f t="shared" si="13"/>
        <v>23</v>
      </c>
      <c r="Z21" s="17">
        <f t="shared" si="13"/>
        <v>5</v>
      </c>
      <c r="AA21" s="17">
        <f t="shared" si="13"/>
        <v>4</v>
      </c>
      <c r="AB21" s="17">
        <f t="shared" si="13"/>
        <v>2</v>
      </c>
      <c r="AC21" s="17">
        <f t="shared" si="13"/>
        <v>422</v>
      </c>
      <c r="AD21" s="17">
        <f t="shared" si="13"/>
        <v>0</v>
      </c>
      <c r="AE21" s="31">
        <f t="shared" si="13"/>
        <v>485</v>
      </c>
      <c r="AF21" s="31">
        <f t="shared" si="13"/>
        <v>907</v>
      </c>
    </row>
    <row r="22" spans="2:32" ht="23.1" customHeight="1" x14ac:dyDescent="0.25">
      <c r="B22" s="45" t="s">
        <v>49</v>
      </c>
      <c r="C22" s="50">
        <v>20</v>
      </c>
      <c r="D22" s="50">
        <v>7</v>
      </c>
      <c r="E22" s="50">
        <v>3</v>
      </c>
      <c r="F22" s="50">
        <v>19</v>
      </c>
      <c r="G22" s="50">
        <v>0</v>
      </c>
      <c r="H22" s="50">
        <v>1</v>
      </c>
      <c r="I22" s="50">
        <v>7</v>
      </c>
      <c r="J22" s="50">
        <v>5</v>
      </c>
      <c r="K22" s="50">
        <v>1</v>
      </c>
      <c r="L22" s="50">
        <v>1</v>
      </c>
      <c r="M22" s="50">
        <v>121</v>
      </c>
      <c r="N22" s="50">
        <v>0</v>
      </c>
      <c r="O22" s="15">
        <f t="shared" si="0"/>
        <v>64</v>
      </c>
      <c r="P22" s="15">
        <f t="shared" si="1"/>
        <v>185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0</v>
      </c>
      <c r="AD22" s="34">
        <f t="shared" si="14"/>
        <v>0</v>
      </c>
      <c r="AE22" s="31">
        <f t="shared" si="14"/>
        <v>0</v>
      </c>
      <c r="AF22" s="31">
        <f t="shared" si="14"/>
        <v>0</v>
      </c>
    </row>
    <row r="23" spans="2:32" ht="23.1" customHeight="1" x14ac:dyDescent="0.25">
      <c r="B23" s="45" t="s">
        <v>50</v>
      </c>
      <c r="C23" s="50">
        <v>12</v>
      </c>
      <c r="D23" s="50">
        <v>2</v>
      </c>
      <c r="E23" s="50">
        <v>0</v>
      </c>
      <c r="F23" s="50">
        <v>5</v>
      </c>
      <c r="G23" s="50">
        <v>1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160</v>
      </c>
      <c r="N23" s="50">
        <v>0</v>
      </c>
      <c r="O23" s="15">
        <f t="shared" si="0"/>
        <v>22</v>
      </c>
      <c r="P23" s="15">
        <f t="shared" si="1"/>
        <v>182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11</v>
      </c>
      <c r="D24" s="50">
        <v>0</v>
      </c>
      <c r="E24" s="50">
        <v>0</v>
      </c>
      <c r="F24" s="50">
        <v>4</v>
      </c>
      <c r="G24" s="50">
        <v>1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73</v>
      </c>
      <c r="N24" s="50"/>
      <c r="O24" s="15">
        <f t="shared" si="0"/>
        <v>18</v>
      </c>
      <c r="P24" s="15">
        <f t="shared" si="1"/>
        <v>91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9</v>
      </c>
      <c r="D25" s="50">
        <v>3</v>
      </c>
      <c r="E25" s="50">
        <v>3</v>
      </c>
      <c r="F25" s="50">
        <v>7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1</v>
      </c>
      <c r="M25" s="50">
        <v>34</v>
      </c>
      <c r="N25" s="50">
        <v>0</v>
      </c>
      <c r="O25" s="15">
        <f t="shared" si="0"/>
        <v>24</v>
      </c>
      <c r="P25" s="15">
        <f t="shared" si="1"/>
        <v>58</v>
      </c>
      <c r="R25" s="36" t="s">
        <v>149</v>
      </c>
      <c r="S25" s="34">
        <f>SUM(C70:C73)</f>
        <v>137</v>
      </c>
      <c r="T25" s="34">
        <f t="shared" ref="T25:AF25" si="17">SUM(D70:D73)</f>
        <v>23</v>
      </c>
      <c r="U25" s="34">
        <f t="shared" si="17"/>
        <v>12</v>
      </c>
      <c r="V25" s="34">
        <f t="shared" si="17"/>
        <v>36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1</v>
      </c>
      <c r="AA25" s="34">
        <f t="shared" si="17"/>
        <v>3</v>
      </c>
      <c r="AB25" s="34">
        <f t="shared" si="17"/>
        <v>0</v>
      </c>
      <c r="AC25" s="34">
        <f t="shared" si="17"/>
        <v>246</v>
      </c>
      <c r="AD25" s="34">
        <f t="shared" si="17"/>
        <v>0</v>
      </c>
      <c r="AE25" s="31">
        <f t="shared" si="17"/>
        <v>218</v>
      </c>
      <c r="AF25" s="31">
        <f t="shared" si="17"/>
        <v>464</v>
      </c>
    </row>
    <row r="26" spans="2:32" ht="23.1" customHeight="1" x14ac:dyDescent="0.25">
      <c r="B26" s="45" t="s">
        <v>53</v>
      </c>
      <c r="C26" s="50">
        <v>20</v>
      </c>
      <c r="D26" s="50">
        <v>2</v>
      </c>
      <c r="E26" s="50">
        <v>4</v>
      </c>
      <c r="F26" s="50">
        <v>8</v>
      </c>
      <c r="G26" s="50">
        <v>0</v>
      </c>
      <c r="H26" s="50">
        <v>0</v>
      </c>
      <c r="I26" s="50">
        <v>2</v>
      </c>
      <c r="J26" s="50">
        <v>1</v>
      </c>
      <c r="K26" s="50">
        <v>1</v>
      </c>
      <c r="L26" s="50">
        <v>0</v>
      </c>
      <c r="M26" s="50">
        <v>45</v>
      </c>
      <c r="N26" s="50">
        <v>0</v>
      </c>
      <c r="O26" s="15">
        <f t="shared" si="0"/>
        <v>38</v>
      </c>
      <c r="P26" s="15">
        <f t="shared" si="1"/>
        <v>83</v>
      </c>
      <c r="R26" s="36" t="s">
        <v>150</v>
      </c>
      <c r="S26" s="34">
        <f>SUM(C74:C77)</f>
        <v>161</v>
      </c>
      <c r="T26" s="34">
        <f t="shared" ref="T26:AF26" si="18">SUM(D74:D77)</f>
        <v>26</v>
      </c>
      <c r="U26" s="34">
        <f t="shared" si="18"/>
        <v>11</v>
      </c>
      <c r="V26" s="34">
        <f t="shared" si="18"/>
        <v>27</v>
      </c>
      <c r="W26" s="34">
        <f t="shared" si="18"/>
        <v>0</v>
      </c>
      <c r="X26" s="34">
        <f t="shared" si="18"/>
        <v>3</v>
      </c>
      <c r="Y26" s="34">
        <f t="shared" si="18"/>
        <v>5</v>
      </c>
      <c r="Z26" s="34">
        <f t="shared" si="18"/>
        <v>4</v>
      </c>
      <c r="AA26" s="34">
        <f t="shared" si="18"/>
        <v>2</v>
      </c>
      <c r="AB26" s="34">
        <f t="shared" si="18"/>
        <v>1</v>
      </c>
      <c r="AC26" s="34">
        <f t="shared" si="18"/>
        <v>357</v>
      </c>
      <c r="AD26" s="34">
        <f t="shared" si="18"/>
        <v>1</v>
      </c>
      <c r="AE26" s="31">
        <f t="shared" si="18"/>
        <v>241</v>
      </c>
      <c r="AF26" s="31">
        <f t="shared" si="18"/>
        <v>598</v>
      </c>
    </row>
    <row r="27" spans="2:32" ht="23.1" customHeight="1" x14ac:dyDescent="0.25">
      <c r="B27" s="45" t="s">
        <v>54</v>
      </c>
      <c r="C27" s="50">
        <v>21</v>
      </c>
      <c r="D27" s="50">
        <v>4</v>
      </c>
      <c r="E27" s="50">
        <v>1</v>
      </c>
      <c r="F27" s="50">
        <v>15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64</v>
      </c>
      <c r="N27" s="50">
        <v>0</v>
      </c>
      <c r="O27" s="15">
        <f t="shared" si="0"/>
        <v>44</v>
      </c>
      <c r="P27" s="15">
        <f t="shared" si="1"/>
        <v>108</v>
      </c>
      <c r="R27" s="36" t="s">
        <v>151</v>
      </c>
      <c r="S27" s="34">
        <f>SUM(C78:C81)</f>
        <v>153</v>
      </c>
      <c r="T27" s="34">
        <f t="shared" ref="T27:AF27" si="19">SUM(D78:D81)</f>
        <v>12</v>
      </c>
      <c r="U27" s="34">
        <f t="shared" si="19"/>
        <v>8</v>
      </c>
      <c r="V27" s="34">
        <f t="shared" si="19"/>
        <v>13</v>
      </c>
      <c r="W27" s="34">
        <f t="shared" si="19"/>
        <v>0</v>
      </c>
      <c r="X27" s="34">
        <f t="shared" si="19"/>
        <v>3</v>
      </c>
      <c r="Y27" s="34">
        <f t="shared" si="19"/>
        <v>5</v>
      </c>
      <c r="Z27" s="34">
        <f t="shared" si="19"/>
        <v>2</v>
      </c>
      <c r="AA27" s="34">
        <f t="shared" si="19"/>
        <v>7</v>
      </c>
      <c r="AB27" s="34">
        <f t="shared" si="19"/>
        <v>0</v>
      </c>
      <c r="AC27" s="34">
        <f t="shared" si="19"/>
        <v>237</v>
      </c>
      <c r="AD27" s="34">
        <f t="shared" si="19"/>
        <v>2</v>
      </c>
      <c r="AE27" s="31">
        <f t="shared" si="19"/>
        <v>205</v>
      </c>
      <c r="AF27" s="31">
        <f t="shared" si="19"/>
        <v>442</v>
      </c>
    </row>
    <row r="28" spans="2:32" ht="23.1" customHeight="1" x14ac:dyDescent="0.25">
      <c r="B28" s="45" t="s">
        <v>55</v>
      </c>
      <c r="C28" s="50">
        <v>38</v>
      </c>
      <c r="D28" s="50">
        <v>1</v>
      </c>
      <c r="E28" s="50">
        <v>2</v>
      </c>
      <c r="F28" s="50">
        <v>23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1</v>
      </c>
      <c r="M28" s="50">
        <v>134</v>
      </c>
      <c r="N28" s="50">
        <v>0</v>
      </c>
      <c r="O28" s="15">
        <f t="shared" si="0"/>
        <v>67</v>
      </c>
      <c r="P28" s="15">
        <f t="shared" si="1"/>
        <v>201</v>
      </c>
      <c r="R28" s="36" t="s">
        <v>152</v>
      </c>
      <c r="S28" s="34">
        <f>SUM(C82:C85)</f>
        <v>61</v>
      </c>
      <c r="T28" s="34">
        <f t="shared" ref="T28:AF28" si="20">SUM(D82:D85)</f>
        <v>5</v>
      </c>
      <c r="U28" s="34">
        <f t="shared" si="20"/>
        <v>4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144</v>
      </c>
      <c r="AD28" s="34">
        <f t="shared" si="20"/>
        <v>0</v>
      </c>
      <c r="AE28" s="31">
        <f t="shared" si="20"/>
        <v>78</v>
      </c>
      <c r="AF28" s="31">
        <f t="shared" si="20"/>
        <v>222</v>
      </c>
    </row>
    <row r="29" spans="2:32" ht="23.1" customHeight="1" x14ac:dyDescent="0.25">
      <c r="B29" s="45" t="s">
        <v>56</v>
      </c>
      <c r="C29" s="50">
        <v>7</v>
      </c>
      <c r="D29" s="50">
        <v>9</v>
      </c>
      <c r="E29" s="50">
        <v>1</v>
      </c>
      <c r="F29" s="50">
        <v>6</v>
      </c>
      <c r="G29" s="50">
        <v>0</v>
      </c>
      <c r="H29" s="50">
        <v>0</v>
      </c>
      <c r="I29" s="50">
        <v>6</v>
      </c>
      <c r="J29" s="50">
        <v>4</v>
      </c>
      <c r="K29" s="50">
        <v>0</v>
      </c>
      <c r="L29" s="50">
        <v>0</v>
      </c>
      <c r="M29" s="50">
        <v>145</v>
      </c>
      <c r="N29" s="50">
        <v>0</v>
      </c>
      <c r="O29" s="15">
        <f t="shared" si="0"/>
        <v>33</v>
      </c>
      <c r="P29" s="15">
        <f t="shared" si="1"/>
        <v>178</v>
      </c>
      <c r="R29" s="36" t="s">
        <v>153</v>
      </c>
      <c r="S29" s="34">
        <f>SUM(C86:C89)</f>
        <v>45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62</v>
      </c>
      <c r="AD29" s="34">
        <f t="shared" si="21"/>
        <v>1</v>
      </c>
      <c r="AE29" s="31">
        <f t="shared" si="21"/>
        <v>51</v>
      </c>
      <c r="AF29" s="31">
        <f t="shared" si="21"/>
        <v>113</v>
      </c>
    </row>
    <row r="30" spans="2:32" ht="23.1" customHeight="1" x14ac:dyDescent="0.25">
      <c r="B30" s="45" t="s">
        <v>57</v>
      </c>
      <c r="C30" s="50">
        <v>27</v>
      </c>
      <c r="D30" s="50">
        <v>3</v>
      </c>
      <c r="E30" s="50">
        <v>4</v>
      </c>
      <c r="F30" s="50">
        <v>9</v>
      </c>
      <c r="G30" s="50">
        <v>0</v>
      </c>
      <c r="H30" s="50">
        <v>0</v>
      </c>
      <c r="I30" s="50">
        <v>9</v>
      </c>
      <c r="J30" s="50">
        <v>1</v>
      </c>
      <c r="K30" s="50">
        <v>0</v>
      </c>
      <c r="L30" s="50">
        <v>1</v>
      </c>
      <c r="M30" s="50">
        <v>66</v>
      </c>
      <c r="N30" s="50">
        <v>0</v>
      </c>
      <c r="O30" s="15">
        <f t="shared" si="0"/>
        <v>54</v>
      </c>
      <c r="P30" s="15">
        <f t="shared" si="1"/>
        <v>120</v>
      </c>
      <c r="R30" s="36" t="s">
        <v>154</v>
      </c>
      <c r="S30" s="34">
        <f>SUM(C90:C93)</f>
        <v>31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82</v>
      </c>
      <c r="AD30" s="34">
        <f t="shared" si="22"/>
        <v>0</v>
      </c>
      <c r="AE30" s="31">
        <f t="shared" si="22"/>
        <v>38</v>
      </c>
      <c r="AF30" s="31">
        <f t="shared" si="22"/>
        <v>120</v>
      </c>
    </row>
    <row r="31" spans="2:32" ht="23.1" customHeight="1" x14ac:dyDescent="0.25">
      <c r="B31" s="46" t="s">
        <v>58</v>
      </c>
      <c r="C31" s="50">
        <v>27</v>
      </c>
      <c r="D31" s="50">
        <v>8</v>
      </c>
      <c r="E31" s="50">
        <v>2</v>
      </c>
      <c r="F31" s="50">
        <v>7</v>
      </c>
      <c r="G31" s="50">
        <v>1</v>
      </c>
      <c r="H31" s="50">
        <v>0</v>
      </c>
      <c r="I31" s="50">
        <v>5</v>
      </c>
      <c r="J31" s="50">
        <v>1</v>
      </c>
      <c r="K31" s="50">
        <v>2</v>
      </c>
      <c r="L31" s="50">
        <v>0</v>
      </c>
      <c r="M31" s="50">
        <v>107</v>
      </c>
      <c r="N31" s="50">
        <v>0</v>
      </c>
      <c r="O31" s="15">
        <f t="shared" si="0"/>
        <v>53</v>
      </c>
      <c r="P31" s="15">
        <f t="shared" si="1"/>
        <v>160</v>
      </c>
      <c r="R31" s="36" t="s">
        <v>155</v>
      </c>
      <c r="S31" s="34">
        <f>SUM(C94:C97)</f>
        <v>19</v>
      </c>
      <c r="T31" s="34">
        <f t="shared" ref="T31:AF31" si="23">SUM(D94:D97)</f>
        <v>5</v>
      </c>
      <c r="U31" s="34">
        <f t="shared" si="23"/>
        <v>2</v>
      </c>
      <c r="V31" s="34">
        <f t="shared" si="23"/>
        <v>6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76</v>
      </c>
      <c r="AD31" s="34">
        <f t="shared" si="23"/>
        <v>0</v>
      </c>
      <c r="AE31" s="31">
        <f t="shared" si="23"/>
        <v>33</v>
      </c>
      <c r="AF31" s="31">
        <f t="shared" si="23"/>
        <v>109</v>
      </c>
    </row>
    <row r="32" spans="2:32" ht="23.1" customHeight="1" x14ac:dyDescent="0.25">
      <c r="B32" s="46" t="s">
        <v>59</v>
      </c>
      <c r="C32" s="50">
        <v>13</v>
      </c>
      <c r="D32" s="50">
        <v>3</v>
      </c>
      <c r="E32" s="50">
        <v>2</v>
      </c>
      <c r="F32" s="50">
        <v>8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100</v>
      </c>
      <c r="N32" s="50">
        <v>0</v>
      </c>
      <c r="O32" s="15">
        <f t="shared" si="0"/>
        <v>28</v>
      </c>
      <c r="P32" s="15">
        <f t="shared" si="1"/>
        <v>128</v>
      </c>
      <c r="R32" s="33" t="s">
        <v>156</v>
      </c>
      <c r="S32" s="34">
        <f>SUM(C98:C101)</f>
        <v>33</v>
      </c>
      <c r="T32" s="34">
        <f t="shared" ref="T32:AF32" si="24">SUM(D98:D101)</f>
        <v>11</v>
      </c>
      <c r="U32" s="34">
        <f t="shared" si="24"/>
        <v>0</v>
      </c>
      <c r="V32" s="34">
        <f t="shared" si="24"/>
        <v>34</v>
      </c>
      <c r="W32" s="34">
        <f t="shared" si="24"/>
        <v>0</v>
      </c>
      <c r="X32" s="34">
        <f t="shared" si="24"/>
        <v>2</v>
      </c>
      <c r="Y32" s="34">
        <f t="shared" si="24"/>
        <v>2</v>
      </c>
      <c r="Z32" s="34">
        <f t="shared" si="24"/>
        <v>5</v>
      </c>
      <c r="AA32" s="34">
        <f t="shared" si="24"/>
        <v>3</v>
      </c>
      <c r="AB32" s="34">
        <f t="shared" si="24"/>
        <v>5</v>
      </c>
      <c r="AC32" s="34">
        <f t="shared" si="24"/>
        <v>81</v>
      </c>
      <c r="AD32" s="34">
        <f t="shared" si="24"/>
        <v>0</v>
      </c>
      <c r="AE32" s="31">
        <f t="shared" si="24"/>
        <v>95</v>
      </c>
      <c r="AF32" s="31">
        <f t="shared" si="24"/>
        <v>176</v>
      </c>
    </row>
    <row r="33" spans="2:32" ht="23.1" customHeight="1" x14ac:dyDescent="0.25">
      <c r="B33" s="45" t="s">
        <v>60</v>
      </c>
      <c r="C33" s="50">
        <v>15</v>
      </c>
      <c r="D33" s="50">
        <v>2</v>
      </c>
      <c r="E33" s="50">
        <v>1</v>
      </c>
      <c r="F33" s="50">
        <v>3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73</v>
      </c>
      <c r="N33" s="50">
        <v>0</v>
      </c>
      <c r="O33" s="15">
        <f t="shared" si="0"/>
        <v>24</v>
      </c>
      <c r="P33" s="15">
        <f t="shared" si="1"/>
        <v>97</v>
      </c>
      <c r="R33" s="33" t="s">
        <v>157</v>
      </c>
      <c r="S33" s="34">
        <f>SUM(C102:C105)</f>
        <v>65</v>
      </c>
      <c r="T33" s="34">
        <f t="shared" ref="T33:AF33" si="25">SUM(D102:D105)</f>
        <v>3</v>
      </c>
      <c r="U33" s="34">
        <f t="shared" si="25"/>
        <v>3</v>
      </c>
      <c r="V33" s="34">
        <f t="shared" si="25"/>
        <v>67</v>
      </c>
      <c r="W33" s="34">
        <f t="shared" si="25"/>
        <v>8</v>
      </c>
      <c r="X33" s="34">
        <f t="shared" si="25"/>
        <v>4</v>
      </c>
      <c r="Y33" s="34">
        <f t="shared" si="25"/>
        <v>9</v>
      </c>
      <c r="Z33" s="34">
        <f t="shared" si="25"/>
        <v>2</v>
      </c>
      <c r="AA33" s="34">
        <f t="shared" si="25"/>
        <v>4</v>
      </c>
      <c r="AB33" s="34">
        <f t="shared" si="25"/>
        <v>2</v>
      </c>
      <c r="AC33" s="34">
        <f t="shared" si="25"/>
        <v>164</v>
      </c>
      <c r="AD33" s="34">
        <f t="shared" si="25"/>
        <v>0</v>
      </c>
      <c r="AE33" s="31">
        <f t="shared" si="25"/>
        <v>167</v>
      </c>
      <c r="AF33" s="31">
        <f t="shared" si="25"/>
        <v>331</v>
      </c>
    </row>
    <row r="34" spans="2:32" ht="23.1" customHeight="1" x14ac:dyDescent="0.25">
      <c r="B34" s="46" t="s">
        <v>61</v>
      </c>
      <c r="C34" s="50">
        <v>20</v>
      </c>
      <c r="D34" s="50">
        <v>3</v>
      </c>
      <c r="E34" s="50">
        <v>6</v>
      </c>
      <c r="F34" s="50">
        <v>12</v>
      </c>
      <c r="G34" s="50">
        <v>1</v>
      </c>
      <c r="H34" s="50">
        <v>0</v>
      </c>
      <c r="I34" s="50">
        <v>5</v>
      </c>
      <c r="J34" s="50">
        <v>1</v>
      </c>
      <c r="K34" s="50">
        <v>0</v>
      </c>
      <c r="L34" s="50">
        <v>0</v>
      </c>
      <c r="M34" s="50">
        <v>135</v>
      </c>
      <c r="N34" s="50">
        <v>0</v>
      </c>
      <c r="O34" s="15">
        <f t="shared" si="0"/>
        <v>48</v>
      </c>
      <c r="P34" s="15">
        <f t="shared" si="1"/>
        <v>183</v>
      </c>
      <c r="R34" s="38" t="s">
        <v>90</v>
      </c>
      <c r="S34" s="39">
        <f t="shared" ref="S34:AF34" si="26">MAX(S10:S12)</f>
        <v>127</v>
      </c>
      <c r="T34" s="39">
        <f t="shared" si="26"/>
        <v>18</v>
      </c>
      <c r="U34" s="39">
        <f t="shared" si="26"/>
        <v>11</v>
      </c>
      <c r="V34" s="39">
        <f t="shared" si="26"/>
        <v>89</v>
      </c>
      <c r="W34" s="39">
        <f t="shared" si="26"/>
        <v>5</v>
      </c>
      <c r="X34" s="39">
        <f t="shared" si="26"/>
        <v>5</v>
      </c>
      <c r="Y34" s="39">
        <f t="shared" si="26"/>
        <v>14</v>
      </c>
      <c r="Z34" s="39">
        <f t="shared" si="26"/>
        <v>7</v>
      </c>
      <c r="AA34" s="39">
        <f t="shared" si="26"/>
        <v>1</v>
      </c>
      <c r="AB34" s="39">
        <f t="shared" si="26"/>
        <v>2</v>
      </c>
      <c r="AC34" s="39">
        <f t="shared" si="26"/>
        <v>647</v>
      </c>
      <c r="AD34" s="39">
        <f t="shared" si="26"/>
        <v>0</v>
      </c>
      <c r="AE34" s="40">
        <f t="shared" si="26"/>
        <v>261</v>
      </c>
      <c r="AF34" s="40">
        <f t="shared" si="26"/>
        <v>873</v>
      </c>
    </row>
    <row r="35" spans="2:32" ht="23.1" customHeight="1" x14ac:dyDescent="0.25">
      <c r="B35" s="46" t="s">
        <v>62</v>
      </c>
      <c r="C35" s="50">
        <v>21</v>
      </c>
      <c r="D35" s="50">
        <v>5</v>
      </c>
      <c r="E35" s="50">
        <v>1</v>
      </c>
      <c r="F35" s="50">
        <v>10</v>
      </c>
      <c r="G35" s="50">
        <v>0</v>
      </c>
      <c r="H35" s="50">
        <v>3</v>
      </c>
      <c r="I35" s="50">
        <v>4</v>
      </c>
      <c r="J35" s="50">
        <v>0</v>
      </c>
      <c r="K35" s="50">
        <v>0</v>
      </c>
      <c r="L35" s="50">
        <v>0</v>
      </c>
      <c r="M35" s="50">
        <v>123</v>
      </c>
      <c r="N35" s="50">
        <v>0</v>
      </c>
      <c r="O35" s="15">
        <f t="shared" si="0"/>
        <v>44</v>
      </c>
      <c r="P35" s="15">
        <f t="shared" si="1"/>
        <v>167</v>
      </c>
      <c r="R35" s="38" t="s">
        <v>91</v>
      </c>
      <c r="S35" s="39">
        <f t="shared" ref="S35:AF35" si="27">MAX(S13:S18)</f>
        <v>137</v>
      </c>
      <c r="T35" s="39">
        <f t="shared" si="27"/>
        <v>23</v>
      </c>
      <c r="U35" s="39">
        <f t="shared" si="27"/>
        <v>20</v>
      </c>
      <c r="V35" s="39">
        <f t="shared" si="27"/>
        <v>52</v>
      </c>
      <c r="W35" s="39">
        <f t="shared" si="27"/>
        <v>2</v>
      </c>
      <c r="X35" s="39">
        <f t="shared" si="27"/>
        <v>3</v>
      </c>
      <c r="Y35" s="39">
        <f t="shared" si="27"/>
        <v>20</v>
      </c>
      <c r="Z35" s="39">
        <f t="shared" si="27"/>
        <v>8</v>
      </c>
      <c r="AA35" s="39">
        <f t="shared" si="27"/>
        <v>3</v>
      </c>
      <c r="AB35" s="39">
        <f t="shared" si="27"/>
        <v>2</v>
      </c>
      <c r="AC35" s="39">
        <f t="shared" si="27"/>
        <v>438</v>
      </c>
      <c r="AD35" s="39">
        <f t="shared" si="27"/>
        <v>0</v>
      </c>
      <c r="AE35" s="40">
        <f t="shared" si="27"/>
        <v>252</v>
      </c>
      <c r="AF35" s="40">
        <f t="shared" si="27"/>
        <v>649</v>
      </c>
    </row>
    <row r="36" spans="2:32" ht="23.1" customHeight="1" x14ac:dyDescent="0.25">
      <c r="B36" s="46" t="s">
        <v>63</v>
      </c>
      <c r="C36" s="50">
        <v>37</v>
      </c>
      <c r="D36" s="50">
        <v>9</v>
      </c>
      <c r="E36" s="50">
        <v>2</v>
      </c>
      <c r="F36" s="50">
        <v>12</v>
      </c>
      <c r="G36" s="50">
        <v>0</v>
      </c>
      <c r="H36" s="50">
        <v>0</v>
      </c>
      <c r="I36" s="50">
        <v>5</v>
      </c>
      <c r="J36" s="50">
        <v>3</v>
      </c>
      <c r="K36" s="50">
        <v>0</v>
      </c>
      <c r="L36" s="50">
        <v>0</v>
      </c>
      <c r="M36" s="50">
        <v>70</v>
      </c>
      <c r="N36" s="50">
        <v>0</v>
      </c>
      <c r="O36" s="15">
        <f t="shared" si="0"/>
        <v>68</v>
      </c>
      <c r="P36" s="15">
        <f t="shared" si="1"/>
        <v>138</v>
      </c>
      <c r="R36" s="38" t="s">
        <v>92</v>
      </c>
      <c r="S36" s="39">
        <f t="shared" ref="S36:AF36" si="28">MAX(S19:S21)</f>
        <v>289</v>
      </c>
      <c r="T36" s="39">
        <f t="shared" si="28"/>
        <v>68</v>
      </c>
      <c r="U36" s="39">
        <f t="shared" si="28"/>
        <v>25</v>
      </c>
      <c r="V36" s="39">
        <f t="shared" si="28"/>
        <v>72</v>
      </c>
      <c r="W36" s="39">
        <f t="shared" si="28"/>
        <v>1</v>
      </c>
      <c r="X36" s="39">
        <f t="shared" si="28"/>
        <v>2</v>
      </c>
      <c r="Y36" s="39">
        <f t="shared" si="28"/>
        <v>23</v>
      </c>
      <c r="Z36" s="39">
        <f t="shared" si="28"/>
        <v>11</v>
      </c>
      <c r="AA36" s="39">
        <f t="shared" si="28"/>
        <v>5</v>
      </c>
      <c r="AB36" s="39">
        <f t="shared" si="28"/>
        <v>3</v>
      </c>
      <c r="AC36" s="39">
        <f t="shared" si="28"/>
        <v>850</v>
      </c>
      <c r="AD36" s="39">
        <f t="shared" si="28"/>
        <v>0</v>
      </c>
      <c r="AE36" s="40">
        <f t="shared" si="28"/>
        <v>485</v>
      </c>
      <c r="AF36" s="40">
        <f t="shared" si="28"/>
        <v>1176</v>
      </c>
    </row>
    <row r="37" spans="2:32" ht="23.1" customHeight="1" x14ac:dyDescent="0.25">
      <c r="B37" s="45" t="s">
        <v>64</v>
      </c>
      <c r="C37" s="50">
        <v>28</v>
      </c>
      <c r="D37" s="50">
        <v>3</v>
      </c>
      <c r="E37" s="50">
        <v>5</v>
      </c>
      <c r="F37" s="50">
        <v>10</v>
      </c>
      <c r="G37" s="50">
        <v>0</v>
      </c>
      <c r="H37" s="50">
        <v>0</v>
      </c>
      <c r="I37" s="50">
        <v>2</v>
      </c>
      <c r="J37" s="50">
        <v>0</v>
      </c>
      <c r="K37" s="50">
        <v>1</v>
      </c>
      <c r="L37" s="50">
        <v>2</v>
      </c>
      <c r="M37" s="50">
        <v>110</v>
      </c>
      <c r="N37" s="50">
        <v>0</v>
      </c>
      <c r="O37" s="15">
        <f t="shared" si="0"/>
        <v>51</v>
      </c>
      <c r="P37" s="15">
        <f t="shared" si="1"/>
        <v>161</v>
      </c>
      <c r="R37" s="37" t="s">
        <v>85</v>
      </c>
      <c r="S37" s="35">
        <f t="shared" ref="S37:AF37" si="29">SUM(S10:S12)</f>
        <v>321</v>
      </c>
      <c r="T37" s="16">
        <f t="shared" si="29"/>
        <v>46</v>
      </c>
      <c r="U37" s="16">
        <f t="shared" si="29"/>
        <v>29</v>
      </c>
      <c r="V37" s="16">
        <f t="shared" si="29"/>
        <v>240</v>
      </c>
      <c r="W37" s="16">
        <f t="shared" si="29"/>
        <v>11</v>
      </c>
      <c r="X37" s="16">
        <f t="shared" si="29"/>
        <v>7</v>
      </c>
      <c r="Y37" s="16">
        <f t="shared" si="29"/>
        <v>26</v>
      </c>
      <c r="Z37" s="16">
        <f t="shared" si="29"/>
        <v>16</v>
      </c>
      <c r="AA37" s="16">
        <f t="shared" si="29"/>
        <v>1</v>
      </c>
      <c r="AB37" s="16">
        <f t="shared" si="29"/>
        <v>3</v>
      </c>
      <c r="AC37" s="16">
        <f t="shared" si="29"/>
        <v>1697</v>
      </c>
      <c r="AD37" s="16">
        <f t="shared" si="29"/>
        <v>0</v>
      </c>
      <c r="AE37" s="32">
        <f t="shared" si="29"/>
        <v>700</v>
      </c>
      <c r="AF37" s="32">
        <f t="shared" si="29"/>
        <v>2397</v>
      </c>
    </row>
    <row r="38" spans="2:32" ht="23.1" customHeight="1" x14ac:dyDescent="0.25">
      <c r="B38" s="46" t="s">
        <v>65</v>
      </c>
      <c r="C38" s="50">
        <v>8</v>
      </c>
      <c r="D38" s="50">
        <v>3</v>
      </c>
      <c r="E38" s="50">
        <v>4</v>
      </c>
      <c r="F38" s="50">
        <v>13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140</v>
      </c>
      <c r="N38" s="50">
        <v>0</v>
      </c>
      <c r="O38" s="15">
        <f t="shared" si="0"/>
        <v>28</v>
      </c>
      <c r="P38" s="15">
        <f t="shared" si="1"/>
        <v>168</v>
      </c>
      <c r="R38" s="28" t="s">
        <v>86</v>
      </c>
      <c r="S38" s="16">
        <f t="shared" ref="S38:AF38" si="30">SUM(S13:S18)</f>
        <v>570</v>
      </c>
      <c r="T38" s="16">
        <f t="shared" si="30"/>
        <v>107</v>
      </c>
      <c r="U38" s="16">
        <f t="shared" si="30"/>
        <v>73</v>
      </c>
      <c r="V38" s="16">
        <f t="shared" si="30"/>
        <v>243</v>
      </c>
      <c r="W38" s="16">
        <f t="shared" si="30"/>
        <v>6</v>
      </c>
      <c r="X38" s="16">
        <f t="shared" si="30"/>
        <v>6</v>
      </c>
      <c r="Y38" s="16">
        <f t="shared" si="30"/>
        <v>88</v>
      </c>
      <c r="Z38" s="16">
        <f t="shared" si="30"/>
        <v>30</v>
      </c>
      <c r="AA38" s="16">
        <f t="shared" si="30"/>
        <v>10</v>
      </c>
      <c r="AB38" s="16">
        <f t="shared" si="30"/>
        <v>6</v>
      </c>
      <c r="AC38" s="16">
        <f t="shared" si="30"/>
        <v>2323</v>
      </c>
      <c r="AD38" s="16">
        <f t="shared" si="30"/>
        <v>0</v>
      </c>
      <c r="AE38" s="32">
        <f t="shared" si="30"/>
        <v>1139</v>
      </c>
      <c r="AF38" s="32">
        <f t="shared" si="30"/>
        <v>3462</v>
      </c>
    </row>
    <row r="39" spans="2:32" ht="23.1" customHeight="1" x14ac:dyDescent="0.25">
      <c r="B39" s="46" t="s">
        <v>66</v>
      </c>
      <c r="C39" s="50">
        <v>31</v>
      </c>
      <c r="D39" s="50">
        <v>4</v>
      </c>
      <c r="E39" s="50">
        <v>4</v>
      </c>
      <c r="F39" s="50">
        <v>8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84</v>
      </c>
      <c r="N39" s="50">
        <v>0</v>
      </c>
      <c r="O39" s="15">
        <f t="shared" si="0"/>
        <v>51</v>
      </c>
      <c r="P39" s="15">
        <f t="shared" si="1"/>
        <v>135</v>
      </c>
      <c r="R39" s="29" t="s">
        <v>87</v>
      </c>
      <c r="S39" s="16">
        <f t="shared" ref="S39:AF39" si="31">SUM(S19:S21)</f>
        <v>681</v>
      </c>
      <c r="T39" s="16">
        <f t="shared" si="31"/>
        <v>161</v>
      </c>
      <c r="U39" s="16">
        <f t="shared" si="31"/>
        <v>63</v>
      </c>
      <c r="V39" s="16">
        <f t="shared" si="31"/>
        <v>191</v>
      </c>
      <c r="W39" s="16">
        <f t="shared" si="31"/>
        <v>1</v>
      </c>
      <c r="X39" s="16">
        <f t="shared" si="31"/>
        <v>3</v>
      </c>
      <c r="Y39" s="16">
        <f t="shared" si="31"/>
        <v>59</v>
      </c>
      <c r="Z39" s="16">
        <f t="shared" si="31"/>
        <v>25</v>
      </c>
      <c r="AA39" s="16">
        <f t="shared" si="31"/>
        <v>9</v>
      </c>
      <c r="AB39" s="16">
        <f t="shared" si="31"/>
        <v>5</v>
      </c>
      <c r="AC39" s="16">
        <f t="shared" si="31"/>
        <v>1786</v>
      </c>
      <c r="AD39" s="16">
        <f t="shared" si="31"/>
        <v>0</v>
      </c>
      <c r="AE39" s="32">
        <f t="shared" si="31"/>
        <v>1198</v>
      </c>
      <c r="AF39" s="32">
        <f t="shared" si="31"/>
        <v>2984</v>
      </c>
    </row>
    <row r="40" spans="2:32" ht="23.1" customHeight="1" x14ac:dyDescent="0.25">
      <c r="B40" s="46" t="s">
        <v>67</v>
      </c>
      <c r="C40" s="50">
        <v>18</v>
      </c>
      <c r="D40" s="50">
        <v>10</v>
      </c>
      <c r="E40" s="50">
        <v>6</v>
      </c>
      <c r="F40" s="50">
        <v>9</v>
      </c>
      <c r="G40" s="50">
        <v>1</v>
      </c>
      <c r="H40" s="50">
        <v>1</v>
      </c>
      <c r="I40" s="50">
        <v>3</v>
      </c>
      <c r="J40" s="50">
        <v>2</v>
      </c>
      <c r="K40" s="50">
        <v>1</v>
      </c>
      <c r="L40" s="50">
        <v>0</v>
      </c>
      <c r="M40" s="50">
        <v>122</v>
      </c>
      <c r="N40" s="50">
        <v>0</v>
      </c>
      <c r="O40" s="15">
        <f t="shared" si="0"/>
        <v>51</v>
      </c>
      <c r="P40" s="15">
        <f t="shared" si="1"/>
        <v>173</v>
      </c>
      <c r="R40" s="5" t="s">
        <v>17</v>
      </c>
      <c r="S40" s="16">
        <f t="shared" ref="S40:AF40" si="32">SUM(S10:S21)</f>
        <v>1572</v>
      </c>
      <c r="T40" s="16">
        <f t="shared" si="32"/>
        <v>314</v>
      </c>
      <c r="U40" s="16">
        <f t="shared" si="32"/>
        <v>165</v>
      </c>
      <c r="V40" s="16">
        <f t="shared" si="32"/>
        <v>674</v>
      </c>
      <c r="W40" s="16">
        <f t="shared" si="32"/>
        <v>18</v>
      </c>
      <c r="X40" s="16">
        <f t="shared" si="32"/>
        <v>16</v>
      </c>
      <c r="Y40" s="16">
        <f t="shared" si="32"/>
        <v>173</v>
      </c>
      <c r="Z40" s="16">
        <f t="shared" si="32"/>
        <v>71</v>
      </c>
      <c r="AA40" s="16">
        <f t="shared" si="32"/>
        <v>20</v>
      </c>
      <c r="AB40" s="16">
        <f t="shared" si="32"/>
        <v>14</v>
      </c>
      <c r="AC40" s="16">
        <f t="shared" si="32"/>
        <v>5806</v>
      </c>
      <c r="AD40" s="16">
        <f t="shared" si="32"/>
        <v>0</v>
      </c>
      <c r="AE40" s="32">
        <f t="shared" si="32"/>
        <v>3037</v>
      </c>
      <c r="AF40" s="32">
        <f t="shared" si="32"/>
        <v>8843</v>
      </c>
    </row>
    <row r="41" spans="2:32" ht="23.1" customHeight="1" x14ac:dyDescent="0.25">
      <c r="B41" s="45" t="s">
        <v>68</v>
      </c>
      <c r="C41" s="50">
        <v>50</v>
      </c>
      <c r="D41" s="50">
        <v>3</v>
      </c>
      <c r="E41" s="50">
        <v>2</v>
      </c>
      <c r="F41" s="50">
        <v>10</v>
      </c>
      <c r="G41" s="50">
        <v>1</v>
      </c>
      <c r="H41" s="50">
        <v>1</v>
      </c>
      <c r="I41" s="50">
        <v>5</v>
      </c>
      <c r="J41" s="50">
        <v>4</v>
      </c>
      <c r="K41" s="50">
        <v>1</v>
      </c>
      <c r="L41" s="50">
        <v>0</v>
      </c>
      <c r="M41" s="50">
        <v>57</v>
      </c>
      <c r="N41" s="50">
        <v>0</v>
      </c>
      <c r="O41" s="15">
        <f t="shared" si="0"/>
        <v>77</v>
      </c>
      <c r="P41" s="15">
        <f t="shared" si="1"/>
        <v>134</v>
      </c>
      <c r="R41" s="5" t="s">
        <v>159</v>
      </c>
      <c r="S41" s="16">
        <f>SUM(S10:S33)</f>
        <v>2277</v>
      </c>
      <c r="T41" s="16">
        <f t="shared" ref="T41:AF41" si="33">SUM(T10:T33)</f>
        <v>402</v>
      </c>
      <c r="U41" s="16">
        <f t="shared" si="33"/>
        <v>206</v>
      </c>
      <c r="V41" s="16">
        <f t="shared" si="33"/>
        <v>863</v>
      </c>
      <c r="W41" s="16">
        <f t="shared" si="33"/>
        <v>26</v>
      </c>
      <c r="X41" s="16">
        <f t="shared" si="33"/>
        <v>28</v>
      </c>
      <c r="Y41" s="16">
        <f t="shared" si="33"/>
        <v>209</v>
      </c>
      <c r="Z41" s="16">
        <f t="shared" si="33"/>
        <v>87</v>
      </c>
      <c r="AA41" s="16">
        <f t="shared" si="33"/>
        <v>39</v>
      </c>
      <c r="AB41" s="16">
        <f t="shared" si="33"/>
        <v>22</v>
      </c>
      <c r="AC41" s="16">
        <f t="shared" si="33"/>
        <v>7255</v>
      </c>
      <c r="AD41" s="16">
        <f t="shared" si="33"/>
        <v>4</v>
      </c>
      <c r="AE41" s="32">
        <f t="shared" si="33"/>
        <v>4163</v>
      </c>
      <c r="AF41" s="32">
        <f t="shared" si="33"/>
        <v>11418</v>
      </c>
    </row>
    <row r="42" spans="2:32" ht="23.1" customHeight="1" x14ac:dyDescent="0.25">
      <c r="B42" s="46" t="s">
        <v>69</v>
      </c>
      <c r="C42" s="50">
        <v>30</v>
      </c>
      <c r="D42" s="50">
        <v>3</v>
      </c>
      <c r="E42" s="50">
        <v>4</v>
      </c>
      <c r="F42" s="50">
        <v>12</v>
      </c>
      <c r="G42" s="50">
        <v>0</v>
      </c>
      <c r="H42" s="50">
        <v>0</v>
      </c>
      <c r="I42" s="50">
        <v>6</v>
      </c>
      <c r="J42" s="50">
        <v>3</v>
      </c>
      <c r="K42" s="50">
        <v>1</v>
      </c>
      <c r="L42" s="50">
        <v>0</v>
      </c>
      <c r="M42" s="50">
        <v>108</v>
      </c>
      <c r="N42" s="50">
        <v>0</v>
      </c>
      <c r="O42" s="15">
        <f t="shared" si="0"/>
        <v>59</v>
      </c>
      <c r="P42" s="15">
        <f t="shared" si="1"/>
        <v>167</v>
      </c>
      <c r="R42" s="5" t="s">
        <v>160</v>
      </c>
      <c r="S42" s="48">
        <f>S41/S40</f>
        <v>1.4484732824427482</v>
      </c>
      <c r="T42" s="48">
        <f t="shared" ref="T42:AF42" si="34">T41/T40</f>
        <v>1.2802547770700636</v>
      </c>
      <c r="U42" s="48">
        <f t="shared" si="34"/>
        <v>1.2484848484848485</v>
      </c>
      <c r="V42" s="48">
        <f t="shared" si="34"/>
        <v>1.2804154302670623</v>
      </c>
      <c r="W42" s="48">
        <f t="shared" si="34"/>
        <v>1.4444444444444444</v>
      </c>
      <c r="X42" s="48">
        <f t="shared" si="34"/>
        <v>1.75</v>
      </c>
      <c r="Y42" s="48">
        <f t="shared" si="34"/>
        <v>1.2080924855491328</v>
      </c>
      <c r="Z42" s="48">
        <f t="shared" si="34"/>
        <v>1.2253521126760563</v>
      </c>
      <c r="AA42" s="48">
        <f t="shared" si="34"/>
        <v>1.95</v>
      </c>
      <c r="AB42" s="48">
        <f t="shared" si="34"/>
        <v>1.5714285714285714</v>
      </c>
      <c r="AC42" s="48">
        <f t="shared" si="34"/>
        <v>1.2495694109541853</v>
      </c>
      <c r="AD42" s="48" t="e">
        <f t="shared" si="34"/>
        <v>#DIV/0!</v>
      </c>
      <c r="AE42" s="48">
        <f t="shared" si="34"/>
        <v>1.3707606190319395</v>
      </c>
      <c r="AF42" s="48">
        <f t="shared" si="34"/>
        <v>1.2911907723623204</v>
      </c>
    </row>
    <row r="43" spans="2:32" ht="23.1" customHeight="1" x14ac:dyDescent="0.25">
      <c r="B43" s="45" t="s">
        <v>70</v>
      </c>
      <c r="C43" s="50">
        <v>35</v>
      </c>
      <c r="D43" s="50">
        <v>6</v>
      </c>
      <c r="E43" s="50">
        <v>3</v>
      </c>
      <c r="F43" s="50">
        <v>8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97</v>
      </c>
      <c r="N43" s="50">
        <v>0</v>
      </c>
      <c r="O43" s="15">
        <f t="shared" si="0"/>
        <v>54</v>
      </c>
      <c r="P43" s="15">
        <f t="shared" si="1"/>
        <v>151</v>
      </c>
    </row>
    <row r="44" spans="2:32" ht="23.1" customHeight="1" x14ac:dyDescent="0.25">
      <c r="B44" s="47" t="s">
        <v>71</v>
      </c>
      <c r="C44" s="50">
        <v>29</v>
      </c>
      <c r="D44" s="50">
        <v>7</v>
      </c>
      <c r="E44" s="50">
        <v>5</v>
      </c>
      <c r="F44" s="50">
        <v>11</v>
      </c>
      <c r="G44" s="50">
        <v>0</v>
      </c>
      <c r="H44" s="50">
        <v>0</v>
      </c>
      <c r="I44" s="50">
        <v>10</v>
      </c>
      <c r="J44" s="50">
        <v>1</v>
      </c>
      <c r="K44" s="50">
        <v>0</v>
      </c>
      <c r="L44" s="50">
        <v>0</v>
      </c>
      <c r="M44" s="50">
        <v>124</v>
      </c>
      <c r="N44" s="50">
        <v>0</v>
      </c>
      <c r="O44" s="15">
        <f t="shared" si="0"/>
        <v>63</v>
      </c>
      <c r="P44" s="15">
        <f t="shared" si="1"/>
        <v>187</v>
      </c>
    </row>
    <row r="45" spans="2:32" ht="23.1" customHeight="1" x14ac:dyDescent="0.25">
      <c r="B45" s="45" t="s">
        <v>72</v>
      </c>
      <c r="C45" s="50">
        <v>43</v>
      </c>
      <c r="D45" s="50">
        <v>7</v>
      </c>
      <c r="E45" s="50">
        <v>8</v>
      </c>
      <c r="F45" s="50">
        <v>14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0</v>
      </c>
      <c r="M45" s="50">
        <v>31</v>
      </c>
      <c r="N45" s="50">
        <v>0</v>
      </c>
      <c r="O45" s="15">
        <f t="shared" si="0"/>
        <v>76</v>
      </c>
      <c r="P45" s="15">
        <f t="shared" si="1"/>
        <v>107</v>
      </c>
    </row>
    <row r="46" spans="2:32" ht="23.1" customHeight="1" x14ac:dyDescent="0.25">
      <c r="B46" s="46" t="s">
        <v>73</v>
      </c>
      <c r="C46" s="50">
        <v>41</v>
      </c>
      <c r="D46" s="50">
        <v>6</v>
      </c>
      <c r="E46" s="50">
        <v>4</v>
      </c>
      <c r="F46" s="50">
        <v>14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190</v>
      </c>
      <c r="N46" s="50">
        <v>0</v>
      </c>
      <c r="O46" s="15">
        <f t="shared" si="0"/>
        <v>71</v>
      </c>
      <c r="P46" s="15">
        <f t="shared" si="1"/>
        <v>261</v>
      </c>
      <c r="R46" s="8"/>
      <c r="T46"/>
    </row>
    <row r="47" spans="2:32" ht="23.1" customHeight="1" x14ac:dyDescent="0.25">
      <c r="B47" s="46" t="s">
        <v>74</v>
      </c>
      <c r="C47" s="50">
        <v>57</v>
      </c>
      <c r="D47" s="50">
        <v>7</v>
      </c>
      <c r="E47" s="50">
        <v>7</v>
      </c>
      <c r="F47" s="50">
        <v>28</v>
      </c>
      <c r="G47" s="50">
        <v>0</v>
      </c>
      <c r="H47" s="50">
        <v>1</v>
      </c>
      <c r="I47" s="50">
        <v>12</v>
      </c>
      <c r="J47" s="50">
        <v>4</v>
      </c>
      <c r="K47" s="50">
        <v>0</v>
      </c>
      <c r="L47" s="50">
        <v>0</v>
      </c>
      <c r="M47" s="50">
        <v>251</v>
      </c>
      <c r="N47" s="50">
        <v>0</v>
      </c>
      <c r="O47" s="15">
        <f t="shared" si="0"/>
        <v>116</v>
      </c>
      <c r="P47" s="15">
        <f t="shared" si="1"/>
        <v>367</v>
      </c>
      <c r="R47" s="8"/>
      <c r="T47"/>
    </row>
    <row r="48" spans="2:32" ht="23.1" customHeight="1" x14ac:dyDescent="0.25">
      <c r="B48" s="46" t="s">
        <v>75</v>
      </c>
      <c r="C48" s="50">
        <v>41</v>
      </c>
      <c r="D48" s="50">
        <v>11</v>
      </c>
      <c r="E48" s="50">
        <v>4</v>
      </c>
      <c r="F48" s="50">
        <v>14</v>
      </c>
      <c r="G48" s="50">
        <v>1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165</v>
      </c>
      <c r="N48" s="50">
        <v>0</v>
      </c>
      <c r="O48" s="15">
        <f t="shared" si="0"/>
        <v>76</v>
      </c>
      <c r="P48" s="15">
        <f t="shared" si="1"/>
        <v>241</v>
      </c>
      <c r="R48" s="8"/>
      <c r="T48"/>
    </row>
    <row r="49" spans="2:20" ht="23.1" customHeight="1" x14ac:dyDescent="0.25">
      <c r="B49" s="45" t="s">
        <v>76</v>
      </c>
      <c r="C49" s="50">
        <v>37</v>
      </c>
      <c r="D49" s="50">
        <v>6</v>
      </c>
      <c r="E49" s="50">
        <v>1</v>
      </c>
      <c r="F49" s="50">
        <v>16</v>
      </c>
      <c r="G49" s="50">
        <v>0</v>
      </c>
      <c r="H49" s="50">
        <v>0</v>
      </c>
      <c r="I49" s="50">
        <v>0</v>
      </c>
      <c r="J49" s="50">
        <v>3</v>
      </c>
      <c r="K49" s="50">
        <v>0</v>
      </c>
      <c r="L49" s="50">
        <v>0</v>
      </c>
      <c r="M49" s="50">
        <v>244</v>
      </c>
      <c r="N49" s="50">
        <v>0</v>
      </c>
      <c r="O49" s="15">
        <f t="shared" si="0"/>
        <v>63</v>
      </c>
      <c r="P49" s="15">
        <f t="shared" si="1"/>
        <v>307</v>
      </c>
      <c r="R49" s="8"/>
      <c r="T49"/>
    </row>
    <row r="50" spans="2:20" ht="23.1" customHeight="1" x14ac:dyDescent="0.25">
      <c r="B50" s="46" t="s">
        <v>77</v>
      </c>
      <c r="C50" s="50">
        <v>77</v>
      </c>
      <c r="D50" s="50">
        <v>24</v>
      </c>
      <c r="E50" s="50">
        <v>8</v>
      </c>
      <c r="F50" s="50">
        <v>16</v>
      </c>
      <c r="G50" s="50">
        <v>0</v>
      </c>
      <c r="H50" s="50">
        <v>0</v>
      </c>
      <c r="I50" s="50">
        <v>5</v>
      </c>
      <c r="J50" s="50">
        <v>4</v>
      </c>
      <c r="K50" s="50">
        <v>2</v>
      </c>
      <c r="L50" s="50">
        <v>2</v>
      </c>
      <c r="M50" s="50">
        <v>168</v>
      </c>
      <c r="N50" s="50">
        <v>0</v>
      </c>
      <c r="O50" s="15">
        <f t="shared" si="0"/>
        <v>138</v>
      </c>
      <c r="P50" s="15">
        <f t="shared" si="1"/>
        <v>306</v>
      </c>
      <c r="R50" s="8"/>
      <c r="T50"/>
    </row>
    <row r="51" spans="2:20" ht="23.1" customHeight="1" x14ac:dyDescent="0.25">
      <c r="B51" s="46" t="s">
        <v>78</v>
      </c>
      <c r="C51" s="50">
        <v>29</v>
      </c>
      <c r="D51" s="50">
        <v>6</v>
      </c>
      <c r="E51" s="50">
        <v>2</v>
      </c>
      <c r="F51" s="50">
        <v>7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160</v>
      </c>
      <c r="N51" s="50">
        <v>0</v>
      </c>
      <c r="O51" s="15">
        <f t="shared" si="0"/>
        <v>48</v>
      </c>
      <c r="P51" s="15">
        <f t="shared" si="1"/>
        <v>208</v>
      </c>
      <c r="R51" s="8"/>
      <c r="T51"/>
    </row>
    <row r="52" spans="2:20" ht="23.1" customHeight="1" x14ac:dyDescent="0.25">
      <c r="B52" s="46" t="s">
        <v>79</v>
      </c>
      <c r="C52" s="50">
        <v>61</v>
      </c>
      <c r="D52" s="50">
        <v>16</v>
      </c>
      <c r="E52" s="50">
        <v>3</v>
      </c>
      <c r="F52" s="50">
        <v>17</v>
      </c>
      <c r="G52" s="50">
        <v>0</v>
      </c>
      <c r="H52" s="50">
        <v>0</v>
      </c>
      <c r="I52" s="50">
        <v>7</v>
      </c>
      <c r="J52" s="50">
        <v>2</v>
      </c>
      <c r="K52" s="50">
        <v>0</v>
      </c>
      <c r="L52" s="50">
        <v>0</v>
      </c>
      <c r="M52" s="50">
        <v>81</v>
      </c>
      <c r="N52" s="50">
        <v>0</v>
      </c>
      <c r="O52" s="15">
        <f t="shared" si="0"/>
        <v>106</v>
      </c>
      <c r="P52" s="15">
        <f t="shared" si="1"/>
        <v>187</v>
      </c>
      <c r="R52" s="8"/>
      <c r="T52"/>
    </row>
    <row r="53" spans="2:20" ht="23.1" customHeight="1" x14ac:dyDescent="0.25">
      <c r="B53" s="45" t="s">
        <v>80</v>
      </c>
      <c r="C53" s="50">
        <v>49</v>
      </c>
      <c r="D53" s="50">
        <v>17</v>
      </c>
      <c r="E53" s="50">
        <v>9</v>
      </c>
      <c r="F53" s="50">
        <v>12</v>
      </c>
      <c r="G53" s="50">
        <v>0</v>
      </c>
      <c r="H53" s="50">
        <v>0</v>
      </c>
      <c r="I53" s="50">
        <v>1</v>
      </c>
      <c r="J53" s="50">
        <v>3</v>
      </c>
      <c r="K53" s="50">
        <v>3</v>
      </c>
      <c r="L53" s="50">
        <v>1</v>
      </c>
      <c r="M53" s="50">
        <v>105</v>
      </c>
      <c r="N53" s="50">
        <v>0</v>
      </c>
      <c r="O53" s="15">
        <f t="shared" si="0"/>
        <v>95</v>
      </c>
      <c r="P53" s="15">
        <f t="shared" si="1"/>
        <v>200</v>
      </c>
      <c r="R53" s="8"/>
      <c r="T53"/>
    </row>
    <row r="54" spans="2:20" ht="23.1" customHeight="1" x14ac:dyDescent="0.25">
      <c r="B54" s="45" t="s">
        <v>81</v>
      </c>
      <c r="C54" s="50">
        <v>112</v>
      </c>
      <c r="D54" s="50">
        <v>23</v>
      </c>
      <c r="E54" s="50">
        <v>16</v>
      </c>
      <c r="F54" s="50">
        <v>21</v>
      </c>
      <c r="G54" s="50">
        <v>0</v>
      </c>
      <c r="H54" s="50">
        <v>2</v>
      </c>
      <c r="I54" s="50">
        <v>9</v>
      </c>
      <c r="J54" s="50">
        <v>3</v>
      </c>
      <c r="K54" s="50">
        <v>1</v>
      </c>
      <c r="L54" s="50">
        <v>1</v>
      </c>
      <c r="M54" s="50">
        <v>72</v>
      </c>
      <c r="N54" s="50">
        <v>0</v>
      </c>
      <c r="O54" s="15">
        <f t="shared" si="0"/>
        <v>188</v>
      </c>
      <c r="P54" s="15">
        <f t="shared" si="1"/>
        <v>260</v>
      </c>
      <c r="R54" s="8"/>
      <c r="T54"/>
    </row>
    <row r="55" spans="2:20" ht="23.1" customHeight="1" x14ac:dyDescent="0.25">
      <c r="B55" s="45" t="s">
        <v>82</v>
      </c>
      <c r="C55" s="50">
        <v>42</v>
      </c>
      <c r="D55" s="50">
        <v>17</v>
      </c>
      <c r="E55" s="50">
        <v>2</v>
      </c>
      <c r="F55" s="50">
        <v>18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52</v>
      </c>
      <c r="N55" s="50">
        <v>0</v>
      </c>
      <c r="O55" s="15">
        <f t="shared" si="0"/>
        <v>79</v>
      </c>
      <c r="P55" s="15">
        <f t="shared" si="1"/>
        <v>131</v>
      </c>
      <c r="R55" s="8"/>
      <c r="T55"/>
    </row>
    <row r="56" spans="2:20" ht="23.1" customHeight="1" x14ac:dyDescent="0.25">
      <c r="B56" s="45" t="s">
        <v>83</v>
      </c>
      <c r="C56" s="50">
        <v>39</v>
      </c>
      <c r="D56" s="50">
        <v>19</v>
      </c>
      <c r="E56" s="50">
        <v>4</v>
      </c>
      <c r="F56" s="50">
        <v>16</v>
      </c>
      <c r="G56" s="50">
        <v>0</v>
      </c>
      <c r="H56" s="50">
        <v>0</v>
      </c>
      <c r="I56" s="50">
        <v>6</v>
      </c>
      <c r="J56" s="50">
        <v>2</v>
      </c>
      <c r="K56" s="50">
        <v>0</v>
      </c>
      <c r="L56" s="50">
        <v>0</v>
      </c>
      <c r="M56" s="50">
        <v>136</v>
      </c>
      <c r="N56" s="50">
        <v>0</v>
      </c>
      <c r="O56" s="15">
        <f t="shared" si="0"/>
        <v>86</v>
      </c>
      <c r="P56" s="15">
        <f t="shared" si="1"/>
        <v>222</v>
      </c>
      <c r="R56" s="8"/>
      <c r="T56"/>
    </row>
    <row r="57" spans="2:20" ht="23.1" customHeight="1" x14ac:dyDescent="0.25">
      <c r="B57" s="45" t="s">
        <v>84</v>
      </c>
      <c r="C57" s="50">
        <v>96</v>
      </c>
      <c r="D57" s="50">
        <v>9</v>
      </c>
      <c r="E57" s="50">
        <v>3</v>
      </c>
      <c r="F57" s="50">
        <v>12</v>
      </c>
      <c r="G57" s="50">
        <v>0</v>
      </c>
      <c r="H57" s="50">
        <v>0</v>
      </c>
      <c r="I57" s="50">
        <v>8</v>
      </c>
      <c r="J57" s="50">
        <v>0</v>
      </c>
      <c r="K57" s="50">
        <v>3</v>
      </c>
      <c r="L57" s="50">
        <v>1</v>
      </c>
      <c r="M57" s="50">
        <v>162</v>
      </c>
      <c r="N57" s="50">
        <v>0</v>
      </c>
      <c r="O57" s="15">
        <f t="shared" si="0"/>
        <v>132</v>
      </c>
      <c r="P57" s="15">
        <f t="shared" si="1"/>
        <v>294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15">
        <f t="shared" ref="O58:O105" si="35">SUM(C58:L58,N58)</f>
        <v>0</v>
      </c>
      <c r="P58" s="15">
        <f t="shared" ref="P58:P105" si="36">SUM(C58:N58)</f>
        <v>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35"/>
        <v>0</v>
      </c>
      <c r="P59" s="15">
        <f t="shared" si="36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35"/>
        <v>0</v>
      </c>
      <c r="P60" s="15">
        <f t="shared" si="36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35"/>
        <v>0</v>
      </c>
      <c r="P61" s="15">
        <f t="shared" si="36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35"/>
        <v>0</v>
      </c>
      <c r="P62" s="15">
        <f t="shared" si="36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35"/>
        <v>0</v>
      </c>
      <c r="P63" s="15">
        <f t="shared" si="36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35"/>
        <v>0</v>
      </c>
      <c r="P64" s="15">
        <f t="shared" si="36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35"/>
        <v>0</v>
      </c>
      <c r="P65" s="15">
        <f t="shared" si="36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35"/>
        <v>0</v>
      </c>
      <c r="P66" s="15">
        <f t="shared" si="36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35"/>
        <v>0</v>
      </c>
      <c r="P67" s="15">
        <f t="shared" si="36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35"/>
        <v>0</v>
      </c>
      <c r="P68" s="15">
        <f t="shared" si="36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35"/>
        <v>0</v>
      </c>
      <c r="P69" s="15">
        <f t="shared" si="36"/>
        <v>0</v>
      </c>
      <c r="R69" s="8"/>
      <c r="T69"/>
    </row>
    <row r="70" spans="2:20" ht="23.1" customHeight="1" x14ac:dyDescent="0.25">
      <c r="B70" s="45" t="s">
        <v>110</v>
      </c>
      <c r="C70" s="50">
        <v>21</v>
      </c>
      <c r="D70" s="50">
        <v>6</v>
      </c>
      <c r="E70" s="50">
        <v>0</v>
      </c>
      <c r="F70" s="50">
        <v>6</v>
      </c>
      <c r="G70" s="50">
        <v>0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38</v>
      </c>
      <c r="N70" s="50">
        <v>0</v>
      </c>
      <c r="O70" s="15">
        <f t="shared" si="35"/>
        <v>36</v>
      </c>
      <c r="P70" s="15">
        <f t="shared" si="36"/>
        <v>74</v>
      </c>
      <c r="R70" s="8"/>
      <c r="T70"/>
    </row>
    <row r="71" spans="2:20" ht="23.1" customHeight="1" x14ac:dyDescent="0.25">
      <c r="B71" s="45" t="s">
        <v>111</v>
      </c>
      <c r="C71" s="50">
        <v>18</v>
      </c>
      <c r="D71" s="50">
        <v>10</v>
      </c>
      <c r="E71" s="50">
        <v>1</v>
      </c>
      <c r="F71" s="50">
        <v>4</v>
      </c>
      <c r="G71" s="50">
        <v>0</v>
      </c>
      <c r="H71" s="50">
        <v>0</v>
      </c>
      <c r="I71" s="50">
        <v>3</v>
      </c>
      <c r="J71" s="50">
        <v>0</v>
      </c>
      <c r="K71" s="50">
        <v>2</v>
      </c>
      <c r="L71" s="50">
        <v>0</v>
      </c>
      <c r="M71" s="50">
        <v>51</v>
      </c>
      <c r="N71" s="50">
        <v>0</v>
      </c>
      <c r="O71" s="15">
        <f t="shared" si="35"/>
        <v>38</v>
      </c>
      <c r="P71" s="15">
        <f t="shared" si="36"/>
        <v>89</v>
      </c>
      <c r="R71" s="8"/>
      <c r="T71"/>
    </row>
    <row r="72" spans="2:20" ht="23.1" customHeight="1" x14ac:dyDescent="0.25">
      <c r="B72" s="45" t="s">
        <v>112</v>
      </c>
      <c r="C72" s="50">
        <v>41</v>
      </c>
      <c r="D72" s="50">
        <v>3</v>
      </c>
      <c r="E72" s="50">
        <v>3</v>
      </c>
      <c r="F72" s="50">
        <v>10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60</v>
      </c>
      <c r="N72" s="50">
        <v>0</v>
      </c>
      <c r="O72" s="15">
        <f t="shared" si="35"/>
        <v>57</v>
      </c>
      <c r="P72" s="15">
        <f t="shared" si="36"/>
        <v>117</v>
      </c>
      <c r="R72" s="8"/>
      <c r="T72"/>
    </row>
    <row r="73" spans="2:20" ht="23.1" customHeight="1" x14ac:dyDescent="0.25">
      <c r="B73" s="45" t="s">
        <v>113</v>
      </c>
      <c r="C73" s="50">
        <v>57</v>
      </c>
      <c r="D73" s="50">
        <v>4</v>
      </c>
      <c r="E73" s="50">
        <v>8</v>
      </c>
      <c r="F73" s="50">
        <v>16</v>
      </c>
      <c r="G73" s="50">
        <v>0</v>
      </c>
      <c r="H73" s="50">
        <v>0</v>
      </c>
      <c r="I73" s="50">
        <v>1</v>
      </c>
      <c r="J73" s="50">
        <v>1</v>
      </c>
      <c r="K73" s="50">
        <v>0</v>
      </c>
      <c r="L73" s="50">
        <v>0</v>
      </c>
      <c r="M73" s="50">
        <v>97</v>
      </c>
      <c r="N73" s="50">
        <v>0</v>
      </c>
      <c r="O73" s="15">
        <f t="shared" si="35"/>
        <v>87</v>
      </c>
      <c r="P73" s="15">
        <f t="shared" si="36"/>
        <v>184</v>
      </c>
      <c r="R73" s="8"/>
      <c r="T73"/>
    </row>
    <row r="74" spans="2:20" ht="23.1" customHeight="1" x14ac:dyDescent="0.25">
      <c r="B74" s="45" t="s">
        <v>114</v>
      </c>
      <c r="C74" s="50">
        <v>47</v>
      </c>
      <c r="D74" s="50">
        <v>7</v>
      </c>
      <c r="E74" s="50">
        <v>3</v>
      </c>
      <c r="F74" s="50">
        <v>11</v>
      </c>
      <c r="G74" s="50">
        <v>0</v>
      </c>
      <c r="H74" s="50">
        <v>1</v>
      </c>
      <c r="I74" s="50">
        <v>3</v>
      </c>
      <c r="J74" s="50">
        <v>1</v>
      </c>
      <c r="K74" s="50">
        <v>0</v>
      </c>
      <c r="L74" s="50">
        <v>1</v>
      </c>
      <c r="M74" s="50">
        <v>90</v>
      </c>
      <c r="N74" s="50">
        <v>0</v>
      </c>
      <c r="O74" s="15">
        <f t="shared" si="35"/>
        <v>74</v>
      </c>
      <c r="P74" s="15">
        <f t="shared" si="36"/>
        <v>164</v>
      </c>
      <c r="R74" s="8"/>
      <c r="T74"/>
    </row>
    <row r="75" spans="2:20" ht="23.1" customHeight="1" x14ac:dyDescent="0.25">
      <c r="B75" s="45" t="s">
        <v>115</v>
      </c>
      <c r="C75" s="50">
        <v>42</v>
      </c>
      <c r="D75" s="50">
        <v>7</v>
      </c>
      <c r="E75" s="50">
        <v>3</v>
      </c>
      <c r="F75" s="50">
        <v>6</v>
      </c>
      <c r="G75" s="50">
        <v>0</v>
      </c>
      <c r="H75" s="50">
        <v>1</v>
      </c>
      <c r="I75" s="50">
        <v>0</v>
      </c>
      <c r="J75" s="50">
        <v>1</v>
      </c>
      <c r="K75" s="50">
        <v>2</v>
      </c>
      <c r="L75" s="50">
        <v>0</v>
      </c>
      <c r="M75" s="50">
        <v>82</v>
      </c>
      <c r="N75" s="50">
        <v>1</v>
      </c>
      <c r="O75" s="15">
        <f t="shared" si="35"/>
        <v>63</v>
      </c>
      <c r="P75" s="15">
        <f t="shared" si="36"/>
        <v>145</v>
      </c>
      <c r="R75" s="8"/>
      <c r="T75"/>
    </row>
    <row r="76" spans="2:20" ht="23.1" customHeight="1" x14ac:dyDescent="0.25">
      <c r="B76" s="45" t="s">
        <v>116</v>
      </c>
      <c r="C76" s="50">
        <v>36</v>
      </c>
      <c r="D76" s="50">
        <v>6</v>
      </c>
      <c r="E76" s="50">
        <v>5</v>
      </c>
      <c r="F76" s="50">
        <v>5</v>
      </c>
      <c r="G76" s="50">
        <v>0</v>
      </c>
      <c r="H76" s="50">
        <v>1</v>
      </c>
      <c r="I76" s="50">
        <v>0</v>
      </c>
      <c r="J76" s="50">
        <v>2</v>
      </c>
      <c r="K76" s="50">
        <v>0</v>
      </c>
      <c r="L76" s="50">
        <v>0</v>
      </c>
      <c r="M76" s="50">
        <v>102</v>
      </c>
      <c r="N76" s="50">
        <v>0</v>
      </c>
      <c r="O76" s="15">
        <f t="shared" si="35"/>
        <v>55</v>
      </c>
      <c r="P76" s="15">
        <f t="shared" si="36"/>
        <v>157</v>
      </c>
      <c r="R76" s="8"/>
      <c r="T76"/>
    </row>
    <row r="77" spans="2:20" ht="23.1" customHeight="1" x14ac:dyDescent="0.25">
      <c r="B77" s="45" t="s">
        <v>117</v>
      </c>
      <c r="C77" s="50">
        <v>36</v>
      </c>
      <c r="D77" s="50">
        <v>6</v>
      </c>
      <c r="E77" s="50">
        <v>0</v>
      </c>
      <c r="F77" s="50">
        <v>5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83</v>
      </c>
      <c r="N77" s="50">
        <v>0</v>
      </c>
      <c r="O77" s="15">
        <f t="shared" si="35"/>
        <v>49</v>
      </c>
      <c r="P77" s="15">
        <f t="shared" si="36"/>
        <v>132</v>
      </c>
      <c r="R77" s="8"/>
      <c r="T77"/>
    </row>
    <row r="78" spans="2:20" ht="23.1" customHeight="1" x14ac:dyDescent="0.25">
      <c r="B78" s="46" t="s">
        <v>118</v>
      </c>
      <c r="C78" s="50">
        <v>53</v>
      </c>
      <c r="D78" s="50">
        <v>5</v>
      </c>
      <c r="E78" s="50">
        <v>4</v>
      </c>
      <c r="F78" s="50">
        <v>6</v>
      </c>
      <c r="G78" s="50">
        <v>0</v>
      </c>
      <c r="H78" s="50">
        <v>1</v>
      </c>
      <c r="I78" s="50">
        <v>1</v>
      </c>
      <c r="J78" s="50">
        <v>0</v>
      </c>
      <c r="K78" s="50">
        <v>1</v>
      </c>
      <c r="L78" s="50">
        <v>0</v>
      </c>
      <c r="M78" s="50">
        <v>60</v>
      </c>
      <c r="N78" s="50">
        <v>1</v>
      </c>
      <c r="O78" s="15">
        <f t="shared" si="35"/>
        <v>72</v>
      </c>
      <c r="P78" s="15">
        <f t="shared" si="36"/>
        <v>132</v>
      </c>
      <c r="R78" s="8"/>
      <c r="T78"/>
    </row>
    <row r="79" spans="2:20" ht="23.1" customHeight="1" x14ac:dyDescent="0.25">
      <c r="B79" s="45" t="s">
        <v>119</v>
      </c>
      <c r="C79" s="50">
        <v>45</v>
      </c>
      <c r="D79" s="50">
        <v>3</v>
      </c>
      <c r="E79" s="50">
        <v>2</v>
      </c>
      <c r="F79" s="50">
        <v>1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73</v>
      </c>
      <c r="N79" s="50">
        <v>1</v>
      </c>
      <c r="O79" s="15">
        <f t="shared" si="35"/>
        <v>53</v>
      </c>
      <c r="P79" s="15">
        <f t="shared" si="36"/>
        <v>126</v>
      </c>
      <c r="R79" s="8"/>
      <c r="T79"/>
    </row>
    <row r="80" spans="2:20" ht="23.1" customHeight="1" x14ac:dyDescent="0.25">
      <c r="B80" s="47" t="s">
        <v>120</v>
      </c>
      <c r="C80" s="50">
        <v>40</v>
      </c>
      <c r="D80" s="50">
        <v>2</v>
      </c>
      <c r="E80" s="50">
        <v>1</v>
      </c>
      <c r="F80" s="50">
        <v>4</v>
      </c>
      <c r="G80" s="50">
        <v>0</v>
      </c>
      <c r="H80" s="50">
        <v>1</v>
      </c>
      <c r="I80" s="50">
        <v>1</v>
      </c>
      <c r="J80" s="50">
        <v>1</v>
      </c>
      <c r="K80" s="50">
        <v>3</v>
      </c>
      <c r="L80" s="50">
        <v>0</v>
      </c>
      <c r="M80" s="50">
        <v>65</v>
      </c>
      <c r="N80" s="50">
        <v>0</v>
      </c>
      <c r="O80" s="15">
        <f t="shared" si="35"/>
        <v>53</v>
      </c>
      <c r="P80" s="15">
        <f t="shared" si="36"/>
        <v>118</v>
      </c>
      <c r="R80" s="8"/>
      <c r="T80"/>
    </row>
    <row r="81" spans="2:20" ht="23.1" customHeight="1" x14ac:dyDescent="0.25">
      <c r="B81" s="45" t="s">
        <v>121</v>
      </c>
      <c r="C81" s="50">
        <v>15</v>
      </c>
      <c r="D81" s="50">
        <v>2</v>
      </c>
      <c r="E81" s="50">
        <v>1</v>
      </c>
      <c r="F81" s="50">
        <v>2</v>
      </c>
      <c r="G81" s="50">
        <v>0</v>
      </c>
      <c r="H81" s="50">
        <v>1</v>
      </c>
      <c r="I81" s="50">
        <v>2</v>
      </c>
      <c r="J81" s="50">
        <v>1</v>
      </c>
      <c r="K81" s="50">
        <v>3</v>
      </c>
      <c r="L81" s="50">
        <v>0</v>
      </c>
      <c r="M81" s="50">
        <v>39</v>
      </c>
      <c r="N81" s="50">
        <v>0</v>
      </c>
      <c r="O81" s="15">
        <f t="shared" si="35"/>
        <v>27</v>
      </c>
      <c r="P81" s="15">
        <f t="shared" si="36"/>
        <v>66</v>
      </c>
      <c r="R81" s="8"/>
      <c r="T81"/>
    </row>
    <row r="82" spans="2:20" ht="23.1" customHeight="1" x14ac:dyDescent="0.25">
      <c r="B82" s="46" t="s">
        <v>122</v>
      </c>
      <c r="C82" s="50">
        <v>12</v>
      </c>
      <c r="D82" s="50">
        <v>3</v>
      </c>
      <c r="E82" s="50">
        <v>0</v>
      </c>
      <c r="F82" s="50">
        <v>0</v>
      </c>
      <c r="G82" s="50">
        <v>0</v>
      </c>
      <c r="H82" s="50">
        <v>0</v>
      </c>
      <c r="I82" s="50">
        <v>2</v>
      </c>
      <c r="J82" s="50">
        <v>1</v>
      </c>
      <c r="K82" s="50">
        <v>0</v>
      </c>
      <c r="L82" s="50">
        <v>0</v>
      </c>
      <c r="M82" s="50">
        <v>32</v>
      </c>
      <c r="N82" s="50">
        <v>0</v>
      </c>
      <c r="O82" s="15">
        <f t="shared" si="35"/>
        <v>18</v>
      </c>
      <c r="P82" s="15">
        <f t="shared" si="36"/>
        <v>50</v>
      </c>
      <c r="R82" s="8"/>
      <c r="T82"/>
    </row>
    <row r="83" spans="2:20" ht="23.1" customHeight="1" x14ac:dyDescent="0.25">
      <c r="B83" s="45" t="s">
        <v>123</v>
      </c>
      <c r="C83" s="50">
        <v>22</v>
      </c>
      <c r="D83" s="50">
        <v>0</v>
      </c>
      <c r="E83" s="50">
        <v>2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45</v>
      </c>
      <c r="N83" s="50">
        <v>0</v>
      </c>
      <c r="O83" s="15">
        <f t="shared" si="35"/>
        <v>25</v>
      </c>
      <c r="P83" s="15">
        <f t="shared" si="36"/>
        <v>70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1</v>
      </c>
      <c r="E84" s="50">
        <v>1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43</v>
      </c>
      <c r="N84" s="50">
        <v>0</v>
      </c>
      <c r="O84" s="15">
        <f t="shared" si="35"/>
        <v>20</v>
      </c>
      <c r="P84" s="15">
        <f t="shared" si="36"/>
        <v>63</v>
      </c>
      <c r="R84" s="8"/>
      <c r="T84"/>
    </row>
    <row r="85" spans="2:20" ht="23.1" customHeight="1" x14ac:dyDescent="0.25">
      <c r="B85" s="45" t="s">
        <v>125</v>
      </c>
      <c r="C85" s="50">
        <v>11</v>
      </c>
      <c r="D85" s="50">
        <v>1</v>
      </c>
      <c r="E85" s="50">
        <v>1</v>
      </c>
      <c r="F85" s="50">
        <v>0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0</v>
      </c>
      <c r="M85" s="50">
        <v>24</v>
      </c>
      <c r="N85" s="50">
        <v>0</v>
      </c>
      <c r="O85" s="15">
        <f t="shared" si="35"/>
        <v>15</v>
      </c>
      <c r="P85" s="15">
        <f t="shared" si="36"/>
        <v>39</v>
      </c>
      <c r="R85" s="8"/>
      <c r="T85"/>
    </row>
    <row r="86" spans="2:20" ht="23.1" customHeight="1" x14ac:dyDescent="0.25">
      <c r="B86" s="46" t="s">
        <v>126</v>
      </c>
      <c r="C86" s="50">
        <v>10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14</v>
      </c>
      <c r="N86" s="50">
        <v>1</v>
      </c>
      <c r="O86" s="15">
        <f t="shared" si="35"/>
        <v>13</v>
      </c>
      <c r="P86" s="15">
        <f t="shared" si="36"/>
        <v>27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20</v>
      </c>
      <c r="N87" s="50">
        <v>0</v>
      </c>
      <c r="O87" s="15">
        <f t="shared" si="35"/>
        <v>11</v>
      </c>
      <c r="P87" s="15">
        <f t="shared" si="36"/>
        <v>31</v>
      </c>
      <c r="R87" s="8"/>
      <c r="T87"/>
    </row>
    <row r="88" spans="2:20" ht="23.1" customHeight="1" x14ac:dyDescent="0.25">
      <c r="B88" s="47" t="s">
        <v>128</v>
      </c>
      <c r="C88" s="50">
        <v>11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13</v>
      </c>
      <c r="N88" s="50">
        <v>0</v>
      </c>
      <c r="O88" s="15">
        <f t="shared" si="35"/>
        <v>12</v>
      </c>
      <c r="P88" s="15">
        <f t="shared" si="36"/>
        <v>25</v>
      </c>
      <c r="R88" s="8"/>
      <c r="T88"/>
    </row>
    <row r="89" spans="2:20" ht="23.1" customHeight="1" x14ac:dyDescent="0.25">
      <c r="B89" s="45" t="s">
        <v>129</v>
      </c>
      <c r="C89" s="50">
        <v>14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15</v>
      </c>
      <c r="N89" s="50">
        <v>0</v>
      </c>
      <c r="O89" s="15">
        <f t="shared" si="35"/>
        <v>15</v>
      </c>
      <c r="P89" s="15">
        <f t="shared" si="36"/>
        <v>30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33</v>
      </c>
      <c r="N90" s="50">
        <v>0</v>
      </c>
      <c r="O90" s="15">
        <f t="shared" si="35"/>
        <v>11</v>
      </c>
      <c r="P90" s="15">
        <f t="shared" si="36"/>
        <v>44</v>
      </c>
      <c r="R90" s="8"/>
      <c r="T90"/>
    </row>
    <row r="91" spans="2:20" ht="23.1" customHeight="1" x14ac:dyDescent="0.25">
      <c r="B91" s="45" t="s">
        <v>131</v>
      </c>
      <c r="C91" s="50">
        <v>7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32</v>
      </c>
      <c r="N91" s="50">
        <v>0</v>
      </c>
      <c r="O91" s="15">
        <f t="shared" si="35"/>
        <v>7</v>
      </c>
      <c r="P91" s="15">
        <f t="shared" si="36"/>
        <v>39</v>
      </c>
      <c r="R91" s="8"/>
      <c r="T91"/>
    </row>
    <row r="92" spans="2:20" ht="23.1" customHeight="1" x14ac:dyDescent="0.25">
      <c r="B92" s="47" t="s">
        <v>132</v>
      </c>
      <c r="C92" s="50">
        <v>10</v>
      </c>
      <c r="D92" s="50">
        <v>1</v>
      </c>
      <c r="E92" s="50">
        <v>0</v>
      </c>
      <c r="F92" s="50">
        <v>1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5">
        <f t="shared" si="35"/>
        <v>13</v>
      </c>
      <c r="P92" s="15">
        <f t="shared" si="36"/>
        <v>19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0</v>
      </c>
      <c r="E93" s="50">
        <v>0</v>
      </c>
      <c r="F93" s="50">
        <v>3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11</v>
      </c>
      <c r="N93" s="50">
        <v>0</v>
      </c>
      <c r="O93" s="15">
        <f t="shared" si="35"/>
        <v>7</v>
      </c>
      <c r="P93" s="15">
        <f t="shared" si="36"/>
        <v>18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30</v>
      </c>
      <c r="N94" s="50">
        <v>0</v>
      </c>
      <c r="O94" s="15">
        <f t="shared" si="35"/>
        <v>5</v>
      </c>
      <c r="P94" s="15">
        <f t="shared" si="36"/>
        <v>35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2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8</v>
      </c>
      <c r="P95" s="15">
        <f t="shared" si="36"/>
        <v>16</v>
      </c>
      <c r="R95" s="8"/>
      <c r="T95"/>
    </row>
    <row r="96" spans="2:20" ht="23.1" customHeight="1" x14ac:dyDescent="0.25">
      <c r="B96" s="47" t="s">
        <v>136</v>
      </c>
      <c r="C96" s="50">
        <v>7</v>
      </c>
      <c r="D96" s="50">
        <v>0</v>
      </c>
      <c r="E96" s="50">
        <v>1</v>
      </c>
      <c r="F96" s="50">
        <v>2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15</v>
      </c>
      <c r="N96" s="50">
        <v>0</v>
      </c>
      <c r="O96" s="15">
        <f t="shared" si="35"/>
        <v>10</v>
      </c>
      <c r="P96" s="15">
        <f t="shared" si="36"/>
        <v>25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2</v>
      </c>
      <c r="E97" s="50">
        <v>0</v>
      </c>
      <c r="F97" s="50">
        <v>3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23</v>
      </c>
      <c r="N97" s="50">
        <v>0</v>
      </c>
      <c r="O97" s="15">
        <f t="shared" si="35"/>
        <v>10</v>
      </c>
      <c r="P97" s="15">
        <f t="shared" si="36"/>
        <v>33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3</v>
      </c>
      <c r="E98" s="50">
        <v>0</v>
      </c>
      <c r="F98" s="50">
        <v>5</v>
      </c>
      <c r="G98" s="50">
        <v>0</v>
      </c>
      <c r="H98" s="50">
        <v>1</v>
      </c>
      <c r="I98" s="50">
        <v>1</v>
      </c>
      <c r="J98" s="50">
        <v>3</v>
      </c>
      <c r="K98" s="50">
        <v>0</v>
      </c>
      <c r="L98" s="50">
        <v>0</v>
      </c>
      <c r="M98" s="50">
        <v>13</v>
      </c>
      <c r="N98" s="50">
        <v>0</v>
      </c>
      <c r="O98" s="15">
        <f t="shared" si="35"/>
        <v>16</v>
      </c>
      <c r="P98" s="15">
        <f t="shared" si="36"/>
        <v>29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0</v>
      </c>
      <c r="E99" s="50">
        <v>0</v>
      </c>
      <c r="F99" s="50">
        <v>10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2</v>
      </c>
      <c r="M99" s="50">
        <v>13</v>
      </c>
      <c r="N99" s="50">
        <v>0</v>
      </c>
      <c r="O99" s="15">
        <f t="shared" si="35"/>
        <v>20</v>
      </c>
      <c r="P99" s="15">
        <f t="shared" si="36"/>
        <v>33</v>
      </c>
      <c r="R99" s="8"/>
      <c r="T99"/>
    </row>
    <row r="100" spans="2:20" ht="23.1" customHeight="1" x14ac:dyDescent="0.25">
      <c r="B100" s="47" t="s">
        <v>140</v>
      </c>
      <c r="C100" s="50">
        <v>12</v>
      </c>
      <c r="D100" s="50">
        <v>0</v>
      </c>
      <c r="E100" s="50">
        <v>0</v>
      </c>
      <c r="F100" s="50">
        <v>13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1</v>
      </c>
      <c r="M100" s="50">
        <v>40</v>
      </c>
      <c r="N100" s="50">
        <v>0</v>
      </c>
      <c r="O100" s="15">
        <f t="shared" si="35"/>
        <v>27</v>
      </c>
      <c r="P100" s="15">
        <f t="shared" si="36"/>
        <v>67</v>
      </c>
      <c r="R100" s="8"/>
      <c r="T100"/>
    </row>
    <row r="101" spans="2:20" ht="23.1" customHeight="1" x14ac:dyDescent="0.25">
      <c r="B101" s="45" t="s">
        <v>141</v>
      </c>
      <c r="C101" s="50">
        <v>10</v>
      </c>
      <c r="D101" s="50">
        <v>8</v>
      </c>
      <c r="E101" s="50">
        <v>0</v>
      </c>
      <c r="F101" s="50">
        <v>6</v>
      </c>
      <c r="G101" s="50">
        <v>0</v>
      </c>
      <c r="H101" s="50">
        <v>1</v>
      </c>
      <c r="I101" s="50">
        <v>0</v>
      </c>
      <c r="J101" s="50">
        <v>2</v>
      </c>
      <c r="K101" s="50">
        <v>3</v>
      </c>
      <c r="L101" s="50">
        <v>2</v>
      </c>
      <c r="M101" s="50">
        <v>15</v>
      </c>
      <c r="N101" s="50">
        <v>0</v>
      </c>
      <c r="O101" s="15">
        <f t="shared" si="35"/>
        <v>32</v>
      </c>
      <c r="P101" s="15">
        <f t="shared" si="36"/>
        <v>47</v>
      </c>
      <c r="R101" s="8"/>
      <c r="T101"/>
    </row>
    <row r="102" spans="2:20" ht="23.1" customHeight="1" x14ac:dyDescent="0.25">
      <c r="B102" s="46" t="s">
        <v>142</v>
      </c>
      <c r="C102" s="50">
        <v>13</v>
      </c>
      <c r="D102" s="50">
        <v>0</v>
      </c>
      <c r="E102" s="50">
        <v>1</v>
      </c>
      <c r="F102" s="50">
        <v>17</v>
      </c>
      <c r="G102" s="50">
        <v>1</v>
      </c>
      <c r="H102" s="50">
        <v>2</v>
      </c>
      <c r="I102" s="50">
        <v>0</v>
      </c>
      <c r="J102" s="50">
        <v>2</v>
      </c>
      <c r="K102" s="50">
        <v>1</v>
      </c>
      <c r="L102" s="50">
        <v>1</v>
      </c>
      <c r="M102" s="50">
        <v>47</v>
      </c>
      <c r="N102" s="50">
        <v>0</v>
      </c>
      <c r="O102" s="15">
        <f t="shared" si="35"/>
        <v>38</v>
      </c>
      <c r="P102" s="15">
        <f t="shared" si="36"/>
        <v>85</v>
      </c>
      <c r="R102" s="8"/>
      <c r="T102"/>
    </row>
    <row r="103" spans="2:20" ht="23.1" customHeight="1" x14ac:dyDescent="0.25">
      <c r="B103" s="45" t="s">
        <v>143</v>
      </c>
      <c r="C103" s="50">
        <v>16</v>
      </c>
      <c r="D103" s="50">
        <v>3</v>
      </c>
      <c r="E103" s="50">
        <v>0</v>
      </c>
      <c r="F103" s="50">
        <v>12</v>
      </c>
      <c r="G103" s="50">
        <v>2</v>
      </c>
      <c r="H103" s="50">
        <v>1</v>
      </c>
      <c r="I103" s="50">
        <v>3</v>
      </c>
      <c r="J103" s="50">
        <v>0</v>
      </c>
      <c r="K103" s="50">
        <v>0</v>
      </c>
      <c r="L103" s="50">
        <v>0</v>
      </c>
      <c r="M103" s="50">
        <v>40</v>
      </c>
      <c r="N103" s="50">
        <v>0</v>
      </c>
      <c r="O103" s="15">
        <f t="shared" si="35"/>
        <v>37</v>
      </c>
      <c r="P103" s="15">
        <f t="shared" si="36"/>
        <v>77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0</v>
      </c>
      <c r="E104" s="50">
        <v>0</v>
      </c>
      <c r="F104" s="50">
        <v>15</v>
      </c>
      <c r="G104" s="50">
        <v>1</v>
      </c>
      <c r="H104" s="50">
        <v>1</v>
      </c>
      <c r="I104" s="50">
        <v>0</v>
      </c>
      <c r="J104" s="50">
        <v>0</v>
      </c>
      <c r="K104" s="50">
        <v>3</v>
      </c>
      <c r="L104" s="50">
        <v>1</v>
      </c>
      <c r="M104" s="50">
        <v>25</v>
      </c>
      <c r="N104" s="50">
        <v>0</v>
      </c>
      <c r="O104" s="15">
        <f t="shared" si="35"/>
        <v>34</v>
      </c>
      <c r="P104" s="15">
        <f t="shared" si="36"/>
        <v>59</v>
      </c>
      <c r="R104" s="8"/>
      <c r="T104"/>
    </row>
    <row r="105" spans="2:20" ht="23.1" customHeight="1" x14ac:dyDescent="0.25">
      <c r="B105" s="45" t="s">
        <v>145</v>
      </c>
      <c r="C105" s="50">
        <v>23</v>
      </c>
      <c r="D105" s="50">
        <v>0</v>
      </c>
      <c r="E105" s="50">
        <v>2</v>
      </c>
      <c r="F105" s="50">
        <v>23</v>
      </c>
      <c r="G105" s="50">
        <v>4</v>
      </c>
      <c r="H105" s="50">
        <v>0</v>
      </c>
      <c r="I105" s="50">
        <v>6</v>
      </c>
      <c r="J105" s="50">
        <v>0</v>
      </c>
      <c r="K105" s="50">
        <v>0</v>
      </c>
      <c r="L105" s="50">
        <v>0</v>
      </c>
      <c r="M105" s="50">
        <v>52</v>
      </c>
      <c r="N105" s="50">
        <v>0</v>
      </c>
      <c r="O105" s="15">
        <f t="shared" si="35"/>
        <v>58</v>
      </c>
      <c r="P105" s="15">
        <f t="shared" si="36"/>
        <v>110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2277</v>
      </c>
      <c r="D106" s="16">
        <f t="shared" ref="D106:P106" si="37">SUM(D10:D105)</f>
        <v>402</v>
      </c>
      <c r="E106" s="16">
        <f t="shared" si="37"/>
        <v>206</v>
      </c>
      <c r="F106" s="16">
        <f t="shared" si="37"/>
        <v>863</v>
      </c>
      <c r="G106" s="16">
        <f t="shared" si="37"/>
        <v>26</v>
      </c>
      <c r="H106" s="16">
        <f t="shared" si="37"/>
        <v>28</v>
      </c>
      <c r="I106" s="16">
        <f t="shared" si="37"/>
        <v>209</v>
      </c>
      <c r="J106" s="16">
        <f t="shared" si="37"/>
        <v>87</v>
      </c>
      <c r="K106" s="16">
        <f t="shared" si="37"/>
        <v>39</v>
      </c>
      <c r="L106" s="16">
        <f t="shared" si="37"/>
        <v>22</v>
      </c>
      <c r="M106" s="16">
        <f t="shared" si="37"/>
        <v>7255</v>
      </c>
      <c r="N106" s="16">
        <f t="shared" si="37"/>
        <v>4</v>
      </c>
      <c r="O106" s="16">
        <f t="shared" si="37"/>
        <v>4163</v>
      </c>
      <c r="P106" s="16">
        <f t="shared" si="37"/>
        <v>11418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0.19942196531791909</v>
      </c>
      <c r="D107" s="43">
        <f t="shared" si="38"/>
        <v>3.5207566999474513E-2</v>
      </c>
      <c r="E107" s="43">
        <f t="shared" si="38"/>
        <v>1.8041688561919775E-2</v>
      </c>
      <c r="F107" s="43">
        <f t="shared" si="38"/>
        <v>7.5582413732702747E-2</v>
      </c>
      <c r="G107" s="43">
        <f t="shared" si="38"/>
        <v>2.277106323349098E-3</v>
      </c>
      <c r="H107" s="43">
        <f t="shared" si="38"/>
        <v>2.4522683482221053E-3</v>
      </c>
      <c r="I107" s="43">
        <f t="shared" si="38"/>
        <v>1.8304431599229287E-2</v>
      </c>
      <c r="J107" s="43">
        <f t="shared" si="38"/>
        <v>7.6195480819758275E-3</v>
      </c>
      <c r="K107" s="43">
        <f t="shared" si="38"/>
        <v>3.4156594850236468E-3</v>
      </c>
      <c r="L107" s="43">
        <f t="shared" si="38"/>
        <v>1.9267822736030828E-3</v>
      </c>
      <c r="M107" s="43">
        <f t="shared" si="38"/>
        <v>0.6354002452268348</v>
      </c>
      <c r="N107" s="43">
        <f t="shared" si="38"/>
        <v>3.5032404974601509E-4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0.54696132596685088</v>
      </c>
      <c r="D108" s="44">
        <f t="shared" ref="D108:N108" si="39">D106/$O$106</f>
        <v>9.6564977179918327E-2</v>
      </c>
      <c r="E108" s="44">
        <f t="shared" si="39"/>
        <v>4.9483545520057653E-2</v>
      </c>
      <c r="F108" s="44">
        <f t="shared" si="39"/>
        <v>0.2073024261349988</v>
      </c>
      <c r="G108" s="44">
        <f t="shared" si="39"/>
        <v>6.2454960365121307E-3</v>
      </c>
      <c r="H108" s="44">
        <f t="shared" si="39"/>
        <v>6.7259188085515252E-3</v>
      </c>
      <c r="I108" s="44">
        <f t="shared" si="39"/>
        <v>5.0204179678116745E-2</v>
      </c>
      <c r="J108" s="44">
        <f t="shared" si="39"/>
        <v>2.0898390583713667E-2</v>
      </c>
      <c r="K108" s="44">
        <f t="shared" si="39"/>
        <v>9.3682440547681965E-3</v>
      </c>
      <c r="L108" s="44">
        <f t="shared" si="39"/>
        <v>5.2846504924333416E-3</v>
      </c>
      <c r="M108" s="44"/>
      <c r="N108" s="44">
        <f t="shared" si="39"/>
        <v>9.6084554407878929E-4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RUBAGA-KABUSU-24h'!D5</f>
        <v>26.07.19</v>
      </c>
      <c r="E5" s="3"/>
      <c r="F5" s="41" t="s">
        <v>1</v>
      </c>
      <c r="G5" s="63" t="str">
        <f>'26.07 RUBAGA-KABUSU-24h'!G5:H5</f>
        <v>CHAD SUPERMARKET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KABUSU-RUBAGA'!D6:E6</f>
        <v>KABUSU</v>
      </c>
      <c r="E6" s="64"/>
      <c r="F6" s="2" t="s">
        <v>2</v>
      </c>
      <c r="G6" s="63" t="str">
        <f>'23.07 KABUSU-RUBAGA'!G6:H6</f>
        <v>RUBAGA</v>
      </c>
      <c r="H6" s="64"/>
      <c r="J6" s="2" t="s">
        <v>21</v>
      </c>
      <c r="K6" s="63" t="str">
        <f>'26.07 RUBAGA-KABUSU-24h'!K6:L6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44</v>
      </c>
      <c r="D10" s="50">
        <v>37</v>
      </c>
      <c r="E10" s="50">
        <v>9</v>
      </c>
      <c r="F10" s="50">
        <v>34</v>
      </c>
      <c r="G10" s="50">
        <v>0</v>
      </c>
      <c r="H10" s="50">
        <v>0</v>
      </c>
      <c r="I10" s="50">
        <v>0</v>
      </c>
      <c r="J10" s="50">
        <v>2</v>
      </c>
      <c r="K10" s="50">
        <v>1</v>
      </c>
      <c r="L10" s="50">
        <v>0</v>
      </c>
      <c r="M10" s="50">
        <v>169</v>
      </c>
      <c r="N10" s="50">
        <v>0</v>
      </c>
      <c r="O10" s="15">
        <f t="shared" ref="O10:O73" si="0">SUM(C10:L10,N10)</f>
        <v>127</v>
      </c>
      <c r="P10" s="15">
        <f t="shared" ref="P10:P73" si="1">SUM(C10:N10)</f>
        <v>296</v>
      </c>
      <c r="R10" s="1" t="s">
        <v>6</v>
      </c>
      <c r="S10" s="17">
        <f t="shared" ref="S10:AF10" si="2">SUM(C10:C13)</f>
        <v>256</v>
      </c>
      <c r="T10" s="17">
        <f t="shared" si="2"/>
        <v>200</v>
      </c>
      <c r="U10" s="17">
        <f t="shared" si="2"/>
        <v>24</v>
      </c>
      <c r="V10" s="17">
        <f t="shared" si="2"/>
        <v>155</v>
      </c>
      <c r="W10" s="17">
        <f t="shared" si="2"/>
        <v>0</v>
      </c>
      <c r="X10" s="17">
        <f t="shared" si="2"/>
        <v>3</v>
      </c>
      <c r="Y10" s="17">
        <f t="shared" si="2"/>
        <v>7</v>
      </c>
      <c r="Z10" s="17">
        <f t="shared" si="2"/>
        <v>6</v>
      </c>
      <c r="AA10" s="17">
        <f t="shared" si="2"/>
        <v>1</v>
      </c>
      <c r="AB10" s="17">
        <f t="shared" si="2"/>
        <v>1</v>
      </c>
      <c r="AC10" s="17">
        <f t="shared" si="2"/>
        <v>1034</v>
      </c>
      <c r="AD10" s="17">
        <f t="shared" si="2"/>
        <v>0</v>
      </c>
      <c r="AE10" s="31">
        <f t="shared" si="2"/>
        <v>653</v>
      </c>
      <c r="AF10" s="31">
        <f t="shared" si="2"/>
        <v>1687</v>
      </c>
    </row>
    <row r="11" spans="2:32" s="6" customFormat="1" ht="23.1" customHeight="1" x14ac:dyDescent="0.25">
      <c r="B11" s="45" t="s">
        <v>38</v>
      </c>
      <c r="C11" s="50">
        <v>70</v>
      </c>
      <c r="D11" s="50">
        <v>49</v>
      </c>
      <c r="E11" s="50">
        <v>3</v>
      </c>
      <c r="F11" s="50">
        <v>37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1</v>
      </c>
      <c r="M11" s="50">
        <v>265</v>
      </c>
      <c r="N11" s="50">
        <v>0</v>
      </c>
      <c r="O11" s="15">
        <f t="shared" si="0"/>
        <v>164</v>
      </c>
      <c r="P11" s="15">
        <f t="shared" si="1"/>
        <v>429</v>
      </c>
      <c r="R11" s="1" t="s">
        <v>7</v>
      </c>
      <c r="S11" s="17">
        <f t="shared" ref="S11:AF11" si="3">SUM(C14:C17)</f>
        <v>195</v>
      </c>
      <c r="T11" s="17">
        <f t="shared" si="3"/>
        <v>173</v>
      </c>
      <c r="U11" s="17">
        <f t="shared" si="3"/>
        <v>24</v>
      </c>
      <c r="V11" s="17">
        <f t="shared" si="3"/>
        <v>128</v>
      </c>
      <c r="W11" s="17">
        <f t="shared" si="3"/>
        <v>2</v>
      </c>
      <c r="X11" s="17">
        <f t="shared" si="3"/>
        <v>1</v>
      </c>
      <c r="Y11" s="17">
        <f t="shared" si="3"/>
        <v>8</v>
      </c>
      <c r="Z11" s="17">
        <f t="shared" si="3"/>
        <v>6</v>
      </c>
      <c r="AA11" s="17">
        <f t="shared" si="3"/>
        <v>2</v>
      </c>
      <c r="AB11" s="17">
        <f t="shared" si="3"/>
        <v>2</v>
      </c>
      <c r="AC11" s="17">
        <f t="shared" si="3"/>
        <v>1060</v>
      </c>
      <c r="AD11" s="17">
        <f t="shared" si="3"/>
        <v>0</v>
      </c>
      <c r="AE11" s="31">
        <f t="shared" si="3"/>
        <v>541</v>
      </c>
      <c r="AF11" s="31">
        <f t="shared" si="3"/>
        <v>1601</v>
      </c>
    </row>
    <row r="12" spans="2:32" ht="23.1" customHeight="1" x14ac:dyDescent="0.25">
      <c r="B12" s="45" t="s">
        <v>39</v>
      </c>
      <c r="C12" s="50">
        <v>67</v>
      </c>
      <c r="D12" s="50">
        <v>57</v>
      </c>
      <c r="E12" s="50">
        <v>6</v>
      </c>
      <c r="F12" s="50">
        <v>52</v>
      </c>
      <c r="G12" s="50">
        <v>0</v>
      </c>
      <c r="H12" s="50">
        <v>3</v>
      </c>
      <c r="I12" s="50">
        <v>0</v>
      </c>
      <c r="J12" s="50">
        <v>3</v>
      </c>
      <c r="K12" s="50">
        <v>0</v>
      </c>
      <c r="L12" s="50">
        <v>0</v>
      </c>
      <c r="M12" s="50">
        <v>280</v>
      </c>
      <c r="N12" s="50">
        <v>0</v>
      </c>
      <c r="O12" s="15">
        <f t="shared" si="0"/>
        <v>188</v>
      </c>
      <c r="P12" s="15">
        <f t="shared" si="1"/>
        <v>468</v>
      </c>
      <c r="R12" s="1" t="s">
        <v>8</v>
      </c>
      <c r="S12" s="17">
        <f t="shared" ref="S12:AF12" si="4">SUM(C18:C21)</f>
        <v>132</v>
      </c>
      <c r="T12" s="17">
        <f t="shared" si="4"/>
        <v>130</v>
      </c>
      <c r="U12" s="17">
        <f t="shared" si="4"/>
        <v>41</v>
      </c>
      <c r="V12" s="17">
        <f t="shared" si="4"/>
        <v>116</v>
      </c>
      <c r="W12" s="17">
        <f t="shared" si="4"/>
        <v>1</v>
      </c>
      <c r="X12" s="17">
        <f t="shared" si="4"/>
        <v>1</v>
      </c>
      <c r="Y12" s="17">
        <f t="shared" si="4"/>
        <v>18</v>
      </c>
      <c r="Z12" s="17">
        <f t="shared" si="4"/>
        <v>0</v>
      </c>
      <c r="AA12" s="17">
        <f t="shared" si="4"/>
        <v>2</v>
      </c>
      <c r="AB12" s="17">
        <f t="shared" si="4"/>
        <v>1</v>
      </c>
      <c r="AC12" s="17">
        <f t="shared" si="4"/>
        <v>1088</v>
      </c>
      <c r="AD12" s="17">
        <f t="shared" si="4"/>
        <v>0</v>
      </c>
      <c r="AE12" s="31">
        <f t="shared" si="4"/>
        <v>442</v>
      </c>
      <c r="AF12" s="31">
        <f t="shared" si="4"/>
        <v>1530</v>
      </c>
    </row>
    <row r="13" spans="2:32" ht="23.1" customHeight="1" x14ac:dyDescent="0.25">
      <c r="B13" s="45" t="s">
        <v>40</v>
      </c>
      <c r="C13" s="50">
        <v>75</v>
      </c>
      <c r="D13" s="50">
        <v>57</v>
      </c>
      <c r="E13" s="50">
        <v>6</v>
      </c>
      <c r="F13" s="50">
        <v>32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320</v>
      </c>
      <c r="N13" s="50">
        <v>0</v>
      </c>
      <c r="O13" s="15">
        <f t="shared" si="0"/>
        <v>174</v>
      </c>
      <c r="P13" s="15">
        <f t="shared" si="1"/>
        <v>494</v>
      </c>
      <c r="R13" s="1" t="s">
        <v>9</v>
      </c>
      <c r="S13" s="17">
        <f t="shared" ref="S13:AF13" si="5">SUM(C22:C25)</f>
        <v>120</v>
      </c>
      <c r="T13" s="17">
        <f t="shared" si="5"/>
        <v>125</v>
      </c>
      <c r="U13" s="17">
        <f t="shared" si="5"/>
        <v>30</v>
      </c>
      <c r="V13" s="17">
        <f t="shared" si="5"/>
        <v>88</v>
      </c>
      <c r="W13" s="17">
        <f t="shared" si="5"/>
        <v>5</v>
      </c>
      <c r="X13" s="17">
        <f t="shared" si="5"/>
        <v>1</v>
      </c>
      <c r="Y13" s="17">
        <f t="shared" si="5"/>
        <v>13</v>
      </c>
      <c r="Z13" s="17">
        <f t="shared" si="5"/>
        <v>13</v>
      </c>
      <c r="AA13" s="17">
        <f t="shared" si="5"/>
        <v>6</v>
      </c>
      <c r="AB13" s="17">
        <f t="shared" si="5"/>
        <v>2</v>
      </c>
      <c r="AC13" s="17">
        <f t="shared" si="5"/>
        <v>952</v>
      </c>
      <c r="AD13" s="17">
        <f t="shared" si="5"/>
        <v>0</v>
      </c>
      <c r="AE13" s="31">
        <f t="shared" si="5"/>
        <v>403</v>
      </c>
      <c r="AF13" s="31">
        <f t="shared" si="5"/>
        <v>1355</v>
      </c>
    </row>
    <row r="14" spans="2:32" ht="23.1" customHeight="1" x14ac:dyDescent="0.25">
      <c r="B14" s="45" t="s">
        <v>41</v>
      </c>
      <c r="C14" s="50">
        <v>33</v>
      </c>
      <c r="D14" s="50">
        <v>46</v>
      </c>
      <c r="E14" s="50">
        <v>11</v>
      </c>
      <c r="F14" s="50">
        <v>29</v>
      </c>
      <c r="G14" s="50">
        <v>1</v>
      </c>
      <c r="H14" s="50">
        <v>0</v>
      </c>
      <c r="I14" s="50">
        <v>6</v>
      </c>
      <c r="J14" s="50">
        <v>2</v>
      </c>
      <c r="K14" s="50">
        <v>1</v>
      </c>
      <c r="L14" s="50">
        <v>0</v>
      </c>
      <c r="M14" s="50">
        <v>240</v>
      </c>
      <c r="N14" s="50">
        <v>0</v>
      </c>
      <c r="O14" s="15">
        <f t="shared" si="0"/>
        <v>129</v>
      </c>
      <c r="P14" s="15">
        <f t="shared" si="1"/>
        <v>369</v>
      </c>
      <c r="R14" s="1" t="s">
        <v>10</v>
      </c>
      <c r="S14" s="17">
        <f t="shared" ref="S14:AF14" si="6">SUM(C26:C29)</f>
        <v>82</v>
      </c>
      <c r="T14" s="17">
        <f t="shared" si="6"/>
        <v>100</v>
      </c>
      <c r="U14" s="17">
        <f t="shared" si="6"/>
        <v>22</v>
      </c>
      <c r="V14" s="17">
        <f t="shared" si="6"/>
        <v>106</v>
      </c>
      <c r="W14" s="17">
        <f t="shared" si="6"/>
        <v>2</v>
      </c>
      <c r="X14" s="17">
        <f t="shared" si="6"/>
        <v>1</v>
      </c>
      <c r="Y14" s="17">
        <f t="shared" si="6"/>
        <v>17</v>
      </c>
      <c r="Z14" s="17">
        <f t="shared" si="6"/>
        <v>15</v>
      </c>
      <c r="AA14" s="17">
        <f t="shared" si="6"/>
        <v>5</v>
      </c>
      <c r="AB14" s="17">
        <f t="shared" si="6"/>
        <v>2</v>
      </c>
      <c r="AC14" s="17">
        <f t="shared" si="6"/>
        <v>899</v>
      </c>
      <c r="AD14" s="17">
        <f t="shared" si="6"/>
        <v>0</v>
      </c>
      <c r="AE14" s="31">
        <f t="shared" si="6"/>
        <v>352</v>
      </c>
      <c r="AF14" s="31">
        <f t="shared" si="6"/>
        <v>1251</v>
      </c>
    </row>
    <row r="15" spans="2:32" ht="23.1" customHeight="1" x14ac:dyDescent="0.25">
      <c r="B15" s="45" t="s">
        <v>42</v>
      </c>
      <c r="C15" s="50">
        <v>61</v>
      </c>
      <c r="D15" s="50">
        <v>46</v>
      </c>
      <c r="E15" s="50">
        <v>7</v>
      </c>
      <c r="F15" s="50">
        <v>36</v>
      </c>
      <c r="G15" s="50">
        <v>0</v>
      </c>
      <c r="H15" s="50">
        <v>1</v>
      </c>
      <c r="I15" s="50">
        <v>2</v>
      </c>
      <c r="J15" s="50">
        <v>2</v>
      </c>
      <c r="K15" s="50">
        <v>0</v>
      </c>
      <c r="L15" s="50">
        <v>0</v>
      </c>
      <c r="M15" s="50">
        <v>260</v>
      </c>
      <c r="N15" s="50">
        <v>0</v>
      </c>
      <c r="O15" s="15">
        <f t="shared" si="0"/>
        <v>155</v>
      </c>
      <c r="P15" s="15">
        <f t="shared" si="1"/>
        <v>415</v>
      </c>
      <c r="R15" s="1" t="s">
        <v>11</v>
      </c>
      <c r="S15" s="17">
        <f t="shared" ref="S15:AF15" si="7">SUM(C30:C33)</f>
        <v>105</v>
      </c>
      <c r="T15" s="17">
        <f t="shared" si="7"/>
        <v>95</v>
      </c>
      <c r="U15" s="17">
        <f t="shared" si="7"/>
        <v>20</v>
      </c>
      <c r="V15" s="17">
        <f t="shared" si="7"/>
        <v>79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12</v>
      </c>
      <c r="AA15" s="17">
        <f t="shared" si="7"/>
        <v>4</v>
      </c>
      <c r="AB15" s="17">
        <f t="shared" si="7"/>
        <v>4</v>
      </c>
      <c r="AC15" s="17">
        <f t="shared" si="7"/>
        <v>899</v>
      </c>
      <c r="AD15" s="17">
        <f t="shared" si="7"/>
        <v>0</v>
      </c>
      <c r="AE15" s="31">
        <f t="shared" si="7"/>
        <v>332</v>
      </c>
      <c r="AF15" s="31">
        <f t="shared" si="7"/>
        <v>1231</v>
      </c>
    </row>
    <row r="16" spans="2:32" ht="23.1" customHeight="1" x14ac:dyDescent="0.25">
      <c r="B16" s="45" t="s">
        <v>43</v>
      </c>
      <c r="C16" s="50">
        <v>45</v>
      </c>
      <c r="D16" s="50">
        <v>44</v>
      </c>
      <c r="E16" s="50">
        <v>5</v>
      </c>
      <c r="F16" s="50">
        <v>30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270</v>
      </c>
      <c r="N16" s="50">
        <v>0</v>
      </c>
      <c r="O16" s="15">
        <f t="shared" si="0"/>
        <v>126</v>
      </c>
      <c r="P16" s="15">
        <f t="shared" si="1"/>
        <v>396</v>
      </c>
      <c r="R16" s="1" t="s">
        <v>12</v>
      </c>
      <c r="S16" s="17">
        <f t="shared" ref="S16:AF16" si="8">SUM(C34:C37)</f>
        <v>96</v>
      </c>
      <c r="T16" s="17">
        <f t="shared" si="8"/>
        <v>112</v>
      </c>
      <c r="U16" s="17">
        <f t="shared" si="8"/>
        <v>16</v>
      </c>
      <c r="V16" s="17">
        <f t="shared" si="8"/>
        <v>94</v>
      </c>
      <c r="W16" s="17">
        <f t="shared" si="8"/>
        <v>4</v>
      </c>
      <c r="X16" s="17">
        <f t="shared" si="8"/>
        <v>1</v>
      </c>
      <c r="Y16" s="17">
        <f t="shared" si="8"/>
        <v>18</v>
      </c>
      <c r="Z16" s="17">
        <f t="shared" si="8"/>
        <v>8</v>
      </c>
      <c r="AA16" s="17">
        <f t="shared" si="8"/>
        <v>4</v>
      </c>
      <c r="AB16" s="17">
        <f t="shared" si="8"/>
        <v>3</v>
      </c>
      <c r="AC16" s="17">
        <f t="shared" si="8"/>
        <v>651</v>
      </c>
      <c r="AD16" s="17">
        <f t="shared" si="8"/>
        <v>0</v>
      </c>
      <c r="AE16" s="31">
        <f t="shared" si="8"/>
        <v>356</v>
      </c>
      <c r="AF16" s="31">
        <f t="shared" si="8"/>
        <v>1007</v>
      </c>
    </row>
    <row r="17" spans="2:32" ht="23.1" customHeight="1" x14ac:dyDescent="0.25">
      <c r="B17" s="45" t="s">
        <v>44</v>
      </c>
      <c r="C17" s="50">
        <v>56</v>
      </c>
      <c r="D17" s="50">
        <v>37</v>
      </c>
      <c r="E17" s="50">
        <v>1</v>
      </c>
      <c r="F17" s="50">
        <v>33</v>
      </c>
      <c r="G17" s="50">
        <v>0</v>
      </c>
      <c r="H17" s="50">
        <v>0</v>
      </c>
      <c r="I17" s="50">
        <v>0</v>
      </c>
      <c r="J17" s="50">
        <v>2</v>
      </c>
      <c r="K17" s="50">
        <v>1</v>
      </c>
      <c r="L17" s="50">
        <v>1</v>
      </c>
      <c r="M17" s="50">
        <v>290</v>
      </c>
      <c r="N17" s="50">
        <v>0</v>
      </c>
      <c r="O17" s="15">
        <f t="shared" si="0"/>
        <v>131</v>
      </c>
      <c r="P17" s="15">
        <f t="shared" si="1"/>
        <v>421</v>
      </c>
      <c r="R17" s="1" t="s">
        <v>13</v>
      </c>
      <c r="S17" s="17">
        <f t="shared" ref="S17:AF17" si="9">SUM(C38:C41)</f>
        <v>100</v>
      </c>
      <c r="T17" s="17">
        <f t="shared" si="9"/>
        <v>68</v>
      </c>
      <c r="U17" s="17">
        <f t="shared" si="9"/>
        <v>10</v>
      </c>
      <c r="V17" s="17">
        <f t="shared" si="9"/>
        <v>91</v>
      </c>
      <c r="W17" s="17">
        <f t="shared" si="9"/>
        <v>1</v>
      </c>
      <c r="X17" s="17">
        <f t="shared" si="9"/>
        <v>1</v>
      </c>
      <c r="Y17" s="17">
        <f t="shared" si="9"/>
        <v>18</v>
      </c>
      <c r="Z17" s="17">
        <f t="shared" si="9"/>
        <v>14</v>
      </c>
      <c r="AA17" s="17">
        <f t="shared" si="9"/>
        <v>2</v>
      </c>
      <c r="AB17" s="17">
        <f t="shared" si="9"/>
        <v>1</v>
      </c>
      <c r="AC17" s="17">
        <f t="shared" si="9"/>
        <v>547</v>
      </c>
      <c r="AD17" s="17">
        <f t="shared" si="9"/>
        <v>0</v>
      </c>
      <c r="AE17" s="31">
        <f t="shared" si="9"/>
        <v>306</v>
      </c>
      <c r="AF17" s="31">
        <f t="shared" si="9"/>
        <v>853</v>
      </c>
    </row>
    <row r="18" spans="2:32" ht="23.1" customHeight="1" x14ac:dyDescent="0.25">
      <c r="B18" s="45" t="s">
        <v>45</v>
      </c>
      <c r="C18" s="50">
        <v>31</v>
      </c>
      <c r="D18" s="50">
        <v>43</v>
      </c>
      <c r="E18" s="50">
        <v>7</v>
      </c>
      <c r="F18" s="50">
        <v>32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330</v>
      </c>
      <c r="N18" s="50">
        <v>0</v>
      </c>
      <c r="O18" s="15">
        <f t="shared" si="0"/>
        <v>116</v>
      </c>
      <c r="P18" s="15">
        <f t="shared" si="1"/>
        <v>446</v>
      </c>
      <c r="R18" s="1" t="s">
        <v>14</v>
      </c>
      <c r="S18" s="17">
        <f t="shared" ref="S18:AF18" si="10">SUM(C42:C45)</f>
        <v>128</v>
      </c>
      <c r="T18" s="17">
        <f t="shared" si="10"/>
        <v>95</v>
      </c>
      <c r="U18" s="17">
        <f t="shared" si="10"/>
        <v>20</v>
      </c>
      <c r="V18" s="17">
        <f t="shared" si="10"/>
        <v>84</v>
      </c>
      <c r="W18" s="17">
        <f t="shared" si="10"/>
        <v>0</v>
      </c>
      <c r="X18" s="17">
        <f t="shared" si="10"/>
        <v>0</v>
      </c>
      <c r="Y18" s="17">
        <f t="shared" si="10"/>
        <v>17</v>
      </c>
      <c r="Z18" s="17">
        <f t="shared" si="10"/>
        <v>13</v>
      </c>
      <c r="AA18" s="17">
        <f t="shared" si="10"/>
        <v>3</v>
      </c>
      <c r="AB18" s="17">
        <f t="shared" si="10"/>
        <v>3</v>
      </c>
      <c r="AC18" s="17">
        <f t="shared" si="10"/>
        <v>417</v>
      </c>
      <c r="AD18" s="17">
        <f t="shared" si="10"/>
        <v>0</v>
      </c>
      <c r="AE18" s="31">
        <f t="shared" si="10"/>
        <v>363</v>
      </c>
      <c r="AF18" s="31">
        <f t="shared" si="10"/>
        <v>780</v>
      </c>
    </row>
    <row r="19" spans="2:32" ht="23.1" customHeight="1" x14ac:dyDescent="0.25">
      <c r="B19" s="45" t="s">
        <v>46</v>
      </c>
      <c r="C19" s="50">
        <v>36</v>
      </c>
      <c r="D19" s="50">
        <v>42</v>
      </c>
      <c r="E19" s="50">
        <v>12</v>
      </c>
      <c r="F19" s="50">
        <v>31</v>
      </c>
      <c r="G19" s="50">
        <v>0</v>
      </c>
      <c r="H19" s="50">
        <v>0</v>
      </c>
      <c r="I19" s="50">
        <v>2</v>
      </c>
      <c r="J19" s="50">
        <v>0</v>
      </c>
      <c r="K19" s="50">
        <v>2</v>
      </c>
      <c r="L19" s="50">
        <v>1</v>
      </c>
      <c r="M19" s="50">
        <v>280</v>
      </c>
      <c r="N19" s="50">
        <v>0</v>
      </c>
      <c r="O19" s="15">
        <f t="shared" si="0"/>
        <v>126</v>
      </c>
      <c r="P19" s="15">
        <f t="shared" si="1"/>
        <v>406</v>
      </c>
      <c r="R19" s="1" t="s">
        <v>15</v>
      </c>
      <c r="S19" s="17">
        <f t="shared" ref="S19:AF19" si="11">SUM(C46:C49)</f>
        <v>104</v>
      </c>
      <c r="T19" s="17">
        <f t="shared" si="11"/>
        <v>79</v>
      </c>
      <c r="U19" s="17">
        <f t="shared" si="11"/>
        <v>19</v>
      </c>
      <c r="V19" s="17">
        <f t="shared" si="11"/>
        <v>113</v>
      </c>
      <c r="W19" s="17">
        <f t="shared" si="11"/>
        <v>5</v>
      </c>
      <c r="X19" s="17">
        <f t="shared" si="11"/>
        <v>2</v>
      </c>
      <c r="Y19" s="17">
        <f t="shared" si="11"/>
        <v>20</v>
      </c>
      <c r="Z19" s="17">
        <f t="shared" si="11"/>
        <v>10</v>
      </c>
      <c r="AA19" s="17">
        <f t="shared" si="11"/>
        <v>1</v>
      </c>
      <c r="AB19" s="17">
        <f t="shared" si="11"/>
        <v>1</v>
      </c>
      <c r="AC19" s="17">
        <f t="shared" si="11"/>
        <v>675</v>
      </c>
      <c r="AD19" s="17">
        <f t="shared" si="11"/>
        <v>0</v>
      </c>
      <c r="AE19" s="31">
        <f t="shared" si="11"/>
        <v>354</v>
      </c>
      <c r="AF19" s="31">
        <f t="shared" si="11"/>
        <v>1029</v>
      </c>
    </row>
    <row r="20" spans="2:32" ht="23.1" customHeight="1" x14ac:dyDescent="0.25">
      <c r="B20" s="45" t="s">
        <v>47</v>
      </c>
      <c r="C20" s="50">
        <v>35</v>
      </c>
      <c r="D20" s="50">
        <v>29</v>
      </c>
      <c r="E20" s="50">
        <v>12</v>
      </c>
      <c r="F20" s="50">
        <v>26</v>
      </c>
      <c r="G20" s="50">
        <v>0</v>
      </c>
      <c r="H20" s="50">
        <v>0</v>
      </c>
      <c r="I20" s="50">
        <v>7</v>
      </c>
      <c r="J20" s="50">
        <v>0</v>
      </c>
      <c r="K20" s="50">
        <v>0</v>
      </c>
      <c r="L20" s="50">
        <v>0</v>
      </c>
      <c r="M20" s="50">
        <v>228</v>
      </c>
      <c r="N20" s="50">
        <v>0</v>
      </c>
      <c r="O20" s="15">
        <f t="shared" si="0"/>
        <v>109</v>
      </c>
      <c r="P20" s="15">
        <f t="shared" si="1"/>
        <v>337</v>
      </c>
      <c r="R20" s="1" t="s">
        <v>16</v>
      </c>
      <c r="S20" s="17">
        <f t="shared" ref="S20:AF20" si="12">SUM(C50:C53)</f>
        <v>91</v>
      </c>
      <c r="T20" s="17">
        <f t="shared" si="12"/>
        <v>90</v>
      </c>
      <c r="U20" s="17">
        <f t="shared" si="12"/>
        <v>17</v>
      </c>
      <c r="V20" s="17">
        <f t="shared" si="12"/>
        <v>67</v>
      </c>
      <c r="W20" s="17">
        <f t="shared" si="12"/>
        <v>5</v>
      </c>
      <c r="X20" s="17">
        <f t="shared" si="12"/>
        <v>2</v>
      </c>
      <c r="Y20" s="17">
        <f t="shared" si="12"/>
        <v>24</v>
      </c>
      <c r="Z20" s="17">
        <f t="shared" si="12"/>
        <v>10</v>
      </c>
      <c r="AA20" s="17">
        <f t="shared" si="12"/>
        <v>4</v>
      </c>
      <c r="AB20" s="17">
        <f t="shared" si="12"/>
        <v>2</v>
      </c>
      <c r="AC20" s="17">
        <f t="shared" si="12"/>
        <v>800</v>
      </c>
      <c r="AD20" s="17">
        <f t="shared" si="12"/>
        <v>0</v>
      </c>
      <c r="AE20" s="31">
        <f t="shared" si="12"/>
        <v>312</v>
      </c>
      <c r="AF20" s="31">
        <f t="shared" si="12"/>
        <v>1112</v>
      </c>
    </row>
    <row r="21" spans="2:32" ht="23.1" customHeight="1" x14ac:dyDescent="0.25">
      <c r="B21" s="45" t="s">
        <v>48</v>
      </c>
      <c r="C21" s="50">
        <v>30</v>
      </c>
      <c r="D21" s="50">
        <v>16</v>
      </c>
      <c r="E21" s="50">
        <v>10</v>
      </c>
      <c r="F21" s="50">
        <v>27</v>
      </c>
      <c r="G21" s="50">
        <v>1</v>
      </c>
      <c r="H21" s="50">
        <v>1</v>
      </c>
      <c r="I21" s="50">
        <v>6</v>
      </c>
      <c r="J21" s="50">
        <v>0</v>
      </c>
      <c r="K21" s="50">
        <v>0</v>
      </c>
      <c r="L21" s="50">
        <v>0</v>
      </c>
      <c r="M21" s="50">
        <v>250</v>
      </c>
      <c r="N21" s="50">
        <v>0</v>
      </c>
      <c r="O21" s="15">
        <f t="shared" si="0"/>
        <v>91</v>
      </c>
      <c r="P21" s="15">
        <f t="shared" si="1"/>
        <v>341</v>
      </c>
      <c r="R21" s="36" t="s">
        <v>20</v>
      </c>
      <c r="S21" s="34">
        <f t="shared" ref="S21:AF21" si="13">SUM(C54:C57)</f>
        <v>103</v>
      </c>
      <c r="T21" s="17">
        <f t="shared" si="13"/>
        <v>88</v>
      </c>
      <c r="U21" s="17">
        <f t="shared" si="13"/>
        <v>17</v>
      </c>
      <c r="V21" s="17">
        <f t="shared" si="13"/>
        <v>138</v>
      </c>
      <c r="W21" s="17">
        <f t="shared" si="13"/>
        <v>5</v>
      </c>
      <c r="X21" s="17">
        <f t="shared" si="13"/>
        <v>5</v>
      </c>
      <c r="Y21" s="17">
        <f t="shared" si="13"/>
        <v>15</v>
      </c>
      <c r="Z21" s="17">
        <f t="shared" si="13"/>
        <v>8</v>
      </c>
      <c r="AA21" s="17">
        <f t="shared" si="13"/>
        <v>3</v>
      </c>
      <c r="AB21" s="17">
        <f t="shared" si="13"/>
        <v>2</v>
      </c>
      <c r="AC21" s="17">
        <f t="shared" si="13"/>
        <v>976</v>
      </c>
      <c r="AD21" s="17">
        <f t="shared" si="13"/>
        <v>0</v>
      </c>
      <c r="AE21" s="31">
        <f t="shared" si="13"/>
        <v>384</v>
      </c>
      <c r="AF21" s="31">
        <f t="shared" si="13"/>
        <v>1360</v>
      </c>
    </row>
    <row r="22" spans="2:32" ht="23.1" customHeight="1" x14ac:dyDescent="0.25">
      <c r="B22" s="45" t="s">
        <v>49</v>
      </c>
      <c r="C22" s="50">
        <v>30</v>
      </c>
      <c r="D22" s="50">
        <v>24</v>
      </c>
      <c r="E22" s="50">
        <v>7</v>
      </c>
      <c r="F22" s="50">
        <v>22</v>
      </c>
      <c r="G22" s="50">
        <v>0</v>
      </c>
      <c r="H22" s="50">
        <v>0</v>
      </c>
      <c r="I22" s="50">
        <v>1</v>
      </c>
      <c r="J22" s="50">
        <v>3</v>
      </c>
      <c r="K22" s="50">
        <v>3</v>
      </c>
      <c r="L22" s="50">
        <v>0</v>
      </c>
      <c r="M22" s="50">
        <v>235</v>
      </c>
      <c r="N22" s="50">
        <v>0</v>
      </c>
      <c r="O22" s="15">
        <f t="shared" si="0"/>
        <v>90</v>
      </c>
      <c r="P22" s="15">
        <f t="shared" si="1"/>
        <v>325</v>
      </c>
      <c r="R22" s="36" t="s">
        <v>146</v>
      </c>
      <c r="S22" s="34">
        <f>SUM(C58:C61)</f>
        <v>4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10</v>
      </c>
      <c r="AD22" s="34">
        <f t="shared" si="14"/>
        <v>0</v>
      </c>
      <c r="AE22" s="31">
        <f t="shared" si="14"/>
        <v>5</v>
      </c>
      <c r="AF22" s="31">
        <f t="shared" si="14"/>
        <v>15</v>
      </c>
    </row>
    <row r="23" spans="2:32" ht="23.1" customHeight="1" x14ac:dyDescent="0.25">
      <c r="B23" s="45" t="s">
        <v>50</v>
      </c>
      <c r="C23" s="50">
        <v>31</v>
      </c>
      <c r="D23" s="50">
        <v>35</v>
      </c>
      <c r="E23" s="50">
        <v>3</v>
      </c>
      <c r="F23" s="50">
        <v>24</v>
      </c>
      <c r="G23" s="50">
        <v>5</v>
      </c>
      <c r="H23" s="50">
        <v>0</v>
      </c>
      <c r="I23" s="50">
        <v>4</v>
      </c>
      <c r="J23" s="50">
        <v>4</v>
      </c>
      <c r="K23" s="50">
        <v>1</v>
      </c>
      <c r="L23" s="50">
        <v>1</v>
      </c>
      <c r="M23" s="50">
        <v>260</v>
      </c>
      <c r="N23" s="50">
        <v>0</v>
      </c>
      <c r="O23" s="15">
        <f t="shared" si="0"/>
        <v>108</v>
      </c>
      <c r="P23" s="15">
        <f t="shared" si="1"/>
        <v>368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33</v>
      </c>
      <c r="D24" s="50">
        <v>33</v>
      </c>
      <c r="E24" s="50">
        <v>16</v>
      </c>
      <c r="F24" s="50">
        <v>21</v>
      </c>
      <c r="G24" s="50">
        <v>0</v>
      </c>
      <c r="H24" s="50">
        <v>1</v>
      </c>
      <c r="I24" s="50">
        <v>4</v>
      </c>
      <c r="J24" s="50">
        <v>5</v>
      </c>
      <c r="K24" s="50">
        <v>2</v>
      </c>
      <c r="L24" s="50">
        <v>1</v>
      </c>
      <c r="M24" s="50">
        <v>240</v>
      </c>
      <c r="N24" s="50">
        <v>0</v>
      </c>
      <c r="O24" s="15">
        <f t="shared" si="0"/>
        <v>116</v>
      </c>
      <c r="P24" s="15">
        <f t="shared" si="1"/>
        <v>356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26</v>
      </c>
      <c r="D25" s="50">
        <v>33</v>
      </c>
      <c r="E25" s="50">
        <v>4</v>
      </c>
      <c r="F25" s="50">
        <v>21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217</v>
      </c>
      <c r="N25" s="50">
        <v>0</v>
      </c>
      <c r="O25" s="15">
        <f t="shared" si="0"/>
        <v>89</v>
      </c>
      <c r="P25" s="15">
        <f t="shared" si="1"/>
        <v>306</v>
      </c>
      <c r="R25" s="36" t="s">
        <v>149</v>
      </c>
      <c r="S25" s="34">
        <f>SUM(C70:C73)</f>
        <v>116</v>
      </c>
      <c r="T25" s="34">
        <f t="shared" ref="T25:AF25" si="17">SUM(D70:D73)</f>
        <v>10</v>
      </c>
      <c r="U25" s="34">
        <f t="shared" si="17"/>
        <v>6</v>
      </c>
      <c r="V25" s="34">
        <f t="shared" si="17"/>
        <v>47</v>
      </c>
      <c r="W25" s="34">
        <f t="shared" si="17"/>
        <v>1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447</v>
      </c>
      <c r="AD25" s="34">
        <f t="shared" si="17"/>
        <v>0</v>
      </c>
      <c r="AE25" s="31">
        <f t="shared" si="17"/>
        <v>185</v>
      </c>
      <c r="AF25" s="31">
        <f t="shared" si="17"/>
        <v>632</v>
      </c>
    </row>
    <row r="26" spans="2:32" ht="23.1" customHeight="1" x14ac:dyDescent="0.25">
      <c r="B26" s="45" t="s">
        <v>53</v>
      </c>
      <c r="C26" s="50">
        <v>35</v>
      </c>
      <c r="D26" s="50">
        <v>40</v>
      </c>
      <c r="E26" s="50">
        <v>9</v>
      </c>
      <c r="F26" s="50">
        <v>38</v>
      </c>
      <c r="G26" s="50">
        <v>1</v>
      </c>
      <c r="H26" s="50">
        <v>1</v>
      </c>
      <c r="I26" s="50">
        <v>5</v>
      </c>
      <c r="J26" s="50">
        <v>3</v>
      </c>
      <c r="K26" s="50">
        <v>1</v>
      </c>
      <c r="L26" s="50">
        <v>0</v>
      </c>
      <c r="M26" s="50">
        <v>185</v>
      </c>
      <c r="N26" s="50">
        <v>0</v>
      </c>
      <c r="O26" s="15">
        <f t="shared" si="0"/>
        <v>133</v>
      </c>
      <c r="P26" s="15">
        <f t="shared" si="1"/>
        <v>318</v>
      </c>
      <c r="R26" s="36" t="s">
        <v>150</v>
      </c>
      <c r="S26" s="34">
        <f>SUM(C74:C77)</f>
        <v>99</v>
      </c>
      <c r="T26" s="34">
        <f t="shared" ref="T26:AF26" si="18">SUM(D74:D77)</f>
        <v>10</v>
      </c>
      <c r="U26" s="34">
        <f t="shared" si="18"/>
        <v>11</v>
      </c>
      <c r="V26" s="34">
        <f t="shared" si="18"/>
        <v>16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4</v>
      </c>
      <c r="AA26" s="34">
        <f t="shared" si="18"/>
        <v>1</v>
      </c>
      <c r="AB26" s="34">
        <f t="shared" si="18"/>
        <v>0</v>
      </c>
      <c r="AC26" s="34">
        <f t="shared" si="18"/>
        <v>379</v>
      </c>
      <c r="AD26" s="34">
        <f t="shared" si="18"/>
        <v>0</v>
      </c>
      <c r="AE26" s="31">
        <f t="shared" si="18"/>
        <v>147</v>
      </c>
      <c r="AF26" s="31">
        <f t="shared" si="18"/>
        <v>526</v>
      </c>
    </row>
    <row r="27" spans="2:32" ht="23.1" customHeight="1" x14ac:dyDescent="0.25">
      <c r="B27" s="45" t="s">
        <v>54</v>
      </c>
      <c r="C27" s="50">
        <v>18</v>
      </c>
      <c r="D27" s="50">
        <v>23</v>
      </c>
      <c r="E27" s="50">
        <v>4</v>
      </c>
      <c r="F27" s="50">
        <v>26</v>
      </c>
      <c r="G27" s="50">
        <v>0</v>
      </c>
      <c r="H27" s="50">
        <v>0</v>
      </c>
      <c r="I27" s="50">
        <v>4</v>
      </c>
      <c r="J27" s="50">
        <v>3</v>
      </c>
      <c r="K27" s="50">
        <v>1</v>
      </c>
      <c r="L27" s="50">
        <v>0</v>
      </c>
      <c r="M27" s="50">
        <v>261</v>
      </c>
      <c r="N27" s="50">
        <v>0</v>
      </c>
      <c r="O27" s="15">
        <f t="shared" si="0"/>
        <v>79</v>
      </c>
      <c r="P27" s="15">
        <f t="shared" si="1"/>
        <v>340</v>
      </c>
      <c r="R27" s="36" t="s">
        <v>151</v>
      </c>
      <c r="S27" s="34">
        <f>SUM(C78:C81)</f>
        <v>57</v>
      </c>
      <c r="T27" s="34">
        <f t="shared" ref="T27:AF27" si="19">SUM(D78:D81)</f>
        <v>2</v>
      </c>
      <c r="U27" s="34">
        <f t="shared" si="19"/>
        <v>6</v>
      </c>
      <c r="V27" s="34">
        <f t="shared" si="19"/>
        <v>11</v>
      </c>
      <c r="W27" s="34">
        <f t="shared" si="19"/>
        <v>1</v>
      </c>
      <c r="X27" s="34">
        <f t="shared" si="19"/>
        <v>1</v>
      </c>
      <c r="Y27" s="34">
        <f t="shared" si="19"/>
        <v>3</v>
      </c>
      <c r="Z27" s="34">
        <f t="shared" si="19"/>
        <v>2</v>
      </c>
      <c r="AA27" s="34">
        <f t="shared" si="19"/>
        <v>1</v>
      </c>
      <c r="AB27" s="34">
        <f t="shared" si="19"/>
        <v>0</v>
      </c>
      <c r="AC27" s="34">
        <f t="shared" si="19"/>
        <v>224</v>
      </c>
      <c r="AD27" s="34">
        <f t="shared" si="19"/>
        <v>0</v>
      </c>
      <c r="AE27" s="31">
        <f t="shared" si="19"/>
        <v>84</v>
      </c>
      <c r="AF27" s="31">
        <f t="shared" si="19"/>
        <v>308</v>
      </c>
    </row>
    <row r="28" spans="2:32" ht="23.1" customHeight="1" x14ac:dyDescent="0.25">
      <c r="B28" s="45" t="s">
        <v>55</v>
      </c>
      <c r="C28" s="50">
        <v>15</v>
      </c>
      <c r="D28" s="50">
        <v>20</v>
      </c>
      <c r="E28" s="50">
        <v>6</v>
      </c>
      <c r="F28" s="50">
        <v>23</v>
      </c>
      <c r="G28" s="50">
        <v>1</v>
      </c>
      <c r="H28" s="50">
        <v>0</v>
      </c>
      <c r="I28" s="50">
        <v>6</v>
      </c>
      <c r="J28" s="50">
        <v>5</v>
      </c>
      <c r="K28" s="50">
        <v>2</v>
      </c>
      <c r="L28" s="50">
        <v>1</v>
      </c>
      <c r="M28" s="50">
        <v>233</v>
      </c>
      <c r="N28" s="50">
        <v>0</v>
      </c>
      <c r="O28" s="15">
        <f t="shared" si="0"/>
        <v>79</v>
      </c>
      <c r="P28" s="15">
        <f t="shared" si="1"/>
        <v>312</v>
      </c>
      <c r="R28" s="36" t="s">
        <v>152</v>
      </c>
      <c r="S28" s="34">
        <f>SUM(C82:C85)</f>
        <v>40</v>
      </c>
      <c r="T28" s="34">
        <f t="shared" ref="T28:AF28" si="20">SUM(D82:D85)</f>
        <v>3</v>
      </c>
      <c r="U28" s="34">
        <f t="shared" si="20"/>
        <v>0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4</v>
      </c>
      <c r="AA28" s="34">
        <f t="shared" si="20"/>
        <v>1</v>
      </c>
      <c r="AB28" s="34">
        <f t="shared" si="20"/>
        <v>0</v>
      </c>
      <c r="AC28" s="34">
        <f t="shared" si="20"/>
        <v>129</v>
      </c>
      <c r="AD28" s="34">
        <f t="shared" si="20"/>
        <v>0</v>
      </c>
      <c r="AE28" s="31">
        <f t="shared" si="20"/>
        <v>60</v>
      </c>
      <c r="AF28" s="31">
        <f t="shared" si="20"/>
        <v>189</v>
      </c>
    </row>
    <row r="29" spans="2:32" ht="23.1" customHeight="1" x14ac:dyDescent="0.25">
      <c r="B29" s="45" t="s">
        <v>56</v>
      </c>
      <c r="C29" s="50">
        <v>14</v>
      </c>
      <c r="D29" s="50">
        <v>17</v>
      </c>
      <c r="E29" s="50">
        <v>3</v>
      </c>
      <c r="F29" s="50">
        <v>19</v>
      </c>
      <c r="G29" s="50">
        <v>0</v>
      </c>
      <c r="H29" s="50">
        <v>0</v>
      </c>
      <c r="I29" s="50">
        <v>2</v>
      </c>
      <c r="J29" s="50">
        <v>4</v>
      </c>
      <c r="K29" s="50">
        <v>1</v>
      </c>
      <c r="L29" s="50">
        <v>1</v>
      </c>
      <c r="M29" s="50">
        <v>220</v>
      </c>
      <c r="N29" s="50">
        <v>0</v>
      </c>
      <c r="O29" s="15">
        <f t="shared" si="0"/>
        <v>61</v>
      </c>
      <c r="P29" s="15">
        <f t="shared" si="1"/>
        <v>281</v>
      </c>
      <c r="R29" s="36" t="s">
        <v>153</v>
      </c>
      <c r="S29" s="34">
        <f>SUM(C86:C89)</f>
        <v>45</v>
      </c>
      <c r="T29" s="34">
        <f t="shared" ref="T29:AF29" si="21">SUM(D86:D89)</f>
        <v>3</v>
      </c>
      <c r="U29" s="34">
        <f t="shared" si="21"/>
        <v>3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</v>
      </c>
      <c r="AA29" s="34">
        <f t="shared" si="21"/>
        <v>3</v>
      </c>
      <c r="AB29" s="34">
        <f t="shared" si="21"/>
        <v>1</v>
      </c>
      <c r="AC29" s="34">
        <f t="shared" si="21"/>
        <v>110</v>
      </c>
      <c r="AD29" s="34">
        <f t="shared" si="21"/>
        <v>0</v>
      </c>
      <c r="AE29" s="31">
        <f t="shared" si="21"/>
        <v>60</v>
      </c>
      <c r="AF29" s="31">
        <f t="shared" si="21"/>
        <v>170</v>
      </c>
    </row>
    <row r="30" spans="2:32" ht="23.1" customHeight="1" x14ac:dyDescent="0.25">
      <c r="B30" s="45" t="s">
        <v>57</v>
      </c>
      <c r="C30" s="50">
        <v>35</v>
      </c>
      <c r="D30" s="50">
        <v>20</v>
      </c>
      <c r="E30" s="50">
        <v>8</v>
      </c>
      <c r="F30" s="50">
        <v>30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270</v>
      </c>
      <c r="N30" s="50">
        <v>0</v>
      </c>
      <c r="O30" s="15">
        <f t="shared" si="0"/>
        <v>97</v>
      </c>
      <c r="P30" s="15">
        <f t="shared" si="1"/>
        <v>367</v>
      </c>
      <c r="R30" s="36" t="s">
        <v>154</v>
      </c>
      <c r="S30" s="34">
        <f>SUM(C90:C93)</f>
        <v>63</v>
      </c>
      <c r="T30" s="34">
        <f t="shared" ref="T30:AF30" si="22">SUM(D90:D93)</f>
        <v>4</v>
      </c>
      <c r="U30" s="34">
        <f t="shared" si="22"/>
        <v>3</v>
      </c>
      <c r="V30" s="34">
        <f t="shared" si="22"/>
        <v>26</v>
      </c>
      <c r="W30" s="34">
        <f t="shared" si="22"/>
        <v>0</v>
      </c>
      <c r="X30" s="34">
        <f t="shared" si="22"/>
        <v>1</v>
      </c>
      <c r="Y30" s="34">
        <f t="shared" si="22"/>
        <v>5</v>
      </c>
      <c r="Z30" s="34">
        <f t="shared" si="22"/>
        <v>4</v>
      </c>
      <c r="AA30" s="34">
        <f t="shared" si="22"/>
        <v>0</v>
      </c>
      <c r="AB30" s="34">
        <f t="shared" si="22"/>
        <v>0</v>
      </c>
      <c r="AC30" s="34">
        <f t="shared" si="22"/>
        <v>99</v>
      </c>
      <c r="AD30" s="34">
        <f t="shared" si="22"/>
        <v>0</v>
      </c>
      <c r="AE30" s="31">
        <f t="shared" si="22"/>
        <v>106</v>
      </c>
      <c r="AF30" s="31">
        <f t="shared" si="22"/>
        <v>205</v>
      </c>
    </row>
    <row r="31" spans="2:32" ht="23.1" customHeight="1" x14ac:dyDescent="0.25">
      <c r="B31" s="46" t="s">
        <v>58</v>
      </c>
      <c r="C31" s="50">
        <v>24</v>
      </c>
      <c r="D31" s="50">
        <v>26</v>
      </c>
      <c r="E31" s="50">
        <v>3</v>
      </c>
      <c r="F31" s="50">
        <v>3</v>
      </c>
      <c r="G31" s="50">
        <v>0</v>
      </c>
      <c r="H31" s="50">
        <v>0</v>
      </c>
      <c r="I31" s="50">
        <v>4</v>
      </c>
      <c r="J31" s="50">
        <v>3</v>
      </c>
      <c r="K31" s="50">
        <v>2</v>
      </c>
      <c r="L31" s="50">
        <v>3</v>
      </c>
      <c r="M31" s="50">
        <v>144</v>
      </c>
      <c r="N31" s="50">
        <v>0</v>
      </c>
      <c r="O31" s="15">
        <f t="shared" si="0"/>
        <v>68</v>
      </c>
      <c r="P31" s="15">
        <f t="shared" si="1"/>
        <v>212</v>
      </c>
      <c r="R31" s="36" t="s">
        <v>155</v>
      </c>
      <c r="S31" s="34">
        <f>SUM(C94:C97)</f>
        <v>25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19</v>
      </c>
      <c r="W31" s="34">
        <f t="shared" si="23"/>
        <v>0</v>
      </c>
      <c r="X31" s="34">
        <f t="shared" si="23"/>
        <v>2</v>
      </c>
      <c r="Y31" s="34">
        <f t="shared" si="23"/>
        <v>5</v>
      </c>
      <c r="Z31" s="34">
        <f t="shared" si="23"/>
        <v>1</v>
      </c>
      <c r="AA31" s="34">
        <f t="shared" si="23"/>
        <v>3</v>
      </c>
      <c r="AB31" s="34">
        <f t="shared" si="23"/>
        <v>0</v>
      </c>
      <c r="AC31" s="34">
        <f t="shared" si="23"/>
        <v>126</v>
      </c>
      <c r="AD31" s="34">
        <f t="shared" si="23"/>
        <v>0</v>
      </c>
      <c r="AE31" s="31">
        <f t="shared" si="23"/>
        <v>59</v>
      </c>
      <c r="AF31" s="31">
        <f t="shared" si="23"/>
        <v>185</v>
      </c>
    </row>
    <row r="32" spans="2:32" ht="23.1" customHeight="1" x14ac:dyDescent="0.25">
      <c r="B32" s="46" t="s">
        <v>59</v>
      </c>
      <c r="C32" s="50">
        <v>28</v>
      </c>
      <c r="D32" s="50">
        <v>35</v>
      </c>
      <c r="E32" s="50">
        <v>3</v>
      </c>
      <c r="F32" s="50">
        <v>25</v>
      </c>
      <c r="G32" s="50">
        <v>1</v>
      </c>
      <c r="H32" s="50">
        <v>0</v>
      </c>
      <c r="I32" s="50">
        <v>4</v>
      </c>
      <c r="J32" s="50">
        <v>5</v>
      </c>
      <c r="K32" s="50">
        <v>0</v>
      </c>
      <c r="L32" s="50">
        <v>0</v>
      </c>
      <c r="M32" s="50">
        <v>250</v>
      </c>
      <c r="N32" s="50">
        <v>0</v>
      </c>
      <c r="O32" s="15">
        <f t="shared" si="0"/>
        <v>101</v>
      </c>
      <c r="P32" s="15">
        <f t="shared" si="1"/>
        <v>351</v>
      </c>
      <c r="R32" s="33" t="s">
        <v>156</v>
      </c>
      <c r="S32" s="34">
        <f>SUM(C98:C101)</f>
        <v>58</v>
      </c>
      <c r="T32" s="34">
        <f t="shared" ref="T32:AF32" si="24">SUM(D98:D101)</f>
        <v>2</v>
      </c>
      <c r="U32" s="34">
        <f t="shared" si="24"/>
        <v>3</v>
      </c>
      <c r="V32" s="34">
        <f t="shared" si="24"/>
        <v>125</v>
      </c>
      <c r="W32" s="34">
        <f t="shared" si="24"/>
        <v>3</v>
      </c>
      <c r="X32" s="34">
        <f t="shared" si="24"/>
        <v>4</v>
      </c>
      <c r="Y32" s="34">
        <f t="shared" si="24"/>
        <v>14</v>
      </c>
      <c r="Z32" s="34">
        <f t="shared" si="24"/>
        <v>2</v>
      </c>
      <c r="AA32" s="34">
        <f t="shared" si="24"/>
        <v>2</v>
      </c>
      <c r="AB32" s="34">
        <f t="shared" si="24"/>
        <v>0</v>
      </c>
      <c r="AC32" s="34">
        <f t="shared" si="24"/>
        <v>145</v>
      </c>
      <c r="AD32" s="34">
        <f t="shared" si="24"/>
        <v>0</v>
      </c>
      <c r="AE32" s="31">
        <f t="shared" si="24"/>
        <v>213</v>
      </c>
      <c r="AF32" s="31">
        <f t="shared" si="24"/>
        <v>358</v>
      </c>
    </row>
    <row r="33" spans="2:32" ht="23.1" customHeight="1" x14ac:dyDescent="0.25">
      <c r="B33" s="45" t="s">
        <v>60</v>
      </c>
      <c r="C33" s="50">
        <v>18</v>
      </c>
      <c r="D33" s="50">
        <v>14</v>
      </c>
      <c r="E33" s="50">
        <v>6</v>
      </c>
      <c r="F33" s="50">
        <v>21</v>
      </c>
      <c r="G33" s="50">
        <v>0</v>
      </c>
      <c r="H33" s="50">
        <v>0</v>
      </c>
      <c r="I33" s="50">
        <v>1</v>
      </c>
      <c r="J33" s="50">
        <v>3</v>
      </c>
      <c r="K33" s="50">
        <v>2</v>
      </c>
      <c r="L33" s="50">
        <v>1</v>
      </c>
      <c r="M33" s="50">
        <v>235</v>
      </c>
      <c r="N33" s="50">
        <v>0</v>
      </c>
      <c r="O33" s="15">
        <f t="shared" si="0"/>
        <v>66</v>
      </c>
      <c r="P33" s="15">
        <f t="shared" si="1"/>
        <v>301</v>
      </c>
      <c r="R33" s="33" t="s">
        <v>157</v>
      </c>
      <c r="S33" s="34">
        <f>SUM(C102:C105)</f>
        <v>118</v>
      </c>
      <c r="T33" s="34">
        <f t="shared" ref="T33:AF33" si="25">SUM(D102:D105)</f>
        <v>5</v>
      </c>
      <c r="U33" s="34">
        <f t="shared" si="25"/>
        <v>4</v>
      </c>
      <c r="V33" s="34">
        <f t="shared" si="25"/>
        <v>168</v>
      </c>
      <c r="W33" s="34">
        <f t="shared" si="25"/>
        <v>3</v>
      </c>
      <c r="X33" s="34">
        <f t="shared" si="25"/>
        <v>0</v>
      </c>
      <c r="Y33" s="34">
        <f t="shared" si="25"/>
        <v>15</v>
      </c>
      <c r="Z33" s="34">
        <f t="shared" si="25"/>
        <v>2</v>
      </c>
      <c r="AA33" s="34">
        <f t="shared" si="25"/>
        <v>2</v>
      </c>
      <c r="AB33" s="34">
        <f t="shared" si="25"/>
        <v>0</v>
      </c>
      <c r="AC33" s="34">
        <f t="shared" si="25"/>
        <v>182</v>
      </c>
      <c r="AD33" s="34">
        <f t="shared" si="25"/>
        <v>0</v>
      </c>
      <c r="AE33" s="31">
        <f t="shared" si="25"/>
        <v>317</v>
      </c>
      <c r="AF33" s="31">
        <f t="shared" si="25"/>
        <v>499</v>
      </c>
    </row>
    <row r="34" spans="2:32" ht="23.1" customHeight="1" x14ac:dyDescent="0.25">
      <c r="B34" s="46" t="s">
        <v>61</v>
      </c>
      <c r="C34" s="50">
        <v>30</v>
      </c>
      <c r="D34" s="50">
        <v>21</v>
      </c>
      <c r="E34" s="50">
        <v>5</v>
      </c>
      <c r="F34" s="50">
        <v>18</v>
      </c>
      <c r="G34" s="50">
        <v>2</v>
      </c>
      <c r="H34" s="50">
        <v>0</v>
      </c>
      <c r="I34" s="50">
        <v>0</v>
      </c>
      <c r="J34" s="50">
        <v>6</v>
      </c>
      <c r="K34" s="50">
        <v>1</v>
      </c>
      <c r="L34" s="50">
        <v>0</v>
      </c>
      <c r="M34" s="50">
        <v>195</v>
      </c>
      <c r="N34" s="50">
        <v>0</v>
      </c>
      <c r="O34" s="15">
        <f t="shared" si="0"/>
        <v>83</v>
      </c>
      <c r="P34" s="15">
        <f t="shared" si="1"/>
        <v>278</v>
      </c>
      <c r="R34" s="38" t="s">
        <v>90</v>
      </c>
      <c r="S34" s="39">
        <f t="shared" ref="S34:AF34" si="26">MAX(S10:S12)</f>
        <v>256</v>
      </c>
      <c r="T34" s="39">
        <f t="shared" si="26"/>
        <v>200</v>
      </c>
      <c r="U34" s="39">
        <f t="shared" si="26"/>
        <v>41</v>
      </c>
      <c r="V34" s="39">
        <f t="shared" si="26"/>
        <v>155</v>
      </c>
      <c r="W34" s="39">
        <f t="shared" si="26"/>
        <v>2</v>
      </c>
      <c r="X34" s="39">
        <f t="shared" si="26"/>
        <v>3</v>
      </c>
      <c r="Y34" s="39">
        <f t="shared" si="26"/>
        <v>18</v>
      </c>
      <c r="Z34" s="39">
        <f t="shared" si="26"/>
        <v>6</v>
      </c>
      <c r="AA34" s="39">
        <f t="shared" si="26"/>
        <v>2</v>
      </c>
      <c r="AB34" s="39">
        <f t="shared" si="26"/>
        <v>2</v>
      </c>
      <c r="AC34" s="39">
        <f t="shared" si="26"/>
        <v>1088</v>
      </c>
      <c r="AD34" s="39">
        <f t="shared" si="26"/>
        <v>0</v>
      </c>
      <c r="AE34" s="40">
        <f t="shared" si="26"/>
        <v>653</v>
      </c>
      <c r="AF34" s="40">
        <f t="shared" si="26"/>
        <v>1687</v>
      </c>
    </row>
    <row r="35" spans="2:32" ht="23.1" customHeight="1" x14ac:dyDescent="0.25">
      <c r="B35" s="46" t="s">
        <v>62</v>
      </c>
      <c r="C35" s="50">
        <v>22</v>
      </c>
      <c r="D35" s="50">
        <v>21</v>
      </c>
      <c r="E35" s="50">
        <v>4</v>
      </c>
      <c r="F35" s="50">
        <v>22</v>
      </c>
      <c r="G35" s="50">
        <v>0</v>
      </c>
      <c r="H35" s="50">
        <v>0</v>
      </c>
      <c r="I35" s="50">
        <v>4</v>
      </c>
      <c r="J35" s="50">
        <v>0</v>
      </c>
      <c r="K35" s="50">
        <v>1</v>
      </c>
      <c r="L35" s="50">
        <v>0</v>
      </c>
      <c r="M35" s="50">
        <v>146</v>
      </c>
      <c r="N35" s="50">
        <v>0</v>
      </c>
      <c r="O35" s="15">
        <f t="shared" si="0"/>
        <v>74</v>
      </c>
      <c r="P35" s="15">
        <f t="shared" si="1"/>
        <v>220</v>
      </c>
      <c r="R35" s="38" t="s">
        <v>91</v>
      </c>
      <c r="S35" s="39">
        <f t="shared" ref="S35:AF35" si="27">MAX(S13:S18)</f>
        <v>128</v>
      </c>
      <c r="T35" s="39">
        <f t="shared" si="27"/>
        <v>125</v>
      </c>
      <c r="U35" s="39">
        <f t="shared" si="27"/>
        <v>30</v>
      </c>
      <c r="V35" s="39">
        <f t="shared" si="27"/>
        <v>106</v>
      </c>
      <c r="W35" s="39">
        <f t="shared" si="27"/>
        <v>5</v>
      </c>
      <c r="X35" s="39">
        <f t="shared" si="27"/>
        <v>1</v>
      </c>
      <c r="Y35" s="39">
        <f t="shared" si="27"/>
        <v>18</v>
      </c>
      <c r="Z35" s="39">
        <f t="shared" si="27"/>
        <v>15</v>
      </c>
      <c r="AA35" s="39">
        <f t="shared" si="27"/>
        <v>6</v>
      </c>
      <c r="AB35" s="39">
        <f t="shared" si="27"/>
        <v>4</v>
      </c>
      <c r="AC35" s="39">
        <f t="shared" si="27"/>
        <v>952</v>
      </c>
      <c r="AD35" s="39">
        <f t="shared" si="27"/>
        <v>0</v>
      </c>
      <c r="AE35" s="40">
        <f t="shared" si="27"/>
        <v>403</v>
      </c>
      <c r="AF35" s="40">
        <f t="shared" si="27"/>
        <v>1355</v>
      </c>
    </row>
    <row r="36" spans="2:32" ht="23.1" customHeight="1" x14ac:dyDescent="0.25">
      <c r="B36" s="46" t="s">
        <v>63</v>
      </c>
      <c r="C36" s="50">
        <v>22</v>
      </c>
      <c r="D36" s="50">
        <v>29</v>
      </c>
      <c r="E36" s="50">
        <v>2</v>
      </c>
      <c r="F36" s="50">
        <v>21</v>
      </c>
      <c r="G36" s="50">
        <v>0</v>
      </c>
      <c r="H36" s="50">
        <v>1</v>
      </c>
      <c r="I36" s="50">
        <v>7</v>
      </c>
      <c r="J36" s="50">
        <v>1</v>
      </c>
      <c r="K36" s="50">
        <v>2</v>
      </c>
      <c r="L36" s="50">
        <v>1</v>
      </c>
      <c r="M36" s="50">
        <v>190</v>
      </c>
      <c r="N36" s="50">
        <v>0</v>
      </c>
      <c r="O36" s="15">
        <f t="shared" si="0"/>
        <v>86</v>
      </c>
      <c r="P36" s="15">
        <f t="shared" si="1"/>
        <v>276</v>
      </c>
      <c r="R36" s="38" t="s">
        <v>92</v>
      </c>
      <c r="S36" s="39">
        <f t="shared" ref="S36:AF36" si="28">MAX(S19:S21)</f>
        <v>104</v>
      </c>
      <c r="T36" s="39">
        <f t="shared" si="28"/>
        <v>90</v>
      </c>
      <c r="U36" s="39">
        <f t="shared" si="28"/>
        <v>19</v>
      </c>
      <c r="V36" s="39">
        <f t="shared" si="28"/>
        <v>138</v>
      </c>
      <c r="W36" s="39">
        <f t="shared" si="28"/>
        <v>5</v>
      </c>
      <c r="X36" s="39">
        <f t="shared" si="28"/>
        <v>5</v>
      </c>
      <c r="Y36" s="39">
        <f t="shared" si="28"/>
        <v>24</v>
      </c>
      <c r="Z36" s="39">
        <f t="shared" si="28"/>
        <v>10</v>
      </c>
      <c r="AA36" s="39">
        <f t="shared" si="28"/>
        <v>4</v>
      </c>
      <c r="AB36" s="39">
        <f t="shared" si="28"/>
        <v>2</v>
      </c>
      <c r="AC36" s="39">
        <f t="shared" si="28"/>
        <v>976</v>
      </c>
      <c r="AD36" s="39">
        <f t="shared" si="28"/>
        <v>0</v>
      </c>
      <c r="AE36" s="40">
        <f t="shared" si="28"/>
        <v>384</v>
      </c>
      <c r="AF36" s="40">
        <f t="shared" si="28"/>
        <v>1360</v>
      </c>
    </row>
    <row r="37" spans="2:32" ht="23.1" customHeight="1" x14ac:dyDescent="0.25">
      <c r="B37" s="45" t="s">
        <v>64</v>
      </c>
      <c r="C37" s="50">
        <v>22</v>
      </c>
      <c r="D37" s="50">
        <v>41</v>
      </c>
      <c r="E37" s="50">
        <v>5</v>
      </c>
      <c r="F37" s="50">
        <v>33</v>
      </c>
      <c r="G37" s="50">
        <v>2</v>
      </c>
      <c r="H37" s="50">
        <v>0</v>
      </c>
      <c r="I37" s="50">
        <v>7</v>
      </c>
      <c r="J37" s="50">
        <v>1</v>
      </c>
      <c r="K37" s="50">
        <v>0</v>
      </c>
      <c r="L37" s="50">
        <v>2</v>
      </c>
      <c r="M37" s="50">
        <v>120</v>
      </c>
      <c r="N37" s="50">
        <v>0</v>
      </c>
      <c r="O37" s="15">
        <f t="shared" si="0"/>
        <v>113</v>
      </c>
      <c r="P37" s="15">
        <f t="shared" si="1"/>
        <v>233</v>
      </c>
      <c r="R37" s="37" t="s">
        <v>85</v>
      </c>
      <c r="S37" s="35">
        <f t="shared" ref="S37:AF37" si="29">SUM(S10:S12)</f>
        <v>583</v>
      </c>
      <c r="T37" s="16">
        <f t="shared" si="29"/>
        <v>503</v>
      </c>
      <c r="U37" s="16">
        <f t="shared" si="29"/>
        <v>89</v>
      </c>
      <c r="V37" s="16">
        <f t="shared" si="29"/>
        <v>399</v>
      </c>
      <c r="W37" s="16">
        <f t="shared" si="29"/>
        <v>3</v>
      </c>
      <c r="X37" s="16">
        <f t="shared" si="29"/>
        <v>5</v>
      </c>
      <c r="Y37" s="16">
        <f t="shared" si="29"/>
        <v>33</v>
      </c>
      <c r="Z37" s="16">
        <f t="shared" si="29"/>
        <v>12</v>
      </c>
      <c r="AA37" s="16">
        <f t="shared" si="29"/>
        <v>5</v>
      </c>
      <c r="AB37" s="16">
        <f t="shared" si="29"/>
        <v>4</v>
      </c>
      <c r="AC37" s="16">
        <f t="shared" si="29"/>
        <v>3182</v>
      </c>
      <c r="AD37" s="16">
        <f t="shared" si="29"/>
        <v>0</v>
      </c>
      <c r="AE37" s="32">
        <f t="shared" si="29"/>
        <v>1636</v>
      </c>
      <c r="AF37" s="32">
        <f t="shared" si="29"/>
        <v>4818</v>
      </c>
    </row>
    <row r="38" spans="2:32" ht="23.1" customHeight="1" x14ac:dyDescent="0.25">
      <c r="B38" s="46" t="s">
        <v>65</v>
      </c>
      <c r="C38" s="50">
        <v>19</v>
      </c>
      <c r="D38" s="50">
        <v>10</v>
      </c>
      <c r="E38" s="50">
        <v>0</v>
      </c>
      <c r="F38" s="50">
        <v>16</v>
      </c>
      <c r="G38" s="50">
        <v>0</v>
      </c>
      <c r="H38" s="50">
        <v>0</v>
      </c>
      <c r="I38" s="50">
        <v>3</v>
      </c>
      <c r="J38" s="50">
        <v>3</v>
      </c>
      <c r="K38" s="50">
        <v>2</v>
      </c>
      <c r="L38" s="50">
        <v>0</v>
      </c>
      <c r="M38" s="50">
        <v>155</v>
      </c>
      <c r="N38" s="50">
        <v>0</v>
      </c>
      <c r="O38" s="15">
        <f t="shared" si="0"/>
        <v>53</v>
      </c>
      <c r="P38" s="15">
        <f t="shared" si="1"/>
        <v>208</v>
      </c>
      <c r="R38" s="28" t="s">
        <v>86</v>
      </c>
      <c r="S38" s="16">
        <f t="shared" ref="S38:AF38" si="30">SUM(S13:S18)</f>
        <v>631</v>
      </c>
      <c r="T38" s="16">
        <f t="shared" si="30"/>
        <v>595</v>
      </c>
      <c r="U38" s="16">
        <f t="shared" si="30"/>
        <v>118</v>
      </c>
      <c r="V38" s="16">
        <f t="shared" si="30"/>
        <v>542</v>
      </c>
      <c r="W38" s="16">
        <f t="shared" si="30"/>
        <v>13</v>
      </c>
      <c r="X38" s="16">
        <f t="shared" si="30"/>
        <v>4</v>
      </c>
      <c r="Y38" s="16">
        <f t="shared" si="30"/>
        <v>95</v>
      </c>
      <c r="Z38" s="16">
        <f t="shared" si="30"/>
        <v>75</v>
      </c>
      <c r="AA38" s="16">
        <f t="shared" si="30"/>
        <v>24</v>
      </c>
      <c r="AB38" s="16">
        <f t="shared" si="30"/>
        <v>15</v>
      </c>
      <c r="AC38" s="16">
        <f t="shared" si="30"/>
        <v>4365</v>
      </c>
      <c r="AD38" s="16">
        <f t="shared" si="30"/>
        <v>0</v>
      </c>
      <c r="AE38" s="32">
        <f t="shared" si="30"/>
        <v>2112</v>
      </c>
      <c r="AF38" s="32">
        <f t="shared" si="30"/>
        <v>6477</v>
      </c>
    </row>
    <row r="39" spans="2:32" ht="23.1" customHeight="1" x14ac:dyDescent="0.25">
      <c r="B39" s="46" t="s">
        <v>66</v>
      </c>
      <c r="C39" s="50">
        <v>19</v>
      </c>
      <c r="D39" s="50">
        <v>17</v>
      </c>
      <c r="E39" s="50">
        <v>5</v>
      </c>
      <c r="F39" s="50">
        <v>16</v>
      </c>
      <c r="G39" s="50">
        <v>0</v>
      </c>
      <c r="H39" s="50">
        <v>0</v>
      </c>
      <c r="I39" s="50">
        <v>6</v>
      </c>
      <c r="J39" s="50">
        <v>4</v>
      </c>
      <c r="K39" s="50">
        <v>0</v>
      </c>
      <c r="L39" s="50">
        <v>1</v>
      </c>
      <c r="M39" s="50">
        <v>174</v>
      </c>
      <c r="N39" s="50">
        <v>0</v>
      </c>
      <c r="O39" s="15">
        <f t="shared" si="0"/>
        <v>68</v>
      </c>
      <c r="P39" s="15">
        <f t="shared" si="1"/>
        <v>242</v>
      </c>
      <c r="R39" s="29" t="s">
        <v>87</v>
      </c>
      <c r="S39" s="16">
        <f t="shared" ref="S39:AF39" si="31">SUM(S19:S21)</f>
        <v>298</v>
      </c>
      <c r="T39" s="16">
        <f t="shared" si="31"/>
        <v>257</v>
      </c>
      <c r="U39" s="16">
        <f t="shared" si="31"/>
        <v>53</v>
      </c>
      <c r="V39" s="16">
        <f t="shared" si="31"/>
        <v>318</v>
      </c>
      <c r="W39" s="16">
        <f t="shared" si="31"/>
        <v>15</v>
      </c>
      <c r="X39" s="16">
        <f t="shared" si="31"/>
        <v>9</v>
      </c>
      <c r="Y39" s="16">
        <f t="shared" si="31"/>
        <v>59</v>
      </c>
      <c r="Z39" s="16">
        <f t="shared" si="31"/>
        <v>28</v>
      </c>
      <c r="AA39" s="16">
        <f t="shared" si="31"/>
        <v>8</v>
      </c>
      <c r="AB39" s="16">
        <f t="shared" si="31"/>
        <v>5</v>
      </c>
      <c r="AC39" s="16">
        <f t="shared" si="31"/>
        <v>2451</v>
      </c>
      <c r="AD39" s="16">
        <f t="shared" si="31"/>
        <v>0</v>
      </c>
      <c r="AE39" s="32">
        <f t="shared" si="31"/>
        <v>1050</v>
      </c>
      <c r="AF39" s="32">
        <f t="shared" si="31"/>
        <v>3501</v>
      </c>
    </row>
    <row r="40" spans="2:32" ht="23.1" customHeight="1" x14ac:dyDescent="0.25">
      <c r="B40" s="46" t="s">
        <v>67</v>
      </c>
      <c r="C40" s="50">
        <v>31</v>
      </c>
      <c r="D40" s="50">
        <v>20</v>
      </c>
      <c r="E40" s="50">
        <v>4</v>
      </c>
      <c r="F40" s="50">
        <v>29</v>
      </c>
      <c r="G40" s="50">
        <v>0</v>
      </c>
      <c r="H40" s="50">
        <v>1</v>
      </c>
      <c r="I40" s="50">
        <v>7</v>
      </c>
      <c r="J40" s="50">
        <v>5</v>
      </c>
      <c r="K40" s="50">
        <v>0</v>
      </c>
      <c r="L40" s="50">
        <v>0</v>
      </c>
      <c r="M40" s="50">
        <v>118</v>
      </c>
      <c r="N40" s="50">
        <v>0</v>
      </c>
      <c r="O40" s="15">
        <f t="shared" si="0"/>
        <v>97</v>
      </c>
      <c r="P40" s="15">
        <f t="shared" si="1"/>
        <v>215</v>
      </c>
      <c r="R40" s="5" t="s">
        <v>17</v>
      </c>
      <c r="S40" s="16">
        <f t="shared" ref="S40:AF40" si="32">SUM(S10:S21)</f>
        <v>1512</v>
      </c>
      <c r="T40" s="16">
        <f t="shared" si="32"/>
        <v>1355</v>
      </c>
      <c r="U40" s="16">
        <f t="shared" si="32"/>
        <v>260</v>
      </c>
      <c r="V40" s="16">
        <f t="shared" si="32"/>
        <v>1259</v>
      </c>
      <c r="W40" s="16">
        <f t="shared" si="32"/>
        <v>31</v>
      </c>
      <c r="X40" s="16">
        <f t="shared" si="32"/>
        <v>18</v>
      </c>
      <c r="Y40" s="16">
        <f t="shared" si="32"/>
        <v>187</v>
      </c>
      <c r="Z40" s="16">
        <f t="shared" si="32"/>
        <v>115</v>
      </c>
      <c r="AA40" s="16">
        <f t="shared" si="32"/>
        <v>37</v>
      </c>
      <c r="AB40" s="16">
        <f t="shared" si="32"/>
        <v>24</v>
      </c>
      <c r="AC40" s="16">
        <f t="shared" si="32"/>
        <v>9998</v>
      </c>
      <c r="AD40" s="16">
        <f t="shared" si="32"/>
        <v>0</v>
      </c>
      <c r="AE40" s="32">
        <f t="shared" si="32"/>
        <v>4798</v>
      </c>
      <c r="AF40" s="32">
        <f t="shared" si="32"/>
        <v>14796</v>
      </c>
    </row>
    <row r="41" spans="2:32" ht="23.1" customHeight="1" x14ac:dyDescent="0.25">
      <c r="B41" s="45" t="s">
        <v>68</v>
      </c>
      <c r="C41" s="50">
        <v>31</v>
      </c>
      <c r="D41" s="50">
        <v>21</v>
      </c>
      <c r="E41" s="50">
        <v>1</v>
      </c>
      <c r="F41" s="50">
        <v>30</v>
      </c>
      <c r="G41" s="50">
        <v>1</v>
      </c>
      <c r="H41" s="50">
        <v>0</v>
      </c>
      <c r="I41" s="50">
        <v>2</v>
      </c>
      <c r="J41" s="50">
        <v>2</v>
      </c>
      <c r="K41" s="50">
        <v>0</v>
      </c>
      <c r="L41" s="50">
        <v>0</v>
      </c>
      <c r="M41" s="50">
        <v>100</v>
      </c>
      <c r="N41" s="50">
        <v>0</v>
      </c>
      <c r="O41" s="15">
        <f t="shared" si="0"/>
        <v>88</v>
      </c>
      <c r="P41" s="15">
        <f t="shared" si="1"/>
        <v>188</v>
      </c>
      <c r="R41" s="5" t="s">
        <v>159</v>
      </c>
      <c r="S41" s="16">
        <f>SUM(S10:S33)</f>
        <v>2137</v>
      </c>
      <c r="T41" s="16">
        <f t="shared" ref="T41:AF41" si="33">SUM(T10:T33)</f>
        <v>1397</v>
      </c>
      <c r="U41" s="16">
        <f t="shared" si="33"/>
        <v>297</v>
      </c>
      <c r="V41" s="16">
        <f t="shared" si="33"/>
        <v>1680</v>
      </c>
      <c r="W41" s="16">
        <f t="shared" si="33"/>
        <v>39</v>
      </c>
      <c r="X41" s="16">
        <f t="shared" si="33"/>
        <v>26</v>
      </c>
      <c r="Y41" s="16">
        <f t="shared" si="33"/>
        <v>244</v>
      </c>
      <c r="Z41" s="16">
        <f t="shared" si="33"/>
        <v>137</v>
      </c>
      <c r="AA41" s="16">
        <f t="shared" si="33"/>
        <v>52</v>
      </c>
      <c r="AB41" s="16">
        <f t="shared" si="33"/>
        <v>25</v>
      </c>
      <c r="AC41" s="16">
        <f t="shared" si="33"/>
        <v>11849</v>
      </c>
      <c r="AD41" s="16">
        <f t="shared" si="33"/>
        <v>0</v>
      </c>
      <c r="AE41" s="32">
        <f t="shared" si="33"/>
        <v>6034</v>
      </c>
      <c r="AF41" s="32">
        <f t="shared" si="33"/>
        <v>17883</v>
      </c>
    </row>
    <row r="42" spans="2:32" ht="23.1" customHeight="1" x14ac:dyDescent="0.25">
      <c r="B42" s="46" t="s">
        <v>69</v>
      </c>
      <c r="C42" s="50">
        <v>24</v>
      </c>
      <c r="D42" s="50">
        <v>24</v>
      </c>
      <c r="E42" s="50">
        <v>3</v>
      </c>
      <c r="F42" s="50">
        <v>9</v>
      </c>
      <c r="G42" s="50">
        <v>0</v>
      </c>
      <c r="H42" s="50">
        <v>0</v>
      </c>
      <c r="I42" s="50">
        <v>4</v>
      </c>
      <c r="J42" s="50">
        <v>2</v>
      </c>
      <c r="K42" s="50">
        <v>1</v>
      </c>
      <c r="L42" s="50">
        <v>0</v>
      </c>
      <c r="M42" s="50">
        <v>163</v>
      </c>
      <c r="N42" s="50">
        <v>0</v>
      </c>
      <c r="O42" s="15">
        <f t="shared" si="0"/>
        <v>67</v>
      </c>
      <c r="P42" s="15">
        <f t="shared" si="1"/>
        <v>230</v>
      </c>
      <c r="R42" s="5" t="s">
        <v>160</v>
      </c>
      <c r="S42" s="48">
        <f>S41/S40</f>
        <v>1.4133597883597884</v>
      </c>
      <c r="T42" s="48">
        <f t="shared" ref="T42:AF42" si="34">T41/T40</f>
        <v>1.0309963099630997</v>
      </c>
      <c r="U42" s="48">
        <f t="shared" si="34"/>
        <v>1.1423076923076922</v>
      </c>
      <c r="V42" s="48">
        <f t="shared" si="34"/>
        <v>1.3343923749007149</v>
      </c>
      <c r="W42" s="48">
        <f t="shared" si="34"/>
        <v>1.2580645161290323</v>
      </c>
      <c r="X42" s="48">
        <f t="shared" si="34"/>
        <v>1.4444444444444444</v>
      </c>
      <c r="Y42" s="48">
        <f t="shared" si="34"/>
        <v>1.304812834224599</v>
      </c>
      <c r="Z42" s="48">
        <f t="shared" si="34"/>
        <v>1.191304347826087</v>
      </c>
      <c r="AA42" s="48">
        <f t="shared" si="34"/>
        <v>1.4054054054054055</v>
      </c>
      <c r="AB42" s="48">
        <f t="shared" si="34"/>
        <v>1.0416666666666667</v>
      </c>
      <c r="AC42" s="48">
        <f t="shared" si="34"/>
        <v>1.1851370274054811</v>
      </c>
      <c r="AD42" s="48" t="e">
        <f t="shared" si="34"/>
        <v>#DIV/0!</v>
      </c>
      <c r="AE42" s="48">
        <f t="shared" si="34"/>
        <v>1.2576073363901625</v>
      </c>
      <c r="AF42" s="48">
        <f t="shared" si="34"/>
        <v>1.2086374695863746</v>
      </c>
    </row>
    <row r="43" spans="2:32" ht="23.1" customHeight="1" x14ac:dyDescent="0.25">
      <c r="B43" s="45" t="s">
        <v>70</v>
      </c>
      <c r="C43" s="50">
        <v>40</v>
      </c>
      <c r="D43" s="50">
        <v>26</v>
      </c>
      <c r="E43" s="50">
        <v>4</v>
      </c>
      <c r="F43" s="50">
        <v>20</v>
      </c>
      <c r="G43" s="50">
        <v>0</v>
      </c>
      <c r="H43" s="50">
        <v>0</v>
      </c>
      <c r="I43" s="50">
        <v>2</v>
      </c>
      <c r="J43" s="50">
        <v>4</v>
      </c>
      <c r="K43" s="50">
        <v>0</v>
      </c>
      <c r="L43" s="50">
        <v>0</v>
      </c>
      <c r="M43" s="50">
        <v>165</v>
      </c>
      <c r="N43" s="50">
        <v>0</v>
      </c>
      <c r="O43" s="15">
        <f t="shared" si="0"/>
        <v>96</v>
      </c>
      <c r="P43" s="15">
        <f t="shared" si="1"/>
        <v>261</v>
      </c>
    </row>
    <row r="44" spans="2:32" ht="23.1" customHeight="1" x14ac:dyDescent="0.25">
      <c r="B44" s="47" t="s">
        <v>71</v>
      </c>
      <c r="C44" s="50">
        <v>35</v>
      </c>
      <c r="D44" s="50">
        <v>27</v>
      </c>
      <c r="E44" s="50">
        <v>7</v>
      </c>
      <c r="F44" s="50">
        <v>24</v>
      </c>
      <c r="G44" s="50">
        <v>0</v>
      </c>
      <c r="H44" s="50">
        <v>0</v>
      </c>
      <c r="I44" s="50">
        <v>3</v>
      </c>
      <c r="J44" s="50">
        <v>4</v>
      </c>
      <c r="K44" s="50">
        <v>0</v>
      </c>
      <c r="L44" s="50">
        <v>1</v>
      </c>
      <c r="M44" s="50">
        <v>82</v>
      </c>
      <c r="N44" s="50">
        <v>0</v>
      </c>
      <c r="O44" s="15">
        <f t="shared" si="0"/>
        <v>101</v>
      </c>
      <c r="P44" s="15">
        <f t="shared" si="1"/>
        <v>183</v>
      </c>
    </row>
    <row r="45" spans="2:32" ht="23.1" customHeight="1" x14ac:dyDescent="0.25">
      <c r="B45" s="45" t="s">
        <v>72</v>
      </c>
      <c r="C45" s="50">
        <v>29</v>
      </c>
      <c r="D45" s="50">
        <v>18</v>
      </c>
      <c r="E45" s="50">
        <v>6</v>
      </c>
      <c r="F45" s="50">
        <v>31</v>
      </c>
      <c r="G45" s="50">
        <v>0</v>
      </c>
      <c r="H45" s="50">
        <v>0</v>
      </c>
      <c r="I45" s="50">
        <v>8</v>
      </c>
      <c r="J45" s="50">
        <v>3</v>
      </c>
      <c r="K45" s="50">
        <v>2</v>
      </c>
      <c r="L45" s="50">
        <v>2</v>
      </c>
      <c r="M45" s="50">
        <v>7</v>
      </c>
      <c r="N45" s="50">
        <v>0</v>
      </c>
      <c r="O45" s="15">
        <f t="shared" si="0"/>
        <v>99</v>
      </c>
      <c r="P45" s="15">
        <f t="shared" si="1"/>
        <v>106</v>
      </c>
    </row>
    <row r="46" spans="2:32" ht="23.1" customHeight="1" x14ac:dyDescent="0.25">
      <c r="B46" s="46" t="s">
        <v>73</v>
      </c>
      <c r="C46" s="50">
        <v>16</v>
      </c>
      <c r="D46" s="50">
        <v>11</v>
      </c>
      <c r="E46" s="50">
        <v>2</v>
      </c>
      <c r="F46" s="50">
        <v>11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45</v>
      </c>
      <c r="P46" s="15">
        <f t="shared" si="1"/>
        <v>110</v>
      </c>
      <c r="R46" s="8"/>
      <c r="T46"/>
    </row>
    <row r="47" spans="2:32" ht="23.1" customHeight="1" x14ac:dyDescent="0.25">
      <c r="B47" s="46" t="s">
        <v>74</v>
      </c>
      <c r="C47" s="50">
        <v>33</v>
      </c>
      <c r="D47" s="50">
        <v>32</v>
      </c>
      <c r="E47" s="50">
        <v>7</v>
      </c>
      <c r="F47" s="50">
        <v>36</v>
      </c>
      <c r="G47" s="50">
        <v>5</v>
      </c>
      <c r="H47" s="50">
        <v>0</v>
      </c>
      <c r="I47" s="50">
        <v>8</v>
      </c>
      <c r="J47" s="50">
        <v>1</v>
      </c>
      <c r="K47" s="50">
        <v>1</v>
      </c>
      <c r="L47" s="50">
        <v>1</v>
      </c>
      <c r="M47" s="50">
        <v>210</v>
      </c>
      <c r="N47" s="50">
        <v>0</v>
      </c>
      <c r="O47" s="15">
        <f t="shared" si="0"/>
        <v>124</v>
      </c>
      <c r="P47" s="15">
        <f t="shared" si="1"/>
        <v>334</v>
      </c>
      <c r="R47" s="8"/>
      <c r="T47"/>
    </row>
    <row r="48" spans="2:32" ht="23.1" customHeight="1" x14ac:dyDescent="0.25">
      <c r="B48" s="46" t="s">
        <v>75</v>
      </c>
      <c r="C48" s="50">
        <v>28</v>
      </c>
      <c r="D48" s="50">
        <v>20</v>
      </c>
      <c r="E48" s="50">
        <v>4</v>
      </c>
      <c r="F48" s="50">
        <v>31</v>
      </c>
      <c r="G48" s="50">
        <v>0</v>
      </c>
      <c r="H48" s="50">
        <v>1</v>
      </c>
      <c r="I48" s="50">
        <v>6</v>
      </c>
      <c r="J48" s="50">
        <v>4</v>
      </c>
      <c r="K48" s="50">
        <v>0</v>
      </c>
      <c r="L48" s="50">
        <v>0</v>
      </c>
      <c r="M48" s="50">
        <v>230</v>
      </c>
      <c r="N48" s="50">
        <v>0</v>
      </c>
      <c r="O48" s="15">
        <f t="shared" si="0"/>
        <v>94</v>
      </c>
      <c r="P48" s="15">
        <f t="shared" si="1"/>
        <v>324</v>
      </c>
      <c r="R48" s="8"/>
      <c r="T48"/>
    </row>
    <row r="49" spans="2:20" ht="23.1" customHeight="1" x14ac:dyDescent="0.25">
      <c r="B49" s="45" t="s">
        <v>76</v>
      </c>
      <c r="C49" s="50">
        <v>27</v>
      </c>
      <c r="D49" s="50">
        <v>16</v>
      </c>
      <c r="E49" s="50">
        <v>6</v>
      </c>
      <c r="F49" s="50">
        <v>35</v>
      </c>
      <c r="G49" s="50">
        <v>0</v>
      </c>
      <c r="H49" s="50">
        <v>1</v>
      </c>
      <c r="I49" s="50">
        <v>2</v>
      </c>
      <c r="J49" s="50">
        <v>4</v>
      </c>
      <c r="K49" s="50">
        <v>0</v>
      </c>
      <c r="L49" s="50">
        <v>0</v>
      </c>
      <c r="M49" s="50">
        <v>170</v>
      </c>
      <c r="N49" s="50">
        <v>0</v>
      </c>
      <c r="O49" s="15">
        <f t="shared" si="0"/>
        <v>91</v>
      </c>
      <c r="P49" s="15">
        <f t="shared" si="1"/>
        <v>261</v>
      </c>
      <c r="R49" s="8"/>
      <c r="T49"/>
    </row>
    <row r="50" spans="2:20" ht="23.1" customHeight="1" x14ac:dyDescent="0.25">
      <c r="B50" s="46" t="s">
        <v>77</v>
      </c>
      <c r="C50" s="50">
        <v>25</v>
      </c>
      <c r="D50" s="50">
        <v>23</v>
      </c>
      <c r="E50" s="50">
        <v>4</v>
      </c>
      <c r="F50" s="50">
        <v>2</v>
      </c>
      <c r="G50" s="50">
        <v>0</v>
      </c>
      <c r="H50" s="50">
        <v>1</v>
      </c>
      <c r="I50" s="50">
        <v>6</v>
      </c>
      <c r="J50" s="50">
        <v>6</v>
      </c>
      <c r="K50" s="50">
        <v>2</v>
      </c>
      <c r="L50" s="50">
        <v>0</v>
      </c>
      <c r="M50" s="50">
        <v>215</v>
      </c>
      <c r="N50" s="50">
        <v>0</v>
      </c>
      <c r="O50" s="15">
        <f t="shared" si="0"/>
        <v>69</v>
      </c>
      <c r="P50" s="15">
        <f t="shared" si="1"/>
        <v>284</v>
      </c>
      <c r="R50" s="8"/>
      <c r="T50"/>
    </row>
    <row r="51" spans="2:20" ht="23.1" customHeight="1" x14ac:dyDescent="0.25">
      <c r="B51" s="46" t="s">
        <v>78</v>
      </c>
      <c r="C51" s="50">
        <v>20</v>
      </c>
      <c r="D51" s="50">
        <v>33</v>
      </c>
      <c r="E51" s="50">
        <v>2</v>
      </c>
      <c r="F51" s="50">
        <v>20</v>
      </c>
      <c r="G51" s="50">
        <v>0</v>
      </c>
      <c r="H51" s="50">
        <v>0</v>
      </c>
      <c r="I51" s="50">
        <v>10</v>
      </c>
      <c r="J51" s="50">
        <v>1</v>
      </c>
      <c r="K51" s="50">
        <v>0</v>
      </c>
      <c r="L51" s="50">
        <v>0</v>
      </c>
      <c r="M51" s="50">
        <v>161</v>
      </c>
      <c r="N51" s="50">
        <v>0</v>
      </c>
      <c r="O51" s="15">
        <f t="shared" si="0"/>
        <v>86</v>
      </c>
      <c r="P51" s="15">
        <f t="shared" si="1"/>
        <v>247</v>
      </c>
      <c r="R51" s="8"/>
      <c r="T51"/>
    </row>
    <row r="52" spans="2:20" ht="23.1" customHeight="1" x14ac:dyDescent="0.25">
      <c r="B52" s="46" t="s">
        <v>79</v>
      </c>
      <c r="C52" s="50">
        <v>23</v>
      </c>
      <c r="D52" s="50">
        <v>20</v>
      </c>
      <c r="E52" s="50">
        <v>6</v>
      </c>
      <c r="F52" s="50">
        <v>28</v>
      </c>
      <c r="G52" s="50">
        <v>5</v>
      </c>
      <c r="H52" s="50">
        <v>1</v>
      </c>
      <c r="I52" s="50">
        <v>4</v>
      </c>
      <c r="J52" s="50">
        <v>2</v>
      </c>
      <c r="K52" s="50">
        <v>1</v>
      </c>
      <c r="L52" s="50">
        <v>1</v>
      </c>
      <c r="M52" s="50">
        <v>236</v>
      </c>
      <c r="N52" s="50">
        <v>0</v>
      </c>
      <c r="O52" s="15">
        <f t="shared" si="0"/>
        <v>91</v>
      </c>
      <c r="P52" s="15">
        <f t="shared" si="1"/>
        <v>327</v>
      </c>
      <c r="R52" s="8"/>
      <c r="T52"/>
    </row>
    <row r="53" spans="2:20" ht="23.1" customHeight="1" x14ac:dyDescent="0.25">
      <c r="B53" s="45" t="s">
        <v>80</v>
      </c>
      <c r="C53" s="50">
        <v>23</v>
      </c>
      <c r="D53" s="50">
        <v>14</v>
      </c>
      <c r="E53" s="50">
        <v>5</v>
      </c>
      <c r="F53" s="50">
        <v>17</v>
      </c>
      <c r="G53" s="50">
        <v>0</v>
      </c>
      <c r="H53" s="50">
        <v>0</v>
      </c>
      <c r="I53" s="50">
        <v>4</v>
      </c>
      <c r="J53" s="50">
        <v>1</v>
      </c>
      <c r="K53" s="50">
        <v>1</v>
      </c>
      <c r="L53" s="50">
        <v>1</v>
      </c>
      <c r="M53" s="50">
        <v>188</v>
      </c>
      <c r="N53" s="50">
        <v>0</v>
      </c>
      <c r="O53" s="15">
        <f t="shared" si="0"/>
        <v>66</v>
      </c>
      <c r="P53" s="15">
        <f t="shared" si="1"/>
        <v>254</v>
      </c>
      <c r="R53" s="8"/>
      <c r="T53"/>
    </row>
    <row r="54" spans="2:20" ht="23.1" customHeight="1" x14ac:dyDescent="0.25">
      <c r="B54" s="45" t="s">
        <v>81</v>
      </c>
      <c r="C54" s="50">
        <v>25</v>
      </c>
      <c r="D54" s="50">
        <v>26</v>
      </c>
      <c r="E54" s="50">
        <v>4</v>
      </c>
      <c r="F54" s="50">
        <v>33</v>
      </c>
      <c r="G54" s="50">
        <v>1</v>
      </c>
      <c r="H54" s="50">
        <v>0</v>
      </c>
      <c r="I54" s="50">
        <v>3</v>
      </c>
      <c r="J54" s="50">
        <v>2</v>
      </c>
      <c r="K54" s="50">
        <v>1</v>
      </c>
      <c r="L54" s="50">
        <v>0</v>
      </c>
      <c r="M54" s="50">
        <v>235</v>
      </c>
      <c r="N54" s="50">
        <v>0</v>
      </c>
      <c r="O54" s="15">
        <f t="shared" si="0"/>
        <v>95</v>
      </c>
      <c r="P54" s="15">
        <f t="shared" si="1"/>
        <v>330</v>
      </c>
      <c r="R54" s="8"/>
      <c r="T54"/>
    </row>
    <row r="55" spans="2:20" ht="23.1" customHeight="1" x14ac:dyDescent="0.25">
      <c r="B55" s="45" t="s">
        <v>82</v>
      </c>
      <c r="C55" s="50">
        <v>17</v>
      </c>
      <c r="D55" s="50">
        <v>14</v>
      </c>
      <c r="E55" s="50">
        <v>3</v>
      </c>
      <c r="F55" s="50">
        <v>19</v>
      </c>
      <c r="G55" s="50">
        <v>1</v>
      </c>
      <c r="H55" s="50">
        <v>2</v>
      </c>
      <c r="I55" s="50">
        <v>3</v>
      </c>
      <c r="J55" s="50">
        <v>0</v>
      </c>
      <c r="K55" s="50">
        <v>1</v>
      </c>
      <c r="L55" s="50">
        <v>1</v>
      </c>
      <c r="M55" s="50">
        <v>278</v>
      </c>
      <c r="N55" s="50">
        <v>0</v>
      </c>
      <c r="O55" s="15">
        <f t="shared" si="0"/>
        <v>61</v>
      </c>
      <c r="P55" s="15">
        <f t="shared" si="1"/>
        <v>339</v>
      </c>
      <c r="R55" s="8"/>
      <c r="T55"/>
    </row>
    <row r="56" spans="2:20" ht="23.1" customHeight="1" x14ac:dyDescent="0.25">
      <c r="B56" s="45" t="s">
        <v>83</v>
      </c>
      <c r="C56" s="50">
        <v>39</v>
      </c>
      <c r="D56" s="50">
        <v>31</v>
      </c>
      <c r="E56" s="50">
        <v>7</v>
      </c>
      <c r="F56" s="50">
        <v>42</v>
      </c>
      <c r="G56" s="50">
        <v>2</v>
      </c>
      <c r="H56" s="50">
        <v>1</v>
      </c>
      <c r="I56" s="50">
        <v>4</v>
      </c>
      <c r="J56" s="50">
        <v>5</v>
      </c>
      <c r="K56" s="50">
        <v>1</v>
      </c>
      <c r="L56" s="50">
        <v>1</v>
      </c>
      <c r="M56" s="50">
        <v>232</v>
      </c>
      <c r="N56" s="50">
        <v>0</v>
      </c>
      <c r="O56" s="15">
        <f t="shared" si="0"/>
        <v>133</v>
      </c>
      <c r="P56" s="15">
        <f t="shared" si="1"/>
        <v>365</v>
      </c>
      <c r="R56" s="8"/>
      <c r="T56"/>
    </row>
    <row r="57" spans="2:20" ht="23.1" customHeight="1" x14ac:dyDescent="0.25">
      <c r="B57" s="45" t="s">
        <v>84</v>
      </c>
      <c r="C57" s="50">
        <v>22</v>
      </c>
      <c r="D57" s="50">
        <v>17</v>
      </c>
      <c r="E57" s="50">
        <v>3</v>
      </c>
      <c r="F57" s="50">
        <v>44</v>
      </c>
      <c r="G57" s="50">
        <v>1</v>
      </c>
      <c r="H57" s="50">
        <v>2</v>
      </c>
      <c r="I57" s="50">
        <v>5</v>
      </c>
      <c r="J57" s="50">
        <v>1</v>
      </c>
      <c r="K57" s="50">
        <v>0</v>
      </c>
      <c r="L57" s="50">
        <v>0</v>
      </c>
      <c r="M57" s="50">
        <v>231</v>
      </c>
      <c r="N57" s="50">
        <v>0</v>
      </c>
      <c r="O57" s="15">
        <f t="shared" si="0"/>
        <v>95</v>
      </c>
      <c r="P57" s="15">
        <f t="shared" si="1"/>
        <v>326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1</v>
      </c>
      <c r="L58" s="50">
        <v>0</v>
      </c>
      <c r="M58" s="50">
        <v>10</v>
      </c>
      <c r="N58" s="50">
        <v>0</v>
      </c>
      <c r="O58" s="15">
        <f t="shared" si="0"/>
        <v>5</v>
      </c>
      <c r="P58" s="15">
        <f t="shared" si="1"/>
        <v>15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0</v>
      </c>
      <c r="P63" s="15">
        <f t="shared" si="1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6</v>
      </c>
      <c r="D70" s="50">
        <v>0</v>
      </c>
      <c r="E70" s="50">
        <v>0</v>
      </c>
      <c r="F70" s="50">
        <v>6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30</v>
      </c>
      <c r="N70" s="50">
        <v>0</v>
      </c>
      <c r="O70" s="15">
        <f t="shared" si="0"/>
        <v>12</v>
      </c>
      <c r="P70" s="15">
        <f t="shared" si="1"/>
        <v>42</v>
      </c>
      <c r="R70" s="8"/>
      <c r="T70"/>
    </row>
    <row r="71" spans="2:20" ht="23.1" customHeight="1" x14ac:dyDescent="0.25">
      <c r="B71" s="45" t="s">
        <v>111</v>
      </c>
      <c r="C71" s="50">
        <v>37</v>
      </c>
      <c r="D71" s="50">
        <v>1</v>
      </c>
      <c r="E71" s="50">
        <v>1</v>
      </c>
      <c r="F71" s="50">
        <v>19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115</v>
      </c>
      <c r="N71" s="50">
        <v>0</v>
      </c>
      <c r="O71" s="15">
        <f t="shared" si="0"/>
        <v>59</v>
      </c>
      <c r="P71" s="15">
        <f t="shared" si="1"/>
        <v>174</v>
      </c>
      <c r="R71" s="8"/>
      <c r="T71"/>
    </row>
    <row r="72" spans="2:20" ht="23.1" customHeight="1" x14ac:dyDescent="0.25">
      <c r="B72" s="45" t="s">
        <v>112</v>
      </c>
      <c r="C72" s="50">
        <v>39</v>
      </c>
      <c r="D72" s="50">
        <v>6</v>
      </c>
      <c r="E72" s="50">
        <v>2</v>
      </c>
      <c r="F72" s="50">
        <v>9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147</v>
      </c>
      <c r="N72" s="50">
        <v>0</v>
      </c>
      <c r="O72" s="15">
        <f t="shared" si="0"/>
        <v>58</v>
      </c>
      <c r="P72" s="15">
        <f t="shared" si="1"/>
        <v>205</v>
      </c>
      <c r="R72" s="8"/>
      <c r="T72"/>
    </row>
    <row r="73" spans="2:20" ht="23.1" customHeight="1" x14ac:dyDescent="0.25">
      <c r="B73" s="45" t="s">
        <v>113</v>
      </c>
      <c r="C73" s="50">
        <v>34</v>
      </c>
      <c r="D73" s="50">
        <v>3</v>
      </c>
      <c r="E73" s="50">
        <v>3</v>
      </c>
      <c r="F73" s="50">
        <v>13</v>
      </c>
      <c r="G73" s="50">
        <v>1</v>
      </c>
      <c r="H73" s="50">
        <v>0</v>
      </c>
      <c r="I73" s="50">
        <v>1</v>
      </c>
      <c r="J73" s="50">
        <v>0</v>
      </c>
      <c r="K73" s="50">
        <v>1</v>
      </c>
      <c r="L73" s="50">
        <v>0</v>
      </c>
      <c r="M73" s="50">
        <v>155</v>
      </c>
      <c r="N73" s="50">
        <v>0</v>
      </c>
      <c r="O73" s="15">
        <f t="shared" si="0"/>
        <v>56</v>
      </c>
      <c r="P73" s="15">
        <f t="shared" si="1"/>
        <v>211</v>
      </c>
      <c r="R73" s="8"/>
      <c r="T73"/>
    </row>
    <row r="74" spans="2:20" ht="23.1" customHeight="1" x14ac:dyDescent="0.25">
      <c r="B74" s="45" t="s">
        <v>114</v>
      </c>
      <c r="C74" s="50">
        <v>22</v>
      </c>
      <c r="D74" s="50">
        <v>1</v>
      </c>
      <c r="E74" s="50">
        <v>2</v>
      </c>
      <c r="F74" s="50">
        <v>3</v>
      </c>
      <c r="G74" s="50">
        <v>0</v>
      </c>
      <c r="H74" s="50">
        <v>0</v>
      </c>
      <c r="I74" s="50">
        <v>2</v>
      </c>
      <c r="J74" s="50">
        <v>1</v>
      </c>
      <c r="K74" s="50">
        <v>0</v>
      </c>
      <c r="L74" s="50">
        <v>0</v>
      </c>
      <c r="M74" s="50">
        <v>110</v>
      </c>
      <c r="N74" s="50">
        <v>0</v>
      </c>
      <c r="O74" s="15">
        <f t="shared" ref="O74:O105" si="35">SUM(C74:L74,N74)</f>
        <v>31</v>
      </c>
      <c r="P74" s="15">
        <f t="shared" ref="P74:P105" si="36">SUM(C74:N74)</f>
        <v>141</v>
      </c>
      <c r="R74" s="8"/>
      <c r="T74"/>
    </row>
    <row r="75" spans="2:20" ht="23.1" customHeight="1" x14ac:dyDescent="0.25">
      <c r="B75" s="45" t="s">
        <v>115</v>
      </c>
      <c r="C75" s="50">
        <v>27</v>
      </c>
      <c r="D75" s="50">
        <v>4</v>
      </c>
      <c r="E75" s="50">
        <v>4</v>
      </c>
      <c r="F75" s="50">
        <v>5</v>
      </c>
      <c r="G75" s="50">
        <v>0</v>
      </c>
      <c r="H75" s="50">
        <v>0</v>
      </c>
      <c r="I75" s="50">
        <v>3</v>
      </c>
      <c r="J75" s="50">
        <v>1</v>
      </c>
      <c r="K75" s="50">
        <v>0</v>
      </c>
      <c r="L75" s="50">
        <v>0</v>
      </c>
      <c r="M75" s="50">
        <v>90</v>
      </c>
      <c r="N75" s="50">
        <v>0</v>
      </c>
      <c r="O75" s="15">
        <f t="shared" si="35"/>
        <v>44</v>
      </c>
      <c r="P75" s="15">
        <f t="shared" si="36"/>
        <v>134</v>
      </c>
      <c r="R75" s="8"/>
      <c r="T75"/>
    </row>
    <row r="76" spans="2:20" ht="23.1" customHeight="1" x14ac:dyDescent="0.25">
      <c r="B76" s="45" t="s">
        <v>116</v>
      </c>
      <c r="C76" s="50">
        <v>26</v>
      </c>
      <c r="D76" s="50">
        <v>1</v>
      </c>
      <c r="E76" s="50">
        <v>3</v>
      </c>
      <c r="F76" s="50">
        <v>3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91</v>
      </c>
      <c r="N76" s="50">
        <v>0</v>
      </c>
      <c r="O76" s="15">
        <f t="shared" si="35"/>
        <v>34</v>
      </c>
      <c r="P76" s="15">
        <f t="shared" si="36"/>
        <v>125</v>
      </c>
      <c r="R76" s="8"/>
      <c r="T76"/>
    </row>
    <row r="77" spans="2:20" ht="23.1" customHeight="1" x14ac:dyDescent="0.25">
      <c r="B77" s="45" t="s">
        <v>117</v>
      </c>
      <c r="C77" s="50">
        <v>24</v>
      </c>
      <c r="D77" s="50">
        <v>4</v>
      </c>
      <c r="E77" s="50">
        <v>2</v>
      </c>
      <c r="F77" s="50">
        <v>5</v>
      </c>
      <c r="G77" s="50">
        <v>0</v>
      </c>
      <c r="H77" s="50">
        <v>0</v>
      </c>
      <c r="I77" s="50">
        <v>1</v>
      </c>
      <c r="J77" s="50">
        <v>1</v>
      </c>
      <c r="K77" s="50">
        <v>1</v>
      </c>
      <c r="L77" s="50">
        <v>0</v>
      </c>
      <c r="M77" s="50">
        <v>88</v>
      </c>
      <c r="N77" s="50">
        <v>0</v>
      </c>
      <c r="O77" s="15">
        <f t="shared" si="35"/>
        <v>38</v>
      </c>
      <c r="P77" s="15">
        <f t="shared" si="36"/>
        <v>126</v>
      </c>
      <c r="R77" s="8"/>
      <c r="T77"/>
    </row>
    <row r="78" spans="2:20" ht="23.1" customHeight="1" x14ac:dyDescent="0.25">
      <c r="B78" s="46" t="s">
        <v>118</v>
      </c>
      <c r="C78" s="50">
        <v>12</v>
      </c>
      <c r="D78" s="50">
        <v>0</v>
      </c>
      <c r="E78" s="50">
        <v>3</v>
      </c>
      <c r="F78" s="50">
        <v>9</v>
      </c>
      <c r="G78" s="50">
        <v>0</v>
      </c>
      <c r="H78" s="50">
        <v>1</v>
      </c>
      <c r="I78" s="50">
        <v>0</v>
      </c>
      <c r="J78" s="50">
        <v>0</v>
      </c>
      <c r="K78" s="50">
        <v>1</v>
      </c>
      <c r="L78" s="50">
        <v>0</v>
      </c>
      <c r="M78" s="50">
        <v>67</v>
      </c>
      <c r="N78" s="50">
        <v>0</v>
      </c>
      <c r="O78" s="15">
        <f t="shared" si="35"/>
        <v>26</v>
      </c>
      <c r="P78" s="15">
        <f t="shared" si="36"/>
        <v>93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0</v>
      </c>
      <c r="E79" s="50">
        <v>1</v>
      </c>
      <c r="F79" s="50">
        <v>1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71</v>
      </c>
      <c r="N79" s="50">
        <v>0</v>
      </c>
      <c r="O79" s="15">
        <f t="shared" si="35"/>
        <v>16</v>
      </c>
      <c r="P79" s="15">
        <f t="shared" si="36"/>
        <v>87</v>
      </c>
      <c r="R79" s="8"/>
      <c r="T79"/>
    </row>
    <row r="80" spans="2:20" ht="23.1" customHeight="1" x14ac:dyDescent="0.25">
      <c r="B80" s="47" t="s">
        <v>120</v>
      </c>
      <c r="C80" s="50">
        <v>21</v>
      </c>
      <c r="D80" s="50">
        <v>2</v>
      </c>
      <c r="E80" s="50">
        <v>0</v>
      </c>
      <c r="F80" s="50">
        <v>1</v>
      </c>
      <c r="G80" s="50">
        <v>1</v>
      </c>
      <c r="H80" s="50">
        <v>0</v>
      </c>
      <c r="I80" s="50">
        <v>3</v>
      </c>
      <c r="J80" s="50">
        <v>1</v>
      </c>
      <c r="K80" s="50">
        <v>0</v>
      </c>
      <c r="L80" s="50">
        <v>0</v>
      </c>
      <c r="M80" s="50">
        <v>62</v>
      </c>
      <c r="N80" s="50">
        <v>0</v>
      </c>
      <c r="O80" s="15">
        <f t="shared" si="35"/>
        <v>29</v>
      </c>
      <c r="P80" s="15">
        <f t="shared" si="36"/>
        <v>91</v>
      </c>
      <c r="R80" s="8"/>
      <c r="T80"/>
    </row>
    <row r="81" spans="2:20" ht="23.1" customHeight="1" x14ac:dyDescent="0.25">
      <c r="B81" s="45" t="s">
        <v>121</v>
      </c>
      <c r="C81" s="50">
        <v>11</v>
      </c>
      <c r="D81" s="50">
        <v>0</v>
      </c>
      <c r="E81" s="50">
        <v>2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24</v>
      </c>
      <c r="N81" s="50">
        <v>0</v>
      </c>
      <c r="O81" s="15">
        <f t="shared" si="35"/>
        <v>13</v>
      </c>
      <c r="P81" s="15">
        <f t="shared" si="36"/>
        <v>37</v>
      </c>
      <c r="R81" s="8"/>
      <c r="T81"/>
    </row>
    <row r="82" spans="2:20" ht="23.1" customHeight="1" x14ac:dyDescent="0.25">
      <c r="B82" s="46" t="s">
        <v>122</v>
      </c>
      <c r="C82" s="50">
        <v>16</v>
      </c>
      <c r="D82" s="50">
        <v>1</v>
      </c>
      <c r="E82" s="50">
        <v>0</v>
      </c>
      <c r="F82" s="50">
        <v>1</v>
      </c>
      <c r="G82" s="50">
        <v>0</v>
      </c>
      <c r="H82" s="50">
        <v>0</v>
      </c>
      <c r="I82" s="50">
        <v>2</v>
      </c>
      <c r="J82" s="50">
        <v>2</v>
      </c>
      <c r="K82" s="50">
        <v>1</v>
      </c>
      <c r="L82" s="50">
        <v>0</v>
      </c>
      <c r="M82" s="50">
        <v>57</v>
      </c>
      <c r="N82" s="50">
        <v>0</v>
      </c>
      <c r="O82" s="15">
        <f t="shared" si="35"/>
        <v>23</v>
      </c>
      <c r="P82" s="15">
        <f t="shared" si="36"/>
        <v>80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2</v>
      </c>
      <c r="E83" s="50">
        <v>0</v>
      </c>
      <c r="F83" s="50">
        <v>2</v>
      </c>
      <c r="G83" s="50">
        <v>0</v>
      </c>
      <c r="H83" s="50">
        <v>0</v>
      </c>
      <c r="I83" s="50">
        <v>2</v>
      </c>
      <c r="J83" s="50">
        <v>2</v>
      </c>
      <c r="K83" s="50">
        <v>0</v>
      </c>
      <c r="L83" s="50">
        <v>0</v>
      </c>
      <c r="M83" s="50">
        <v>36</v>
      </c>
      <c r="N83" s="50">
        <v>0</v>
      </c>
      <c r="O83" s="15">
        <f t="shared" si="35"/>
        <v>14</v>
      </c>
      <c r="P83" s="15">
        <f t="shared" si="36"/>
        <v>50</v>
      </c>
      <c r="R83" s="8"/>
      <c r="T83"/>
    </row>
    <row r="84" spans="2:20" ht="23.1" customHeight="1" x14ac:dyDescent="0.25">
      <c r="B84" s="47" t="s">
        <v>124</v>
      </c>
      <c r="C84" s="50">
        <v>11</v>
      </c>
      <c r="D84" s="50">
        <v>0</v>
      </c>
      <c r="E84" s="50">
        <v>0</v>
      </c>
      <c r="F84" s="50">
        <v>3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19</v>
      </c>
      <c r="N84" s="50">
        <v>0</v>
      </c>
      <c r="O84" s="15">
        <f t="shared" si="35"/>
        <v>14</v>
      </c>
      <c r="P84" s="15">
        <f t="shared" si="36"/>
        <v>33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17</v>
      </c>
      <c r="N85" s="50">
        <v>0</v>
      </c>
      <c r="O85" s="15">
        <f t="shared" si="35"/>
        <v>9</v>
      </c>
      <c r="P85" s="15">
        <f t="shared" si="36"/>
        <v>26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1</v>
      </c>
      <c r="L86" s="50">
        <v>0</v>
      </c>
      <c r="M86" s="50">
        <v>17</v>
      </c>
      <c r="N86" s="50">
        <v>0</v>
      </c>
      <c r="O86" s="15">
        <f t="shared" si="35"/>
        <v>9</v>
      </c>
      <c r="P86" s="15">
        <f t="shared" si="36"/>
        <v>26</v>
      </c>
      <c r="R86" s="8"/>
      <c r="T86"/>
    </row>
    <row r="87" spans="2:20" ht="23.1" customHeight="1" x14ac:dyDescent="0.25">
      <c r="B87" s="45" t="s">
        <v>127</v>
      </c>
      <c r="C87" s="50">
        <v>12</v>
      </c>
      <c r="D87" s="50">
        <v>2</v>
      </c>
      <c r="E87" s="50">
        <v>0</v>
      </c>
      <c r="F87" s="50">
        <v>2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35</v>
      </c>
      <c r="N87" s="50">
        <v>0</v>
      </c>
      <c r="O87" s="15">
        <f t="shared" si="35"/>
        <v>16</v>
      </c>
      <c r="P87" s="15">
        <f t="shared" si="36"/>
        <v>51</v>
      </c>
      <c r="R87" s="8"/>
      <c r="T87"/>
    </row>
    <row r="88" spans="2:20" ht="23.1" customHeight="1" x14ac:dyDescent="0.25">
      <c r="B88" s="47" t="s">
        <v>128</v>
      </c>
      <c r="C88" s="50">
        <v>13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1</v>
      </c>
      <c r="K88" s="50">
        <v>0</v>
      </c>
      <c r="L88" s="50">
        <v>1</v>
      </c>
      <c r="M88" s="50">
        <v>23</v>
      </c>
      <c r="N88" s="50">
        <v>0</v>
      </c>
      <c r="O88" s="15">
        <f t="shared" si="35"/>
        <v>17</v>
      </c>
      <c r="P88" s="15">
        <f t="shared" si="36"/>
        <v>40</v>
      </c>
      <c r="R88" s="8"/>
      <c r="T88"/>
    </row>
    <row r="89" spans="2:20" ht="23.1" customHeight="1" x14ac:dyDescent="0.25">
      <c r="B89" s="45" t="s">
        <v>129</v>
      </c>
      <c r="C89" s="50">
        <v>14</v>
      </c>
      <c r="D89" s="50">
        <v>0</v>
      </c>
      <c r="E89" s="50">
        <v>2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2</v>
      </c>
      <c r="L89" s="50">
        <v>0</v>
      </c>
      <c r="M89" s="50">
        <v>35</v>
      </c>
      <c r="N89" s="50">
        <v>0</v>
      </c>
      <c r="O89" s="15">
        <f t="shared" si="35"/>
        <v>18</v>
      </c>
      <c r="P89" s="15">
        <f t="shared" si="36"/>
        <v>53</v>
      </c>
      <c r="R89" s="8"/>
      <c r="T89"/>
    </row>
    <row r="90" spans="2:20" ht="23.1" customHeight="1" x14ac:dyDescent="0.25">
      <c r="B90" s="46" t="s">
        <v>130</v>
      </c>
      <c r="C90" s="50">
        <v>12</v>
      </c>
      <c r="D90" s="50">
        <v>0</v>
      </c>
      <c r="E90" s="50">
        <v>1</v>
      </c>
      <c r="F90" s="50">
        <v>2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20</v>
      </c>
      <c r="N90" s="50">
        <v>0</v>
      </c>
      <c r="O90" s="15">
        <f t="shared" si="35"/>
        <v>17</v>
      </c>
      <c r="P90" s="15">
        <f t="shared" si="36"/>
        <v>37</v>
      </c>
      <c r="R90" s="8"/>
      <c r="T90"/>
    </row>
    <row r="91" spans="2:20" ht="23.1" customHeight="1" x14ac:dyDescent="0.25">
      <c r="B91" s="45" t="s">
        <v>131</v>
      </c>
      <c r="C91" s="50">
        <v>14</v>
      </c>
      <c r="D91" s="50">
        <v>1</v>
      </c>
      <c r="E91" s="50">
        <v>1</v>
      </c>
      <c r="F91" s="50">
        <v>13</v>
      </c>
      <c r="G91" s="50">
        <v>0</v>
      </c>
      <c r="H91" s="50">
        <v>0</v>
      </c>
      <c r="I91" s="50">
        <v>0</v>
      </c>
      <c r="J91" s="50">
        <v>2</v>
      </c>
      <c r="K91" s="50">
        <v>0</v>
      </c>
      <c r="L91" s="50">
        <v>0</v>
      </c>
      <c r="M91" s="50">
        <v>19</v>
      </c>
      <c r="N91" s="50">
        <v>0</v>
      </c>
      <c r="O91" s="15">
        <f t="shared" si="35"/>
        <v>31</v>
      </c>
      <c r="P91" s="15">
        <f t="shared" si="36"/>
        <v>50</v>
      </c>
      <c r="R91" s="8"/>
      <c r="T91"/>
    </row>
    <row r="92" spans="2:20" ht="23.1" customHeight="1" x14ac:dyDescent="0.25">
      <c r="B92" s="47" t="s">
        <v>132</v>
      </c>
      <c r="C92" s="50">
        <v>21</v>
      </c>
      <c r="D92" s="50">
        <v>3</v>
      </c>
      <c r="E92" s="50">
        <v>1</v>
      </c>
      <c r="F92" s="50">
        <v>6</v>
      </c>
      <c r="G92" s="50">
        <v>0</v>
      </c>
      <c r="H92" s="50">
        <v>1</v>
      </c>
      <c r="I92" s="50">
        <v>1</v>
      </c>
      <c r="J92" s="50">
        <v>1</v>
      </c>
      <c r="K92" s="50">
        <v>0</v>
      </c>
      <c r="L92" s="50">
        <v>0</v>
      </c>
      <c r="M92" s="50">
        <v>25</v>
      </c>
      <c r="N92" s="50">
        <v>0</v>
      </c>
      <c r="O92" s="15">
        <f t="shared" si="35"/>
        <v>34</v>
      </c>
      <c r="P92" s="15">
        <f t="shared" si="36"/>
        <v>59</v>
      </c>
      <c r="R92" s="8"/>
      <c r="T92"/>
    </row>
    <row r="93" spans="2:20" ht="23.1" customHeight="1" x14ac:dyDescent="0.25">
      <c r="B93" s="45" t="s">
        <v>133</v>
      </c>
      <c r="C93" s="50">
        <v>16</v>
      </c>
      <c r="D93" s="50">
        <v>0</v>
      </c>
      <c r="E93" s="50">
        <v>0</v>
      </c>
      <c r="F93" s="50">
        <v>5</v>
      </c>
      <c r="G93" s="50">
        <v>0</v>
      </c>
      <c r="H93" s="50">
        <v>0</v>
      </c>
      <c r="I93" s="50">
        <v>2</v>
      </c>
      <c r="J93" s="50">
        <v>1</v>
      </c>
      <c r="K93" s="50">
        <v>0</v>
      </c>
      <c r="L93" s="50">
        <v>0</v>
      </c>
      <c r="M93" s="50">
        <v>35</v>
      </c>
      <c r="N93" s="50">
        <v>0</v>
      </c>
      <c r="O93" s="15">
        <f t="shared" si="35"/>
        <v>24</v>
      </c>
      <c r="P93" s="15">
        <f t="shared" si="36"/>
        <v>59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0</v>
      </c>
      <c r="E94" s="50">
        <v>0</v>
      </c>
      <c r="F94" s="50">
        <v>6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35</v>
      </c>
      <c r="N94" s="50">
        <v>0</v>
      </c>
      <c r="O94" s="15">
        <f t="shared" si="35"/>
        <v>14</v>
      </c>
      <c r="P94" s="15">
        <f t="shared" si="36"/>
        <v>49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2</v>
      </c>
      <c r="E95" s="50">
        <v>0</v>
      </c>
      <c r="F95" s="50">
        <v>4</v>
      </c>
      <c r="G95" s="50">
        <v>0</v>
      </c>
      <c r="H95" s="50">
        <v>0</v>
      </c>
      <c r="I95" s="50">
        <v>2</v>
      </c>
      <c r="J95" s="50">
        <v>0</v>
      </c>
      <c r="K95" s="50">
        <v>1</v>
      </c>
      <c r="L95" s="50">
        <v>0</v>
      </c>
      <c r="M95" s="50">
        <v>33</v>
      </c>
      <c r="N95" s="50">
        <v>0</v>
      </c>
      <c r="O95" s="15">
        <f t="shared" si="35"/>
        <v>11</v>
      </c>
      <c r="P95" s="15">
        <f t="shared" si="36"/>
        <v>44</v>
      </c>
      <c r="R95" s="8"/>
      <c r="T95"/>
    </row>
    <row r="96" spans="2:20" ht="23.1" customHeight="1" x14ac:dyDescent="0.25">
      <c r="B96" s="47" t="s">
        <v>136</v>
      </c>
      <c r="C96" s="50">
        <v>7</v>
      </c>
      <c r="D96" s="50">
        <v>1</v>
      </c>
      <c r="E96" s="50">
        <v>0</v>
      </c>
      <c r="F96" s="50">
        <v>4</v>
      </c>
      <c r="G96" s="50">
        <v>0</v>
      </c>
      <c r="H96" s="50">
        <v>2</v>
      </c>
      <c r="I96" s="50">
        <v>1</v>
      </c>
      <c r="J96" s="50">
        <v>1</v>
      </c>
      <c r="K96" s="50">
        <v>1</v>
      </c>
      <c r="L96" s="50">
        <v>0</v>
      </c>
      <c r="M96" s="50">
        <v>32</v>
      </c>
      <c r="N96" s="50">
        <v>0</v>
      </c>
      <c r="O96" s="15">
        <f t="shared" si="35"/>
        <v>17</v>
      </c>
      <c r="P96" s="15">
        <f t="shared" si="36"/>
        <v>49</v>
      </c>
      <c r="R96" s="8"/>
      <c r="T96"/>
    </row>
    <row r="97" spans="2:20" ht="23.1" customHeight="1" x14ac:dyDescent="0.25">
      <c r="B97" s="45" t="s">
        <v>137</v>
      </c>
      <c r="C97" s="50">
        <v>8</v>
      </c>
      <c r="D97" s="50">
        <v>0</v>
      </c>
      <c r="E97" s="50">
        <v>1</v>
      </c>
      <c r="F97" s="50">
        <v>5</v>
      </c>
      <c r="G97" s="50">
        <v>0</v>
      </c>
      <c r="H97" s="50">
        <v>0</v>
      </c>
      <c r="I97" s="50">
        <v>2</v>
      </c>
      <c r="J97" s="50">
        <v>0</v>
      </c>
      <c r="K97" s="50">
        <v>1</v>
      </c>
      <c r="L97" s="50">
        <v>0</v>
      </c>
      <c r="M97" s="50">
        <v>26</v>
      </c>
      <c r="N97" s="50">
        <v>0</v>
      </c>
      <c r="O97" s="15">
        <f t="shared" si="35"/>
        <v>17</v>
      </c>
      <c r="P97" s="15">
        <f t="shared" si="36"/>
        <v>43</v>
      </c>
      <c r="R97" s="8"/>
      <c r="T97"/>
    </row>
    <row r="98" spans="2:20" ht="23.1" customHeight="1" x14ac:dyDescent="0.25">
      <c r="B98" s="46" t="s">
        <v>138</v>
      </c>
      <c r="C98" s="50">
        <v>8</v>
      </c>
      <c r="D98" s="50">
        <v>0</v>
      </c>
      <c r="E98" s="50">
        <v>1</v>
      </c>
      <c r="F98" s="50">
        <v>15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28</v>
      </c>
      <c r="N98" s="50">
        <v>0</v>
      </c>
      <c r="O98" s="15">
        <f t="shared" si="35"/>
        <v>25</v>
      </c>
      <c r="P98" s="15">
        <f t="shared" si="36"/>
        <v>53</v>
      </c>
      <c r="R98" s="8"/>
      <c r="T98"/>
    </row>
    <row r="99" spans="2:20" ht="23.1" customHeight="1" x14ac:dyDescent="0.25">
      <c r="B99" s="45" t="s">
        <v>139</v>
      </c>
      <c r="C99" s="50">
        <v>18</v>
      </c>
      <c r="D99" s="50">
        <v>0</v>
      </c>
      <c r="E99" s="50">
        <v>0</v>
      </c>
      <c r="F99" s="50">
        <v>17</v>
      </c>
      <c r="G99" s="50">
        <v>1</v>
      </c>
      <c r="H99" s="50">
        <v>2</v>
      </c>
      <c r="I99" s="50">
        <v>5</v>
      </c>
      <c r="J99" s="50">
        <v>0</v>
      </c>
      <c r="K99" s="50">
        <v>0</v>
      </c>
      <c r="L99" s="50">
        <v>0</v>
      </c>
      <c r="M99" s="50">
        <v>42</v>
      </c>
      <c r="N99" s="50">
        <v>0</v>
      </c>
      <c r="O99" s="15">
        <f t="shared" si="35"/>
        <v>43</v>
      </c>
      <c r="P99" s="15">
        <f t="shared" si="36"/>
        <v>85</v>
      </c>
      <c r="R99" s="8"/>
      <c r="T99"/>
    </row>
    <row r="100" spans="2:20" ht="23.1" customHeight="1" x14ac:dyDescent="0.25">
      <c r="B100" s="47" t="s">
        <v>140</v>
      </c>
      <c r="C100" s="50">
        <v>19</v>
      </c>
      <c r="D100" s="50">
        <v>2</v>
      </c>
      <c r="E100" s="50">
        <v>2</v>
      </c>
      <c r="F100" s="50">
        <v>40</v>
      </c>
      <c r="G100" s="50">
        <v>1</v>
      </c>
      <c r="H100" s="50">
        <v>0</v>
      </c>
      <c r="I100" s="50">
        <v>6</v>
      </c>
      <c r="J100" s="50">
        <v>1</v>
      </c>
      <c r="K100" s="50">
        <v>2</v>
      </c>
      <c r="L100" s="50">
        <v>0</v>
      </c>
      <c r="M100" s="50">
        <v>36</v>
      </c>
      <c r="N100" s="50">
        <v>0</v>
      </c>
      <c r="O100" s="15">
        <f t="shared" si="35"/>
        <v>73</v>
      </c>
      <c r="P100" s="15">
        <f t="shared" si="36"/>
        <v>109</v>
      </c>
      <c r="R100" s="8"/>
      <c r="T100"/>
    </row>
    <row r="101" spans="2:20" ht="23.1" customHeight="1" x14ac:dyDescent="0.25">
      <c r="B101" s="45" t="s">
        <v>141</v>
      </c>
      <c r="C101" s="50">
        <v>13</v>
      </c>
      <c r="D101" s="50">
        <v>0</v>
      </c>
      <c r="E101" s="50">
        <v>0</v>
      </c>
      <c r="F101" s="50">
        <v>53</v>
      </c>
      <c r="G101" s="50">
        <v>1</v>
      </c>
      <c r="H101" s="50">
        <v>2</v>
      </c>
      <c r="I101" s="50">
        <v>3</v>
      </c>
      <c r="J101" s="50">
        <v>0</v>
      </c>
      <c r="K101" s="50">
        <v>0</v>
      </c>
      <c r="L101" s="50">
        <v>0</v>
      </c>
      <c r="M101" s="50">
        <v>39</v>
      </c>
      <c r="N101" s="50">
        <v>0</v>
      </c>
      <c r="O101" s="15">
        <f t="shared" si="35"/>
        <v>72</v>
      </c>
      <c r="P101" s="15">
        <f t="shared" si="36"/>
        <v>111</v>
      </c>
      <c r="R101" s="8"/>
      <c r="T101"/>
    </row>
    <row r="102" spans="2:20" ht="23.1" customHeight="1" x14ac:dyDescent="0.25">
      <c r="B102" s="46" t="s">
        <v>142</v>
      </c>
      <c r="C102" s="50">
        <v>32</v>
      </c>
      <c r="D102" s="50">
        <v>0</v>
      </c>
      <c r="E102" s="50">
        <v>0</v>
      </c>
      <c r="F102" s="50">
        <v>45</v>
      </c>
      <c r="G102" s="50">
        <v>0</v>
      </c>
      <c r="H102" s="50">
        <v>0</v>
      </c>
      <c r="I102" s="50">
        <v>1</v>
      </c>
      <c r="J102" s="50">
        <v>0</v>
      </c>
      <c r="K102" s="50">
        <v>2</v>
      </c>
      <c r="L102" s="50">
        <v>0</v>
      </c>
      <c r="M102" s="50">
        <v>45</v>
      </c>
      <c r="N102" s="50">
        <v>0</v>
      </c>
      <c r="O102" s="15">
        <f t="shared" si="35"/>
        <v>80</v>
      </c>
      <c r="P102" s="15">
        <f t="shared" si="36"/>
        <v>125</v>
      </c>
      <c r="R102" s="8"/>
      <c r="T102"/>
    </row>
    <row r="103" spans="2:20" ht="23.1" customHeight="1" x14ac:dyDescent="0.25">
      <c r="B103" s="45" t="s">
        <v>143</v>
      </c>
      <c r="C103" s="50">
        <v>38</v>
      </c>
      <c r="D103" s="50">
        <v>3</v>
      </c>
      <c r="E103" s="50">
        <v>0</v>
      </c>
      <c r="F103" s="50">
        <v>40</v>
      </c>
      <c r="G103" s="50">
        <v>3</v>
      </c>
      <c r="H103" s="50">
        <v>0</v>
      </c>
      <c r="I103" s="50">
        <v>10</v>
      </c>
      <c r="J103" s="50">
        <v>0</v>
      </c>
      <c r="K103" s="50">
        <v>0</v>
      </c>
      <c r="L103" s="50">
        <v>0</v>
      </c>
      <c r="M103" s="50">
        <v>46</v>
      </c>
      <c r="N103" s="50">
        <v>0</v>
      </c>
      <c r="O103" s="15">
        <f t="shared" si="35"/>
        <v>94</v>
      </c>
      <c r="P103" s="15">
        <f t="shared" si="36"/>
        <v>140</v>
      </c>
      <c r="R103" s="8"/>
      <c r="T103"/>
    </row>
    <row r="104" spans="2:20" ht="23.1" customHeight="1" x14ac:dyDescent="0.25">
      <c r="B104" s="47" t="s">
        <v>144</v>
      </c>
      <c r="C104" s="50">
        <v>27</v>
      </c>
      <c r="D104" s="50">
        <v>2</v>
      </c>
      <c r="E104" s="50">
        <v>1</v>
      </c>
      <c r="F104" s="50">
        <v>38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55</v>
      </c>
      <c r="N104" s="50">
        <v>0</v>
      </c>
      <c r="O104" s="15">
        <f t="shared" si="35"/>
        <v>70</v>
      </c>
      <c r="P104" s="15">
        <f t="shared" si="36"/>
        <v>125</v>
      </c>
      <c r="R104" s="8"/>
      <c r="T104"/>
    </row>
    <row r="105" spans="2:20" ht="23.1" customHeight="1" x14ac:dyDescent="0.25">
      <c r="B105" s="45" t="s">
        <v>145</v>
      </c>
      <c r="C105" s="50">
        <v>21</v>
      </c>
      <c r="D105" s="50">
        <v>0</v>
      </c>
      <c r="E105" s="50">
        <v>3</v>
      </c>
      <c r="F105" s="50">
        <v>45</v>
      </c>
      <c r="G105" s="50">
        <v>0</v>
      </c>
      <c r="H105" s="50">
        <v>0</v>
      </c>
      <c r="I105" s="50">
        <v>2</v>
      </c>
      <c r="J105" s="50">
        <v>2</v>
      </c>
      <c r="K105" s="50">
        <v>0</v>
      </c>
      <c r="L105" s="50">
        <v>0</v>
      </c>
      <c r="M105" s="50">
        <v>36</v>
      </c>
      <c r="N105" s="50">
        <v>0</v>
      </c>
      <c r="O105" s="15">
        <f t="shared" si="35"/>
        <v>73</v>
      </c>
      <c r="P105" s="15">
        <f t="shared" si="36"/>
        <v>109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2137</v>
      </c>
      <c r="D106" s="16">
        <f t="shared" ref="D106:P106" si="37">SUM(D10:D105)</f>
        <v>1397</v>
      </c>
      <c r="E106" s="16">
        <f t="shared" si="37"/>
        <v>297</v>
      </c>
      <c r="F106" s="16">
        <f t="shared" si="37"/>
        <v>1680</v>
      </c>
      <c r="G106" s="16">
        <f t="shared" si="37"/>
        <v>39</v>
      </c>
      <c r="H106" s="16">
        <f t="shared" si="37"/>
        <v>26</v>
      </c>
      <c r="I106" s="16">
        <f t="shared" si="37"/>
        <v>244</v>
      </c>
      <c r="J106" s="16">
        <f t="shared" si="37"/>
        <v>137</v>
      </c>
      <c r="K106" s="16">
        <f t="shared" si="37"/>
        <v>52</v>
      </c>
      <c r="L106" s="16">
        <f t="shared" si="37"/>
        <v>25</v>
      </c>
      <c r="M106" s="16">
        <f t="shared" si="37"/>
        <v>11849</v>
      </c>
      <c r="N106" s="16">
        <f t="shared" si="37"/>
        <v>0</v>
      </c>
      <c r="O106" s="16">
        <f t="shared" si="37"/>
        <v>6034</v>
      </c>
      <c r="P106" s="16">
        <f t="shared" si="37"/>
        <v>17883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0.11949896549795895</v>
      </c>
      <c r="D107" s="43">
        <f t="shared" si="38"/>
        <v>7.8118883856176255E-2</v>
      </c>
      <c r="E107" s="43">
        <f t="shared" si="38"/>
        <v>1.660795168595873E-2</v>
      </c>
      <c r="F107" s="43">
        <f t="shared" si="38"/>
        <v>9.3943969132695856E-2</v>
      </c>
      <c r="G107" s="43">
        <f t="shared" si="38"/>
        <v>2.1808421405804393E-3</v>
      </c>
      <c r="H107" s="43">
        <f t="shared" si="38"/>
        <v>1.4538947603869596E-3</v>
      </c>
      <c r="I107" s="43">
        <f t="shared" si="38"/>
        <v>1.364424313593916E-2</v>
      </c>
      <c r="J107" s="43">
        <f t="shared" si="38"/>
        <v>7.6609070066543643E-3</v>
      </c>
      <c r="K107" s="43">
        <f t="shared" si="38"/>
        <v>2.9077895207739192E-3</v>
      </c>
      <c r="L107" s="43">
        <f t="shared" si="38"/>
        <v>1.3979757311413073E-3</v>
      </c>
      <c r="M107" s="43">
        <f t="shared" si="38"/>
        <v>0.66258457753173405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0.35415976135233673</v>
      </c>
      <c r="D108" s="44">
        <f t="shared" ref="D108:N108" si="39">D106/$O$106</f>
        <v>0.2315213788531654</v>
      </c>
      <c r="E108" s="44">
        <f t="shared" si="39"/>
        <v>4.9221080543586343E-2</v>
      </c>
      <c r="F108" s="44">
        <f t="shared" si="39"/>
        <v>0.27842227378190254</v>
      </c>
      <c r="G108" s="44">
        <f t="shared" si="39"/>
        <v>6.463374212794166E-3</v>
      </c>
      <c r="H108" s="44">
        <f t="shared" si="39"/>
        <v>4.3089161418627779E-3</v>
      </c>
      <c r="I108" s="44">
        <f t="shared" si="39"/>
        <v>4.043752071594299E-2</v>
      </c>
      <c r="J108" s="44">
        <f t="shared" si="39"/>
        <v>2.2704673516738483E-2</v>
      </c>
      <c r="K108" s="44">
        <f t="shared" si="39"/>
        <v>8.6178322837255558E-3</v>
      </c>
      <c r="L108" s="44">
        <f t="shared" si="39"/>
        <v>4.1431885979449782E-3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4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'26.07 KABUSU-RUBAGA-24h'!G5:H5</f>
        <v>CHAD SUPERMARKET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RUBAGA-KABUSU'!D6:E6</f>
        <v>RUBAGA</v>
      </c>
      <c r="E6" s="64"/>
      <c r="F6" s="2" t="s">
        <v>2</v>
      </c>
      <c r="G6" s="63" t="str">
        <f>'22.07 RUBAGA-KABUSU'!G6:H6</f>
        <v>KABUSU</v>
      </c>
      <c r="H6" s="64"/>
      <c r="J6" s="2" t="s">
        <v>21</v>
      </c>
      <c r="K6" s="63" t="str">
        <f>'26.07 KABUSU-RUBAGA-24h'!K6:L6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29</v>
      </c>
      <c r="D10" s="50">
        <v>3</v>
      </c>
      <c r="E10" s="50">
        <v>7</v>
      </c>
      <c r="F10" s="50">
        <v>26</v>
      </c>
      <c r="G10" s="50">
        <v>3</v>
      </c>
      <c r="H10" s="50">
        <v>2</v>
      </c>
      <c r="I10" s="50">
        <v>7</v>
      </c>
      <c r="J10" s="50">
        <v>0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73" si="0">SUM(C10:L10,N10)</f>
        <v>77</v>
      </c>
      <c r="P10" s="15">
        <f t="shared" ref="P10:P73" si="1">SUM(C10:N10)</f>
        <v>137</v>
      </c>
      <c r="R10" s="1" t="s">
        <v>6</v>
      </c>
      <c r="S10" s="17">
        <f t="shared" ref="S10:AF10" si="2">SUM(C10:C13)</f>
        <v>96</v>
      </c>
      <c r="T10" s="17">
        <f t="shared" si="2"/>
        <v>17</v>
      </c>
      <c r="U10" s="17">
        <f t="shared" si="2"/>
        <v>14</v>
      </c>
      <c r="V10" s="17">
        <f t="shared" si="2"/>
        <v>100</v>
      </c>
      <c r="W10" s="17">
        <f t="shared" si="2"/>
        <v>4</v>
      </c>
      <c r="X10" s="17">
        <f t="shared" si="2"/>
        <v>4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428</v>
      </c>
      <c r="AD10" s="17">
        <f t="shared" si="2"/>
        <v>0</v>
      </c>
      <c r="AE10" s="31">
        <f t="shared" si="2"/>
        <v>244</v>
      </c>
      <c r="AF10" s="31">
        <f t="shared" si="2"/>
        <v>672</v>
      </c>
    </row>
    <row r="11" spans="2:32" s="6" customFormat="1" ht="23.1" customHeight="1" x14ac:dyDescent="0.25">
      <c r="B11" s="45" t="s">
        <v>38</v>
      </c>
      <c r="C11" s="50">
        <v>34</v>
      </c>
      <c r="D11" s="50">
        <v>7</v>
      </c>
      <c r="E11" s="50">
        <v>3</v>
      </c>
      <c r="F11" s="50">
        <v>25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88</v>
      </c>
      <c r="N11" s="50">
        <v>0</v>
      </c>
      <c r="O11" s="15">
        <f t="shared" si="0"/>
        <v>70</v>
      </c>
      <c r="P11" s="15">
        <f t="shared" si="1"/>
        <v>158</v>
      </c>
      <c r="R11" s="1" t="s">
        <v>7</v>
      </c>
      <c r="S11" s="17">
        <f t="shared" ref="S11:AF11" si="3">SUM(C14:C17)</f>
        <v>84</v>
      </c>
      <c r="T11" s="17">
        <f t="shared" si="3"/>
        <v>16</v>
      </c>
      <c r="U11" s="17">
        <f t="shared" si="3"/>
        <v>8</v>
      </c>
      <c r="V11" s="17">
        <f t="shared" si="3"/>
        <v>91</v>
      </c>
      <c r="W11" s="17">
        <f t="shared" si="3"/>
        <v>0</v>
      </c>
      <c r="X11" s="17">
        <f t="shared" si="3"/>
        <v>3</v>
      </c>
      <c r="Y11" s="17">
        <f t="shared" si="3"/>
        <v>16</v>
      </c>
      <c r="Z11" s="17">
        <f t="shared" si="3"/>
        <v>4</v>
      </c>
      <c r="AA11" s="17">
        <f t="shared" si="3"/>
        <v>2</v>
      </c>
      <c r="AB11" s="17">
        <f t="shared" si="3"/>
        <v>2</v>
      </c>
      <c r="AC11" s="17">
        <f t="shared" si="3"/>
        <v>786</v>
      </c>
      <c r="AD11" s="17">
        <f t="shared" si="3"/>
        <v>0</v>
      </c>
      <c r="AE11" s="31">
        <f t="shared" si="3"/>
        <v>226</v>
      </c>
      <c r="AF11" s="31">
        <f t="shared" si="3"/>
        <v>1012</v>
      </c>
    </row>
    <row r="12" spans="2:32" ht="23.1" customHeight="1" x14ac:dyDescent="0.25">
      <c r="B12" s="45" t="s">
        <v>39</v>
      </c>
      <c r="C12" s="50">
        <v>14</v>
      </c>
      <c r="D12" s="50">
        <v>3</v>
      </c>
      <c r="E12" s="50">
        <v>3</v>
      </c>
      <c r="F12" s="50">
        <v>26</v>
      </c>
      <c r="G12" s="50">
        <v>1</v>
      </c>
      <c r="H12" s="50">
        <v>1</v>
      </c>
      <c r="I12" s="50">
        <v>0</v>
      </c>
      <c r="J12" s="50">
        <v>0</v>
      </c>
      <c r="K12" s="50">
        <v>0</v>
      </c>
      <c r="L12" s="50">
        <v>0</v>
      </c>
      <c r="M12" s="50">
        <v>129</v>
      </c>
      <c r="N12" s="50">
        <v>0</v>
      </c>
      <c r="O12" s="15">
        <f t="shared" si="0"/>
        <v>48</v>
      </c>
      <c r="P12" s="15">
        <f t="shared" si="1"/>
        <v>177</v>
      </c>
      <c r="R12" s="1" t="s">
        <v>8</v>
      </c>
      <c r="S12" s="17">
        <f t="shared" ref="S12:AF12" si="4">SUM(C18:C21)</f>
        <v>94</v>
      </c>
      <c r="T12" s="17">
        <f t="shared" si="4"/>
        <v>6</v>
      </c>
      <c r="U12" s="17">
        <f t="shared" si="4"/>
        <v>6</v>
      </c>
      <c r="V12" s="17">
        <f t="shared" si="4"/>
        <v>75</v>
      </c>
      <c r="W12" s="17">
        <f t="shared" si="4"/>
        <v>3</v>
      </c>
      <c r="X12" s="17">
        <f t="shared" si="4"/>
        <v>1</v>
      </c>
      <c r="Y12" s="17">
        <f t="shared" si="4"/>
        <v>13</v>
      </c>
      <c r="Z12" s="17">
        <f t="shared" si="4"/>
        <v>7</v>
      </c>
      <c r="AA12" s="17">
        <f t="shared" si="4"/>
        <v>2</v>
      </c>
      <c r="AB12" s="17">
        <f t="shared" si="4"/>
        <v>0</v>
      </c>
      <c r="AC12" s="17">
        <f t="shared" si="4"/>
        <v>706</v>
      </c>
      <c r="AD12" s="17">
        <f t="shared" si="4"/>
        <v>0</v>
      </c>
      <c r="AE12" s="31">
        <f t="shared" si="4"/>
        <v>207</v>
      </c>
      <c r="AF12" s="31">
        <f t="shared" si="4"/>
        <v>913</v>
      </c>
    </row>
    <row r="13" spans="2:32" ht="23.1" customHeight="1" x14ac:dyDescent="0.25">
      <c r="B13" s="45" t="s">
        <v>40</v>
      </c>
      <c r="C13" s="50">
        <v>19</v>
      </c>
      <c r="D13" s="50">
        <v>4</v>
      </c>
      <c r="E13" s="50">
        <v>1</v>
      </c>
      <c r="F13" s="50">
        <v>23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151</v>
      </c>
      <c r="N13" s="50">
        <v>0</v>
      </c>
      <c r="O13" s="15">
        <f t="shared" si="0"/>
        <v>49</v>
      </c>
      <c r="P13" s="15">
        <f t="shared" si="1"/>
        <v>200</v>
      </c>
      <c r="R13" s="1" t="s">
        <v>9</v>
      </c>
      <c r="S13" s="17">
        <f t="shared" ref="S13:AF13" si="5">SUM(C22:C25)</f>
        <v>92</v>
      </c>
      <c r="T13" s="17">
        <f t="shared" si="5"/>
        <v>12</v>
      </c>
      <c r="U13" s="17">
        <f t="shared" si="5"/>
        <v>10</v>
      </c>
      <c r="V13" s="17">
        <f t="shared" si="5"/>
        <v>55</v>
      </c>
      <c r="W13" s="17">
        <f t="shared" si="5"/>
        <v>0</v>
      </c>
      <c r="X13" s="17">
        <f t="shared" si="5"/>
        <v>2</v>
      </c>
      <c r="Y13" s="17">
        <f t="shared" si="5"/>
        <v>21</v>
      </c>
      <c r="Z13" s="17">
        <f t="shared" si="5"/>
        <v>6</v>
      </c>
      <c r="AA13" s="17">
        <f t="shared" si="5"/>
        <v>3</v>
      </c>
      <c r="AB13" s="17">
        <f t="shared" si="5"/>
        <v>0</v>
      </c>
      <c r="AC13" s="17">
        <f t="shared" si="5"/>
        <v>500</v>
      </c>
      <c r="AD13" s="17">
        <f t="shared" si="5"/>
        <v>0</v>
      </c>
      <c r="AE13" s="31">
        <f t="shared" si="5"/>
        <v>201</v>
      </c>
      <c r="AF13" s="31">
        <f t="shared" si="5"/>
        <v>701</v>
      </c>
    </row>
    <row r="14" spans="2:32" ht="23.1" customHeight="1" x14ac:dyDescent="0.25">
      <c r="B14" s="45" t="s">
        <v>41</v>
      </c>
      <c r="C14" s="50">
        <v>19</v>
      </c>
      <c r="D14" s="50">
        <v>5</v>
      </c>
      <c r="E14" s="50">
        <v>1</v>
      </c>
      <c r="F14" s="50">
        <v>27</v>
      </c>
      <c r="G14" s="50">
        <v>0</v>
      </c>
      <c r="H14" s="50">
        <v>1</v>
      </c>
      <c r="I14" s="50">
        <v>3</v>
      </c>
      <c r="J14" s="50">
        <v>0</v>
      </c>
      <c r="K14" s="50">
        <v>1</v>
      </c>
      <c r="L14" s="50">
        <v>0</v>
      </c>
      <c r="M14" s="50">
        <v>92</v>
      </c>
      <c r="N14" s="50">
        <v>0</v>
      </c>
      <c r="O14" s="15">
        <f t="shared" si="0"/>
        <v>57</v>
      </c>
      <c r="P14" s="15">
        <f t="shared" si="1"/>
        <v>149</v>
      </c>
      <c r="R14" s="1" t="s">
        <v>10</v>
      </c>
      <c r="S14" s="17">
        <f t="shared" ref="S14:AF14" si="6">SUM(C26:C29)</f>
        <v>162</v>
      </c>
      <c r="T14" s="17">
        <f t="shared" si="6"/>
        <v>19</v>
      </c>
      <c r="U14" s="17">
        <f t="shared" si="6"/>
        <v>17</v>
      </c>
      <c r="V14" s="17">
        <f t="shared" si="6"/>
        <v>53</v>
      </c>
      <c r="W14" s="17">
        <f t="shared" si="6"/>
        <v>1</v>
      </c>
      <c r="X14" s="17">
        <f t="shared" si="6"/>
        <v>2</v>
      </c>
      <c r="Y14" s="17">
        <f t="shared" si="6"/>
        <v>11</v>
      </c>
      <c r="Z14" s="17">
        <f t="shared" si="6"/>
        <v>6</v>
      </c>
      <c r="AA14" s="17">
        <f t="shared" si="6"/>
        <v>3</v>
      </c>
      <c r="AB14" s="17">
        <f t="shared" si="6"/>
        <v>2</v>
      </c>
      <c r="AC14" s="17">
        <f t="shared" si="6"/>
        <v>514</v>
      </c>
      <c r="AD14" s="17">
        <f t="shared" si="6"/>
        <v>0</v>
      </c>
      <c r="AE14" s="31">
        <f t="shared" si="6"/>
        <v>276</v>
      </c>
      <c r="AF14" s="31">
        <f t="shared" si="6"/>
        <v>790</v>
      </c>
    </row>
    <row r="15" spans="2:32" ht="23.1" customHeight="1" x14ac:dyDescent="0.25">
      <c r="B15" s="45" t="s">
        <v>42</v>
      </c>
      <c r="C15" s="50">
        <v>24</v>
      </c>
      <c r="D15" s="50">
        <v>4</v>
      </c>
      <c r="E15" s="50">
        <v>1</v>
      </c>
      <c r="F15" s="50">
        <v>22</v>
      </c>
      <c r="G15" s="50">
        <v>0</v>
      </c>
      <c r="H15" s="50">
        <v>2</v>
      </c>
      <c r="I15" s="50">
        <v>3</v>
      </c>
      <c r="J15" s="50">
        <v>1</v>
      </c>
      <c r="K15" s="50">
        <v>1</v>
      </c>
      <c r="L15" s="50">
        <v>1</v>
      </c>
      <c r="M15" s="50">
        <v>201</v>
      </c>
      <c r="N15" s="50">
        <v>0</v>
      </c>
      <c r="O15" s="15">
        <f t="shared" si="0"/>
        <v>59</v>
      </c>
      <c r="P15" s="15">
        <f t="shared" si="1"/>
        <v>260</v>
      </c>
      <c r="R15" s="1" t="s">
        <v>11</v>
      </c>
      <c r="S15" s="17">
        <f t="shared" ref="S15:AF15" si="7">SUM(C30:C33)</f>
        <v>157</v>
      </c>
      <c r="T15" s="17">
        <f t="shared" si="7"/>
        <v>29</v>
      </c>
      <c r="U15" s="17">
        <f t="shared" si="7"/>
        <v>11</v>
      </c>
      <c r="V15" s="17">
        <f t="shared" si="7"/>
        <v>44</v>
      </c>
      <c r="W15" s="17">
        <f t="shared" si="7"/>
        <v>1</v>
      </c>
      <c r="X15" s="17">
        <f t="shared" si="7"/>
        <v>1</v>
      </c>
      <c r="Y15" s="17">
        <f t="shared" si="7"/>
        <v>14</v>
      </c>
      <c r="Z15" s="17">
        <f t="shared" si="7"/>
        <v>6</v>
      </c>
      <c r="AA15" s="17">
        <f t="shared" si="7"/>
        <v>4</v>
      </c>
      <c r="AB15" s="17">
        <f t="shared" si="7"/>
        <v>1</v>
      </c>
      <c r="AC15" s="17">
        <f t="shared" si="7"/>
        <v>313</v>
      </c>
      <c r="AD15" s="17">
        <f t="shared" si="7"/>
        <v>0</v>
      </c>
      <c r="AE15" s="31">
        <f t="shared" si="7"/>
        <v>268</v>
      </c>
      <c r="AF15" s="31">
        <f t="shared" si="7"/>
        <v>581</v>
      </c>
    </row>
    <row r="16" spans="2:32" ht="23.1" customHeight="1" x14ac:dyDescent="0.25">
      <c r="B16" s="45" t="s">
        <v>43</v>
      </c>
      <c r="C16" s="50">
        <v>17</v>
      </c>
      <c r="D16" s="50">
        <v>1</v>
      </c>
      <c r="E16" s="50">
        <v>2</v>
      </c>
      <c r="F16" s="50">
        <v>23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253</v>
      </c>
      <c r="N16" s="50">
        <v>0</v>
      </c>
      <c r="O16" s="15">
        <f t="shared" si="0"/>
        <v>49</v>
      </c>
      <c r="P16" s="15">
        <f t="shared" si="1"/>
        <v>302</v>
      </c>
      <c r="R16" s="1" t="s">
        <v>12</v>
      </c>
      <c r="S16" s="17">
        <f t="shared" ref="S16:AF16" si="8">SUM(C34:C37)</f>
        <v>182</v>
      </c>
      <c r="T16" s="17">
        <f t="shared" si="8"/>
        <v>27</v>
      </c>
      <c r="U16" s="17">
        <f t="shared" si="8"/>
        <v>15</v>
      </c>
      <c r="V16" s="17">
        <f t="shared" si="8"/>
        <v>49</v>
      </c>
      <c r="W16" s="17">
        <f t="shared" si="8"/>
        <v>1</v>
      </c>
      <c r="X16" s="17">
        <f t="shared" si="8"/>
        <v>1</v>
      </c>
      <c r="Y16" s="17">
        <f t="shared" si="8"/>
        <v>15</v>
      </c>
      <c r="Z16" s="17">
        <f t="shared" si="8"/>
        <v>7</v>
      </c>
      <c r="AA16" s="17">
        <f t="shared" si="8"/>
        <v>7</v>
      </c>
      <c r="AB16" s="17">
        <f t="shared" si="8"/>
        <v>2</v>
      </c>
      <c r="AC16" s="17">
        <f t="shared" si="8"/>
        <v>464</v>
      </c>
      <c r="AD16" s="17">
        <f t="shared" si="8"/>
        <v>0</v>
      </c>
      <c r="AE16" s="31">
        <f t="shared" si="8"/>
        <v>306</v>
      </c>
      <c r="AF16" s="31">
        <f t="shared" si="8"/>
        <v>770</v>
      </c>
    </row>
    <row r="17" spans="2:32" ht="23.1" customHeight="1" x14ac:dyDescent="0.25">
      <c r="B17" s="45" t="s">
        <v>44</v>
      </c>
      <c r="C17" s="50">
        <v>24</v>
      </c>
      <c r="D17" s="50">
        <v>6</v>
      </c>
      <c r="E17" s="50">
        <v>4</v>
      </c>
      <c r="F17" s="50">
        <v>19</v>
      </c>
      <c r="G17" s="50">
        <v>0</v>
      </c>
      <c r="H17" s="50">
        <v>0</v>
      </c>
      <c r="I17" s="50">
        <v>5</v>
      </c>
      <c r="J17" s="50">
        <v>2</v>
      </c>
      <c r="K17" s="50">
        <v>0</v>
      </c>
      <c r="L17" s="50">
        <v>1</v>
      </c>
      <c r="M17" s="50">
        <v>240</v>
      </c>
      <c r="N17" s="50">
        <v>0</v>
      </c>
      <c r="O17" s="15">
        <f t="shared" si="0"/>
        <v>61</v>
      </c>
      <c r="P17" s="15">
        <f t="shared" si="1"/>
        <v>301</v>
      </c>
      <c r="R17" s="1" t="s">
        <v>13</v>
      </c>
      <c r="S17" s="17">
        <f t="shared" ref="S17:AF17" si="9">SUM(C38:C41)</f>
        <v>231</v>
      </c>
      <c r="T17" s="17">
        <f t="shared" si="9"/>
        <v>35</v>
      </c>
      <c r="U17" s="17">
        <f t="shared" si="9"/>
        <v>10</v>
      </c>
      <c r="V17" s="17">
        <f t="shared" si="9"/>
        <v>41</v>
      </c>
      <c r="W17" s="17">
        <f t="shared" si="9"/>
        <v>1</v>
      </c>
      <c r="X17" s="17">
        <f t="shared" si="9"/>
        <v>1</v>
      </c>
      <c r="Y17" s="17">
        <f t="shared" si="9"/>
        <v>23</v>
      </c>
      <c r="Z17" s="17">
        <f t="shared" si="9"/>
        <v>13</v>
      </c>
      <c r="AA17" s="17">
        <f t="shared" si="9"/>
        <v>3</v>
      </c>
      <c r="AB17" s="17">
        <f t="shared" si="9"/>
        <v>0</v>
      </c>
      <c r="AC17" s="17">
        <f t="shared" si="9"/>
        <v>527</v>
      </c>
      <c r="AD17" s="17">
        <f t="shared" si="9"/>
        <v>0</v>
      </c>
      <c r="AE17" s="31">
        <f t="shared" si="9"/>
        <v>358</v>
      </c>
      <c r="AF17" s="31">
        <f t="shared" si="9"/>
        <v>885</v>
      </c>
    </row>
    <row r="18" spans="2:32" ht="23.1" customHeight="1" x14ac:dyDescent="0.25">
      <c r="B18" s="45" t="s">
        <v>45</v>
      </c>
      <c r="C18" s="50">
        <v>26</v>
      </c>
      <c r="D18" s="50">
        <v>1</v>
      </c>
      <c r="E18" s="50">
        <v>0</v>
      </c>
      <c r="F18" s="50">
        <v>19</v>
      </c>
      <c r="G18" s="50">
        <v>3</v>
      </c>
      <c r="H18" s="50">
        <v>1</v>
      </c>
      <c r="I18" s="50">
        <v>2</v>
      </c>
      <c r="J18" s="50">
        <v>1</v>
      </c>
      <c r="K18" s="50">
        <v>2</v>
      </c>
      <c r="L18" s="50">
        <v>0</v>
      </c>
      <c r="M18" s="50">
        <v>259</v>
      </c>
      <c r="N18" s="50">
        <v>0</v>
      </c>
      <c r="O18" s="15">
        <f t="shared" si="0"/>
        <v>55</v>
      </c>
      <c r="P18" s="15">
        <f t="shared" si="1"/>
        <v>314</v>
      </c>
      <c r="R18" s="1" t="s">
        <v>14</v>
      </c>
      <c r="S18" s="17">
        <f t="shared" ref="S18:AF18" si="10">SUM(C42:C45)</f>
        <v>200</v>
      </c>
      <c r="T18" s="17">
        <f t="shared" si="10"/>
        <v>48</v>
      </c>
      <c r="U18" s="17">
        <f t="shared" si="10"/>
        <v>17</v>
      </c>
      <c r="V18" s="17">
        <f t="shared" si="10"/>
        <v>44</v>
      </c>
      <c r="W18" s="17">
        <f t="shared" si="10"/>
        <v>1</v>
      </c>
      <c r="X18" s="17">
        <f t="shared" si="10"/>
        <v>2</v>
      </c>
      <c r="Y18" s="17">
        <f t="shared" si="10"/>
        <v>18</v>
      </c>
      <c r="Z18" s="17">
        <f t="shared" si="10"/>
        <v>8</v>
      </c>
      <c r="AA18" s="17">
        <f t="shared" si="10"/>
        <v>5</v>
      </c>
      <c r="AB18" s="17">
        <f t="shared" si="10"/>
        <v>1</v>
      </c>
      <c r="AC18" s="17">
        <f t="shared" si="10"/>
        <v>362</v>
      </c>
      <c r="AD18" s="17">
        <f t="shared" si="10"/>
        <v>0</v>
      </c>
      <c r="AE18" s="31">
        <f t="shared" si="10"/>
        <v>344</v>
      </c>
      <c r="AF18" s="31">
        <f t="shared" si="10"/>
        <v>706</v>
      </c>
    </row>
    <row r="19" spans="2:32" ht="23.1" customHeight="1" x14ac:dyDescent="0.25">
      <c r="B19" s="45" t="s">
        <v>46</v>
      </c>
      <c r="C19" s="50">
        <v>24</v>
      </c>
      <c r="D19" s="50">
        <v>2</v>
      </c>
      <c r="E19" s="50">
        <v>3</v>
      </c>
      <c r="F19" s="50">
        <v>24</v>
      </c>
      <c r="G19" s="50">
        <v>0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50">
        <v>182</v>
      </c>
      <c r="N19" s="50">
        <v>0</v>
      </c>
      <c r="O19" s="15">
        <f t="shared" si="0"/>
        <v>58</v>
      </c>
      <c r="P19" s="15">
        <f t="shared" si="1"/>
        <v>240</v>
      </c>
      <c r="R19" s="1" t="s">
        <v>15</v>
      </c>
      <c r="S19" s="17">
        <f t="shared" ref="S19:AF19" si="11">SUM(C46:C49)</f>
        <v>196</v>
      </c>
      <c r="T19" s="17">
        <f t="shared" si="11"/>
        <v>25</v>
      </c>
      <c r="U19" s="17">
        <f t="shared" si="11"/>
        <v>17</v>
      </c>
      <c r="V19" s="17">
        <f t="shared" si="11"/>
        <v>31</v>
      </c>
      <c r="W19" s="17">
        <f t="shared" si="11"/>
        <v>2</v>
      </c>
      <c r="X19" s="17">
        <f t="shared" si="11"/>
        <v>2</v>
      </c>
      <c r="Y19" s="17">
        <f t="shared" si="11"/>
        <v>23</v>
      </c>
      <c r="Z19" s="17">
        <f t="shared" si="11"/>
        <v>5</v>
      </c>
      <c r="AA19" s="17">
        <f t="shared" si="11"/>
        <v>3</v>
      </c>
      <c r="AB19" s="17">
        <f t="shared" si="11"/>
        <v>1</v>
      </c>
      <c r="AC19" s="17">
        <f t="shared" si="11"/>
        <v>423</v>
      </c>
      <c r="AD19" s="17">
        <f t="shared" si="11"/>
        <v>0</v>
      </c>
      <c r="AE19" s="31">
        <f t="shared" si="11"/>
        <v>305</v>
      </c>
      <c r="AF19" s="31">
        <f t="shared" si="11"/>
        <v>728</v>
      </c>
    </row>
    <row r="20" spans="2:32" ht="23.1" customHeight="1" x14ac:dyDescent="0.25">
      <c r="B20" s="45" t="s">
        <v>47</v>
      </c>
      <c r="C20" s="50">
        <v>25</v>
      </c>
      <c r="D20" s="50">
        <v>2</v>
      </c>
      <c r="E20" s="50">
        <v>1</v>
      </c>
      <c r="F20" s="50">
        <v>13</v>
      </c>
      <c r="G20" s="50">
        <v>0</v>
      </c>
      <c r="H20" s="50">
        <v>0</v>
      </c>
      <c r="I20" s="50">
        <v>2</v>
      </c>
      <c r="J20" s="50">
        <v>4</v>
      </c>
      <c r="K20" s="50">
        <v>0</v>
      </c>
      <c r="L20" s="50">
        <v>0</v>
      </c>
      <c r="M20" s="50">
        <v>124</v>
      </c>
      <c r="N20" s="50">
        <v>0</v>
      </c>
      <c r="O20" s="15">
        <f t="shared" si="0"/>
        <v>47</v>
      </c>
      <c r="P20" s="15">
        <f t="shared" si="1"/>
        <v>171</v>
      </c>
      <c r="R20" s="1" t="s">
        <v>16</v>
      </c>
      <c r="S20" s="17">
        <f t="shared" ref="S20:AF20" si="12">SUM(C50:C53)</f>
        <v>216</v>
      </c>
      <c r="T20" s="17">
        <f t="shared" si="12"/>
        <v>30</v>
      </c>
      <c r="U20" s="17">
        <f t="shared" si="12"/>
        <v>19</v>
      </c>
      <c r="V20" s="17">
        <f t="shared" si="12"/>
        <v>34</v>
      </c>
      <c r="W20" s="17">
        <f t="shared" si="12"/>
        <v>1</v>
      </c>
      <c r="X20" s="17">
        <f t="shared" si="12"/>
        <v>0</v>
      </c>
      <c r="Y20" s="17">
        <f t="shared" si="12"/>
        <v>19</v>
      </c>
      <c r="Z20" s="17">
        <f t="shared" si="12"/>
        <v>5</v>
      </c>
      <c r="AA20" s="17">
        <f t="shared" si="12"/>
        <v>2</v>
      </c>
      <c r="AB20" s="17">
        <f t="shared" si="12"/>
        <v>1</v>
      </c>
      <c r="AC20" s="17">
        <f t="shared" si="12"/>
        <v>276</v>
      </c>
      <c r="AD20" s="17">
        <f t="shared" si="12"/>
        <v>0</v>
      </c>
      <c r="AE20" s="31">
        <f t="shared" si="12"/>
        <v>327</v>
      </c>
      <c r="AF20" s="31">
        <f t="shared" si="12"/>
        <v>603</v>
      </c>
    </row>
    <row r="21" spans="2:32" ht="23.1" customHeight="1" x14ac:dyDescent="0.25">
      <c r="B21" s="45" t="s">
        <v>48</v>
      </c>
      <c r="C21" s="50">
        <v>19</v>
      </c>
      <c r="D21" s="50">
        <v>1</v>
      </c>
      <c r="E21" s="50">
        <v>2</v>
      </c>
      <c r="F21" s="50">
        <v>19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141</v>
      </c>
      <c r="N21" s="50">
        <v>0</v>
      </c>
      <c r="O21" s="15">
        <f t="shared" si="0"/>
        <v>47</v>
      </c>
      <c r="P21" s="15">
        <f t="shared" si="1"/>
        <v>188</v>
      </c>
      <c r="R21" s="36" t="s">
        <v>20</v>
      </c>
      <c r="S21" s="34">
        <f t="shared" ref="S21:AF21" si="13">SUM(C54:C57)</f>
        <v>136</v>
      </c>
      <c r="T21" s="17">
        <f t="shared" si="13"/>
        <v>33</v>
      </c>
      <c r="U21" s="17">
        <f t="shared" si="13"/>
        <v>12</v>
      </c>
      <c r="V21" s="17">
        <f t="shared" si="13"/>
        <v>19</v>
      </c>
      <c r="W21" s="17">
        <f t="shared" si="13"/>
        <v>2</v>
      </c>
      <c r="X21" s="17">
        <f t="shared" si="13"/>
        <v>0</v>
      </c>
      <c r="Y21" s="17">
        <f t="shared" si="13"/>
        <v>12</v>
      </c>
      <c r="Z21" s="17">
        <f t="shared" si="13"/>
        <v>3</v>
      </c>
      <c r="AA21" s="17">
        <f t="shared" si="13"/>
        <v>4</v>
      </c>
      <c r="AB21" s="17">
        <f t="shared" si="13"/>
        <v>2</v>
      </c>
      <c r="AC21" s="17">
        <f t="shared" si="13"/>
        <v>226</v>
      </c>
      <c r="AD21" s="17">
        <f t="shared" si="13"/>
        <v>3</v>
      </c>
      <c r="AE21" s="31">
        <f t="shared" si="13"/>
        <v>226</v>
      </c>
      <c r="AF21" s="31">
        <f t="shared" si="13"/>
        <v>452</v>
      </c>
    </row>
    <row r="22" spans="2:32" ht="23.1" customHeight="1" x14ac:dyDescent="0.25">
      <c r="B22" s="45" t="s">
        <v>49</v>
      </c>
      <c r="C22" s="50">
        <v>17</v>
      </c>
      <c r="D22" s="50">
        <v>1</v>
      </c>
      <c r="E22" s="50">
        <v>1</v>
      </c>
      <c r="F22" s="50">
        <v>16</v>
      </c>
      <c r="G22" s="50">
        <v>0</v>
      </c>
      <c r="H22" s="50">
        <v>0</v>
      </c>
      <c r="I22" s="50">
        <v>5</v>
      </c>
      <c r="J22" s="50">
        <v>1</v>
      </c>
      <c r="K22" s="50">
        <v>2</v>
      </c>
      <c r="L22" s="50">
        <v>0</v>
      </c>
      <c r="M22" s="50">
        <v>115</v>
      </c>
      <c r="N22" s="50">
        <v>0</v>
      </c>
      <c r="O22" s="15">
        <f t="shared" si="0"/>
        <v>43</v>
      </c>
      <c r="P22" s="15">
        <f t="shared" si="1"/>
        <v>158</v>
      </c>
      <c r="R22" s="36" t="s">
        <v>146</v>
      </c>
      <c r="S22" s="34">
        <f>SUM(C58:C61)</f>
        <v>144</v>
      </c>
      <c r="T22" s="34">
        <f t="shared" ref="T22:AF22" si="14">SUM(D58:D61)</f>
        <v>36</v>
      </c>
      <c r="U22" s="34">
        <f t="shared" si="14"/>
        <v>12</v>
      </c>
      <c r="V22" s="34">
        <f t="shared" si="14"/>
        <v>31</v>
      </c>
      <c r="W22" s="34">
        <f t="shared" si="14"/>
        <v>3</v>
      </c>
      <c r="X22" s="34">
        <f t="shared" si="14"/>
        <v>0</v>
      </c>
      <c r="Y22" s="34">
        <f t="shared" si="14"/>
        <v>12</v>
      </c>
      <c r="Z22" s="34">
        <f t="shared" si="14"/>
        <v>3</v>
      </c>
      <c r="AA22" s="34">
        <f t="shared" si="14"/>
        <v>5</v>
      </c>
      <c r="AB22" s="34">
        <f t="shared" si="14"/>
        <v>0</v>
      </c>
      <c r="AC22" s="34">
        <f t="shared" si="14"/>
        <v>339</v>
      </c>
      <c r="AD22" s="34">
        <f t="shared" si="14"/>
        <v>0</v>
      </c>
      <c r="AE22" s="31">
        <f t="shared" si="14"/>
        <v>246</v>
      </c>
      <c r="AF22" s="31">
        <f t="shared" si="14"/>
        <v>585</v>
      </c>
    </row>
    <row r="23" spans="2:32" ht="23.1" customHeight="1" x14ac:dyDescent="0.25">
      <c r="B23" s="45" t="s">
        <v>50</v>
      </c>
      <c r="C23" s="50">
        <v>16</v>
      </c>
      <c r="D23" s="50">
        <v>3</v>
      </c>
      <c r="E23" s="50">
        <v>2</v>
      </c>
      <c r="F23" s="50">
        <v>15</v>
      </c>
      <c r="G23" s="50">
        <v>0</v>
      </c>
      <c r="H23" s="50">
        <v>0</v>
      </c>
      <c r="I23" s="50">
        <v>6</v>
      </c>
      <c r="J23" s="50">
        <v>1</v>
      </c>
      <c r="K23" s="50">
        <v>0</v>
      </c>
      <c r="L23" s="50">
        <v>0</v>
      </c>
      <c r="M23" s="50">
        <v>132</v>
      </c>
      <c r="N23" s="50">
        <v>0</v>
      </c>
      <c r="O23" s="15">
        <f t="shared" si="0"/>
        <v>43</v>
      </c>
      <c r="P23" s="15">
        <f t="shared" si="1"/>
        <v>175</v>
      </c>
      <c r="R23" s="36" t="s">
        <v>147</v>
      </c>
      <c r="S23" s="34">
        <f>SUM(C62:C65)</f>
        <v>179</v>
      </c>
      <c r="T23" s="34">
        <f t="shared" ref="T23:AF23" si="15">SUM(D62:D65)</f>
        <v>38</v>
      </c>
      <c r="U23" s="34">
        <f t="shared" si="15"/>
        <v>5</v>
      </c>
      <c r="V23" s="34">
        <f t="shared" si="15"/>
        <v>50</v>
      </c>
      <c r="W23" s="34">
        <f t="shared" si="15"/>
        <v>3</v>
      </c>
      <c r="X23" s="34">
        <f t="shared" si="15"/>
        <v>0</v>
      </c>
      <c r="Y23" s="34">
        <f t="shared" si="15"/>
        <v>9</v>
      </c>
      <c r="Z23" s="34">
        <f t="shared" si="15"/>
        <v>6</v>
      </c>
      <c r="AA23" s="34">
        <f t="shared" si="15"/>
        <v>2</v>
      </c>
      <c r="AB23" s="34">
        <f t="shared" si="15"/>
        <v>0</v>
      </c>
      <c r="AC23" s="34">
        <f t="shared" si="15"/>
        <v>413</v>
      </c>
      <c r="AD23" s="34">
        <f t="shared" si="15"/>
        <v>0</v>
      </c>
      <c r="AE23" s="31">
        <f t="shared" si="15"/>
        <v>292</v>
      </c>
      <c r="AF23" s="31">
        <f t="shared" si="15"/>
        <v>705</v>
      </c>
    </row>
    <row r="24" spans="2:32" ht="23.1" customHeight="1" x14ac:dyDescent="0.25">
      <c r="B24" s="45" t="s">
        <v>51</v>
      </c>
      <c r="C24" s="50">
        <v>27</v>
      </c>
      <c r="D24" s="50">
        <v>5</v>
      </c>
      <c r="E24" s="50">
        <v>3</v>
      </c>
      <c r="F24" s="50">
        <v>10</v>
      </c>
      <c r="G24" s="50">
        <v>0</v>
      </c>
      <c r="H24" s="50">
        <v>0</v>
      </c>
      <c r="I24" s="50">
        <v>4</v>
      </c>
      <c r="J24" s="50">
        <v>0</v>
      </c>
      <c r="K24" s="50">
        <v>1</v>
      </c>
      <c r="L24" s="50">
        <v>0</v>
      </c>
      <c r="M24" s="50">
        <v>103</v>
      </c>
      <c r="N24" s="50">
        <v>0</v>
      </c>
      <c r="O24" s="15">
        <f t="shared" si="0"/>
        <v>50</v>
      </c>
      <c r="P24" s="15">
        <f t="shared" si="1"/>
        <v>153</v>
      </c>
      <c r="R24" s="36" t="s">
        <v>148</v>
      </c>
      <c r="S24" s="34">
        <f>SUM(C66:C69)</f>
        <v>88</v>
      </c>
      <c r="T24" s="34">
        <f t="shared" ref="T24:AF24" si="16">SUM(D66:D69)</f>
        <v>6</v>
      </c>
      <c r="U24" s="34">
        <f t="shared" si="16"/>
        <v>7</v>
      </c>
      <c r="V24" s="34">
        <f t="shared" si="16"/>
        <v>17</v>
      </c>
      <c r="W24" s="34">
        <f t="shared" si="16"/>
        <v>16</v>
      </c>
      <c r="X24" s="34">
        <f t="shared" si="16"/>
        <v>0</v>
      </c>
      <c r="Y24" s="34">
        <f t="shared" si="16"/>
        <v>14</v>
      </c>
      <c r="Z24" s="34">
        <f t="shared" si="16"/>
        <v>14</v>
      </c>
      <c r="AA24" s="34">
        <f t="shared" si="16"/>
        <v>1</v>
      </c>
      <c r="AB24" s="34">
        <f t="shared" si="16"/>
        <v>0</v>
      </c>
      <c r="AC24" s="34">
        <f t="shared" si="16"/>
        <v>267</v>
      </c>
      <c r="AD24" s="34">
        <f t="shared" si="16"/>
        <v>0</v>
      </c>
      <c r="AE24" s="31">
        <f t="shared" si="16"/>
        <v>163</v>
      </c>
      <c r="AF24" s="31">
        <f t="shared" si="16"/>
        <v>430</v>
      </c>
    </row>
    <row r="25" spans="2:32" ht="23.1" customHeight="1" x14ac:dyDescent="0.25">
      <c r="B25" s="45" t="s">
        <v>52</v>
      </c>
      <c r="C25" s="50">
        <v>32</v>
      </c>
      <c r="D25" s="50">
        <v>3</v>
      </c>
      <c r="E25" s="50">
        <v>4</v>
      </c>
      <c r="F25" s="50">
        <v>14</v>
      </c>
      <c r="G25" s="50">
        <v>0</v>
      </c>
      <c r="H25" s="50">
        <v>2</v>
      </c>
      <c r="I25" s="50">
        <v>6</v>
      </c>
      <c r="J25" s="50">
        <v>4</v>
      </c>
      <c r="K25" s="50">
        <v>0</v>
      </c>
      <c r="L25" s="50">
        <v>0</v>
      </c>
      <c r="M25" s="50">
        <v>150</v>
      </c>
      <c r="N25" s="50">
        <v>0</v>
      </c>
      <c r="O25" s="15">
        <f t="shared" si="0"/>
        <v>65</v>
      </c>
      <c r="P25" s="15">
        <f t="shared" si="1"/>
        <v>215</v>
      </c>
      <c r="R25" s="36" t="s">
        <v>149</v>
      </c>
      <c r="S25" s="34">
        <f>SUM(C70:C73)</f>
        <v>140</v>
      </c>
      <c r="T25" s="34">
        <f t="shared" ref="T25:AF25" si="17">SUM(D70:D73)</f>
        <v>31</v>
      </c>
      <c r="U25" s="34">
        <f t="shared" si="17"/>
        <v>6</v>
      </c>
      <c r="V25" s="34">
        <f t="shared" si="17"/>
        <v>37</v>
      </c>
      <c r="W25" s="34">
        <f t="shared" si="17"/>
        <v>0</v>
      </c>
      <c r="X25" s="34">
        <f t="shared" si="17"/>
        <v>1</v>
      </c>
      <c r="Y25" s="34">
        <f t="shared" si="17"/>
        <v>8</v>
      </c>
      <c r="Z25" s="34">
        <f t="shared" si="17"/>
        <v>2</v>
      </c>
      <c r="AA25" s="34">
        <f t="shared" si="17"/>
        <v>0</v>
      </c>
      <c r="AB25" s="34">
        <f t="shared" si="17"/>
        <v>3</v>
      </c>
      <c r="AC25" s="34">
        <f t="shared" si="17"/>
        <v>319</v>
      </c>
      <c r="AD25" s="34">
        <f t="shared" si="17"/>
        <v>0</v>
      </c>
      <c r="AE25" s="31">
        <f t="shared" si="17"/>
        <v>228</v>
      </c>
      <c r="AF25" s="31">
        <f t="shared" si="17"/>
        <v>547</v>
      </c>
    </row>
    <row r="26" spans="2:32" ht="23.1" customHeight="1" x14ac:dyDescent="0.25">
      <c r="B26" s="45" t="s">
        <v>53</v>
      </c>
      <c r="C26" s="50">
        <v>44</v>
      </c>
      <c r="D26" s="50">
        <v>4</v>
      </c>
      <c r="E26" s="50">
        <v>6</v>
      </c>
      <c r="F26" s="50">
        <v>18</v>
      </c>
      <c r="G26" s="50">
        <v>0</v>
      </c>
      <c r="H26" s="50">
        <v>0</v>
      </c>
      <c r="I26" s="50">
        <v>4</v>
      </c>
      <c r="J26" s="50">
        <v>1</v>
      </c>
      <c r="K26" s="50">
        <v>1</v>
      </c>
      <c r="L26" s="50">
        <v>0</v>
      </c>
      <c r="M26" s="50">
        <v>180</v>
      </c>
      <c r="N26" s="50">
        <v>0</v>
      </c>
      <c r="O26" s="15">
        <f t="shared" si="0"/>
        <v>78</v>
      </c>
      <c r="P26" s="15">
        <f t="shared" si="1"/>
        <v>258</v>
      </c>
      <c r="R26" s="36" t="s">
        <v>150</v>
      </c>
      <c r="S26" s="34">
        <f>SUM(C74:C77)</f>
        <v>100</v>
      </c>
      <c r="T26" s="34">
        <f t="shared" ref="T26:AF26" si="18">SUM(D74:D77)</f>
        <v>8</v>
      </c>
      <c r="U26" s="34">
        <f t="shared" si="18"/>
        <v>11</v>
      </c>
      <c r="V26" s="34">
        <f t="shared" si="18"/>
        <v>21</v>
      </c>
      <c r="W26" s="34">
        <f t="shared" si="18"/>
        <v>4</v>
      </c>
      <c r="X26" s="34">
        <f t="shared" si="18"/>
        <v>5</v>
      </c>
      <c r="Y26" s="34">
        <f t="shared" si="18"/>
        <v>4</v>
      </c>
      <c r="Z26" s="34">
        <f t="shared" si="18"/>
        <v>1</v>
      </c>
      <c r="AA26" s="34">
        <f t="shared" si="18"/>
        <v>1</v>
      </c>
      <c r="AB26" s="34">
        <f t="shared" si="18"/>
        <v>1</v>
      </c>
      <c r="AC26" s="34">
        <f t="shared" si="18"/>
        <v>257</v>
      </c>
      <c r="AD26" s="34">
        <f t="shared" si="18"/>
        <v>0</v>
      </c>
      <c r="AE26" s="31">
        <f t="shared" si="18"/>
        <v>156</v>
      </c>
      <c r="AF26" s="31">
        <f t="shared" si="18"/>
        <v>413</v>
      </c>
    </row>
    <row r="27" spans="2:32" ht="23.1" customHeight="1" x14ac:dyDescent="0.25">
      <c r="B27" s="45" t="s">
        <v>54</v>
      </c>
      <c r="C27" s="50">
        <v>29</v>
      </c>
      <c r="D27" s="50">
        <v>4</v>
      </c>
      <c r="E27" s="50">
        <v>1</v>
      </c>
      <c r="F27" s="50">
        <v>9</v>
      </c>
      <c r="G27" s="50">
        <v>1</v>
      </c>
      <c r="H27" s="50">
        <v>2</v>
      </c>
      <c r="I27" s="50">
        <v>5</v>
      </c>
      <c r="J27" s="50">
        <v>0</v>
      </c>
      <c r="K27" s="50">
        <v>1</v>
      </c>
      <c r="L27" s="50">
        <v>0</v>
      </c>
      <c r="M27" s="50">
        <v>130</v>
      </c>
      <c r="N27" s="50">
        <v>0</v>
      </c>
      <c r="O27" s="15">
        <f t="shared" si="0"/>
        <v>52</v>
      </c>
      <c r="P27" s="15">
        <f t="shared" si="1"/>
        <v>182</v>
      </c>
      <c r="R27" s="36" t="s">
        <v>151</v>
      </c>
      <c r="S27" s="34">
        <f>SUM(C78:C81)</f>
        <v>89</v>
      </c>
      <c r="T27" s="34">
        <f t="shared" ref="T27:AF27" si="19">SUM(D78:D81)</f>
        <v>2</v>
      </c>
      <c r="U27" s="34">
        <f t="shared" si="19"/>
        <v>8</v>
      </c>
      <c r="V27" s="34">
        <f t="shared" si="19"/>
        <v>14</v>
      </c>
      <c r="W27" s="34">
        <f t="shared" si="19"/>
        <v>1</v>
      </c>
      <c r="X27" s="34">
        <f t="shared" si="19"/>
        <v>1</v>
      </c>
      <c r="Y27" s="34">
        <f t="shared" si="19"/>
        <v>3</v>
      </c>
      <c r="Z27" s="34">
        <f t="shared" si="19"/>
        <v>1</v>
      </c>
      <c r="AA27" s="34">
        <f t="shared" si="19"/>
        <v>3</v>
      </c>
      <c r="AB27" s="34">
        <f t="shared" si="19"/>
        <v>0</v>
      </c>
      <c r="AC27" s="34">
        <f t="shared" si="19"/>
        <v>175</v>
      </c>
      <c r="AD27" s="34">
        <f t="shared" si="19"/>
        <v>0</v>
      </c>
      <c r="AE27" s="31">
        <f t="shared" si="19"/>
        <v>122</v>
      </c>
      <c r="AF27" s="31">
        <f t="shared" si="19"/>
        <v>297</v>
      </c>
    </row>
    <row r="28" spans="2:32" ht="23.1" customHeight="1" x14ac:dyDescent="0.25">
      <c r="B28" s="45" t="s">
        <v>55</v>
      </c>
      <c r="C28" s="50">
        <v>46</v>
      </c>
      <c r="D28" s="50">
        <v>7</v>
      </c>
      <c r="E28" s="50">
        <v>4</v>
      </c>
      <c r="F28" s="50">
        <v>14</v>
      </c>
      <c r="G28" s="50">
        <v>0</v>
      </c>
      <c r="H28" s="50">
        <v>0</v>
      </c>
      <c r="I28" s="50">
        <v>1</v>
      </c>
      <c r="J28" s="50">
        <v>3</v>
      </c>
      <c r="K28" s="50">
        <v>1</v>
      </c>
      <c r="L28" s="50">
        <v>2</v>
      </c>
      <c r="M28" s="50">
        <v>120</v>
      </c>
      <c r="N28" s="50">
        <v>0</v>
      </c>
      <c r="O28" s="15">
        <f t="shared" si="0"/>
        <v>78</v>
      </c>
      <c r="P28" s="15">
        <f t="shared" si="1"/>
        <v>198</v>
      </c>
      <c r="R28" s="36" t="s">
        <v>152</v>
      </c>
      <c r="S28" s="34">
        <f>SUM(C82:C85)</f>
        <v>65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1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124</v>
      </c>
      <c r="AD28" s="34">
        <f t="shared" si="20"/>
        <v>0</v>
      </c>
      <c r="AE28" s="31">
        <f t="shared" si="20"/>
        <v>72</v>
      </c>
      <c r="AF28" s="31">
        <f t="shared" si="20"/>
        <v>196</v>
      </c>
    </row>
    <row r="29" spans="2:32" ht="23.1" customHeight="1" x14ac:dyDescent="0.25">
      <c r="B29" s="45" t="s">
        <v>56</v>
      </c>
      <c r="C29" s="50">
        <v>43</v>
      </c>
      <c r="D29" s="50">
        <v>4</v>
      </c>
      <c r="E29" s="50">
        <v>6</v>
      </c>
      <c r="F29" s="50">
        <v>12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84</v>
      </c>
      <c r="N29" s="50">
        <v>0</v>
      </c>
      <c r="O29" s="15">
        <f t="shared" si="0"/>
        <v>68</v>
      </c>
      <c r="P29" s="15">
        <f t="shared" si="1"/>
        <v>152</v>
      </c>
      <c r="R29" s="36" t="s">
        <v>153</v>
      </c>
      <c r="S29" s="34">
        <f>SUM(C86:C89)</f>
        <v>63</v>
      </c>
      <c r="T29" s="34">
        <f t="shared" ref="T29:AF29" si="21">SUM(D86:D89)</f>
        <v>13</v>
      </c>
      <c r="U29" s="34">
        <f t="shared" si="21"/>
        <v>3</v>
      </c>
      <c r="V29" s="34">
        <f t="shared" si="21"/>
        <v>4</v>
      </c>
      <c r="W29" s="34">
        <f t="shared" si="21"/>
        <v>0</v>
      </c>
      <c r="X29" s="34">
        <f t="shared" si="21"/>
        <v>1</v>
      </c>
      <c r="Y29" s="34">
        <f t="shared" si="21"/>
        <v>3</v>
      </c>
      <c r="Z29" s="34">
        <f t="shared" si="21"/>
        <v>4</v>
      </c>
      <c r="AA29" s="34">
        <f t="shared" si="21"/>
        <v>1</v>
      </c>
      <c r="AB29" s="34">
        <f t="shared" si="21"/>
        <v>0</v>
      </c>
      <c r="AC29" s="34">
        <f t="shared" si="21"/>
        <v>95</v>
      </c>
      <c r="AD29" s="34">
        <f t="shared" si="21"/>
        <v>0</v>
      </c>
      <c r="AE29" s="31">
        <f t="shared" si="21"/>
        <v>92</v>
      </c>
      <c r="AF29" s="31">
        <f t="shared" si="21"/>
        <v>187</v>
      </c>
    </row>
    <row r="30" spans="2:32" ht="23.1" customHeight="1" x14ac:dyDescent="0.25">
      <c r="B30" s="45" t="s">
        <v>57</v>
      </c>
      <c r="C30" s="50">
        <v>23</v>
      </c>
      <c r="D30" s="50">
        <v>6</v>
      </c>
      <c r="E30" s="50">
        <v>2</v>
      </c>
      <c r="F30" s="50">
        <v>12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51</v>
      </c>
      <c r="N30" s="50">
        <v>0</v>
      </c>
      <c r="O30" s="15">
        <f t="shared" si="0"/>
        <v>45</v>
      </c>
      <c r="P30" s="15">
        <f t="shared" si="1"/>
        <v>96</v>
      </c>
      <c r="R30" s="36" t="s">
        <v>154</v>
      </c>
      <c r="S30" s="34">
        <f>SUM(C90:C93)</f>
        <v>155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91</v>
      </c>
      <c r="AD30" s="34">
        <f t="shared" si="22"/>
        <v>0</v>
      </c>
      <c r="AE30" s="31">
        <f t="shared" si="22"/>
        <v>160</v>
      </c>
      <c r="AF30" s="31">
        <f t="shared" si="22"/>
        <v>251</v>
      </c>
    </row>
    <row r="31" spans="2:32" ht="23.1" customHeight="1" x14ac:dyDescent="0.25">
      <c r="B31" s="46" t="s">
        <v>58</v>
      </c>
      <c r="C31" s="50">
        <v>61</v>
      </c>
      <c r="D31" s="50">
        <v>6</v>
      </c>
      <c r="E31" s="50">
        <v>2</v>
      </c>
      <c r="F31" s="50">
        <v>13</v>
      </c>
      <c r="G31" s="50">
        <v>0</v>
      </c>
      <c r="H31" s="50">
        <v>1</v>
      </c>
      <c r="I31" s="50">
        <v>3</v>
      </c>
      <c r="J31" s="50">
        <v>2</v>
      </c>
      <c r="K31" s="50">
        <v>2</v>
      </c>
      <c r="L31" s="50">
        <v>0</v>
      </c>
      <c r="M31" s="50">
        <v>80</v>
      </c>
      <c r="N31" s="50">
        <v>0</v>
      </c>
      <c r="O31" s="15">
        <f t="shared" si="0"/>
        <v>90</v>
      </c>
      <c r="P31" s="15">
        <f t="shared" si="1"/>
        <v>170</v>
      </c>
      <c r="R31" s="36" t="s">
        <v>155</v>
      </c>
      <c r="S31" s="34">
        <f>SUM(C94:C97)</f>
        <v>47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1</v>
      </c>
      <c r="Y31" s="34">
        <f t="shared" si="23"/>
        <v>5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110</v>
      </c>
      <c r="AD31" s="34">
        <f t="shared" si="23"/>
        <v>0</v>
      </c>
      <c r="AE31" s="31">
        <f t="shared" si="23"/>
        <v>57</v>
      </c>
      <c r="AF31" s="31">
        <f t="shared" si="23"/>
        <v>167</v>
      </c>
    </row>
    <row r="32" spans="2:32" ht="23.1" customHeight="1" x14ac:dyDescent="0.25">
      <c r="B32" s="46" t="s">
        <v>59</v>
      </c>
      <c r="C32" s="50">
        <v>36</v>
      </c>
      <c r="D32" s="50">
        <v>13</v>
      </c>
      <c r="E32" s="50">
        <v>6</v>
      </c>
      <c r="F32" s="50">
        <v>8</v>
      </c>
      <c r="G32" s="50">
        <v>1</v>
      </c>
      <c r="H32" s="50">
        <v>0</v>
      </c>
      <c r="I32" s="50">
        <v>3</v>
      </c>
      <c r="J32" s="50">
        <v>0</v>
      </c>
      <c r="K32" s="50">
        <v>1</v>
      </c>
      <c r="L32" s="50">
        <v>1</v>
      </c>
      <c r="M32" s="50">
        <v>77</v>
      </c>
      <c r="N32" s="50">
        <v>0</v>
      </c>
      <c r="O32" s="15">
        <f t="shared" si="0"/>
        <v>69</v>
      </c>
      <c r="P32" s="15">
        <f t="shared" si="1"/>
        <v>146</v>
      </c>
      <c r="R32" s="33" t="s">
        <v>156</v>
      </c>
      <c r="S32" s="34">
        <f>SUM(C98:C101)</f>
        <v>46</v>
      </c>
      <c r="T32" s="34">
        <f t="shared" ref="T32:AF32" si="24">SUM(D98:D101)</f>
        <v>6</v>
      </c>
      <c r="U32" s="34">
        <f t="shared" si="24"/>
        <v>5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2</v>
      </c>
      <c r="AA32" s="34">
        <f t="shared" si="24"/>
        <v>5</v>
      </c>
      <c r="AB32" s="34">
        <f t="shared" si="24"/>
        <v>0</v>
      </c>
      <c r="AC32" s="34">
        <f t="shared" si="24"/>
        <v>95</v>
      </c>
      <c r="AD32" s="34">
        <f t="shared" si="24"/>
        <v>0</v>
      </c>
      <c r="AE32" s="31">
        <f t="shared" si="24"/>
        <v>73</v>
      </c>
      <c r="AF32" s="31">
        <f t="shared" si="24"/>
        <v>168</v>
      </c>
    </row>
    <row r="33" spans="2:32" ht="23.1" customHeight="1" x14ac:dyDescent="0.25">
      <c r="B33" s="45" t="s">
        <v>60</v>
      </c>
      <c r="C33" s="50">
        <v>37</v>
      </c>
      <c r="D33" s="50">
        <v>4</v>
      </c>
      <c r="E33" s="50">
        <v>1</v>
      </c>
      <c r="F33" s="50">
        <v>11</v>
      </c>
      <c r="G33" s="50">
        <v>0</v>
      </c>
      <c r="H33" s="50">
        <v>0</v>
      </c>
      <c r="I33" s="50">
        <v>7</v>
      </c>
      <c r="J33" s="50">
        <v>3</v>
      </c>
      <c r="K33" s="50">
        <v>1</v>
      </c>
      <c r="L33" s="50">
        <v>0</v>
      </c>
      <c r="M33" s="50">
        <v>105</v>
      </c>
      <c r="N33" s="50">
        <v>0</v>
      </c>
      <c r="O33" s="15">
        <f t="shared" si="0"/>
        <v>64</v>
      </c>
      <c r="P33" s="15">
        <f t="shared" si="1"/>
        <v>169</v>
      </c>
      <c r="R33" s="33" t="s">
        <v>157</v>
      </c>
      <c r="S33" s="34">
        <f>SUM(C102:C105)</f>
        <v>27</v>
      </c>
      <c r="T33" s="34">
        <f t="shared" ref="T33:AF33" si="25">SUM(D102:D105)</f>
        <v>4</v>
      </c>
      <c r="U33" s="34">
        <f t="shared" si="25"/>
        <v>0</v>
      </c>
      <c r="V33" s="34">
        <f t="shared" si="25"/>
        <v>43</v>
      </c>
      <c r="W33" s="34">
        <f t="shared" si="25"/>
        <v>2</v>
      </c>
      <c r="X33" s="34">
        <f t="shared" si="25"/>
        <v>3</v>
      </c>
      <c r="Y33" s="34">
        <f t="shared" si="25"/>
        <v>6</v>
      </c>
      <c r="Z33" s="34">
        <f t="shared" si="25"/>
        <v>8</v>
      </c>
      <c r="AA33" s="34">
        <f t="shared" si="25"/>
        <v>1</v>
      </c>
      <c r="AB33" s="34">
        <f t="shared" si="25"/>
        <v>2</v>
      </c>
      <c r="AC33" s="34">
        <f t="shared" si="25"/>
        <v>126</v>
      </c>
      <c r="AD33" s="34">
        <f t="shared" si="25"/>
        <v>0</v>
      </c>
      <c r="AE33" s="31">
        <f t="shared" si="25"/>
        <v>96</v>
      </c>
      <c r="AF33" s="31">
        <f t="shared" si="25"/>
        <v>222</v>
      </c>
    </row>
    <row r="34" spans="2:32" ht="23.1" customHeight="1" x14ac:dyDescent="0.25">
      <c r="B34" s="46" t="s">
        <v>61</v>
      </c>
      <c r="C34" s="50">
        <v>47</v>
      </c>
      <c r="D34" s="50">
        <v>6</v>
      </c>
      <c r="E34" s="50">
        <v>2</v>
      </c>
      <c r="F34" s="50">
        <v>10</v>
      </c>
      <c r="G34" s="50">
        <v>0</v>
      </c>
      <c r="H34" s="50">
        <v>1</v>
      </c>
      <c r="I34" s="50">
        <v>4</v>
      </c>
      <c r="J34" s="50">
        <v>3</v>
      </c>
      <c r="K34" s="50">
        <v>3</v>
      </c>
      <c r="L34" s="50">
        <v>1</v>
      </c>
      <c r="M34" s="50">
        <v>95</v>
      </c>
      <c r="N34" s="50">
        <v>0</v>
      </c>
      <c r="O34" s="15">
        <f t="shared" si="0"/>
        <v>77</v>
      </c>
      <c r="P34" s="15">
        <f t="shared" si="1"/>
        <v>172</v>
      </c>
      <c r="R34" s="38" t="s">
        <v>90</v>
      </c>
      <c r="S34" s="39">
        <f t="shared" ref="S34:AF34" si="26">MAX(S10:S12)</f>
        <v>96</v>
      </c>
      <c r="T34" s="39">
        <f t="shared" si="26"/>
        <v>17</v>
      </c>
      <c r="U34" s="39">
        <f t="shared" si="26"/>
        <v>14</v>
      </c>
      <c r="V34" s="39">
        <f t="shared" si="26"/>
        <v>100</v>
      </c>
      <c r="W34" s="39">
        <f t="shared" si="26"/>
        <v>4</v>
      </c>
      <c r="X34" s="39">
        <f t="shared" si="26"/>
        <v>4</v>
      </c>
      <c r="Y34" s="39">
        <f t="shared" si="26"/>
        <v>16</v>
      </c>
      <c r="Z34" s="39">
        <f t="shared" si="26"/>
        <v>7</v>
      </c>
      <c r="AA34" s="39">
        <f t="shared" si="26"/>
        <v>2</v>
      </c>
      <c r="AB34" s="39">
        <f t="shared" si="26"/>
        <v>2</v>
      </c>
      <c r="AC34" s="39">
        <f t="shared" si="26"/>
        <v>786</v>
      </c>
      <c r="AD34" s="39">
        <f t="shared" si="26"/>
        <v>0</v>
      </c>
      <c r="AE34" s="40">
        <f t="shared" si="26"/>
        <v>244</v>
      </c>
      <c r="AF34" s="40">
        <f t="shared" si="26"/>
        <v>1012</v>
      </c>
    </row>
    <row r="35" spans="2:32" ht="23.1" customHeight="1" x14ac:dyDescent="0.25">
      <c r="B35" s="46" t="s">
        <v>62</v>
      </c>
      <c r="C35" s="50">
        <v>44</v>
      </c>
      <c r="D35" s="50">
        <v>3</v>
      </c>
      <c r="E35" s="50">
        <v>4</v>
      </c>
      <c r="F35" s="50">
        <v>14</v>
      </c>
      <c r="G35" s="50">
        <v>0</v>
      </c>
      <c r="H35" s="50">
        <v>0</v>
      </c>
      <c r="I35" s="50">
        <v>5</v>
      </c>
      <c r="J35" s="50">
        <v>2</v>
      </c>
      <c r="K35" s="50">
        <v>2</v>
      </c>
      <c r="L35" s="50">
        <v>1</v>
      </c>
      <c r="M35" s="50">
        <v>142</v>
      </c>
      <c r="N35" s="50">
        <v>0</v>
      </c>
      <c r="O35" s="15">
        <f t="shared" si="0"/>
        <v>75</v>
      </c>
      <c r="P35" s="15">
        <f t="shared" si="1"/>
        <v>217</v>
      </c>
      <c r="R35" s="38" t="s">
        <v>91</v>
      </c>
      <c r="S35" s="39">
        <f t="shared" ref="S35:AF35" si="27">MAX(S13:S18)</f>
        <v>231</v>
      </c>
      <c r="T35" s="39">
        <f t="shared" si="27"/>
        <v>48</v>
      </c>
      <c r="U35" s="39">
        <f t="shared" si="27"/>
        <v>17</v>
      </c>
      <c r="V35" s="39">
        <f t="shared" si="27"/>
        <v>55</v>
      </c>
      <c r="W35" s="39">
        <f t="shared" si="27"/>
        <v>1</v>
      </c>
      <c r="X35" s="39">
        <f t="shared" si="27"/>
        <v>2</v>
      </c>
      <c r="Y35" s="39">
        <f t="shared" si="27"/>
        <v>23</v>
      </c>
      <c r="Z35" s="39">
        <f t="shared" si="27"/>
        <v>13</v>
      </c>
      <c r="AA35" s="39">
        <f t="shared" si="27"/>
        <v>7</v>
      </c>
      <c r="AB35" s="39">
        <f t="shared" si="27"/>
        <v>2</v>
      </c>
      <c r="AC35" s="39">
        <f t="shared" si="27"/>
        <v>527</v>
      </c>
      <c r="AD35" s="39">
        <f t="shared" si="27"/>
        <v>0</v>
      </c>
      <c r="AE35" s="40">
        <f t="shared" si="27"/>
        <v>358</v>
      </c>
      <c r="AF35" s="40">
        <f t="shared" si="27"/>
        <v>885</v>
      </c>
    </row>
    <row r="36" spans="2:32" ht="23.1" customHeight="1" x14ac:dyDescent="0.25">
      <c r="B36" s="46" t="s">
        <v>63</v>
      </c>
      <c r="C36" s="50">
        <v>41</v>
      </c>
      <c r="D36" s="50">
        <v>8</v>
      </c>
      <c r="E36" s="50">
        <v>2</v>
      </c>
      <c r="F36" s="50">
        <v>9</v>
      </c>
      <c r="G36" s="50">
        <v>1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128</v>
      </c>
      <c r="N36" s="50">
        <v>0</v>
      </c>
      <c r="O36" s="15">
        <f t="shared" si="0"/>
        <v>64</v>
      </c>
      <c r="P36" s="15">
        <f t="shared" si="1"/>
        <v>192</v>
      </c>
      <c r="R36" s="38" t="s">
        <v>92</v>
      </c>
      <c r="S36" s="39">
        <f t="shared" ref="S36:AF36" si="28">MAX(S19:S21)</f>
        <v>216</v>
      </c>
      <c r="T36" s="39">
        <f t="shared" si="28"/>
        <v>33</v>
      </c>
      <c r="U36" s="39">
        <f t="shared" si="28"/>
        <v>19</v>
      </c>
      <c r="V36" s="39">
        <f t="shared" si="28"/>
        <v>34</v>
      </c>
      <c r="W36" s="39">
        <f t="shared" si="28"/>
        <v>2</v>
      </c>
      <c r="X36" s="39">
        <f t="shared" si="28"/>
        <v>2</v>
      </c>
      <c r="Y36" s="39">
        <f t="shared" si="28"/>
        <v>23</v>
      </c>
      <c r="Z36" s="39">
        <f t="shared" si="28"/>
        <v>5</v>
      </c>
      <c r="AA36" s="39">
        <f t="shared" si="28"/>
        <v>4</v>
      </c>
      <c r="AB36" s="39">
        <f t="shared" si="28"/>
        <v>2</v>
      </c>
      <c r="AC36" s="39">
        <f t="shared" si="28"/>
        <v>423</v>
      </c>
      <c r="AD36" s="39">
        <f t="shared" si="28"/>
        <v>3</v>
      </c>
      <c r="AE36" s="40">
        <f t="shared" si="28"/>
        <v>327</v>
      </c>
      <c r="AF36" s="40">
        <f t="shared" si="28"/>
        <v>728</v>
      </c>
    </row>
    <row r="37" spans="2:32" ht="23.1" customHeight="1" x14ac:dyDescent="0.25">
      <c r="B37" s="45" t="s">
        <v>64</v>
      </c>
      <c r="C37" s="50">
        <v>50</v>
      </c>
      <c r="D37" s="50">
        <v>10</v>
      </c>
      <c r="E37" s="50">
        <v>7</v>
      </c>
      <c r="F37" s="50">
        <v>16</v>
      </c>
      <c r="G37" s="50">
        <v>0</v>
      </c>
      <c r="H37" s="50">
        <v>0</v>
      </c>
      <c r="I37" s="50">
        <v>4</v>
      </c>
      <c r="J37" s="50">
        <v>2</v>
      </c>
      <c r="K37" s="50">
        <v>1</v>
      </c>
      <c r="L37" s="50">
        <v>0</v>
      </c>
      <c r="M37" s="50">
        <v>99</v>
      </c>
      <c r="N37" s="50">
        <v>0</v>
      </c>
      <c r="O37" s="15">
        <f t="shared" si="0"/>
        <v>90</v>
      </c>
      <c r="P37" s="15">
        <f t="shared" si="1"/>
        <v>189</v>
      </c>
      <c r="R37" s="37" t="s">
        <v>85</v>
      </c>
      <c r="S37" s="35">
        <f t="shared" ref="S37:AF37" si="29">SUM(S10:S12)</f>
        <v>274</v>
      </c>
      <c r="T37" s="16">
        <f t="shared" si="29"/>
        <v>39</v>
      </c>
      <c r="U37" s="16">
        <f t="shared" si="29"/>
        <v>28</v>
      </c>
      <c r="V37" s="16">
        <f t="shared" si="29"/>
        <v>266</v>
      </c>
      <c r="W37" s="16">
        <f t="shared" si="29"/>
        <v>7</v>
      </c>
      <c r="X37" s="16">
        <f t="shared" si="29"/>
        <v>8</v>
      </c>
      <c r="Y37" s="16">
        <f t="shared" si="29"/>
        <v>38</v>
      </c>
      <c r="Z37" s="16">
        <f t="shared" si="29"/>
        <v>11</v>
      </c>
      <c r="AA37" s="16">
        <f t="shared" si="29"/>
        <v>4</v>
      </c>
      <c r="AB37" s="16">
        <f t="shared" si="29"/>
        <v>2</v>
      </c>
      <c r="AC37" s="16">
        <f t="shared" si="29"/>
        <v>1920</v>
      </c>
      <c r="AD37" s="16">
        <f t="shared" si="29"/>
        <v>0</v>
      </c>
      <c r="AE37" s="32">
        <f t="shared" si="29"/>
        <v>677</v>
      </c>
      <c r="AF37" s="32">
        <f t="shared" si="29"/>
        <v>2597</v>
      </c>
    </row>
    <row r="38" spans="2:32" ht="23.1" customHeight="1" x14ac:dyDescent="0.25">
      <c r="B38" s="46" t="s">
        <v>65</v>
      </c>
      <c r="C38" s="50">
        <v>61</v>
      </c>
      <c r="D38" s="50">
        <v>9</v>
      </c>
      <c r="E38" s="50">
        <v>3</v>
      </c>
      <c r="F38" s="50">
        <v>11</v>
      </c>
      <c r="G38" s="50">
        <v>0</v>
      </c>
      <c r="H38" s="50">
        <v>1</v>
      </c>
      <c r="I38" s="50">
        <v>4</v>
      </c>
      <c r="J38" s="50">
        <v>5</v>
      </c>
      <c r="K38" s="50">
        <v>0</v>
      </c>
      <c r="L38" s="50">
        <v>0</v>
      </c>
      <c r="M38" s="50">
        <v>160</v>
      </c>
      <c r="N38" s="50">
        <v>0</v>
      </c>
      <c r="O38" s="15">
        <f t="shared" si="0"/>
        <v>94</v>
      </c>
      <c r="P38" s="15">
        <f t="shared" si="1"/>
        <v>254</v>
      </c>
      <c r="R38" s="28" t="s">
        <v>86</v>
      </c>
      <c r="S38" s="16">
        <f t="shared" ref="S38:AF38" si="30">SUM(S13:S18)</f>
        <v>1024</v>
      </c>
      <c r="T38" s="16">
        <f t="shared" si="30"/>
        <v>170</v>
      </c>
      <c r="U38" s="16">
        <f t="shared" si="30"/>
        <v>80</v>
      </c>
      <c r="V38" s="16">
        <f t="shared" si="30"/>
        <v>286</v>
      </c>
      <c r="W38" s="16">
        <f t="shared" si="30"/>
        <v>5</v>
      </c>
      <c r="X38" s="16">
        <f t="shared" si="30"/>
        <v>9</v>
      </c>
      <c r="Y38" s="16">
        <f t="shared" si="30"/>
        <v>102</v>
      </c>
      <c r="Z38" s="16">
        <f t="shared" si="30"/>
        <v>46</v>
      </c>
      <c r="AA38" s="16">
        <f t="shared" si="30"/>
        <v>25</v>
      </c>
      <c r="AB38" s="16">
        <f t="shared" si="30"/>
        <v>6</v>
      </c>
      <c r="AC38" s="16">
        <f t="shared" si="30"/>
        <v>2680</v>
      </c>
      <c r="AD38" s="16">
        <f t="shared" si="30"/>
        <v>0</v>
      </c>
      <c r="AE38" s="32">
        <f t="shared" si="30"/>
        <v>1753</v>
      </c>
      <c r="AF38" s="32">
        <f t="shared" si="30"/>
        <v>4433</v>
      </c>
    </row>
    <row r="39" spans="2:32" ht="23.1" customHeight="1" x14ac:dyDescent="0.25">
      <c r="B39" s="46" t="s">
        <v>66</v>
      </c>
      <c r="C39" s="50">
        <v>63</v>
      </c>
      <c r="D39" s="50">
        <v>6</v>
      </c>
      <c r="E39" s="50">
        <v>2</v>
      </c>
      <c r="F39" s="50">
        <v>9</v>
      </c>
      <c r="G39" s="50">
        <v>1</v>
      </c>
      <c r="H39" s="50">
        <v>0</v>
      </c>
      <c r="I39" s="50">
        <v>8</v>
      </c>
      <c r="J39" s="50">
        <v>3</v>
      </c>
      <c r="K39" s="50">
        <v>1</v>
      </c>
      <c r="L39" s="50">
        <v>0</v>
      </c>
      <c r="M39" s="50">
        <v>127</v>
      </c>
      <c r="N39" s="50">
        <v>0</v>
      </c>
      <c r="O39" s="15">
        <f t="shared" si="0"/>
        <v>93</v>
      </c>
      <c r="P39" s="15">
        <f t="shared" si="1"/>
        <v>220</v>
      </c>
      <c r="R39" s="29" t="s">
        <v>87</v>
      </c>
      <c r="S39" s="16">
        <f t="shared" ref="S39:AF39" si="31">SUM(S19:S21)</f>
        <v>548</v>
      </c>
      <c r="T39" s="16">
        <f t="shared" si="31"/>
        <v>88</v>
      </c>
      <c r="U39" s="16">
        <f t="shared" si="31"/>
        <v>48</v>
      </c>
      <c r="V39" s="16">
        <f t="shared" si="31"/>
        <v>84</v>
      </c>
      <c r="W39" s="16">
        <f t="shared" si="31"/>
        <v>5</v>
      </c>
      <c r="X39" s="16">
        <f t="shared" si="31"/>
        <v>2</v>
      </c>
      <c r="Y39" s="16">
        <f t="shared" si="31"/>
        <v>54</v>
      </c>
      <c r="Z39" s="16">
        <f t="shared" si="31"/>
        <v>13</v>
      </c>
      <c r="AA39" s="16">
        <f t="shared" si="31"/>
        <v>9</v>
      </c>
      <c r="AB39" s="16">
        <f t="shared" si="31"/>
        <v>4</v>
      </c>
      <c r="AC39" s="16">
        <f t="shared" si="31"/>
        <v>925</v>
      </c>
      <c r="AD39" s="16">
        <f t="shared" si="31"/>
        <v>3</v>
      </c>
      <c r="AE39" s="32">
        <f t="shared" si="31"/>
        <v>858</v>
      </c>
      <c r="AF39" s="32">
        <f t="shared" si="31"/>
        <v>1783</v>
      </c>
    </row>
    <row r="40" spans="2:32" ht="23.1" customHeight="1" x14ac:dyDescent="0.25">
      <c r="B40" s="46" t="s">
        <v>67</v>
      </c>
      <c r="C40" s="50">
        <v>55</v>
      </c>
      <c r="D40" s="50">
        <v>7</v>
      </c>
      <c r="E40" s="50">
        <v>1</v>
      </c>
      <c r="F40" s="50">
        <v>12</v>
      </c>
      <c r="G40" s="50">
        <v>0</v>
      </c>
      <c r="H40" s="50">
        <v>0</v>
      </c>
      <c r="I40" s="50">
        <v>4</v>
      </c>
      <c r="J40" s="50">
        <v>2</v>
      </c>
      <c r="K40" s="50">
        <v>1</v>
      </c>
      <c r="L40" s="50">
        <v>0</v>
      </c>
      <c r="M40" s="50">
        <v>135</v>
      </c>
      <c r="N40" s="50">
        <v>0</v>
      </c>
      <c r="O40" s="15">
        <f t="shared" si="0"/>
        <v>82</v>
      </c>
      <c r="P40" s="15">
        <f t="shared" si="1"/>
        <v>217</v>
      </c>
      <c r="R40" s="5" t="s">
        <v>17</v>
      </c>
      <c r="S40" s="16">
        <f t="shared" ref="S40:AF40" si="32">SUM(S10:S21)</f>
        <v>1846</v>
      </c>
      <c r="T40" s="16">
        <f t="shared" si="32"/>
        <v>297</v>
      </c>
      <c r="U40" s="16">
        <f t="shared" si="32"/>
        <v>156</v>
      </c>
      <c r="V40" s="16">
        <f t="shared" si="32"/>
        <v>636</v>
      </c>
      <c r="W40" s="16">
        <f t="shared" si="32"/>
        <v>17</v>
      </c>
      <c r="X40" s="16">
        <f t="shared" si="32"/>
        <v>19</v>
      </c>
      <c r="Y40" s="16">
        <f t="shared" si="32"/>
        <v>194</v>
      </c>
      <c r="Z40" s="16">
        <f t="shared" si="32"/>
        <v>70</v>
      </c>
      <c r="AA40" s="16">
        <f t="shared" si="32"/>
        <v>38</v>
      </c>
      <c r="AB40" s="16">
        <f t="shared" si="32"/>
        <v>12</v>
      </c>
      <c r="AC40" s="16">
        <f t="shared" si="32"/>
        <v>5525</v>
      </c>
      <c r="AD40" s="16">
        <f t="shared" si="32"/>
        <v>3</v>
      </c>
      <c r="AE40" s="32">
        <f t="shared" si="32"/>
        <v>3288</v>
      </c>
      <c r="AF40" s="32">
        <f t="shared" si="32"/>
        <v>8813</v>
      </c>
    </row>
    <row r="41" spans="2:32" ht="23.1" customHeight="1" x14ac:dyDescent="0.25">
      <c r="B41" s="45" t="s">
        <v>68</v>
      </c>
      <c r="C41" s="50">
        <v>52</v>
      </c>
      <c r="D41" s="50">
        <v>13</v>
      </c>
      <c r="E41" s="50">
        <v>4</v>
      </c>
      <c r="F41" s="50">
        <v>9</v>
      </c>
      <c r="G41" s="50">
        <v>0</v>
      </c>
      <c r="H41" s="50">
        <v>0</v>
      </c>
      <c r="I41" s="50">
        <v>7</v>
      </c>
      <c r="J41" s="50">
        <v>3</v>
      </c>
      <c r="K41" s="50">
        <v>1</v>
      </c>
      <c r="L41" s="50">
        <v>0</v>
      </c>
      <c r="M41" s="50">
        <v>105</v>
      </c>
      <c r="N41" s="50">
        <v>0</v>
      </c>
      <c r="O41" s="15">
        <f t="shared" si="0"/>
        <v>89</v>
      </c>
      <c r="P41" s="15">
        <f t="shared" si="1"/>
        <v>194</v>
      </c>
      <c r="R41" s="5" t="s">
        <v>159</v>
      </c>
      <c r="S41" s="16">
        <f>SUM(S10:S33)</f>
        <v>2989</v>
      </c>
      <c r="T41" s="16">
        <f t="shared" ref="T41:AF41" si="33">SUM(T10:T33)</f>
        <v>443</v>
      </c>
      <c r="U41" s="16">
        <f t="shared" si="33"/>
        <v>216</v>
      </c>
      <c r="V41" s="16">
        <f t="shared" si="33"/>
        <v>867</v>
      </c>
      <c r="W41" s="16">
        <f t="shared" si="33"/>
        <v>46</v>
      </c>
      <c r="X41" s="16">
        <f t="shared" si="33"/>
        <v>32</v>
      </c>
      <c r="Y41" s="16">
        <f t="shared" si="33"/>
        <v>260</v>
      </c>
      <c r="Z41" s="16">
        <f t="shared" si="33"/>
        <v>114</v>
      </c>
      <c r="AA41" s="16">
        <f t="shared" si="33"/>
        <v>57</v>
      </c>
      <c r="AB41" s="16">
        <f t="shared" si="33"/>
        <v>18</v>
      </c>
      <c r="AC41" s="16">
        <f t="shared" si="33"/>
        <v>7936</v>
      </c>
      <c r="AD41" s="16">
        <f t="shared" si="33"/>
        <v>3</v>
      </c>
      <c r="AE41" s="32">
        <f t="shared" si="33"/>
        <v>5045</v>
      </c>
      <c r="AF41" s="32">
        <f t="shared" si="33"/>
        <v>12981</v>
      </c>
    </row>
    <row r="42" spans="2:32" ht="23.1" customHeight="1" x14ac:dyDescent="0.25">
      <c r="B42" s="46" t="s">
        <v>69</v>
      </c>
      <c r="C42" s="50">
        <v>58</v>
      </c>
      <c r="D42" s="50">
        <v>20</v>
      </c>
      <c r="E42" s="50">
        <v>4</v>
      </c>
      <c r="F42" s="50">
        <v>16</v>
      </c>
      <c r="G42" s="50">
        <v>1</v>
      </c>
      <c r="H42" s="50">
        <v>0</v>
      </c>
      <c r="I42" s="50">
        <v>4</v>
      </c>
      <c r="J42" s="50">
        <v>1</v>
      </c>
      <c r="K42" s="50">
        <v>1</v>
      </c>
      <c r="L42" s="50">
        <v>1</v>
      </c>
      <c r="M42" s="50">
        <v>82</v>
      </c>
      <c r="N42" s="50">
        <v>0</v>
      </c>
      <c r="O42" s="15">
        <f t="shared" si="0"/>
        <v>106</v>
      </c>
      <c r="P42" s="15">
        <f t="shared" si="1"/>
        <v>188</v>
      </c>
      <c r="R42" s="5" t="s">
        <v>160</v>
      </c>
      <c r="S42" s="48">
        <f>S41/S40</f>
        <v>1.6191765980498374</v>
      </c>
      <c r="T42" s="48">
        <f t="shared" ref="T42:AF42" si="34">T41/T40</f>
        <v>1.4915824915824916</v>
      </c>
      <c r="U42" s="48">
        <f t="shared" si="34"/>
        <v>1.3846153846153846</v>
      </c>
      <c r="V42" s="48">
        <f t="shared" si="34"/>
        <v>1.3632075471698113</v>
      </c>
      <c r="W42" s="48">
        <f t="shared" si="34"/>
        <v>2.7058823529411766</v>
      </c>
      <c r="X42" s="48">
        <f t="shared" si="34"/>
        <v>1.6842105263157894</v>
      </c>
      <c r="Y42" s="48">
        <f t="shared" si="34"/>
        <v>1.3402061855670102</v>
      </c>
      <c r="Z42" s="48">
        <f t="shared" si="34"/>
        <v>1.6285714285714286</v>
      </c>
      <c r="AA42" s="48">
        <f t="shared" si="34"/>
        <v>1.5</v>
      </c>
      <c r="AB42" s="48">
        <f t="shared" si="34"/>
        <v>1.5</v>
      </c>
      <c r="AC42" s="48">
        <f t="shared" si="34"/>
        <v>1.4363800904977375</v>
      </c>
      <c r="AD42" s="48">
        <f t="shared" si="34"/>
        <v>1</v>
      </c>
      <c r="AE42" s="48">
        <f t="shared" si="34"/>
        <v>1.5343673965936739</v>
      </c>
      <c r="AF42" s="48">
        <f t="shared" si="34"/>
        <v>1.47293770566209</v>
      </c>
    </row>
    <row r="43" spans="2:32" ht="23.1" customHeight="1" x14ac:dyDescent="0.25">
      <c r="B43" s="45" t="s">
        <v>70</v>
      </c>
      <c r="C43" s="50">
        <v>46</v>
      </c>
      <c r="D43" s="50">
        <v>9</v>
      </c>
      <c r="E43" s="50">
        <v>6</v>
      </c>
      <c r="F43" s="50">
        <v>10</v>
      </c>
      <c r="G43" s="50">
        <v>0</v>
      </c>
      <c r="H43" s="50">
        <v>0</v>
      </c>
      <c r="I43" s="50">
        <v>3</v>
      </c>
      <c r="J43" s="50">
        <v>0</v>
      </c>
      <c r="K43" s="50">
        <v>2</v>
      </c>
      <c r="L43" s="50">
        <v>0</v>
      </c>
      <c r="M43" s="50">
        <v>66</v>
      </c>
      <c r="N43" s="50">
        <v>0</v>
      </c>
      <c r="O43" s="15">
        <f t="shared" si="0"/>
        <v>76</v>
      </c>
      <c r="P43" s="15">
        <f t="shared" si="1"/>
        <v>142</v>
      </c>
    </row>
    <row r="44" spans="2:32" ht="23.1" customHeight="1" x14ac:dyDescent="0.25">
      <c r="B44" s="47" t="s">
        <v>71</v>
      </c>
      <c r="C44" s="50">
        <v>49</v>
      </c>
      <c r="D44" s="50">
        <v>7</v>
      </c>
      <c r="E44" s="50">
        <v>6</v>
      </c>
      <c r="F44" s="50">
        <v>10</v>
      </c>
      <c r="G44" s="50">
        <v>0</v>
      </c>
      <c r="H44" s="50">
        <v>1</v>
      </c>
      <c r="I44" s="50">
        <v>7</v>
      </c>
      <c r="J44" s="50">
        <v>1</v>
      </c>
      <c r="K44" s="50">
        <v>2</v>
      </c>
      <c r="L44" s="50">
        <v>0</v>
      </c>
      <c r="M44" s="50">
        <v>88</v>
      </c>
      <c r="N44" s="50">
        <v>0</v>
      </c>
      <c r="O44" s="15">
        <f t="shared" si="0"/>
        <v>83</v>
      </c>
      <c r="P44" s="15">
        <f t="shared" si="1"/>
        <v>171</v>
      </c>
    </row>
    <row r="45" spans="2:32" ht="23.1" customHeight="1" x14ac:dyDescent="0.25">
      <c r="B45" s="45" t="s">
        <v>72</v>
      </c>
      <c r="C45" s="50">
        <v>47</v>
      </c>
      <c r="D45" s="50">
        <v>12</v>
      </c>
      <c r="E45" s="50">
        <v>1</v>
      </c>
      <c r="F45" s="50">
        <v>8</v>
      </c>
      <c r="G45" s="50">
        <v>0</v>
      </c>
      <c r="H45" s="50">
        <v>1</v>
      </c>
      <c r="I45" s="50">
        <v>4</v>
      </c>
      <c r="J45" s="50">
        <v>6</v>
      </c>
      <c r="K45" s="50">
        <v>0</v>
      </c>
      <c r="L45" s="50">
        <v>0</v>
      </c>
      <c r="M45" s="50">
        <v>126</v>
      </c>
      <c r="N45" s="50">
        <v>0</v>
      </c>
      <c r="O45" s="15">
        <f t="shared" si="0"/>
        <v>79</v>
      </c>
      <c r="P45" s="15">
        <f t="shared" si="1"/>
        <v>205</v>
      </c>
    </row>
    <row r="46" spans="2:32" ht="23.1" customHeight="1" x14ac:dyDescent="0.25">
      <c r="B46" s="46" t="s">
        <v>73</v>
      </c>
      <c r="C46" s="50">
        <v>54</v>
      </c>
      <c r="D46" s="50">
        <v>3</v>
      </c>
      <c r="E46" s="50">
        <v>3</v>
      </c>
      <c r="F46" s="50">
        <v>11</v>
      </c>
      <c r="G46" s="50">
        <v>0</v>
      </c>
      <c r="H46" s="50">
        <v>0</v>
      </c>
      <c r="I46" s="50">
        <v>10</v>
      </c>
      <c r="J46" s="50">
        <v>1</v>
      </c>
      <c r="K46" s="50">
        <v>2</v>
      </c>
      <c r="L46" s="50">
        <v>0</v>
      </c>
      <c r="M46" s="50">
        <v>83</v>
      </c>
      <c r="N46" s="50">
        <v>0</v>
      </c>
      <c r="O46" s="15">
        <f t="shared" si="0"/>
        <v>84</v>
      </c>
      <c r="P46" s="15">
        <f t="shared" si="1"/>
        <v>167</v>
      </c>
      <c r="R46" s="8"/>
      <c r="T46"/>
    </row>
    <row r="47" spans="2:32" ht="23.1" customHeight="1" x14ac:dyDescent="0.25">
      <c r="B47" s="46" t="s">
        <v>74</v>
      </c>
      <c r="C47" s="50">
        <v>45</v>
      </c>
      <c r="D47" s="50">
        <v>7</v>
      </c>
      <c r="E47" s="50">
        <v>8</v>
      </c>
      <c r="F47" s="50">
        <v>8</v>
      </c>
      <c r="G47" s="50">
        <v>0</v>
      </c>
      <c r="H47" s="50">
        <v>0</v>
      </c>
      <c r="I47" s="50">
        <v>6</v>
      </c>
      <c r="J47" s="50">
        <v>2</v>
      </c>
      <c r="K47" s="50">
        <v>0</v>
      </c>
      <c r="L47" s="50">
        <v>0</v>
      </c>
      <c r="M47" s="50">
        <v>110</v>
      </c>
      <c r="N47" s="50">
        <v>0</v>
      </c>
      <c r="O47" s="15">
        <f t="shared" si="0"/>
        <v>76</v>
      </c>
      <c r="P47" s="15">
        <f t="shared" si="1"/>
        <v>186</v>
      </c>
      <c r="R47" s="8"/>
      <c r="T47"/>
    </row>
    <row r="48" spans="2:32" ht="23.1" customHeight="1" x14ac:dyDescent="0.25">
      <c r="B48" s="46" t="s">
        <v>75</v>
      </c>
      <c r="C48" s="50">
        <v>50</v>
      </c>
      <c r="D48" s="50">
        <v>6</v>
      </c>
      <c r="E48" s="50">
        <v>4</v>
      </c>
      <c r="F48" s="50">
        <v>7</v>
      </c>
      <c r="G48" s="50">
        <v>2</v>
      </c>
      <c r="H48" s="50">
        <v>2</v>
      </c>
      <c r="I48" s="50">
        <v>4</v>
      </c>
      <c r="J48" s="50">
        <v>0</v>
      </c>
      <c r="K48" s="50">
        <v>0</v>
      </c>
      <c r="L48" s="50">
        <v>0</v>
      </c>
      <c r="M48" s="50">
        <v>170</v>
      </c>
      <c r="N48" s="50">
        <v>0</v>
      </c>
      <c r="O48" s="15">
        <f t="shared" si="0"/>
        <v>75</v>
      </c>
      <c r="P48" s="15">
        <f t="shared" si="1"/>
        <v>245</v>
      </c>
      <c r="R48" s="8"/>
      <c r="T48"/>
    </row>
    <row r="49" spans="2:20" ht="23.1" customHeight="1" x14ac:dyDescent="0.25">
      <c r="B49" s="45" t="s">
        <v>76</v>
      </c>
      <c r="C49" s="50">
        <v>47</v>
      </c>
      <c r="D49" s="50">
        <v>9</v>
      </c>
      <c r="E49" s="50">
        <v>2</v>
      </c>
      <c r="F49" s="50">
        <v>5</v>
      </c>
      <c r="G49" s="50">
        <v>0</v>
      </c>
      <c r="H49" s="50">
        <v>0</v>
      </c>
      <c r="I49" s="50">
        <v>3</v>
      </c>
      <c r="J49" s="50">
        <v>2</v>
      </c>
      <c r="K49" s="50">
        <v>1</v>
      </c>
      <c r="L49" s="50">
        <v>1</v>
      </c>
      <c r="M49" s="50">
        <v>60</v>
      </c>
      <c r="N49" s="50">
        <v>0</v>
      </c>
      <c r="O49" s="15">
        <f t="shared" si="0"/>
        <v>70</v>
      </c>
      <c r="P49" s="15">
        <f t="shared" si="1"/>
        <v>130</v>
      </c>
      <c r="R49" s="8"/>
      <c r="T49"/>
    </row>
    <row r="50" spans="2:20" ht="23.1" customHeight="1" x14ac:dyDescent="0.25">
      <c r="B50" s="46" t="s">
        <v>77</v>
      </c>
      <c r="C50" s="50">
        <v>67</v>
      </c>
      <c r="D50" s="50">
        <v>10</v>
      </c>
      <c r="E50" s="50">
        <v>2</v>
      </c>
      <c r="F50" s="50">
        <v>7</v>
      </c>
      <c r="G50" s="50">
        <v>1</v>
      </c>
      <c r="H50" s="50">
        <v>0</v>
      </c>
      <c r="I50" s="50">
        <v>6</v>
      </c>
      <c r="J50" s="50">
        <v>1</v>
      </c>
      <c r="K50" s="50">
        <v>0</v>
      </c>
      <c r="L50" s="50">
        <v>1</v>
      </c>
      <c r="M50" s="50">
        <v>56</v>
      </c>
      <c r="N50" s="50">
        <v>0</v>
      </c>
      <c r="O50" s="15">
        <f t="shared" si="0"/>
        <v>95</v>
      </c>
      <c r="P50" s="15">
        <f t="shared" si="1"/>
        <v>151</v>
      </c>
      <c r="R50" s="8"/>
      <c r="T50"/>
    </row>
    <row r="51" spans="2:20" ht="23.1" customHeight="1" x14ac:dyDescent="0.25">
      <c r="B51" s="46" t="s">
        <v>78</v>
      </c>
      <c r="C51" s="50">
        <v>60</v>
      </c>
      <c r="D51" s="50">
        <v>6</v>
      </c>
      <c r="E51" s="50">
        <v>6</v>
      </c>
      <c r="F51" s="50">
        <v>5</v>
      </c>
      <c r="G51" s="50">
        <v>0</v>
      </c>
      <c r="H51" s="50">
        <v>0</v>
      </c>
      <c r="I51" s="50">
        <v>7</v>
      </c>
      <c r="J51" s="50">
        <v>1</v>
      </c>
      <c r="K51" s="50">
        <v>1</v>
      </c>
      <c r="L51" s="50">
        <v>0</v>
      </c>
      <c r="M51" s="50">
        <v>84</v>
      </c>
      <c r="N51" s="50">
        <v>0</v>
      </c>
      <c r="O51" s="15">
        <f t="shared" si="0"/>
        <v>86</v>
      </c>
      <c r="P51" s="15">
        <f t="shared" si="1"/>
        <v>170</v>
      </c>
      <c r="R51" s="8"/>
      <c r="T51"/>
    </row>
    <row r="52" spans="2:20" ht="23.1" customHeight="1" x14ac:dyDescent="0.25">
      <c r="B52" s="46" t="s">
        <v>79</v>
      </c>
      <c r="C52" s="50">
        <v>43</v>
      </c>
      <c r="D52" s="50">
        <v>10</v>
      </c>
      <c r="E52" s="50">
        <v>6</v>
      </c>
      <c r="F52" s="50">
        <v>10</v>
      </c>
      <c r="G52" s="50">
        <v>0</v>
      </c>
      <c r="H52" s="50">
        <v>0</v>
      </c>
      <c r="I52" s="50">
        <v>4</v>
      </c>
      <c r="J52" s="50">
        <v>0</v>
      </c>
      <c r="K52" s="50">
        <v>1</v>
      </c>
      <c r="L52" s="50">
        <v>0</v>
      </c>
      <c r="M52" s="50">
        <v>77</v>
      </c>
      <c r="N52" s="50">
        <v>0</v>
      </c>
      <c r="O52" s="15">
        <f t="shared" si="0"/>
        <v>74</v>
      </c>
      <c r="P52" s="15">
        <f t="shared" si="1"/>
        <v>151</v>
      </c>
      <c r="R52" s="8"/>
      <c r="T52"/>
    </row>
    <row r="53" spans="2:20" ht="23.1" customHeight="1" x14ac:dyDescent="0.25">
      <c r="B53" s="45" t="s">
        <v>80</v>
      </c>
      <c r="C53" s="50">
        <v>46</v>
      </c>
      <c r="D53" s="50">
        <v>4</v>
      </c>
      <c r="E53" s="50">
        <v>5</v>
      </c>
      <c r="F53" s="50">
        <v>12</v>
      </c>
      <c r="G53" s="50">
        <v>0</v>
      </c>
      <c r="H53" s="50">
        <v>0</v>
      </c>
      <c r="I53" s="50">
        <v>2</v>
      </c>
      <c r="J53" s="50">
        <v>3</v>
      </c>
      <c r="K53" s="50">
        <v>0</v>
      </c>
      <c r="L53" s="50">
        <v>0</v>
      </c>
      <c r="M53" s="50">
        <v>59</v>
      </c>
      <c r="N53" s="50">
        <v>0</v>
      </c>
      <c r="O53" s="15">
        <f t="shared" si="0"/>
        <v>72</v>
      </c>
      <c r="P53" s="15">
        <f t="shared" si="1"/>
        <v>131</v>
      </c>
      <c r="R53" s="8"/>
      <c r="T53"/>
    </row>
    <row r="54" spans="2:20" ht="23.1" customHeight="1" x14ac:dyDescent="0.25">
      <c r="B54" s="45" t="s">
        <v>81</v>
      </c>
      <c r="C54" s="50">
        <v>46</v>
      </c>
      <c r="D54" s="50">
        <v>17</v>
      </c>
      <c r="E54" s="50">
        <v>7</v>
      </c>
      <c r="F54" s="50">
        <v>5</v>
      </c>
      <c r="G54" s="50">
        <v>1</v>
      </c>
      <c r="H54" s="50">
        <v>0</v>
      </c>
      <c r="I54" s="50">
        <v>3</v>
      </c>
      <c r="J54" s="50">
        <v>1</v>
      </c>
      <c r="K54" s="50">
        <v>1</v>
      </c>
      <c r="L54" s="50">
        <v>0</v>
      </c>
      <c r="M54" s="50">
        <v>60</v>
      </c>
      <c r="N54" s="50">
        <v>0</v>
      </c>
      <c r="O54" s="15">
        <f t="shared" si="0"/>
        <v>81</v>
      </c>
      <c r="P54" s="15">
        <f t="shared" si="1"/>
        <v>141</v>
      </c>
      <c r="R54" s="8"/>
      <c r="T54"/>
    </row>
    <row r="55" spans="2:20" ht="23.1" customHeight="1" x14ac:dyDescent="0.25">
      <c r="B55" s="45" t="s">
        <v>82</v>
      </c>
      <c r="C55" s="50">
        <v>40</v>
      </c>
      <c r="D55" s="50">
        <v>5</v>
      </c>
      <c r="E55" s="50">
        <v>1</v>
      </c>
      <c r="F55" s="50">
        <v>8</v>
      </c>
      <c r="G55" s="50">
        <v>0</v>
      </c>
      <c r="H55" s="50">
        <v>0</v>
      </c>
      <c r="I55" s="50">
        <v>6</v>
      </c>
      <c r="J55" s="50">
        <v>1</v>
      </c>
      <c r="K55" s="50">
        <v>1</v>
      </c>
      <c r="L55" s="50">
        <v>1</v>
      </c>
      <c r="M55" s="50">
        <v>39</v>
      </c>
      <c r="N55" s="50">
        <v>0</v>
      </c>
      <c r="O55" s="15">
        <f t="shared" si="0"/>
        <v>63</v>
      </c>
      <c r="P55" s="15">
        <f t="shared" si="1"/>
        <v>102</v>
      </c>
      <c r="R55" s="8"/>
      <c r="T55"/>
    </row>
    <row r="56" spans="2:20" ht="23.1" customHeight="1" x14ac:dyDescent="0.25">
      <c r="B56" s="45" t="s">
        <v>83</v>
      </c>
      <c r="C56" s="50">
        <v>25</v>
      </c>
      <c r="D56" s="50">
        <v>8</v>
      </c>
      <c r="E56" s="50">
        <v>2</v>
      </c>
      <c r="F56" s="50">
        <v>2</v>
      </c>
      <c r="G56" s="50">
        <v>1</v>
      </c>
      <c r="H56" s="50">
        <v>0</v>
      </c>
      <c r="I56" s="50">
        <v>0</v>
      </c>
      <c r="J56" s="50">
        <v>1</v>
      </c>
      <c r="K56" s="50">
        <v>2</v>
      </c>
      <c r="L56" s="50">
        <v>0</v>
      </c>
      <c r="M56" s="50">
        <v>52</v>
      </c>
      <c r="N56" s="50">
        <v>0</v>
      </c>
      <c r="O56" s="15">
        <f t="shared" si="0"/>
        <v>41</v>
      </c>
      <c r="P56" s="15">
        <f t="shared" si="1"/>
        <v>93</v>
      </c>
      <c r="R56" s="8"/>
      <c r="T56"/>
    </row>
    <row r="57" spans="2:20" ht="23.1" customHeight="1" x14ac:dyDescent="0.25">
      <c r="B57" s="45" t="s">
        <v>84</v>
      </c>
      <c r="C57" s="50">
        <v>25</v>
      </c>
      <c r="D57" s="50">
        <v>3</v>
      </c>
      <c r="E57" s="50">
        <v>2</v>
      </c>
      <c r="F57" s="50">
        <v>4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1</v>
      </c>
      <c r="M57" s="50">
        <v>75</v>
      </c>
      <c r="N57" s="50">
        <v>3</v>
      </c>
      <c r="O57" s="15">
        <f t="shared" si="0"/>
        <v>41</v>
      </c>
      <c r="P57" s="15">
        <f t="shared" si="1"/>
        <v>116</v>
      </c>
      <c r="R57" s="8"/>
      <c r="T57"/>
    </row>
    <row r="58" spans="2:20" ht="23.1" customHeight="1" x14ac:dyDescent="0.25">
      <c r="B58" s="45" t="s">
        <v>99</v>
      </c>
      <c r="C58" s="50">
        <v>34</v>
      </c>
      <c r="D58" s="50">
        <v>10</v>
      </c>
      <c r="E58" s="50">
        <v>5</v>
      </c>
      <c r="F58" s="50">
        <v>11</v>
      </c>
      <c r="G58" s="50">
        <v>0</v>
      </c>
      <c r="H58" s="50">
        <v>0</v>
      </c>
      <c r="I58" s="50">
        <v>3</v>
      </c>
      <c r="J58" s="50">
        <v>1</v>
      </c>
      <c r="K58" s="50">
        <v>2</v>
      </c>
      <c r="L58" s="50">
        <v>0</v>
      </c>
      <c r="M58" s="50">
        <v>47</v>
      </c>
      <c r="N58" s="50">
        <v>0</v>
      </c>
      <c r="O58" s="15">
        <f t="shared" si="0"/>
        <v>66</v>
      </c>
      <c r="P58" s="15">
        <f t="shared" si="1"/>
        <v>113</v>
      </c>
      <c r="R58" s="8"/>
      <c r="T58"/>
    </row>
    <row r="59" spans="2:20" ht="23.1" customHeight="1" x14ac:dyDescent="0.25">
      <c r="B59" s="45" t="s">
        <v>100</v>
      </c>
      <c r="C59" s="50">
        <v>44</v>
      </c>
      <c r="D59" s="50">
        <v>2</v>
      </c>
      <c r="E59" s="50">
        <v>5</v>
      </c>
      <c r="F59" s="50">
        <v>5</v>
      </c>
      <c r="G59" s="50">
        <v>1</v>
      </c>
      <c r="H59" s="50">
        <v>0</v>
      </c>
      <c r="I59" s="50">
        <v>3</v>
      </c>
      <c r="J59" s="50">
        <v>0</v>
      </c>
      <c r="K59" s="50">
        <v>3</v>
      </c>
      <c r="L59" s="50">
        <v>0</v>
      </c>
      <c r="M59" s="50">
        <v>97</v>
      </c>
      <c r="N59" s="50">
        <v>0</v>
      </c>
      <c r="O59" s="15">
        <f t="shared" si="0"/>
        <v>63</v>
      </c>
      <c r="P59" s="15">
        <f t="shared" si="1"/>
        <v>160</v>
      </c>
      <c r="R59" s="8"/>
      <c r="T59"/>
    </row>
    <row r="60" spans="2:20" ht="23.1" customHeight="1" x14ac:dyDescent="0.25">
      <c r="B60" s="45" t="s">
        <v>101</v>
      </c>
      <c r="C60" s="50">
        <v>23</v>
      </c>
      <c r="D60" s="50">
        <v>15</v>
      </c>
      <c r="E60" s="50">
        <v>0</v>
      </c>
      <c r="F60" s="50">
        <v>5</v>
      </c>
      <c r="G60" s="50">
        <v>2</v>
      </c>
      <c r="H60" s="50">
        <v>0</v>
      </c>
      <c r="I60" s="50">
        <v>4</v>
      </c>
      <c r="J60" s="50">
        <v>0</v>
      </c>
      <c r="K60" s="50">
        <v>0</v>
      </c>
      <c r="L60" s="50">
        <v>0</v>
      </c>
      <c r="M60" s="50">
        <v>90</v>
      </c>
      <c r="N60" s="50">
        <v>0</v>
      </c>
      <c r="O60" s="15">
        <f t="shared" si="0"/>
        <v>49</v>
      </c>
      <c r="P60" s="15">
        <f t="shared" si="1"/>
        <v>139</v>
      </c>
      <c r="R60" s="8"/>
      <c r="T60"/>
    </row>
    <row r="61" spans="2:20" ht="23.1" customHeight="1" x14ac:dyDescent="0.25">
      <c r="B61" s="45" t="s">
        <v>102</v>
      </c>
      <c r="C61" s="50">
        <v>43</v>
      </c>
      <c r="D61" s="50">
        <v>9</v>
      </c>
      <c r="E61" s="50">
        <v>2</v>
      </c>
      <c r="F61" s="50">
        <v>10</v>
      </c>
      <c r="G61" s="50">
        <v>0</v>
      </c>
      <c r="H61" s="50">
        <v>0</v>
      </c>
      <c r="I61" s="50">
        <v>2</v>
      </c>
      <c r="J61" s="50">
        <v>2</v>
      </c>
      <c r="K61" s="50">
        <v>0</v>
      </c>
      <c r="L61" s="50">
        <v>0</v>
      </c>
      <c r="M61" s="50">
        <v>105</v>
      </c>
      <c r="N61" s="50">
        <v>0</v>
      </c>
      <c r="O61" s="15">
        <f t="shared" si="0"/>
        <v>68</v>
      </c>
      <c r="P61" s="15">
        <f t="shared" si="1"/>
        <v>173</v>
      </c>
      <c r="R61" s="8"/>
      <c r="T61"/>
    </row>
    <row r="62" spans="2:20" ht="23.1" customHeight="1" x14ac:dyDescent="0.25">
      <c r="B62" s="45" t="s">
        <v>107</v>
      </c>
      <c r="C62" s="50">
        <v>31</v>
      </c>
      <c r="D62" s="50">
        <v>7</v>
      </c>
      <c r="E62" s="50">
        <v>1</v>
      </c>
      <c r="F62" s="50">
        <v>13</v>
      </c>
      <c r="G62" s="50">
        <v>0</v>
      </c>
      <c r="H62" s="50">
        <v>0</v>
      </c>
      <c r="I62" s="50">
        <v>3</v>
      </c>
      <c r="J62" s="50">
        <v>2</v>
      </c>
      <c r="K62" s="50">
        <v>0</v>
      </c>
      <c r="L62" s="50">
        <v>0</v>
      </c>
      <c r="M62" s="50">
        <v>110</v>
      </c>
      <c r="N62" s="50">
        <v>0</v>
      </c>
      <c r="O62" s="15">
        <f t="shared" si="0"/>
        <v>57</v>
      </c>
      <c r="P62" s="15">
        <f t="shared" si="1"/>
        <v>167</v>
      </c>
      <c r="R62" s="8"/>
      <c r="T62"/>
    </row>
    <row r="63" spans="2:20" ht="23.1" customHeight="1" x14ac:dyDescent="0.25">
      <c r="B63" s="45" t="s">
        <v>108</v>
      </c>
      <c r="C63" s="50">
        <v>36</v>
      </c>
      <c r="D63" s="50">
        <v>8</v>
      </c>
      <c r="E63" s="50">
        <v>3</v>
      </c>
      <c r="F63" s="50">
        <v>6</v>
      </c>
      <c r="G63" s="50">
        <v>0</v>
      </c>
      <c r="H63" s="50">
        <v>0</v>
      </c>
      <c r="I63" s="50">
        <v>2</v>
      </c>
      <c r="J63" s="50">
        <v>2</v>
      </c>
      <c r="K63" s="50">
        <v>1</v>
      </c>
      <c r="L63" s="50">
        <v>0</v>
      </c>
      <c r="M63" s="50">
        <v>101</v>
      </c>
      <c r="N63" s="50">
        <v>0</v>
      </c>
      <c r="O63" s="15">
        <f t="shared" si="0"/>
        <v>58</v>
      </c>
      <c r="P63" s="15">
        <f t="shared" si="1"/>
        <v>159</v>
      </c>
      <c r="R63" s="8"/>
      <c r="T63"/>
    </row>
    <row r="64" spans="2:20" ht="23.1" customHeight="1" x14ac:dyDescent="0.25">
      <c r="B64" s="45" t="s">
        <v>109</v>
      </c>
      <c r="C64" s="50">
        <v>80</v>
      </c>
      <c r="D64" s="50">
        <v>13</v>
      </c>
      <c r="E64" s="50">
        <v>0</v>
      </c>
      <c r="F64" s="50">
        <v>12</v>
      </c>
      <c r="G64" s="50">
        <v>1</v>
      </c>
      <c r="H64" s="50">
        <v>0</v>
      </c>
      <c r="I64" s="50">
        <v>4</v>
      </c>
      <c r="J64" s="50">
        <v>2</v>
      </c>
      <c r="K64" s="50">
        <v>0</v>
      </c>
      <c r="L64" s="50">
        <v>0</v>
      </c>
      <c r="M64" s="50">
        <v>102</v>
      </c>
      <c r="N64" s="50">
        <v>0</v>
      </c>
      <c r="O64" s="15">
        <f t="shared" si="0"/>
        <v>112</v>
      </c>
      <c r="P64" s="15">
        <f t="shared" si="1"/>
        <v>214</v>
      </c>
      <c r="R64" s="8"/>
      <c r="T64"/>
    </row>
    <row r="65" spans="2:20" ht="23.1" customHeight="1" x14ac:dyDescent="0.25">
      <c r="B65" s="45" t="s">
        <v>158</v>
      </c>
      <c r="C65" s="50">
        <v>32</v>
      </c>
      <c r="D65" s="50">
        <v>10</v>
      </c>
      <c r="E65" s="50">
        <v>1</v>
      </c>
      <c r="F65" s="50">
        <v>19</v>
      </c>
      <c r="G65" s="50">
        <v>2</v>
      </c>
      <c r="H65" s="50">
        <v>0</v>
      </c>
      <c r="I65" s="50">
        <v>0</v>
      </c>
      <c r="J65" s="50">
        <v>0</v>
      </c>
      <c r="K65" s="50">
        <v>1</v>
      </c>
      <c r="L65" s="50">
        <v>0</v>
      </c>
      <c r="M65" s="50">
        <v>100</v>
      </c>
      <c r="N65" s="50">
        <v>0</v>
      </c>
      <c r="O65" s="15">
        <f t="shared" si="0"/>
        <v>65</v>
      </c>
      <c r="P65" s="15">
        <f t="shared" si="1"/>
        <v>165</v>
      </c>
      <c r="R65" s="8"/>
      <c r="T65"/>
    </row>
    <row r="66" spans="2:20" ht="23.1" customHeight="1" x14ac:dyDescent="0.25">
      <c r="B66" s="45" t="s">
        <v>103</v>
      </c>
      <c r="C66" s="50">
        <v>24</v>
      </c>
      <c r="D66" s="50">
        <v>4</v>
      </c>
      <c r="E66" s="50">
        <v>2</v>
      </c>
      <c r="F66" s="50">
        <v>8</v>
      </c>
      <c r="G66" s="50">
        <v>1</v>
      </c>
      <c r="H66" s="50">
        <v>0</v>
      </c>
      <c r="I66" s="50">
        <v>2</v>
      </c>
      <c r="J66" s="50">
        <v>2</v>
      </c>
      <c r="K66" s="50">
        <v>1</v>
      </c>
      <c r="L66" s="50">
        <v>0</v>
      </c>
      <c r="M66" s="50">
        <v>90</v>
      </c>
      <c r="N66" s="50">
        <v>0</v>
      </c>
      <c r="O66" s="15">
        <f t="shared" si="0"/>
        <v>44</v>
      </c>
      <c r="P66" s="15">
        <f t="shared" si="1"/>
        <v>134</v>
      </c>
      <c r="R66" s="8"/>
      <c r="T66"/>
    </row>
    <row r="67" spans="2:20" ht="23.1" customHeight="1" x14ac:dyDescent="0.25">
      <c r="B67" s="45" t="s">
        <v>104</v>
      </c>
      <c r="C67" s="50">
        <v>17</v>
      </c>
      <c r="D67" s="50">
        <v>1</v>
      </c>
      <c r="E67" s="50">
        <v>1</v>
      </c>
      <c r="F67" s="50">
        <v>4</v>
      </c>
      <c r="G67" s="50">
        <v>12</v>
      </c>
      <c r="H67" s="50">
        <v>0</v>
      </c>
      <c r="I67" s="50">
        <v>4</v>
      </c>
      <c r="J67" s="50">
        <v>3</v>
      </c>
      <c r="K67" s="50">
        <v>0</v>
      </c>
      <c r="L67" s="50">
        <v>0</v>
      </c>
      <c r="M67" s="50">
        <v>50</v>
      </c>
      <c r="N67" s="50">
        <v>0</v>
      </c>
      <c r="O67" s="15">
        <f t="shared" si="0"/>
        <v>42</v>
      </c>
      <c r="P67" s="15">
        <f t="shared" si="1"/>
        <v>92</v>
      </c>
      <c r="R67" s="8"/>
      <c r="T67"/>
    </row>
    <row r="68" spans="2:20" ht="23.1" customHeight="1" x14ac:dyDescent="0.25">
      <c r="B68" s="45" t="s">
        <v>105</v>
      </c>
      <c r="C68" s="50">
        <v>20</v>
      </c>
      <c r="D68" s="50">
        <v>0</v>
      </c>
      <c r="E68" s="50">
        <v>1</v>
      </c>
      <c r="F68" s="50">
        <v>5</v>
      </c>
      <c r="G68" s="50">
        <v>0</v>
      </c>
      <c r="H68" s="50">
        <v>0</v>
      </c>
      <c r="I68" s="50">
        <v>6</v>
      </c>
      <c r="J68" s="50">
        <v>3</v>
      </c>
      <c r="K68" s="50">
        <v>0</v>
      </c>
      <c r="L68" s="50">
        <v>0</v>
      </c>
      <c r="M68" s="50">
        <v>62</v>
      </c>
      <c r="N68" s="50">
        <v>0</v>
      </c>
      <c r="O68" s="15">
        <f t="shared" si="0"/>
        <v>35</v>
      </c>
      <c r="P68" s="15">
        <f t="shared" si="1"/>
        <v>97</v>
      </c>
      <c r="R68" s="8"/>
      <c r="T68"/>
    </row>
    <row r="69" spans="2:20" ht="23.1" customHeight="1" x14ac:dyDescent="0.25">
      <c r="B69" s="45" t="s">
        <v>106</v>
      </c>
      <c r="C69" s="50">
        <v>27</v>
      </c>
      <c r="D69" s="50">
        <v>1</v>
      </c>
      <c r="E69" s="50">
        <v>3</v>
      </c>
      <c r="F69" s="50">
        <v>0</v>
      </c>
      <c r="G69" s="50">
        <v>3</v>
      </c>
      <c r="H69" s="50">
        <v>0</v>
      </c>
      <c r="I69" s="50">
        <v>2</v>
      </c>
      <c r="J69" s="50">
        <v>6</v>
      </c>
      <c r="K69" s="50">
        <v>0</v>
      </c>
      <c r="L69" s="50">
        <v>0</v>
      </c>
      <c r="M69" s="50">
        <v>65</v>
      </c>
      <c r="N69" s="50">
        <v>0</v>
      </c>
      <c r="O69" s="15">
        <f t="shared" si="0"/>
        <v>42</v>
      </c>
      <c r="P69" s="15">
        <f t="shared" si="1"/>
        <v>107</v>
      </c>
      <c r="R69" s="8"/>
      <c r="T69"/>
    </row>
    <row r="70" spans="2:20" ht="23.1" customHeight="1" x14ac:dyDescent="0.25">
      <c r="B70" s="45" t="s">
        <v>110</v>
      </c>
      <c r="C70" s="50">
        <v>50</v>
      </c>
      <c r="D70" s="50">
        <v>13</v>
      </c>
      <c r="E70" s="50">
        <v>1</v>
      </c>
      <c r="F70" s="50">
        <v>15</v>
      </c>
      <c r="G70" s="50">
        <v>0</v>
      </c>
      <c r="H70" s="50">
        <v>0</v>
      </c>
      <c r="I70" s="50">
        <v>2</v>
      </c>
      <c r="J70" s="50">
        <v>1</v>
      </c>
      <c r="K70" s="50">
        <v>0</v>
      </c>
      <c r="L70" s="50">
        <v>1</v>
      </c>
      <c r="M70" s="50">
        <v>105</v>
      </c>
      <c r="N70" s="50">
        <v>0</v>
      </c>
      <c r="O70" s="15">
        <f t="shared" si="0"/>
        <v>83</v>
      </c>
      <c r="P70" s="15">
        <f t="shared" si="1"/>
        <v>188</v>
      </c>
      <c r="R70" s="8"/>
      <c r="T70"/>
    </row>
    <row r="71" spans="2:20" ht="23.1" customHeight="1" x14ac:dyDescent="0.25">
      <c r="B71" s="45" t="s">
        <v>111</v>
      </c>
      <c r="C71" s="50">
        <v>40</v>
      </c>
      <c r="D71" s="50">
        <v>6</v>
      </c>
      <c r="E71" s="50">
        <v>1</v>
      </c>
      <c r="F71" s="50">
        <v>9</v>
      </c>
      <c r="G71" s="50">
        <v>0</v>
      </c>
      <c r="H71" s="50">
        <v>1</v>
      </c>
      <c r="I71" s="50">
        <v>1</v>
      </c>
      <c r="J71" s="50">
        <v>1</v>
      </c>
      <c r="K71" s="50">
        <v>0</v>
      </c>
      <c r="L71" s="50">
        <v>1</v>
      </c>
      <c r="M71" s="50">
        <v>80</v>
      </c>
      <c r="N71" s="50">
        <v>0</v>
      </c>
      <c r="O71" s="15">
        <f t="shared" si="0"/>
        <v>60</v>
      </c>
      <c r="P71" s="15">
        <f t="shared" si="1"/>
        <v>140</v>
      </c>
      <c r="R71" s="8"/>
      <c r="T71"/>
    </row>
    <row r="72" spans="2:20" ht="23.1" customHeight="1" x14ac:dyDescent="0.25">
      <c r="B72" s="45" t="s">
        <v>112</v>
      </c>
      <c r="C72" s="50">
        <v>20</v>
      </c>
      <c r="D72" s="50">
        <v>10</v>
      </c>
      <c r="E72" s="50">
        <v>0</v>
      </c>
      <c r="F72" s="50">
        <v>3</v>
      </c>
      <c r="G72" s="50">
        <v>0</v>
      </c>
      <c r="H72" s="50">
        <v>0</v>
      </c>
      <c r="I72" s="50">
        <v>5</v>
      </c>
      <c r="J72" s="50">
        <v>0</v>
      </c>
      <c r="K72" s="50">
        <v>0</v>
      </c>
      <c r="L72" s="50">
        <v>1</v>
      </c>
      <c r="M72" s="50">
        <v>60</v>
      </c>
      <c r="N72" s="50">
        <v>0</v>
      </c>
      <c r="O72" s="15">
        <f t="shared" si="0"/>
        <v>39</v>
      </c>
      <c r="P72" s="15">
        <f t="shared" si="1"/>
        <v>99</v>
      </c>
      <c r="R72" s="8"/>
      <c r="T72"/>
    </row>
    <row r="73" spans="2:20" ht="23.1" customHeight="1" x14ac:dyDescent="0.25">
      <c r="B73" s="45" t="s">
        <v>113</v>
      </c>
      <c r="C73" s="50">
        <v>30</v>
      </c>
      <c r="D73" s="50">
        <v>2</v>
      </c>
      <c r="E73" s="50">
        <v>4</v>
      </c>
      <c r="F73" s="50">
        <v>10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74</v>
      </c>
      <c r="N73" s="50">
        <v>0</v>
      </c>
      <c r="O73" s="15">
        <f t="shared" si="0"/>
        <v>46</v>
      </c>
      <c r="P73" s="15">
        <f t="shared" si="1"/>
        <v>120</v>
      </c>
      <c r="R73" s="8"/>
      <c r="T73"/>
    </row>
    <row r="74" spans="2:20" ht="23.1" customHeight="1" x14ac:dyDescent="0.25">
      <c r="B74" s="45" t="s">
        <v>114</v>
      </c>
      <c r="C74" s="50">
        <v>23</v>
      </c>
      <c r="D74" s="50">
        <v>2</v>
      </c>
      <c r="E74" s="50">
        <v>4</v>
      </c>
      <c r="F74" s="50">
        <v>9</v>
      </c>
      <c r="G74" s="50">
        <v>3</v>
      </c>
      <c r="H74" s="50">
        <v>1</v>
      </c>
      <c r="I74" s="50">
        <v>1</v>
      </c>
      <c r="J74" s="50">
        <v>0</v>
      </c>
      <c r="K74" s="50">
        <v>1</v>
      </c>
      <c r="L74" s="50">
        <v>1</v>
      </c>
      <c r="M74" s="50">
        <v>68</v>
      </c>
      <c r="N74" s="50">
        <v>0</v>
      </c>
      <c r="O74" s="15">
        <f t="shared" ref="O74:O105" si="35">SUM(C74:L74,N74)</f>
        <v>45</v>
      </c>
      <c r="P74" s="15">
        <f t="shared" ref="P74:P105" si="36">SUM(C74:N74)</f>
        <v>113</v>
      </c>
      <c r="R74" s="8"/>
      <c r="T74"/>
    </row>
    <row r="75" spans="2:20" ht="23.1" customHeight="1" x14ac:dyDescent="0.25">
      <c r="B75" s="45" t="s">
        <v>115</v>
      </c>
      <c r="C75" s="50">
        <v>26</v>
      </c>
      <c r="D75" s="50">
        <v>2</v>
      </c>
      <c r="E75" s="50">
        <v>6</v>
      </c>
      <c r="F75" s="50">
        <v>5</v>
      </c>
      <c r="G75" s="50">
        <v>1</v>
      </c>
      <c r="H75" s="50">
        <v>3</v>
      </c>
      <c r="I75" s="50">
        <v>1</v>
      </c>
      <c r="J75" s="50">
        <v>0</v>
      </c>
      <c r="K75" s="50">
        <v>0</v>
      </c>
      <c r="L75" s="50">
        <v>0</v>
      </c>
      <c r="M75" s="50">
        <v>78</v>
      </c>
      <c r="N75" s="50">
        <v>0</v>
      </c>
      <c r="O75" s="15">
        <f t="shared" si="35"/>
        <v>44</v>
      </c>
      <c r="P75" s="15">
        <f t="shared" si="36"/>
        <v>122</v>
      </c>
      <c r="R75" s="8"/>
      <c r="T75"/>
    </row>
    <row r="76" spans="2:20" ht="23.1" customHeight="1" x14ac:dyDescent="0.25">
      <c r="B76" s="45" t="s">
        <v>116</v>
      </c>
      <c r="C76" s="50">
        <v>39</v>
      </c>
      <c r="D76" s="50">
        <v>3</v>
      </c>
      <c r="E76" s="50">
        <v>1</v>
      </c>
      <c r="F76" s="50">
        <v>5</v>
      </c>
      <c r="G76" s="50">
        <v>0</v>
      </c>
      <c r="H76" s="50">
        <v>1</v>
      </c>
      <c r="I76" s="50">
        <v>2</v>
      </c>
      <c r="J76" s="50">
        <v>1</v>
      </c>
      <c r="K76" s="50">
        <v>0</v>
      </c>
      <c r="L76" s="50">
        <v>0</v>
      </c>
      <c r="M76" s="50">
        <v>63</v>
      </c>
      <c r="N76" s="50">
        <v>0</v>
      </c>
      <c r="O76" s="15">
        <f t="shared" si="35"/>
        <v>52</v>
      </c>
      <c r="P76" s="15">
        <f t="shared" si="36"/>
        <v>115</v>
      </c>
      <c r="R76" s="8"/>
      <c r="T76"/>
    </row>
    <row r="77" spans="2:20" ht="23.1" customHeight="1" x14ac:dyDescent="0.25">
      <c r="B77" s="45" t="s">
        <v>117</v>
      </c>
      <c r="C77" s="50">
        <v>12</v>
      </c>
      <c r="D77" s="50">
        <v>1</v>
      </c>
      <c r="E77" s="50">
        <v>0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48</v>
      </c>
      <c r="N77" s="50">
        <v>0</v>
      </c>
      <c r="O77" s="15">
        <f t="shared" si="35"/>
        <v>15</v>
      </c>
      <c r="P77" s="15">
        <f t="shared" si="36"/>
        <v>63</v>
      </c>
      <c r="R77" s="8"/>
      <c r="T77"/>
    </row>
    <row r="78" spans="2:20" ht="23.1" customHeight="1" x14ac:dyDescent="0.25">
      <c r="B78" s="46" t="s">
        <v>118</v>
      </c>
      <c r="C78" s="50">
        <v>30</v>
      </c>
      <c r="D78" s="50">
        <v>0</v>
      </c>
      <c r="E78" s="50">
        <v>4</v>
      </c>
      <c r="F78" s="50">
        <v>3</v>
      </c>
      <c r="G78" s="50">
        <v>1</v>
      </c>
      <c r="H78" s="50">
        <v>0</v>
      </c>
      <c r="I78" s="50">
        <v>2</v>
      </c>
      <c r="J78" s="50">
        <v>0</v>
      </c>
      <c r="K78" s="50">
        <v>2</v>
      </c>
      <c r="L78" s="50">
        <v>0</v>
      </c>
      <c r="M78" s="50">
        <v>50</v>
      </c>
      <c r="N78" s="50">
        <v>0</v>
      </c>
      <c r="O78" s="15">
        <f t="shared" si="35"/>
        <v>42</v>
      </c>
      <c r="P78" s="15">
        <f t="shared" si="36"/>
        <v>92</v>
      </c>
      <c r="R78" s="8"/>
      <c r="T78"/>
    </row>
    <row r="79" spans="2:20" ht="23.1" customHeight="1" x14ac:dyDescent="0.25">
      <c r="B79" s="45" t="s">
        <v>119</v>
      </c>
      <c r="C79" s="50">
        <v>24</v>
      </c>
      <c r="D79" s="50">
        <v>0</v>
      </c>
      <c r="E79" s="50">
        <v>1</v>
      </c>
      <c r="F79" s="50">
        <v>5</v>
      </c>
      <c r="G79" s="50">
        <v>0</v>
      </c>
      <c r="H79" s="50">
        <v>1</v>
      </c>
      <c r="I79" s="50">
        <v>0</v>
      </c>
      <c r="J79" s="50">
        <v>0</v>
      </c>
      <c r="K79" s="50">
        <v>0</v>
      </c>
      <c r="L79" s="50">
        <v>0</v>
      </c>
      <c r="M79" s="50">
        <v>43</v>
      </c>
      <c r="N79" s="50">
        <v>0</v>
      </c>
      <c r="O79" s="15">
        <f t="shared" si="35"/>
        <v>31</v>
      </c>
      <c r="P79" s="15">
        <f t="shared" si="36"/>
        <v>74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0</v>
      </c>
      <c r="E80" s="50">
        <v>1</v>
      </c>
      <c r="F80" s="50">
        <v>2</v>
      </c>
      <c r="G80" s="50">
        <v>0</v>
      </c>
      <c r="H80" s="50">
        <v>0</v>
      </c>
      <c r="I80" s="50">
        <v>0</v>
      </c>
      <c r="J80" s="50">
        <v>1</v>
      </c>
      <c r="K80" s="50">
        <v>1</v>
      </c>
      <c r="L80" s="50">
        <v>0</v>
      </c>
      <c r="M80" s="50">
        <v>37</v>
      </c>
      <c r="N80" s="50">
        <v>0</v>
      </c>
      <c r="O80" s="15">
        <f t="shared" si="35"/>
        <v>20</v>
      </c>
      <c r="P80" s="15">
        <f t="shared" si="36"/>
        <v>57</v>
      </c>
      <c r="R80" s="8"/>
      <c r="T80"/>
    </row>
    <row r="81" spans="2:20" ht="23.1" customHeight="1" x14ac:dyDescent="0.25">
      <c r="B81" s="45" t="s">
        <v>121</v>
      </c>
      <c r="C81" s="50">
        <v>20</v>
      </c>
      <c r="D81" s="50">
        <v>2</v>
      </c>
      <c r="E81" s="50">
        <v>2</v>
      </c>
      <c r="F81" s="50">
        <v>4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45</v>
      </c>
      <c r="N81" s="50">
        <v>0</v>
      </c>
      <c r="O81" s="15">
        <f t="shared" si="35"/>
        <v>29</v>
      </c>
      <c r="P81" s="15">
        <f t="shared" si="36"/>
        <v>74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1</v>
      </c>
      <c r="E82" s="50">
        <v>2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37</v>
      </c>
      <c r="N82" s="50">
        <v>0</v>
      </c>
      <c r="O82" s="15">
        <f t="shared" si="35"/>
        <v>19</v>
      </c>
      <c r="P82" s="15">
        <f t="shared" si="36"/>
        <v>56</v>
      </c>
      <c r="R82" s="8"/>
      <c r="T82"/>
    </row>
    <row r="83" spans="2:20" ht="23.1" customHeight="1" x14ac:dyDescent="0.25">
      <c r="B83" s="45" t="s">
        <v>123</v>
      </c>
      <c r="C83" s="50">
        <v>20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35</v>
      </c>
      <c r="N83" s="50">
        <v>0</v>
      </c>
      <c r="O83" s="15">
        <f t="shared" si="35"/>
        <v>20</v>
      </c>
      <c r="P83" s="15">
        <f t="shared" si="36"/>
        <v>55</v>
      </c>
      <c r="R83" s="8"/>
      <c r="T83"/>
    </row>
    <row r="84" spans="2:20" ht="23.1" customHeight="1" x14ac:dyDescent="0.25">
      <c r="B84" s="47" t="s">
        <v>124</v>
      </c>
      <c r="C84" s="50">
        <v>15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25</v>
      </c>
      <c r="N84" s="50">
        <v>0</v>
      </c>
      <c r="O84" s="15">
        <f t="shared" si="35"/>
        <v>16</v>
      </c>
      <c r="P84" s="15">
        <f t="shared" si="36"/>
        <v>41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0</v>
      </c>
      <c r="E85" s="50">
        <v>1</v>
      </c>
      <c r="F85" s="50">
        <v>0</v>
      </c>
      <c r="G85" s="50">
        <v>0</v>
      </c>
      <c r="H85" s="50">
        <v>1</v>
      </c>
      <c r="I85" s="50">
        <v>0</v>
      </c>
      <c r="J85" s="50">
        <v>0</v>
      </c>
      <c r="K85" s="50">
        <v>0</v>
      </c>
      <c r="L85" s="50">
        <v>0</v>
      </c>
      <c r="M85" s="50">
        <v>27</v>
      </c>
      <c r="N85" s="50">
        <v>0</v>
      </c>
      <c r="O85" s="15">
        <f t="shared" si="35"/>
        <v>17</v>
      </c>
      <c r="P85" s="15">
        <f t="shared" si="36"/>
        <v>44</v>
      </c>
      <c r="R85" s="8"/>
      <c r="T85"/>
    </row>
    <row r="86" spans="2:20" ht="23.1" customHeight="1" x14ac:dyDescent="0.25">
      <c r="B86" s="46" t="s">
        <v>126</v>
      </c>
      <c r="C86" s="50">
        <v>23</v>
      </c>
      <c r="D86" s="50">
        <v>1</v>
      </c>
      <c r="E86" s="50">
        <v>0</v>
      </c>
      <c r="F86" s="50">
        <v>1</v>
      </c>
      <c r="G86" s="50">
        <v>0</v>
      </c>
      <c r="H86" s="50">
        <v>1</v>
      </c>
      <c r="I86" s="50">
        <v>0</v>
      </c>
      <c r="J86" s="50">
        <v>3</v>
      </c>
      <c r="K86" s="50">
        <v>0</v>
      </c>
      <c r="L86" s="50">
        <v>0</v>
      </c>
      <c r="M86" s="50">
        <v>37</v>
      </c>
      <c r="N86" s="50">
        <v>0</v>
      </c>
      <c r="O86" s="15">
        <f t="shared" si="35"/>
        <v>29</v>
      </c>
      <c r="P86" s="15">
        <f t="shared" si="36"/>
        <v>66</v>
      </c>
      <c r="R86" s="8"/>
      <c r="T86"/>
    </row>
    <row r="87" spans="2:20" ht="23.1" customHeight="1" x14ac:dyDescent="0.25">
      <c r="B87" s="45" t="s">
        <v>127</v>
      </c>
      <c r="C87" s="50">
        <v>16</v>
      </c>
      <c r="D87" s="50">
        <v>3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20</v>
      </c>
      <c r="N87" s="50">
        <v>0</v>
      </c>
      <c r="O87" s="15">
        <f t="shared" si="35"/>
        <v>21</v>
      </c>
      <c r="P87" s="15">
        <f t="shared" si="36"/>
        <v>41</v>
      </c>
      <c r="R87" s="8"/>
      <c r="T87"/>
    </row>
    <row r="88" spans="2:20" ht="23.1" customHeight="1" x14ac:dyDescent="0.25">
      <c r="B88" s="47" t="s">
        <v>128</v>
      </c>
      <c r="C88" s="50">
        <v>13</v>
      </c>
      <c r="D88" s="50">
        <v>5</v>
      </c>
      <c r="E88" s="50">
        <v>1</v>
      </c>
      <c r="F88" s="50">
        <v>2</v>
      </c>
      <c r="G88" s="50">
        <v>0</v>
      </c>
      <c r="H88" s="50">
        <v>0</v>
      </c>
      <c r="I88" s="50">
        <v>2</v>
      </c>
      <c r="J88" s="50">
        <v>0</v>
      </c>
      <c r="K88" s="50">
        <v>0</v>
      </c>
      <c r="L88" s="50">
        <v>0</v>
      </c>
      <c r="M88" s="50">
        <v>20</v>
      </c>
      <c r="N88" s="50">
        <v>0</v>
      </c>
      <c r="O88" s="15">
        <f t="shared" si="35"/>
        <v>23</v>
      </c>
      <c r="P88" s="15">
        <f t="shared" si="36"/>
        <v>43</v>
      </c>
      <c r="R88" s="8"/>
      <c r="T88"/>
    </row>
    <row r="89" spans="2:20" ht="23.1" customHeight="1" x14ac:dyDescent="0.25">
      <c r="B89" s="45" t="s">
        <v>129</v>
      </c>
      <c r="C89" s="50">
        <v>11</v>
      </c>
      <c r="D89" s="50">
        <v>4</v>
      </c>
      <c r="E89" s="50">
        <v>1</v>
      </c>
      <c r="F89" s="50">
        <v>0</v>
      </c>
      <c r="G89" s="50">
        <v>0</v>
      </c>
      <c r="H89" s="50">
        <v>0</v>
      </c>
      <c r="I89" s="50">
        <v>1</v>
      </c>
      <c r="J89" s="50">
        <v>1</v>
      </c>
      <c r="K89" s="50">
        <v>1</v>
      </c>
      <c r="L89" s="50">
        <v>0</v>
      </c>
      <c r="M89" s="50">
        <v>18</v>
      </c>
      <c r="N89" s="50">
        <v>0</v>
      </c>
      <c r="O89" s="15">
        <f t="shared" si="35"/>
        <v>19</v>
      </c>
      <c r="P89" s="15">
        <f t="shared" si="36"/>
        <v>37</v>
      </c>
      <c r="R89" s="8"/>
      <c r="T89"/>
    </row>
    <row r="90" spans="2:20" ht="23.1" customHeight="1" x14ac:dyDescent="0.25">
      <c r="B90" s="46" t="s">
        <v>130</v>
      </c>
      <c r="C90" s="50">
        <v>120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25</v>
      </c>
      <c r="N90" s="50">
        <v>0</v>
      </c>
      <c r="O90" s="15">
        <f t="shared" si="35"/>
        <v>122</v>
      </c>
      <c r="P90" s="15">
        <f t="shared" si="36"/>
        <v>147</v>
      </c>
      <c r="R90" s="8"/>
      <c r="T90"/>
    </row>
    <row r="91" spans="2:20" ht="23.1" customHeight="1" x14ac:dyDescent="0.25">
      <c r="B91" s="45" t="s">
        <v>131</v>
      </c>
      <c r="C91" s="50">
        <v>20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35</v>
      </c>
      <c r="N91" s="50">
        <v>0</v>
      </c>
      <c r="O91" s="15">
        <f t="shared" si="35"/>
        <v>22</v>
      </c>
      <c r="P91" s="15">
        <f t="shared" si="36"/>
        <v>57</v>
      </c>
      <c r="R91" s="8"/>
      <c r="T91"/>
    </row>
    <row r="92" spans="2:20" ht="23.1" customHeight="1" x14ac:dyDescent="0.25">
      <c r="B92" s="47" t="s">
        <v>132</v>
      </c>
      <c r="C92" s="50">
        <v>8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18</v>
      </c>
      <c r="N92" s="50">
        <v>0</v>
      </c>
      <c r="O92" s="15">
        <f t="shared" si="35"/>
        <v>9</v>
      </c>
      <c r="P92" s="15">
        <f t="shared" si="36"/>
        <v>27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13</v>
      </c>
      <c r="N93" s="50">
        <v>0</v>
      </c>
      <c r="O93" s="15">
        <f t="shared" si="35"/>
        <v>7</v>
      </c>
      <c r="P93" s="15">
        <f t="shared" si="36"/>
        <v>20</v>
      </c>
      <c r="R93" s="8"/>
      <c r="T93"/>
    </row>
    <row r="94" spans="2:20" ht="23.1" customHeight="1" x14ac:dyDescent="0.25">
      <c r="B94" s="46" t="s">
        <v>134</v>
      </c>
      <c r="C94" s="50">
        <v>17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33</v>
      </c>
      <c r="N94" s="50">
        <v>0</v>
      </c>
      <c r="O94" s="15">
        <f t="shared" si="35"/>
        <v>18</v>
      </c>
      <c r="P94" s="15">
        <f t="shared" si="36"/>
        <v>51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0</v>
      </c>
      <c r="E95" s="50">
        <v>0</v>
      </c>
      <c r="F95" s="50">
        <v>0</v>
      </c>
      <c r="G95" s="50">
        <v>0</v>
      </c>
      <c r="H95" s="50">
        <v>1</v>
      </c>
      <c r="I95" s="50">
        <v>1</v>
      </c>
      <c r="J95" s="50">
        <v>0</v>
      </c>
      <c r="K95" s="50">
        <v>0</v>
      </c>
      <c r="L95" s="50">
        <v>0</v>
      </c>
      <c r="M95" s="50">
        <v>20</v>
      </c>
      <c r="N95" s="50">
        <v>0</v>
      </c>
      <c r="O95" s="15">
        <f t="shared" si="35"/>
        <v>10</v>
      </c>
      <c r="P95" s="15">
        <f t="shared" si="36"/>
        <v>30</v>
      </c>
      <c r="R95" s="8"/>
      <c r="T95"/>
    </row>
    <row r="96" spans="2:20" ht="23.1" customHeight="1" x14ac:dyDescent="0.25">
      <c r="B96" s="47" t="s">
        <v>136</v>
      </c>
      <c r="C96" s="50">
        <v>10</v>
      </c>
      <c r="D96" s="50">
        <v>0</v>
      </c>
      <c r="E96" s="50">
        <v>0</v>
      </c>
      <c r="F96" s="50">
        <v>2</v>
      </c>
      <c r="G96" s="50">
        <v>0</v>
      </c>
      <c r="H96" s="50">
        <v>0</v>
      </c>
      <c r="I96" s="50">
        <v>4</v>
      </c>
      <c r="J96" s="50">
        <v>0</v>
      </c>
      <c r="K96" s="50">
        <v>0</v>
      </c>
      <c r="L96" s="50">
        <v>0</v>
      </c>
      <c r="M96" s="50">
        <v>29</v>
      </c>
      <c r="N96" s="50">
        <v>0</v>
      </c>
      <c r="O96" s="15">
        <f t="shared" si="35"/>
        <v>16</v>
      </c>
      <c r="P96" s="15">
        <f t="shared" si="36"/>
        <v>45</v>
      </c>
      <c r="R96" s="8"/>
      <c r="T96"/>
    </row>
    <row r="97" spans="2:20" ht="23.1" customHeight="1" x14ac:dyDescent="0.25">
      <c r="B97" s="45" t="s">
        <v>137</v>
      </c>
      <c r="C97" s="50">
        <v>12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50">
        <v>28</v>
      </c>
      <c r="N97" s="50">
        <v>0</v>
      </c>
      <c r="O97" s="15">
        <f t="shared" si="35"/>
        <v>13</v>
      </c>
      <c r="P97" s="15">
        <f t="shared" si="36"/>
        <v>41</v>
      </c>
      <c r="R97" s="8"/>
      <c r="T97"/>
    </row>
    <row r="98" spans="2:20" ht="23.1" customHeight="1" x14ac:dyDescent="0.25">
      <c r="B98" s="46" t="s">
        <v>138</v>
      </c>
      <c r="C98" s="50">
        <v>13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1</v>
      </c>
      <c r="K98" s="50">
        <v>1</v>
      </c>
      <c r="L98" s="50">
        <v>0</v>
      </c>
      <c r="M98" s="50">
        <v>15</v>
      </c>
      <c r="N98" s="50">
        <v>0</v>
      </c>
      <c r="O98" s="15">
        <f t="shared" si="35"/>
        <v>16</v>
      </c>
      <c r="P98" s="15">
        <f t="shared" si="36"/>
        <v>31</v>
      </c>
      <c r="R98" s="8"/>
      <c r="T98"/>
    </row>
    <row r="99" spans="2:20" ht="23.1" customHeight="1" x14ac:dyDescent="0.25">
      <c r="B99" s="45" t="s">
        <v>139</v>
      </c>
      <c r="C99" s="50">
        <v>15</v>
      </c>
      <c r="D99" s="50">
        <v>0</v>
      </c>
      <c r="E99" s="50">
        <v>1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17</v>
      </c>
      <c r="N99" s="50">
        <v>0</v>
      </c>
      <c r="O99" s="15">
        <f t="shared" si="35"/>
        <v>20</v>
      </c>
      <c r="P99" s="15">
        <f t="shared" si="36"/>
        <v>37</v>
      </c>
      <c r="R99" s="8"/>
      <c r="T99"/>
    </row>
    <row r="100" spans="2:20" ht="23.1" customHeight="1" x14ac:dyDescent="0.25">
      <c r="B100" s="47" t="s">
        <v>140</v>
      </c>
      <c r="C100" s="50">
        <v>10</v>
      </c>
      <c r="D100" s="50">
        <v>4</v>
      </c>
      <c r="E100" s="50">
        <v>2</v>
      </c>
      <c r="F100" s="50">
        <v>3</v>
      </c>
      <c r="G100" s="50">
        <v>0</v>
      </c>
      <c r="H100" s="50">
        <v>0</v>
      </c>
      <c r="I100" s="50">
        <v>1</v>
      </c>
      <c r="J100" s="50">
        <v>1</v>
      </c>
      <c r="K100" s="50">
        <v>1</v>
      </c>
      <c r="L100" s="50">
        <v>0</v>
      </c>
      <c r="M100" s="50">
        <v>23</v>
      </c>
      <c r="N100" s="50">
        <v>0</v>
      </c>
      <c r="O100" s="15">
        <f t="shared" si="35"/>
        <v>22</v>
      </c>
      <c r="P100" s="15">
        <f t="shared" si="36"/>
        <v>45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2</v>
      </c>
      <c r="E101" s="50">
        <v>2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2</v>
      </c>
      <c r="L101" s="50">
        <v>0</v>
      </c>
      <c r="M101" s="50">
        <v>40</v>
      </c>
      <c r="N101" s="50">
        <v>0</v>
      </c>
      <c r="O101" s="15">
        <f t="shared" si="35"/>
        <v>15</v>
      </c>
      <c r="P101" s="15">
        <f t="shared" si="36"/>
        <v>55</v>
      </c>
      <c r="R101" s="8"/>
      <c r="T101"/>
    </row>
    <row r="102" spans="2:20" ht="23.1" customHeight="1" x14ac:dyDescent="0.25">
      <c r="B102" s="46" t="s">
        <v>142</v>
      </c>
      <c r="C102" s="50">
        <v>6</v>
      </c>
      <c r="D102" s="50">
        <v>0</v>
      </c>
      <c r="E102" s="50">
        <v>0</v>
      </c>
      <c r="F102" s="50">
        <v>11</v>
      </c>
      <c r="G102" s="50">
        <v>0</v>
      </c>
      <c r="H102" s="50">
        <v>1</v>
      </c>
      <c r="I102" s="50">
        <v>2</v>
      </c>
      <c r="J102" s="50">
        <v>1</v>
      </c>
      <c r="K102" s="50">
        <v>1</v>
      </c>
      <c r="L102" s="50">
        <v>1</v>
      </c>
      <c r="M102" s="50">
        <v>32</v>
      </c>
      <c r="N102" s="50">
        <v>0</v>
      </c>
      <c r="O102" s="15">
        <f t="shared" si="35"/>
        <v>23</v>
      </c>
      <c r="P102" s="15">
        <f t="shared" si="36"/>
        <v>55</v>
      </c>
      <c r="R102" s="8"/>
      <c r="T102"/>
    </row>
    <row r="103" spans="2:20" ht="23.1" customHeight="1" x14ac:dyDescent="0.25">
      <c r="B103" s="45" t="s">
        <v>143</v>
      </c>
      <c r="C103" s="50">
        <v>10</v>
      </c>
      <c r="D103" s="50">
        <v>0</v>
      </c>
      <c r="E103" s="50">
        <v>0</v>
      </c>
      <c r="F103" s="50">
        <v>20</v>
      </c>
      <c r="G103" s="50">
        <v>0</v>
      </c>
      <c r="H103" s="50">
        <v>1</v>
      </c>
      <c r="I103" s="50">
        <v>1</v>
      </c>
      <c r="J103" s="50">
        <v>2</v>
      </c>
      <c r="K103" s="50">
        <v>0</v>
      </c>
      <c r="L103" s="50">
        <v>1</v>
      </c>
      <c r="M103" s="50">
        <v>45</v>
      </c>
      <c r="N103" s="50">
        <v>0</v>
      </c>
      <c r="O103" s="15">
        <f t="shared" si="35"/>
        <v>35</v>
      </c>
      <c r="P103" s="15">
        <f t="shared" si="36"/>
        <v>80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1</v>
      </c>
      <c r="E104" s="50">
        <v>0</v>
      </c>
      <c r="F104" s="50">
        <v>12</v>
      </c>
      <c r="G104" s="50">
        <v>0</v>
      </c>
      <c r="H104" s="50">
        <v>0</v>
      </c>
      <c r="I104" s="50">
        <v>0</v>
      </c>
      <c r="J104" s="50">
        <v>3</v>
      </c>
      <c r="K104" s="50">
        <v>0</v>
      </c>
      <c r="L104" s="50">
        <v>0</v>
      </c>
      <c r="M104" s="50">
        <v>24</v>
      </c>
      <c r="N104" s="50">
        <v>0</v>
      </c>
      <c r="O104" s="15">
        <f t="shared" si="35"/>
        <v>22</v>
      </c>
      <c r="P104" s="15">
        <f t="shared" si="36"/>
        <v>46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3</v>
      </c>
      <c r="E105" s="50">
        <v>0</v>
      </c>
      <c r="F105" s="50">
        <v>0</v>
      </c>
      <c r="G105" s="50">
        <v>2</v>
      </c>
      <c r="H105" s="50">
        <v>1</v>
      </c>
      <c r="I105" s="50">
        <v>3</v>
      </c>
      <c r="J105" s="50">
        <v>2</v>
      </c>
      <c r="K105" s="50">
        <v>0</v>
      </c>
      <c r="L105" s="50">
        <v>0</v>
      </c>
      <c r="M105" s="50">
        <v>25</v>
      </c>
      <c r="N105" s="50">
        <v>0</v>
      </c>
      <c r="O105" s="15">
        <f t="shared" si="35"/>
        <v>16</v>
      </c>
      <c r="P105" s="15">
        <f t="shared" si="36"/>
        <v>41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2989</v>
      </c>
      <c r="D106" s="16">
        <f t="shared" ref="D106:P106" si="37">SUM(D10:D105)</f>
        <v>443</v>
      </c>
      <c r="E106" s="16">
        <f t="shared" si="37"/>
        <v>216</v>
      </c>
      <c r="F106" s="16">
        <f t="shared" si="37"/>
        <v>867</v>
      </c>
      <c r="G106" s="16">
        <f t="shared" si="37"/>
        <v>46</v>
      </c>
      <c r="H106" s="16">
        <f t="shared" si="37"/>
        <v>32</v>
      </c>
      <c r="I106" s="16">
        <f t="shared" si="37"/>
        <v>260</v>
      </c>
      <c r="J106" s="16">
        <f t="shared" si="37"/>
        <v>114</v>
      </c>
      <c r="K106" s="16">
        <f t="shared" si="37"/>
        <v>57</v>
      </c>
      <c r="L106" s="16">
        <f t="shared" si="37"/>
        <v>18</v>
      </c>
      <c r="M106" s="16">
        <f t="shared" si="37"/>
        <v>7936</v>
      </c>
      <c r="N106" s="16">
        <f t="shared" si="37"/>
        <v>3</v>
      </c>
      <c r="O106" s="16">
        <f t="shared" si="37"/>
        <v>5045</v>
      </c>
      <c r="P106" s="16">
        <f t="shared" si="37"/>
        <v>12981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0.23025961019952237</v>
      </c>
      <c r="D107" s="43">
        <f t="shared" si="38"/>
        <v>3.4126800708728144E-2</v>
      </c>
      <c r="E107" s="43">
        <f t="shared" si="38"/>
        <v>1.6639704183036747E-2</v>
      </c>
      <c r="F107" s="43">
        <f t="shared" si="38"/>
        <v>6.6789923734689158E-2</v>
      </c>
      <c r="G107" s="43">
        <f t="shared" si="38"/>
        <v>3.5436407056467145E-3</v>
      </c>
      <c r="H107" s="43">
        <f t="shared" si="38"/>
        <v>2.4651413604498884E-3</v>
      </c>
      <c r="I107" s="43">
        <f t="shared" si="38"/>
        <v>2.0029273553655344E-2</v>
      </c>
      <c r="J107" s="43">
        <f t="shared" si="38"/>
        <v>8.7820660966027274E-3</v>
      </c>
      <c r="K107" s="43">
        <f t="shared" si="38"/>
        <v>4.3910330483013637E-3</v>
      </c>
      <c r="L107" s="43">
        <f t="shared" si="38"/>
        <v>1.3866420152530623E-3</v>
      </c>
      <c r="M107" s="43">
        <f t="shared" si="38"/>
        <v>0.61135505739157225</v>
      </c>
      <c r="N107" s="43">
        <f t="shared" si="38"/>
        <v>2.3110700254217703E-4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0.59246778989098114</v>
      </c>
      <c r="D108" s="44">
        <f t="shared" ref="D108:N108" si="39">D106/$O$106</f>
        <v>8.7809712586719518E-2</v>
      </c>
      <c r="E108" s="44">
        <f t="shared" si="39"/>
        <v>4.2814667988107034E-2</v>
      </c>
      <c r="F108" s="44">
        <f t="shared" si="39"/>
        <v>0.17185332011892962</v>
      </c>
      <c r="G108" s="44">
        <f t="shared" si="39"/>
        <v>9.117938553022795E-3</v>
      </c>
      <c r="H108" s="44">
        <f t="shared" si="39"/>
        <v>6.342913776015857E-3</v>
      </c>
      <c r="I108" s="44">
        <f t="shared" si="39"/>
        <v>5.1536174430128839E-2</v>
      </c>
      <c r="J108" s="44">
        <f t="shared" si="39"/>
        <v>2.2596630327056492E-2</v>
      </c>
      <c r="K108" s="44">
        <f t="shared" si="39"/>
        <v>1.1298315163528246E-2</v>
      </c>
      <c r="L108" s="44">
        <f t="shared" si="39"/>
        <v>3.5678889990089198E-3</v>
      </c>
      <c r="M108" s="44"/>
      <c r="N108" s="44">
        <f t="shared" si="39"/>
        <v>5.9464816650148667E-4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13" zoomScale="60" workbookViewId="0">
      <selection activeCell="E13" sqref="E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RUBAGA-KABUSU-24h'!D5</f>
        <v>27.07.19</v>
      </c>
      <c r="E5" s="3"/>
      <c r="F5" s="41" t="s">
        <v>1</v>
      </c>
      <c r="G5" s="63" t="str">
        <f>'27.07 RUBAGA-KABUSU-24h'!G5:H5</f>
        <v>CHAD SUPERMARKET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KABUSU-RUBAGA'!D6:E6</f>
        <v>KABUSU</v>
      </c>
      <c r="E6" s="64"/>
      <c r="F6" s="2" t="s">
        <v>2</v>
      </c>
      <c r="G6" s="63" t="str">
        <f>'22.07 KABUSU-RUBAGA'!G6:H6</f>
        <v>RUBAGA</v>
      </c>
      <c r="H6" s="64"/>
      <c r="J6" s="2" t="s">
        <v>21</v>
      </c>
      <c r="K6" s="63" t="str">
        <f>'27.07 RUBAGA-KABUSU-24h'!K6:L6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33</v>
      </c>
      <c r="D10" s="50">
        <v>41</v>
      </c>
      <c r="E10" s="50">
        <v>1</v>
      </c>
      <c r="F10" s="50">
        <v>39</v>
      </c>
      <c r="G10" s="50">
        <v>0</v>
      </c>
      <c r="H10" s="50">
        <v>0</v>
      </c>
      <c r="I10" s="50">
        <v>6</v>
      </c>
      <c r="J10" s="50">
        <v>0</v>
      </c>
      <c r="K10" s="50">
        <v>0</v>
      </c>
      <c r="L10" s="50">
        <v>0</v>
      </c>
      <c r="M10" s="50">
        <v>193</v>
      </c>
      <c r="N10" s="50">
        <v>0</v>
      </c>
      <c r="O10" s="15">
        <f t="shared" ref="O10:O73" si="0">SUM(C10:L10,N10)</f>
        <v>120</v>
      </c>
      <c r="P10" s="15">
        <f t="shared" ref="P10:P73" si="1">SUM(C10:N10)</f>
        <v>313</v>
      </c>
      <c r="R10" s="1" t="s">
        <v>6</v>
      </c>
      <c r="S10" s="17">
        <f t="shared" ref="S10:AF10" si="2">SUM(C10:C13)</f>
        <v>154</v>
      </c>
      <c r="T10" s="17">
        <f t="shared" si="2"/>
        <v>143</v>
      </c>
      <c r="U10" s="17">
        <f t="shared" si="2"/>
        <v>8</v>
      </c>
      <c r="V10" s="17">
        <f t="shared" si="2"/>
        <v>184</v>
      </c>
      <c r="W10" s="17">
        <f t="shared" si="2"/>
        <v>0</v>
      </c>
      <c r="X10" s="17">
        <f t="shared" si="2"/>
        <v>1</v>
      </c>
      <c r="Y10" s="17">
        <f t="shared" si="2"/>
        <v>16</v>
      </c>
      <c r="Z10" s="17">
        <f t="shared" si="2"/>
        <v>5</v>
      </c>
      <c r="AA10" s="17">
        <f t="shared" si="2"/>
        <v>3</v>
      </c>
      <c r="AB10" s="17">
        <f t="shared" si="2"/>
        <v>0</v>
      </c>
      <c r="AC10" s="17">
        <f t="shared" si="2"/>
        <v>924</v>
      </c>
      <c r="AD10" s="17">
        <f t="shared" si="2"/>
        <v>0</v>
      </c>
      <c r="AE10" s="31">
        <f t="shared" si="2"/>
        <v>514</v>
      </c>
      <c r="AF10" s="31">
        <f t="shared" si="2"/>
        <v>1438</v>
      </c>
    </row>
    <row r="11" spans="2:32" s="6" customFormat="1" ht="23.1" customHeight="1" x14ac:dyDescent="0.25">
      <c r="B11" s="45" t="s">
        <v>38</v>
      </c>
      <c r="C11" s="50">
        <v>42</v>
      </c>
      <c r="D11" s="50">
        <v>47</v>
      </c>
      <c r="E11" s="50">
        <v>0</v>
      </c>
      <c r="F11" s="50">
        <v>57</v>
      </c>
      <c r="G11" s="50">
        <v>0</v>
      </c>
      <c r="H11" s="50">
        <v>0</v>
      </c>
      <c r="I11" s="50">
        <v>3</v>
      </c>
      <c r="J11" s="50">
        <v>0</v>
      </c>
      <c r="K11" s="50">
        <v>1</v>
      </c>
      <c r="L11" s="50">
        <v>0</v>
      </c>
      <c r="M11" s="50">
        <v>190</v>
      </c>
      <c r="N11" s="50">
        <v>0</v>
      </c>
      <c r="O11" s="15">
        <f t="shared" si="0"/>
        <v>150</v>
      </c>
      <c r="P11" s="15">
        <f t="shared" si="1"/>
        <v>340</v>
      </c>
      <c r="R11" s="1" t="s">
        <v>7</v>
      </c>
      <c r="S11" s="17">
        <f t="shared" ref="S11:AF11" si="3">SUM(C14:C17)</f>
        <v>183</v>
      </c>
      <c r="T11" s="17">
        <f t="shared" si="3"/>
        <v>129</v>
      </c>
      <c r="U11" s="17">
        <f t="shared" si="3"/>
        <v>31</v>
      </c>
      <c r="V11" s="17">
        <f t="shared" si="3"/>
        <v>154</v>
      </c>
      <c r="W11" s="17">
        <f t="shared" si="3"/>
        <v>0</v>
      </c>
      <c r="X11" s="17">
        <f t="shared" si="3"/>
        <v>1</v>
      </c>
      <c r="Y11" s="17">
        <f t="shared" si="3"/>
        <v>15</v>
      </c>
      <c r="Z11" s="17">
        <f t="shared" si="3"/>
        <v>3</v>
      </c>
      <c r="AA11" s="17">
        <f t="shared" si="3"/>
        <v>2</v>
      </c>
      <c r="AB11" s="17">
        <f t="shared" si="3"/>
        <v>1</v>
      </c>
      <c r="AC11" s="17">
        <f t="shared" si="3"/>
        <v>1047</v>
      </c>
      <c r="AD11" s="17">
        <f t="shared" si="3"/>
        <v>0</v>
      </c>
      <c r="AE11" s="31">
        <f t="shared" si="3"/>
        <v>519</v>
      </c>
      <c r="AF11" s="31">
        <f t="shared" si="3"/>
        <v>1566</v>
      </c>
    </row>
    <row r="12" spans="2:32" ht="23.1" customHeight="1" x14ac:dyDescent="0.25">
      <c r="B12" s="45" t="s">
        <v>39</v>
      </c>
      <c r="C12" s="50">
        <v>35</v>
      </c>
      <c r="D12" s="50">
        <v>28</v>
      </c>
      <c r="E12" s="50">
        <v>3</v>
      </c>
      <c r="F12" s="50">
        <v>40</v>
      </c>
      <c r="G12" s="50">
        <v>0</v>
      </c>
      <c r="H12" s="50">
        <v>0</v>
      </c>
      <c r="I12" s="50">
        <v>3</v>
      </c>
      <c r="J12" s="50">
        <v>2</v>
      </c>
      <c r="K12" s="50">
        <v>1</v>
      </c>
      <c r="L12" s="50">
        <v>0</v>
      </c>
      <c r="M12" s="50">
        <v>219</v>
      </c>
      <c r="N12" s="50">
        <v>0</v>
      </c>
      <c r="O12" s="15">
        <f t="shared" si="0"/>
        <v>112</v>
      </c>
      <c r="P12" s="15">
        <f t="shared" si="1"/>
        <v>331</v>
      </c>
      <c r="R12" s="1" t="s">
        <v>8</v>
      </c>
      <c r="S12" s="17">
        <f t="shared" ref="S12:AF12" si="4">SUM(C18:C21)</f>
        <v>192</v>
      </c>
      <c r="T12" s="17">
        <f t="shared" si="4"/>
        <v>140</v>
      </c>
      <c r="U12" s="17">
        <f t="shared" si="4"/>
        <v>20</v>
      </c>
      <c r="V12" s="17">
        <f t="shared" si="4"/>
        <v>127</v>
      </c>
      <c r="W12" s="17">
        <f t="shared" si="4"/>
        <v>1</v>
      </c>
      <c r="X12" s="17">
        <f t="shared" si="4"/>
        <v>3</v>
      </c>
      <c r="Y12" s="17">
        <f t="shared" si="4"/>
        <v>21</v>
      </c>
      <c r="Z12" s="17">
        <f t="shared" si="4"/>
        <v>9</v>
      </c>
      <c r="AA12" s="17">
        <f t="shared" si="4"/>
        <v>6</v>
      </c>
      <c r="AB12" s="17">
        <f t="shared" si="4"/>
        <v>2</v>
      </c>
      <c r="AC12" s="17">
        <f t="shared" si="4"/>
        <v>984</v>
      </c>
      <c r="AD12" s="17">
        <f t="shared" si="4"/>
        <v>0</v>
      </c>
      <c r="AE12" s="31">
        <f t="shared" si="4"/>
        <v>521</v>
      </c>
      <c r="AF12" s="31">
        <f t="shared" si="4"/>
        <v>1505</v>
      </c>
    </row>
    <row r="13" spans="2:32" ht="23.1" customHeight="1" x14ac:dyDescent="0.25">
      <c r="B13" s="45" t="s">
        <v>40</v>
      </c>
      <c r="C13" s="50">
        <v>44</v>
      </c>
      <c r="D13" s="50">
        <v>27</v>
      </c>
      <c r="E13" s="50">
        <v>4</v>
      </c>
      <c r="F13" s="50">
        <v>48</v>
      </c>
      <c r="G13" s="50">
        <v>0</v>
      </c>
      <c r="H13" s="50">
        <v>1</v>
      </c>
      <c r="I13" s="50">
        <v>4</v>
      </c>
      <c r="J13" s="50">
        <v>3</v>
      </c>
      <c r="K13" s="50">
        <v>1</v>
      </c>
      <c r="L13" s="50">
        <v>0</v>
      </c>
      <c r="M13" s="50">
        <v>322</v>
      </c>
      <c r="N13" s="50">
        <v>0</v>
      </c>
      <c r="O13" s="15">
        <f t="shared" si="0"/>
        <v>132</v>
      </c>
      <c r="P13" s="15">
        <f t="shared" si="1"/>
        <v>454</v>
      </c>
      <c r="R13" s="1" t="s">
        <v>9</v>
      </c>
      <c r="S13" s="17">
        <f t="shared" ref="S13:AF13" si="5">SUM(C22:C25)</f>
        <v>144</v>
      </c>
      <c r="T13" s="17">
        <f t="shared" si="5"/>
        <v>154</v>
      </c>
      <c r="U13" s="17">
        <f t="shared" si="5"/>
        <v>29</v>
      </c>
      <c r="V13" s="17">
        <f t="shared" si="5"/>
        <v>119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6</v>
      </c>
      <c r="AA13" s="17">
        <f t="shared" si="5"/>
        <v>2</v>
      </c>
      <c r="AB13" s="17">
        <f t="shared" si="5"/>
        <v>0</v>
      </c>
      <c r="AC13" s="17">
        <f t="shared" si="5"/>
        <v>667</v>
      </c>
      <c r="AD13" s="17">
        <f t="shared" si="5"/>
        <v>0</v>
      </c>
      <c r="AE13" s="31">
        <f t="shared" si="5"/>
        <v>469</v>
      </c>
      <c r="AF13" s="31">
        <f t="shared" si="5"/>
        <v>1136</v>
      </c>
    </row>
    <row r="14" spans="2:32" ht="23.1" customHeight="1" x14ac:dyDescent="0.25">
      <c r="B14" s="45" t="s">
        <v>41</v>
      </c>
      <c r="C14" s="50">
        <v>55</v>
      </c>
      <c r="D14" s="50">
        <v>28</v>
      </c>
      <c r="E14" s="50">
        <v>4</v>
      </c>
      <c r="F14" s="50">
        <v>41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201</v>
      </c>
      <c r="N14" s="50">
        <v>0</v>
      </c>
      <c r="O14" s="15">
        <f t="shared" si="0"/>
        <v>130</v>
      </c>
      <c r="P14" s="15">
        <f t="shared" si="1"/>
        <v>331</v>
      </c>
      <c r="R14" s="1" t="s">
        <v>10</v>
      </c>
      <c r="S14" s="17">
        <f t="shared" ref="S14:AF14" si="6">SUM(C26:C29)</f>
        <v>130</v>
      </c>
      <c r="T14" s="17">
        <f t="shared" si="6"/>
        <v>162</v>
      </c>
      <c r="U14" s="17">
        <f t="shared" si="6"/>
        <v>20</v>
      </c>
      <c r="V14" s="17">
        <f t="shared" si="6"/>
        <v>112</v>
      </c>
      <c r="W14" s="17">
        <f t="shared" si="6"/>
        <v>2</v>
      </c>
      <c r="X14" s="17">
        <f t="shared" si="6"/>
        <v>1</v>
      </c>
      <c r="Y14" s="17">
        <f t="shared" si="6"/>
        <v>24</v>
      </c>
      <c r="Z14" s="17">
        <f t="shared" si="6"/>
        <v>12</v>
      </c>
      <c r="AA14" s="17">
        <f t="shared" si="6"/>
        <v>2</v>
      </c>
      <c r="AB14" s="17">
        <f t="shared" si="6"/>
        <v>2</v>
      </c>
      <c r="AC14" s="17">
        <f t="shared" si="6"/>
        <v>495</v>
      </c>
      <c r="AD14" s="17">
        <f t="shared" si="6"/>
        <v>0</v>
      </c>
      <c r="AE14" s="31">
        <f t="shared" si="6"/>
        <v>467</v>
      </c>
      <c r="AF14" s="31">
        <f t="shared" si="6"/>
        <v>962</v>
      </c>
    </row>
    <row r="15" spans="2:32" ht="23.1" customHeight="1" x14ac:dyDescent="0.25">
      <c r="B15" s="45" t="s">
        <v>42</v>
      </c>
      <c r="C15" s="50">
        <v>43</v>
      </c>
      <c r="D15" s="50">
        <v>33</v>
      </c>
      <c r="E15" s="50">
        <v>4</v>
      </c>
      <c r="F15" s="50">
        <v>42</v>
      </c>
      <c r="G15" s="50">
        <v>0</v>
      </c>
      <c r="H15" s="50">
        <v>0</v>
      </c>
      <c r="I15" s="50">
        <v>6</v>
      </c>
      <c r="J15" s="50">
        <v>0</v>
      </c>
      <c r="K15" s="50">
        <v>0</v>
      </c>
      <c r="L15" s="50">
        <v>0</v>
      </c>
      <c r="M15" s="50">
        <v>255</v>
      </c>
      <c r="N15" s="50">
        <v>0</v>
      </c>
      <c r="O15" s="15">
        <f t="shared" si="0"/>
        <v>128</v>
      </c>
      <c r="P15" s="15">
        <f t="shared" si="1"/>
        <v>383</v>
      </c>
      <c r="R15" s="1" t="s">
        <v>11</v>
      </c>
      <c r="S15" s="17">
        <f t="shared" ref="S15:AF15" si="7">SUM(C30:C33)</f>
        <v>102</v>
      </c>
      <c r="T15" s="17">
        <f t="shared" si="7"/>
        <v>104</v>
      </c>
      <c r="U15" s="17">
        <f t="shared" si="7"/>
        <v>17</v>
      </c>
      <c r="V15" s="17">
        <f t="shared" si="7"/>
        <v>88</v>
      </c>
      <c r="W15" s="17">
        <f t="shared" si="7"/>
        <v>0</v>
      </c>
      <c r="X15" s="17">
        <f t="shared" si="7"/>
        <v>1</v>
      </c>
      <c r="Y15" s="17">
        <f t="shared" si="7"/>
        <v>21</v>
      </c>
      <c r="Z15" s="17">
        <f t="shared" si="7"/>
        <v>13</v>
      </c>
      <c r="AA15" s="17">
        <f t="shared" si="7"/>
        <v>3</v>
      </c>
      <c r="AB15" s="17">
        <f t="shared" si="7"/>
        <v>1</v>
      </c>
      <c r="AC15" s="17">
        <f t="shared" si="7"/>
        <v>590</v>
      </c>
      <c r="AD15" s="17">
        <f t="shared" si="7"/>
        <v>0</v>
      </c>
      <c r="AE15" s="31">
        <f t="shared" si="7"/>
        <v>350</v>
      </c>
      <c r="AF15" s="31">
        <f t="shared" si="7"/>
        <v>940</v>
      </c>
    </row>
    <row r="16" spans="2:32" ht="23.1" customHeight="1" x14ac:dyDescent="0.25">
      <c r="B16" s="45" t="s">
        <v>43</v>
      </c>
      <c r="C16" s="50">
        <v>38</v>
      </c>
      <c r="D16" s="50">
        <v>39</v>
      </c>
      <c r="E16" s="50">
        <v>14</v>
      </c>
      <c r="F16" s="50">
        <v>40</v>
      </c>
      <c r="G16" s="50">
        <v>0</v>
      </c>
      <c r="H16" s="50">
        <v>1</v>
      </c>
      <c r="I16" s="50">
        <v>3</v>
      </c>
      <c r="J16" s="50">
        <v>3</v>
      </c>
      <c r="K16" s="50">
        <v>0</v>
      </c>
      <c r="L16" s="50">
        <v>1</v>
      </c>
      <c r="M16" s="50">
        <v>260</v>
      </c>
      <c r="N16" s="50">
        <v>0</v>
      </c>
      <c r="O16" s="15">
        <f t="shared" si="0"/>
        <v>139</v>
      </c>
      <c r="P16" s="15">
        <f t="shared" si="1"/>
        <v>399</v>
      </c>
      <c r="R16" s="1" t="s">
        <v>12</v>
      </c>
      <c r="S16" s="17">
        <f t="shared" ref="S16:AC16" si="8">SUM(C34:C37)</f>
        <v>105</v>
      </c>
      <c r="T16" s="17">
        <f t="shared" si="8"/>
        <v>92</v>
      </c>
      <c r="U16" s="17">
        <f t="shared" si="8"/>
        <v>11</v>
      </c>
      <c r="V16" s="17">
        <f t="shared" si="8"/>
        <v>72</v>
      </c>
      <c r="W16" s="17">
        <f t="shared" si="8"/>
        <v>0</v>
      </c>
      <c r="X16" s="17">
        <f t="shared" si="8"/>
        <v>0</v>
      </c>
      <c r="Y16" s="17">
        <f t="shared" si="8"/>
        <v>22</v>
      </c>
      <c r="Z16" s="17">
        <f t="shared" si="8"/>
        <v>6</v>
      </c>
      <c r="AA16" s="17">
        <f t="shared" si="8"/>
        <v>2</v>
      </c>
      <c r="AB16" s="17">
        <f t="shared" si="8"/>
        <v>2</v>
      </c>
      <c r="AC16" s="17">
        <f t="shared" si="8"/>
        <v>491</v>
      </c>
      <c r="AD16" s="17">
        <f t="shared" ref="AD16:AF16" si="9">SUM(N34:N37)</f>
        <v>0</v>
      </c>
      <c r="AE16" s="31">
        <f t="shared" si="9"/>
        <v>312</v>
      </c>
      <c r="AF16" s="31">
        <f t="shared" si="9"/>
        <v>803</v>
      </c>
    </row>
    <row r="17" spans="2:32" ht="23.1" customHeight="1" x14ac:dyDescent="0.25">
      <c r="B17" s="45" t="s">
        <v>44</v>
      </c>
      <c r="C17" s="50">
        <v>47</v>
      </c>
      <c r="D17" s="50">
        <v>29</v>
      </c>
      <c r="E17" s="50">
        <v>9</v>
      </c>
      <c r="F17" s="50">
        <v>31</v>
      </c>
      <c r="G17" s="50">
        <v>0</v>
      </c>
      <c r="H17" s="50">
        <v>0</v>
      </c>
      <c r="I17" s="50">
        <v>5</v>
      </c>
      <c r="J17" s="50">
        <v>0</v>
      </c>
      <c r="K17" s="50">
        <v>1</v>
      </c>
      <c r="L17" s="50">
        <v>0</v>
      </c>
      <c r="M17" s="50">
        <v>331</v>
      </c>
      <c r="N17" s="50">
        <v>0</v>
      </c>
      <c r="O17" s="15">
        <f t="shared" si="0"/>
        <v>122</v>
      </c>
      <c r="P17" s="15">
        <f t="shared" si="1"/>
        <v>453</v>
      </c>
      <c r="R17" s="1" t="s">
        <v>13</v>
      </c>
      <c r="S17" s="17">
        <f t="shared" ref="S17:AC17" si="10">SUM(C38:C41)</f>
        <v>93</v>
      </c>
      <c r="T17" s="17">
        <f t="shared" si="10"/>
        <v>90</v>
      </c>
      <c r="U17" s="17">
        <f t="shared" si="10"/>
        <v>21</v>
      </c>
      <c r="V17" s="17">
        <f t="shared" si="10"/>
        <v>72</v>
      </c>
      <c r="W17" s="17">
        <f t="shared" si="10"/>
        <v>2</v>
      </c>
      <c r="X17" s="17">
        <f t="shared" si="10"/>
        <v>1</v>
      </c>
      <c r="Y17" s="17">
        <f t="shared" si="10"/>
        <v>12</v>
      </c>
      <c r="Z17" s="17">
        <f t="shared" si="10"/>
        <v>11</v>
      </c>
      <c r="AA17" s="17">
        <f t="shared" si="10"/>
        <v>4</v>
      </c>
      <c r="AB17" s="17">
        <f t="shared" si="10"/>
        <v>2</v>
      </c>
      <c r="AC17" s="17">
        <f t="shared" si="10"/>
        <v>495</v>
      </c>
      <c r="AD17" s="17">
        <f t="shared" ref="AD17:AF17" si="11">SUM(N38:N41)</f>
        <v>0</v>
      </c>
      <c r="AE17" s="31">
        <f t="shared" si="11"/>
        <v>308</v>
      </c>
      <c r="AF17" s="31">
        <f t="shared" si="11"/>
        <v>803</v>
      </c>
    </row>
    <row r="18" spans="2:32" ht="23.1" customHeight="1" x14ac:dyDescent="0.25">
      <c r="B18" s="45" t="s">
        <v>45</v>
      </c>
      <c r="C18" s="50">
        <v>62</v>
      </c>
      <c r="D18" s="50">
        <v>40</v>
      </c>
      <c r="E18" s="50">
        <v>4</v>
      </c>
      <c r="F18" s="50">
        <v>34</v>
      </c>
      <c r="G18" s="50">
        <v>0</v>
      </c>
      <c r="H18" s="50">
        <v>0</v>
      </c>
      <c r="I18" s="50">
        <v>6</v>
      </c>
      <c r="J18" s="50">
        <v>2</v>
      </c>
      <c r="K18" s="50">
        <v>1</v>
      </c>
      <c r="L18" s="50">
        <v>0</v>
      </c>
      <c r="M18" s="50">
        <v>310</v>
      </c>
      <c r="N18" s="50">
        <v>0</v>
      </c>
      <c r="O18" s="15">
        <f t="shared" si="0"/>
        <v>149</v>
      </c>
      <c r="P18" s="15">
        <f t="shared" si="1"/>
        <v>459</v>
      </c>
      <c r="R18" s="1" t="s">
        <v>14</v>
      </c>
      <c r="S18" s="17">
        <f t="shared" ref="S18:AF18" si="12">SUM(C42:C45)</f>
        <v>97</v>
      </c>
      <c r="T18" s="17">
        <f t="shared" si="12"/>
        <v>92</v>
      </c>
      <c r="U18" s="17">
        <f t="shared" si="12"/>
        <v>19</v>
      </c>
      <c r="V18" s="17">
        <f t="shared" si="12"/>
        <v>73</v>
      </c>
      <c r="W18" s="17">
        <f t="shared" si="12"/>
        <v>1</v>
      </c>
      <c r="X18" s="17">
        <f t="shared" si="12"/>
        <v>1</v>
      </c>
      <c r="Y18" s="17">
        <f t="shared" si="12"/>
        <v>17</v>
      </c>
      <c r="Z18" s="17">
        <f t="shared" si="12"/>
        <v>6</v>
      </c>
      <c r="AA18" s="17">
        <f t="shared" si="12"/>
        <v>2</v>
      </c>
      <c r="AB18" s="17">
        <f t="shared" si="12"/>
        <v>0</v>
      </c>
      <c r="AC18" s="17">
        <f t="shared" si="12"/>
        <v>521</v>
      </c>
      <c r="AD18" s="17">
        <f t="shared" si="12"/>
        <v>0</v>
      </c>
      <c r="AE18" s="31">
        <f t="shared" si="12"/>
        <v>308</v>
      </c>
      <c r="AF18" s="31">
        <f t="shared" si="12"/>
        <v>829</v>
      </c>
    </row>
    <row r="19" spans="2:32" ht="23.1" customHeight="1" x14ac:dyDescent="0.25">
      <c r="B19" s="45" t="s">
        <v>46</v>
      </c>
      <c r="C19" s="50">
        <v>37</v>
      </c>
      <c r="D19" s="50">
        <v>22</v>
      </c>
      <c r="E19" s="50">
        <v>8</v>
      </c>
      <c r="F19" s="50">
        <v>29</v>
      </c>
      <c r="G19" s="50">
        <v>0</v>
      </c>
      <c r="H19" s="50">
        <v>0</v>
      </c>
      <c r="I19" s="50">
        <v>6</v>
      </c>
      <c r="J19" s="50">
        <v>2</v>
      </c>
      <c r="K19" s="50">
        <v>1</v>
      </c>
      <c r="L19" s="50">
        <v>2</v>
      </c>
      <c r="M19" s="50">
        <v>193</v>
      </c>
      <c r="N19" s="50">
        <v>0</v>
      </c>
      <c r="O19" s="15">
        <f t="shared" si="0"/>
        <v>107</v>
      </c>
      <c r="P19" s="15">
        <f t="shared" si="1"/>
        <v>300</v>
      </c>
      <c r="R19" s="1" t="s">
        <v>15</v>
      </c>
      <c r="S19" s="17">
        <f t="shared" ref="S19:AF19" si="13">SUM(C46:C49)</f>
        <v>96</v>
      </c>
      <c r="T19" s="17">
        <f t="shared" si="13"/>
        <v>94</v>
      </c>
      <c r="U19" s="17">
        <f t="shared" si="13"/>
        <v>15</v>
      </c>
      <c r="V19" s="17">
        <f t="shared" si="13"/>
        <v>85</v>
      </c>
      <c r="W19" s="17">
        <f t="shared" si="13"/>
        <v>1</v>
      </c>
      <c r="X19" s="17">
        <f t="shared" si="13"/>
        <v>2</v>
      </c>
      <c r="Y19" s="17">
        <f t="shared" si="13"/>
        <v>9</v>
      </c>
      <c r="Z19" s="17">
        <f t="shared" si="13"/>
        <v>8</v>
      </c>
      <c r="AA19" s="17">
        <f t="shared" si="13"/>
        <v>2</v>
      </c>
      <c r="AB19" s="17">
        <f t="shared" si="13"/>
        <v>5</v>
      </c>
      <c r="AC19" s="17">
        <f t="shared" si="13"/>
        <v>598</v>
      </c>
      <c r="AD19" s="17">
        <f t="shared" si="13"/>
        <v>0</v>
      </c>
      <c r="AE19" s="31">
        <f t="shared" si="13"/>
        <v>317</v>
      </c>
      <c r="AF19" s="31">
        <f t="shared" si="13"/>
        <v>915</v>
      </c>
    </row>
    <row r="20" spans="2:32" ht="23.1" customHeight="1" x14ac:dyDescent="0.25">
      <c r="B20" s="45" t="s">
        <v>47</v>
      </c>
      <c r="C20" s="50">
        <v>40</v>
      </c>
      <c r="D20" s="50">
        <v>37</v>
      </c>
      <c r="E20" s="50">
        <v>6</v>
      </c>
      <c r="F20" s="50">
        <v>27</v>
      </c>
      <c r="G20" s="50">
        <v>1</v>
      </c>
      <c r="H20" s="50">
        <v>2</v>
      </c>
      <c r="I20" s="50">
        <v>8</v>
      </c>
      <c r="J20" s="50">
        <v>3</v>
      </c>
      <c r="K20" s="50">
        <v>2</v>
      </c>
      <c r="L20" s="50">
        <v>0</v>
      </c>
      <c r="M20" s="50">
        <v>247</v>
      </c>
      <c r="N20" s="50">
        <v>0</v>
      </c>
      <c r="O20" s="15">
        <f t="shared" si="0"/>
        <v>126</v>
      </c>
      <c r="P20" s="15">
        <f t="shared" si="1"/>
        <v>373</v>
      </c>
      <c r="R20" s="1" t="s">
        <v>16</v>
      </c>
      <c r="S20" s="17">
        <f t="shared" ref="S20:AF20" si="14">SUM(C50:C53)</f>
        <v>124</v>
      </c>
      <c r="T20" s="17">
        <f t="shared" si="14"/>
        <v>78</v>
      </c>
      <c r="U20" s="17">
        <f t="shared" si="14"/>
        <v>20</v>
      </c>
      <c r="V20" s="17">
        <f t="shared" si="14"/>
        <v>95</v>
      </c>
      <c r="W20" s="17">
        <f t="shared" si="14"/>
        <v>1</v>
      </c>
      <c r="X20" s="17">
        <f t="shared" si="14"/>
        <v>4</v>
      </c>
      <c r="Y20" s="17">
        <f t="shared" si="14"/>
        <v>14</v>
      </c>
      <c r="Z20" s="17">
        <f t="shared" si="14"/>
        <v>5</v>
      </c>
      <c r="AA20" s="17">
        <f t="shared" si="14"/>
        <v>3</v>
      </c>
      <c r="AB20" s="17">
        <f t="shared" si="14"/>
        <v>0</v>
      </c>
      <c r="AC20" s="17">
        <f t="shared" si="14"/>
        <v>676</v>
      </c>
      <c r="AD20" s="17">
        <f t="shared" si="14"/>
        <v>0</v>
      </c>
      <c r="AE20" s="31">
        <f t="shared" si="14"/>
        <v>344</v>
      </c>
      <c r="AF20" s="31">
        <f t="shared" si="14"/>
        <v>1020</v>
      </c>
    </row>
    <row r="21" spans="2:32" ht="23.1" customHeight="1" x14ac:dyDescent="0.25">
      <c r="B21" s="45" t="s">
        <v>48</v>
      </c>
      <c r="C21" s="50">
        <v>53</v>
      </c>
      <c r="D21" s="50">
        <v>41</v>
      </c>
      <c r="E21" s="50">
        <v>2</v>
      </c>
      <c r="F21" s="50">
        <v>37</v>
      </c>
      <c r="G21" s="50">
        <v>0</v>
      </c>
      <c r="H21" s="50">
        <v>1</v>
      </c>
      <c r="I21" s="50">
        <v>1</v>
      </c>
      <c r="J21" s="50">
        <v>2</v>
      </c>
      <c r="K21" s="50">
        <v>2</v>
      </c>
      <c r="L21" s="50">
        <v>0</v>
      </c>
      <c r="M21" s="50">
        <v>234</v>
      </c>
      <c r="N21" s="50">
        <v>0</v>
      </c>
      <c r="O21" s="15">
        <f t="shared" si="0"/>
        <v>139</v>
      </c>
      <c r="P21" s="15">
        <f t="shared" si="1"/>
        <v>373</v>
      </c>
      <c r="R21" s="36" t="s">
        <v>20</v>
      </c>
      <c r="S21" s="34">
        <f t="shared" ref="S21:AF21" si="15">SUM(C54:C57)</f>
        <v>139</v>
      </c>
      <c r="T21" s="17">
        <f t="shared" si="15"/>
        <v>75</v>
      </c>
      <c r="U21" s="17">
        <f t="shared" si="15"/>
        <v>9</v>
      </c>
      <c r="V21" s="17">
        <f t="shared" si="15"/>
        <v>106</v>
      </c>
      <c r="W21" s="17">
        <f t="shared" si="15"/>
        <v>2</v>
      </c>
      <c r="X21" s="17">
        <f t="shared" si="15"/>
        <v>4</v>
      </c>
      <c r="Y21" s="17">
        <f t="shared" si="15"/>
        <v>10</v>
      </c>
      <c r="Z21" s="17">
        <f t="shared" si="15"/>
        <v>5</v>
      </c>
      <c r="AA21" s="17">
        <f t="shared" si="15"/>
        <v>0</v>
      </c>
      <c r="AB21" s="17">
        <f t="shared" si="15"/>
        <v>0</v>
      </c>
      <c r="AC21" s="17">
        <f t="shared" si="15"/>
        <v>450</v>
      </c>
      <c r="AD21" s="17">
        <f t="shared" si="15"/>
        <v>0</v>
      </c>
      <c r="AE21" s="31">
        <f t="shared" si="15"/>
        <v>350</v>
      </c>
      <c r="AF21" s="31">
        <f t="shared" si="15"/>
        <v>800</v>
      </c>
    </row>
    <row r="22" spans="2:32" ht="23.1" customHeight="1" x14ac:dyDescent="0.25">
      <c r="B22" s="45" t="s">
        <v>49</v>
      </c>
      <c r="C22" s="50">
        <v>23</v>
      </c>
      <c r="D22" s="50">
        <v>42</v>
      </c>
      <c r="E22" s="50">
        <v>6</v>
      </c>
      <c r="F22" s="50">
        <v>34</v>
      </c>
      <c r="G22" s="50">
        <v>0</v>
      </c>
      <c r="H22" s="50">
        <v>0</v>
      </c>
      <c r="I22" s="50">
        <v>4</v>
      </c>
      <c r="J22" s="50">
        <v>2</v>
      </c>
      <c r="K22" s="50">
        <v>0</v>
      </c>
      <c r="L22" s="50">
        <v>0</v>
      </c>
      <c r="M22" s="50">
        <v>246</v>
      </c>
      <c r="N22" s="50">
        <v>0</v>
      </c>
      <c r="O22" s="15">
        <f t="shared" si="0"/>
        <v>111</v>
      </c>
      <c r="P22" s="15">
        <f t="shared" si="1"/>
        <v>357</v>
      </c>
      <c r="R22" s="36" t="s">
        <v>146</v>
      </c>
      <c r="S22" s="34">
        <f>SUM(C58:C61)</f>
        <v>200</v>
      </c>
      <c r="T22" s="34">
        <f t="shared" ref="T22:AF22" si="16">SUM(D58:D61)</f>
        <v>18</v>
      </c>
      <c r="U22" s="34">
        <f t="shared" si="16"/>
        <v>11</v>
      </c>
      <c r="V22" s="34">
        <f t="shared" si="16"/>
        <v>114</v>
      </c>
      <c r="W22" s="34">
        <f t="shared" si="16"/>
        <v>3</v>
      </c>
      <c r="X22" s="34">
        <f t="shared" si="16"/>
        <v>3</v>
      </c>
      <c r="Y22" s="34">
        <f t="shared" si="16"/>
        <v>2</v>
      </c>
      <c r="Z22" s="34">
        <f t="shared" si="16"/>
        <v>4</v>
      </c>
      <c r="AA22" s="34">
        <f t="shared" si="16"/>
        <v>1</v>
      </c>
      <c r="AB22" s="34">
        <f t="shared" si="16"/>
        <v>0</v>
      </c>
      <c r="AC22" s="34">
        <f t="shared" si="16"/>
        <v>521</v>
      </c>
      <c r="AD22" s="34">
        <f t="shared" si="16"/>
        <v>0</v>
      </c>
      <c r="AE22" s="31">
        <f t="shared" si="16"/>
        <v>356</v>
      </c>
      <c r="AF22" s="31">
        <f t="shared" si="16"/>
        <v>877</v>
      </c>
    </row>
    <row r="23" spans="2:32" ht="23.1" customHeight="1" x14ac:dyDescent="0.25">
      <c r="B23" s="45" t="s">
        <v>50</v>
      </c>
      <c r="C23" s="50">
        <v>43</v>
      </c>
      <c r="D23" s="50">
        <v>36</v>
      </c>
      <c r="E23" s="50">
        <v>4</v>
      </c>
      <c r="F23" s="50">
        <v>31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88</v>
      </c>
      <c r="N23" s="50">
        <v>0</v>
      </c>
      <c r="O23" s="15">
        <f t="shared" si="0"/>
        <v>119</v>
      </c>
      <c r="P23" s="15">
        <f t="shared" si="1"/>
        <v>207</v>
      </c>
      <c r="R23" s="36" t="s">
        <v>147</v>
      </c>
      <c r="S23" s="34">
        <f>SUM(C62:C65)</f>
        <v>198</v>
      </c>
      <c r="T23" s="34">
        <f t="shared" ref="T23:AF23" si="17">SUM(D62:D65)</f>
        <v>12</v>
      </c>
      <c r="U23" s="34">
        <f t="shared" si="17"/>
        <v>10</v>
      </c>
      <c r="V23" s="34">
        <f t="shared" si="17"/>
        <v>114</v>
      </c>
      <c r="W23" s="34">
        <f t="shared" si="17"/>
        <v>2</v>
      </c>
      <c r="X23" s="34">
        <f t="shared" si="17"/>
        <v>2</v>
      </c>
      <c r="Y23" s="34">
        <f t="shared" si="17"/>
        <v>10</v>
      </c>
      <c r="Z23" s="34">
        <f t="shared" si="17"/>
        <v>2</v>
      </c>
      <c r="AA23" s="34">
        <f t="shared" si="17"/>
        <v>0</v>
      </c>
      <c r="AB23" s="34">
        <f t="shared" si="17"/>
        <v>1</v>
      </c>
      <c r="AC23" s="34">
        <f t="shared" si="17"/>
        <v>495</v>
      </c>
      <c r="AD23" s="34">
        <f t="shared" si="17"/>
        <v>0</v>
      </c>
      <c r="AE23" s="31">
        <f t="shared" si="17"/>
        <v>351</v>
      </c>
      <c r="AF23" s="31">
        <f t="shared" si="17"/>
        <v>846</v>
      </c>
    </row>
    <row r="24" spans="2:32" ht="23.1" customHeight="1" x14ac:dyDescent="0.25">
      <c r="B24" s="45" t="s">
        <v>51</v>
      </c>
      <c r="C24" s="50">
        <v>37</v>
      </c>
      <c r="D24" s="50">
        <v>43</v>
      </c>
      <c r="E24" s="50">
        <v>11</v>
      </c>
      <c r="F24" s="50">
        <v>24</v>
      </c>
      <c r="G24" s="50">
        <v>0</v>
      </c>
      <c r="H24" s="50">
        <v>0</v>
      </c>
      <c r="I24" s="50">
        <v>4</v>
      </c>
      <c r="J24" s="50">
        <v>2</v>
      </c>
      <c r="K24" s="50">
        <v>2</v>
      </c>
      <c r="L24" s="50">
        <v>0</v>
      </c>
      <c r="M24" s="50">
        <v>145</v>
      </c>
      <c r="N24" s="50">
        <v>0</v>
      </c>
      <c r="O24" s="15">
        <f t="shared" si="0"/>
        <v>123</v>
      </c>
      <c r="P24" s="15">
        <f t="shared" si="1"/>
        <v>268</v>
      </c>
      <c r="R24" s="36" t="s">
        <v>148</v>
      </c>
      <c r="S24" s="34">
        <f>SUM(C66:C69)</f>
        <v>178</v>
      </c>
      <c r="T24" s="34">
        <f t="shared" ref="T24:AF24" si="18">SUM(D66:D69)</f>
        <v>11</v>
      </c>
      <c r="U24" s="34">
        <f t="shared" si="18"/>
        <v>12</v>
      </c>
      <c r="V24" s="34">
        <f t="shared" si="18"/>
        <v>102</v>
      </c>
      <c r="W24" s="34">
        <f t="shared" si="18"/>
        <v>1</v>
      </c>
      <c r="X24" s="34">
        <f t="shared" si="18"/>
        <v>2</v>
      </c>
      <c r="Y24" s="34">
        <f t="shared" si="18"/>
        <v>7</v>
      </c>
      <c r="Z24" s="34">
        <f t="shared" si="18"/>
        <v>3</v>
      </c>
      <c r="AA24" s="34">
        <f t="shared" si="18"/>
        <v>0</v>
      </c>
      <c r="AB24" s="34">
        <f t="shared" si="18"/>
        <v>0</v>
      </c>
      <c r="AC24" s="34">
        <f t="shared" si="18"/>
        <v>390</v>
      </c>
      <c r="AD24" s="34">
        <f t="shared" si="18"/>
        <v>0</v>
      </c>
      <c r="AE24" s="31">
        <f t="shared" si="18"/>
        <v>316</v>
      </c>
      <c r="AF24" s="31">
        <f t="shared" si="18"/>
        <v>706</v>
      </c>
    </row>
    <row r="25" spans="2:32" ht="23.1" customHeight="1" x14ac:dyDescent="0.25">
      <c r="B25" s="45" t="s">
        <v>52</v>
      </c>
      <c r="C25" s="50">
        <v>41</v>
      </c>
      <c r="D25" s="50">
        <v>33</v>
      </c>
      <c r="E25" s="50">
        <v>8</v>
      </c>
      <c r="F25" s="50">
        <v>30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188</v>
      </c>
      <c r="N25" s="50">
        <v>0</v>
      </c>
      <c r="O25" s="15">
        <f t="shared" si="0"/>
        <v>116</v>
      </c>
      <c r="P25" s="15">
        <f t="shared" si="1"/>
        <v>304</v>
      </c>
      <c r="R25" s="36" t="s">
        <v>149</v>
      </c>
      <c r="S25" s="34">
        <f>SUM(C70:C73)</f>
        <v>137</v>
      </c>
      <c r="T25" s="34">
        <f t="shared" ref="T25:AF25" si="19">SUM(D70:D73)</f>
        <v>7</v>
      </c>
      <c r="U25" s="34">
        <f t="shared" si="19"/>
        <v>7</v>
      </c>
      <c r="V25" s="34">
        <f t="shared" si="19"/>
        <v>28</v>
      </c>
      <c r="W25" s="34">
        <f t="shared" si="19"/>
        <v>2</v>
      </c>
      <c r="X25" s="34">
        <f t="shared" si="19"/>
        <v>0</v>
      </c>
      <c r="Y25" s="34">
        <f t="shared" si="19"/>
        <v>2</v>
      </c>
      <c r="Z25" s="34">
        <f t="shared" si="19"/>
        <v>1</v>
      </c>
      <c r="AA25" s="34">
        <f t="shared" si="19"/>
        <v>0</v>
      </c>
      <c r="AB25" s="34">
        <f t="shared" si="19"/>
        <v>0</v>
      </c>
      <c r="AC25" s="34">
        <f t="shared" si="19"/>
        <v>335</v>
      </c>
      <c r="AD25" s="34">
        <f t="shared" si="19"/>
        <v>0</v>
      </c>
      <c r="AE25" s="31">
        <f t="shared" si="19"/>
        <v>184</v>
      </c>
      <c r="AF25" s="31">
        <f t="shared" si="19"/>
        <v>519</v>
      </c>
    </row>
    <row r="26" spans="2:32" ht="23.1" customHeight="1" x14ac:dyDescent="0.25">
      <c r="B26" s="45" t="s">
        <v>53</v>
      </c>
      <c r="C26" s="50">
        <v>38</v>
      </c>
      <c r="D26" s="50">
        <v>34</v>
      </c>
      <c r="E26" s="50">
        <v>7</v>
      </c>
      <c r="F26" s="50">
        <v>27</v>
      </c>
      <c r="G26" s="50">
        <v>2</v>
      </c>
      <c r="H26" s="50">
        <v>1</v>
      </c>
      <c r="I26" s="50">
        <v>7</v>
      </c>
      <c r="J26" s="50">
        <v>1</v>
      </c>
      <c r="K26" s="50">
        <v>0</v>
      </c>
      <c r="L26" s="50">
        <v>0</v>
      </c>
      <c r="M26" s="50">
        <v>161</v>
      </c>
      <c r="N26" s="50">
        <v>0</v>
      </c>
      <c r="O26" s="15">
        <f t="shared" si="0"/>
        <v>117</v>
      </c>
      <c r="P26" s="15">
        <f t="shared" si="1"/>
        <v>278</v>
      </c>
      <c r="R26" s="36" t="s">
        <v>150</v>
      </c>
      <c r="S26" s="34">
        <f>SUM(C74:C77)</f>
        <v>96</v>
      </c>
      <c r="T26" s="34">
        <f t="shared" ref="T26:AF26" si="20">SUM(D74:D77)</f>
        <v>9</v>
      </c>
      <c r="U26" s="34">
        <f t="shared" si="20"/>
        <v>5</v>
      </c>
      <c r="V26" s="34">
        <f t="shared" si="20"/>
        <v>17</v>
      </c>
      <c r="W26" s="34">
        <f t="shared" si="20"/>
        <v>0</v>
      </c>
      <c r="X26" s="34">
        <f t="shared" si="20"/>
        <v>1</v>
      </c>
      <c r="Y26" s="34">
        <f t="shared" si="20"/>
        <v>7</v>
      </c>
      <c r="Z26" s="34">
        <f t="shared" si="20"/>
        <v>2</v>
      </c>
      <c r="AA26" s="34">
        <f t="shared" si="20"/>
        <v>3</v>
      </c>
      <c r="AB26" s="34">
        <f t="shared" si="20"/>
        <v>0</v>
      </c>
      <c r="AC26" s="34">
        <f t="shared" si="20"/>
        <v>269</v>
      </c>
      <c r="AD26" s="34">
        <f t="shared" si="20"/>
        <v>0</v>
      </c>
      <c r="AE26" s="31">
        <f t="shared" si="20"/>
        <v>140</v>
      </c>
      <c r="AF26" s="31">
        <f t="shared" si="20"/>
        <v>409</v>
      </c>
    </row>
    <row r="27" spans="2:32" ht="23.1" customHeight="1" x14ac:dyDescent="0.25">
      <c r="B27" s="45" t="s">
        <v>54</v>
      </c>
      <c r="C27" s="50">
        <v>26</v>
      </c>
      <c r="D27" s="50">
        <v>30</v>
      </c>
      <c r="E27" s="50">
        <v>4</v>
      </c>
      <c r="F27" s="50">
        <v>31</v>
      </c>
      <c r="G27" s="50">
        <v>0</v>
      </c>
      <c r="H27" s="50">
        <v>0</v>
      </c>
      <c r="I27" s="50">
        <v>8</v>
      </c>
      <c r="J27" s="50">
        <v>4</v>
      </c>
      <c r="K27" s="50">
        <v>1</v>
      </c>
      <c r="L27" s="50">
        <v>0</v>
      </c>
      <c r="M27" s="50">
        <v>86</v>
      </c>
      <c r="N27" s="50">
        <v>0</v>
      </c>
      <c r="O27" s="15">
        <f t="shared" si="0"/>
        <v>104</v>
      </c>
      <c r="P27" s="15">
        <f t="shared" si="1"/>
        <v>190</v>
      </c>
      <c r="R27" s="36" t="s">
        <v>151</v>
      </c>
      <c r="S27" s="34">
        <f>SUM(C78:C81)</f>
        <v>79</v>
      </c>
      <c r="T27" s="34">
        <f t="shared" ref="T27:AF27" si="21">SUM(D78:D81)</f>
        <v>3</v>
      </c>
      <c r="U27" s="34">
        <f t="shared" si="21"/>
        <v>6</v>
      </c>
      <c r="V27" s="34">
        <f t="shared" si="21"/>
        <v>7</v>
      </c>
      <c r="W27" s="34">
        <f t="shared" si="21"/>
        <v>3</v>
      </c>
      <c r="X27" s="34">
        <f t="shared" si="21"/>
        <v>3</v>
      </c>
      <c r="Y27" s="34">
        <f t="shared" si="21"/>
        <v>3</v>
      </c>
      <c r="Z27" s="34">
        <f t="shared" si="21"/>
        <v>1</v>
      </c>
      <c r="AA27" s="34">
        <f t="shared" si="21"/>
        <v>0</v>
      </c>
      <c r="AB27" s="34">
        <f t="shared" si="21"/>
        <v>0</v>
      </c>
      <c r="AC27" s="34">
        <f t="shared" si="21"/>
        <v>182</v>
      </c>
      <c r="AD27" s="34">
        <f t="shared" si="21"/>
        <v>0</v>
      </c>
      <c r="AE27" s="31">
        <f t="shared" si="21"/>
        <v>105</v>
      </c>
      <c r="AF27" s="31">
        <f t="shared" si="21"/>
        <v>287</v>
      </c>
    </row>
    <row r="28" spans="2:32" ht="23.1" customHeight="1" x14ac:dyDescent="0.25">
      <c r="B28" s="45" t="s">
        <v>55</v>
      </c>
      <c r="C28" s="50">
        <v>26</v>
      </c>
      <c r="D28" s="50">
        <v>51</v>
      </c>
      <c r="E28" s="50">
        <v>7</v>
      </c>
      <c r="F28" s="50">
        <v>28</v>
      </c>
      <c r="G28" s="50">
        <v>0</v>
      </c>
      <c r="H28" s="50">
        <v>0</v>
      </c>
      <c r="I28" s="50">
        <v>5</v>
      </c>
      <c r="J28" s="50">
        <v>5</v>
      </c>
      <c r="K28" s="50">
        <v>1</v>
      </c>
      <c r="L28" s="50">
        <v>1</v>
      </c>
      <c r="M28" s="50">
        <v>136</v>
      </c>
      <c r="N28" s="50">
        <v>0</v>
      </c>
      <c r="O28" s="15">
        <f t="shared" si="0"/>
        <v>124</v>
      </c>
      <c r="P28" s="15">
        <f t="shared" si="1"/>
        <v>260</v>
      </c>
      <c r="R28" s="36" t="s">
        <v>152</v>
      </c>
      <c r="S28" s="34">
        <f>SUM(C82:C85)</f>
        <v>59</v>
      </c>
      <c r="T28" s="34">
        <f t="shared" ref="T28:AF28" si="22">SUM(D82:D85)</f>
        <v>7</v>
      </c>
      <c r="U28" s="34">
        <f t="shared" si="22"/>
        <v>2</v>
      </c>
      <c r="V28" s="34">
        <f t="shared" si="22"/>
        <v>2</v>
      </c>
      <c r="W28" s="34">
        <f t="shared" si="22"/>
        <v>0</v>
      </c>
      <c r="X28" s="34">
        <f t="shared" si="22"/>
        <v>1</v>
      </c>
      <c r="Y28" s="34">
        <f t="shared" si="22"/>
        <v>3</v>
      </c>
      <c r="Z28" s="34">
        <f t="shared" si="22"/>
        <v>3</v>
      </c>
      <c r="AA28" s="34">
        <f t="shared" si="22"/>
        <v>0</v>
      </c>
      <c r="AB28" s="34">
        <f t="shared" si="22"/>
        <v>1</v>
      </c>
      <c r="AC28" s="34">
        <f t="shared" si="22"/>
        <v>151</v>
      </c>
      <c r="AD28" s="34">
        <f t="shared" si="22"/>
        <v>0</v>
      </c>
      <c r="AE28" s="31">
        <f t="shared" si="22"/>
        <v>78</v>
      </c>
      <c r="AF28" s="31">
        <f t="shared" si="22"/>
        <v>229</v>
      </c>
    </row>
    <row r="29" spans="2:32" ht="23.1" customHeight="1" x14ac:dyDescent="0.25">
      <c r="B29" s="45" t="s">
        <v>56</v>
      </c>
      <c r="C29" s="50">
        <v>40</v>
      </c>
      <c r="D29" s="50">
        <v>47</v>
      </c>
      <c r="E29" s="50">
        <v>2</v>
      </c>
      <c r="F29" s="50">
        <v>26</v>
      </c>
      <c r="G29" s="50">
        <v>0</v>
      </c>
      <c r="H29" s="50">
        <v>0</v>
      </c>
      <c r="I29" s="50">
        <v>4</v>
      </c>
      <c r="J29" s="50">
        <v>2</v>
      </c>
      <c r="K29" s="50">
        <v>0</v>
      </c>
      <c r="L29" s="50">
        <v>1</v>
      </c>
      <c r="M29" s="50">
        <v>112</v>
      </c>
      <c r="N29" s="50">
        <v>0</v>
      </c>
      <c r="O29" s="15">
        <f t="shared" si="0"/>
        <v>122</v>
      </c>
      <c r="P29" s="15">
        <f t="shared" si="1"/>
        <v>234</v>
      </c>
      <c r="R29" s="36" t="s">
        <v>153</v>
      </c>
      <c r="S29" s="34">
        <f>SUM(C86:C89)</f>
        <v>33</v>
      </c>
      <c r="T29" s="34">
        <f t="shared" ref="T29:AF29" si="23">SUM(D86:D89)</f>
        <v>1</v>
      </c>
      <c r="U29" s="34">
        <f t="shared" si="23"/>
        <v>1</v>
      </c>
      <c r="V29" s="34">
        <f t="shared" si="23"/>
        <v>2</v>
      </c>
      <c r="W29" s="34">
        <f t="shared" si="23"/>
        <v>1</v>
      </c>
      <c r="X29" s="34">
        <f t="shared" si="23"/>
        <v>2</v>
      </c>
      <c r="Y29" s="34">
        <f t="shared" si="23"/>
        <v>1</v>
      </c>
      <c r="Z29" s="34">
        <f t="shared" si="23"/>
        <v>0</v>
      </c>
      <c r="AA29" s="34">
        <f t="shared" si="23"/>
        <v>1</v>
      </c>
      <c r="AB29" s="34">
        <f t="shared" si="23"/>
        <v>0</v>
      </c>
      <c r="AC29" s="34">
        <f t="shared" si="23"/>
        <v>128</v>
      </c>
      <c r="AD29" s="34">
        <f t="shared" si="23"/>
        <v>0</v>
      </c>
      <c r="AE29" s="31">
        <f t="shared" si="23"/>
        <v>42</v>
      </c>
      <c r="AF29" s="31">
        <f t="shared" si="23"/>
        <v>170</v>
      </c>
    </row>
    <row r="30" spans="2:32" ht="23.1" customHeight="1" x14ac:dyDescent="0.25">
      <c r="B30" s="45" t="s">
        <v>57</v>
      </c>
      <c r="C30" s="50">
        <v>21</v>
      </c>
      <c r="D30" s="50">
        <v>21</v>
      </c>
      <c r="E30" s="50">
        <v>3</v>
      </c>
      <c r="F30" s="50">
        <v>24</v>
      </c>
      <c r="G30" s="50">
        <v>0</v>
      </c>
      <c r="H30" s="50">
        <v>1</v>
      </c>
      <c r="I30" s="50">
        <v>3</v>
      </c>
      <c r="J30" s="50">
        <v>2</v>
      </c>
      <c r="K30" s="50">
        <v>0</v>
      </c>
      <c r="L30" s="50">
        <v>0</v>
      </c>
      <c r="M30" s="50">
        <v>105</v>
      </c>
      <c r="N30" s="50">
        <v>0</v>
      </c>
      <c r="O30" s="15">
        <f t="shared" si="0"/>
        <v>75</v>
      </c>
      <c r="P30" s="15">
        <f t="shared" si="1"/>
        <v>180</v>
      </c>
      <c r="R30" s="36" t="s">
        <v>154</v>
      </c>
      <c r="S30" s="34">
        <f>SUM(C90:C93)</f>
        <v>48</v>
      </c>
      <c r="T30" s="34">
        <f t="shared" ref="T30:AF30" si="24">SUM(D90:D93)</f>
        <v>2</v>
      </c>
      <c r="U30" s="34">
        <f t="shared" si="24"/>
        <v>1</v>
      </c>
      <c r="V30" s="34">
        <f t="shared" si="24"/>
        <v>4</v>
      </c>
      <c r="W30" s="34">
        <f t="shared" si="24"/>
        <v>1</v>
      </c>
      <c r="X30" s="34">
        <f t="shared" si="24"/>
        <v>2</v>
      </c>
      <c r="Y30" s="34">
        <f t="shared" si="24"/>
        <v>2</v>
      </c>
      <c r="Z30" s="34">
        <f t="shared" si="24"/>
        <v>4</v>
      </c>
      <c r="AA30" s="34">
        <f t="shared" si="24"/>
        <v>0</v>
      </c>
      <c r="AB30" s="34">
        <f t="shared" si="24"/>
        <v>0</v>
      </c>
      <c r="AC30" s="34">
        <f t="shared" si="24"/>
        <v>91</v>
      </c>
      <c r="AD30" s="34">
        <f t="shared" si="24"/>
        <v>0</v>
      </c>
      <c r="AE30" s="31">
        <f t="shared" si="24"/>
        <v>64</v>
      </c>
      <c r="AF30" s="31">
        <f t="shared" si="24"/>
        <v>155</v>
      </c>
    </row>
    <row r="31" spans="2:32" ht="23.1" customHeight="1" x14ac:dyDescent="0.25">
      <c r="B31" s="46" t="s">
        <v>58</v>
      </c>
      <c r="C31" s="50">
        <v>31</v>
      </c>
      <c r="D31" s="50">
        <v>25</v>
      </c>
      <c r="E31" s="50">
        <v>3</v>
      </c>
      <c r="F31" s="50">
        <v>16</v>
      </c>
      <c r="G31" s="50">
        <v>0</v>
      </c>
      <c r="H31" s="50">
        <v>0</v>
      </c>
      <c r="I31" s="50">
        <v>7</v>
      </c>
      <c r="J31" s="50">
        <v>6</v>
      </c>
      <c r="K31" s="50">
        <v>1</v>
      </c>
      <c r="L31" s="50">
        <v>0</v>
      </c>
      <c r="M31" s="50">
        <v>190</v>
      </c>
      <c r="N31" s="50">
        <v>0</v>
      </c>
      <c r="O31" s="15">
        <f t="shared" si="0"/>
        <v>89</v>
      </c>
      <c r="P31" s="15">
        <f t="shared" si="1"/>
        <v>279</v>
      </c>
      <c r="R31" s="36" t="s">
        <v>155</v>
      </c>
      <c r="S31" s="34">
        <f>SUM(C94:C97)</f>
        <v>39</v>
      </c>
      <c r="T31" s="34">
        <f t="shared" ref="T31:AF31" si="25">SUM(D94:D97)</f>
        <v>2</v>
      </c>
      <c r="U31" s="34">
        <f t="shared" si="25"/>
        <v>2</v>
      </c>
      <c r="V31" s="34">
        <f t="shared" si="25"/>
        <v>3</v>
      </c>
      <c r="W31" s="34">
        <f t="shared" si="25"/>
        <v>1</v>
      </c>
      <c r="X31" s="34">
        <f t="shared" si="25"/>
        <v>6</v>
      </c>
      <c r="Y31" s="34">
        <f t="shared" si="25"/>
        <v>7</v>
      </c>
      <c r="Z31" s="34">
        <f t="shared" si="25"/>
        <v>7</v>
      </c>
      <c r="AA31" s="34">
        <f t="shared" si="25"/>
        <v>1</v>
      </c>
      <c r="AB31" s="34">
        <f t="shared" si="25"/>
        <v>0</v>
      </c>
      <c r="AC31" s="34">
        <f t="shared" si="25"/>
        <v>116</v>
      </c>
      <c r="AD31" s="34">
        <f t="shared" si="25"/>
        <v>0</v>
      </c>
      <c r="AE31" s="31">
        <f t="shared" si="25"/>
        <v>68</v>
      </c>
      <c r="AF31" s="31">
        <f t="shared" si="25"/>
        <v>184</v>
      </c>
    </row>
    <row r="32" spans="2:32" ht="23.1" customHeight="1" x14ac:dyDescent="0.25">
      <c r="B32" s="46" t="s">
        <v>59</v>
      </c>
      <c r="C32" s="50">
        <v>15</v>
      </c>
      <c r="D32" s="50">
        <v>28</v>
      </c>
      <c r="E32" s="50">
        <v>7</v>
      </c>
      <c r="F32" s="50">
        <v>28</v>
      </c>
      <c r="G32" s="50">
        <v>0</v>
      </c>
      <c r="H32" s="50">
        <v>0</v>
      </c>
      <c r="I32" s="50">
        <v>7</v>
      </c>
      <c r="J32" s="50">
        <v>2</v>
      </c>
      <c r="K32" s="50">
        <v>2</v>
      </c>
      <c r="L32" s="50">
        <v>0</v>
      </c>
      <c r="M32" s="50">
        <v>156</v>
      </c>
      <c r="N32" s="50">
        <v>0</v>
      </c>
      <c r="O32" s="15">
        <f t="shared" si="0"/>
        <v>89</v>
      </c>
      <c r="P32" s="15">
        <f t="shared" si="1"/>
        <v>245</v>
      </c>
      <c r="R32" s="33" t="s">
        <v>156</v>
      </c>
      <c r="S32" s="34">
        <f>SUM(C98:C101)</f>
        <v>34</v>
      </c>
      <c r="T32" s="34">
        <f t="shared" ref="T32:AF32" si="26">SUM(D98:D101)</f>
        <v>4</v>
      </c>
      <c r="U32" s="34">
        <f t="shared" si="26"/>
        <v>5</v>
      </c>
      <c r="V32" s="34">
        <f t="shared" si="26"/>
        <v>22</v>
      </c>
      <c r="W32" s="34">
        <f t="shared" si="26"/>
        <v>2</v>
      </c>
      <c r="X32" s="34">
        <f t="shared" si="26"/>
        <v>4</v>
      </c>
      <c r="Y32" s="34">
        <f t="shared" si="26"/>
        <v>7</v>
      </c>
      <c r="Z32" s="34">
        <f t="shared" si="26"/>
        <v>3</v>
      </c>
      <c r="AA32" s="34">
        <f t="shared" si="26"/>
        <v>3</v>
      </c>
      <c r="AB32" s="34">
        <f t="shared" si="26"/>
        <v>0</v>
      </c>
      <c r="AC32" s="34">
        <f t="shared" si="26"/>
        <v>119</v>
      </c>
      <c r="AD32" s="34">
        <f t="shared" si="26"/>
        <v>0</v>
      </c>
      <c r="AE32" s="31">
        <f t="shared" si="26"/>
        <v>84</v>
      </c>
      <c r="AF32" s="31">
        <f t="shared" si="26"/>
        <v>203</v>
      </c>
    </row>
    <row r="33" spans="2:32" ht="23.1" customHeight="1" x14ac:dyDescent="0.25">
      <c r="B33" s="45" t="s">
        <v>60</v>
      </c>
      <c r="C33" s="50">
        <v>35</v>
      </c>
      <c r="D33" s="50">
        <v>30</v>
      </c>
      <c r="E33" s="50">
        <v>4</v>
      </c>
      <c r="F33" s="50">
        <v>20</v>
      </c>
      <c r="G33" s="50">
        <v>0</v>
      </c>
      <c r="H33" s="50">
        <v>0</v>
      </c>
      <c r="I33" s="50">
        <v>4</v>
      </c>
      <c r="J33" s="50">
        <v>3</v>
      </c>
      <c r="K33" s="50">
        <v>0</v>
      </c>
      <c r="L33" s="50">
        <v>1</v>
      </c>
      <c r="M33" s="50">
        <v>139</v>
      </c>
      <c r="N33" s="50">
        <v>0</v>
      </c>
      <c r="O33" s="15">
        <f t="shared" si="0"/>
        <v>97</v>
      </c>
      <c r="P33" s="15">
        <f t="shared" si="1"/>
        <v>236</v>
      </c>
      <c r="R33" s="33" t="s">
        <v>157</v>
      </c>
      <c r="S33" s="34">
        <f>SUM(C102:C105)</f>
        <v>73</v>
      </c>
      <c r="T33" s="34">
        <f t="shared" ref="T33:AF33" si="27">SUM(D102:D105)</f>
        <v>2</v>
      </c>
      <c r="U33" s="34">
        <f t="shared" si="27"/>
        <v>6</v>
      </c>
      <c r="V33" s="34">
        <f t="shared" si="27"/>
        <v>53</v>
      </c>
      <c r="W33" s="34">
        <f t="shared" si="27"/>
        <v>4</v>
      </c>
      <c r="X33" s="34">
        <f t="shared" si="27"/>
        <v>2</v>
      </c>
      <c r="Y33" s="34">
        <f t="shared" si="27"/>
        <v>5</v>
      </c>
      <c r="Z33" s="34">
        <f t="shared" si="27"/>
        <v>9</v>
      </c>
      <c r="AA33" s="34">
        <f t="shared" si="27"/>
        <v>1</v>
      </c>
      <c r="AB33" s="34">
        <f t="shared" si="27"/>
        <v>1</v>
      </c>
      <c r="AC33" s="34">
        <f t="shared" si="27"/>
        <v>157</v>
      </c>
      <c r="AD33" s="34">
        <f t="shared" si="27"/>
        <v>0</v>
      </c>
      <c r="AE33" s="31">
        <f t="shared" si="27"/>
        <v>156</v>
      </c>
      <c r="AF33" s="31">
        <f t="shared" si="27"/>
        <v>313</v>
      </c>
    </row>
    <row r="34" spans="2:32" ht="23.1" customHeight="1" x14ac:dyDescent="0.25">
      <c r="B34" s="46" t="s">
        <v>61</v>
      </c>
      <c r="C34" s="50">
        <v>33</v>
      </c>
      <c r="D34" s="50">
        <v>22</v>
      </c>
      <c r="E34" s="50">
        <v>2</v>
      </c>
      <c r="F34" s="50">
        <v>21</v>
      </c>
      <c r="G34" s="50">
        <v>0</v>
      </c>
      <c r="H34" s="50">
        <v>0</v>
      </c>
      <c r="I34" s="50">
        <v>9</v>
      </c>
      <c r="J34" s="50">
        <v>2</v>
      </c>
      <c r="K34" s="50">
        <v>0</v>
      </c>
      <c r="L34" s="50">
        <v>1</v>
      </c>
      <c r="M34" s="50">
        <v>126</v>
      </c>
      <c r="N34" s="50">
        <v>0</v>
      </c>
      <c r="O34" s="15">
        <f t="shared" si="0"/>
        <v>90</v>
      </c>
      <c r="P34" s="15">
        <f t="shared" si="1"/>
        <v>216</v>
      </c>
      <c r="R34" s="38" t="s">
        <v>90</v>
      </c>
      <c r="S34" s="39">
        <f t="shared" ref="S34:AF34" si="28">MAX(S10:S12)</f>
        <v>192</v>
      </c>
      <c r="T34" s="39">
        <f t="shared" si="28"/>
        <v>143</v>
      </c>
      <c r="U34" s="39">
        <f t="shared" si="28"/>
        <v>31</v>
      </c>
      <c r="V34" s="39">
        <f t="shared" si="28"/>
        <v>184</v>
      </c>
      <c r="W34" s="39">
        <f t="shared" si="28"/>
        <v>1</v>
      </c>
      <c r="X34" s="39">
        <f t="shared" si="28"/>
        <v>3</v>
      </c>
      <c r="Y34" s="39">
        <f t="shared" si="28"/>
        <v>21</v>
      </c>
      <c r="Z34" s="39">
        <f t="shared" si="28"/>
        <v>9</v>
      </c>
      <c r="AA34" s="39">
        <f t="shared" si="28"/>
        <v>6</v>
      </c>
      <c r="AB34" s="39">
        <f t="shared" si="28"/>
        <v>2</v>
      </c>
      <c r="AC34" s="39">
        <f t="shared" si="28"/>
        <v>1047</v>
      </c>
      <c r="AD34" s="39">
        <f t="shared" si="28"/>
        <v>0</v>
      </c>
      <c r="AE34" s="40">
        <f t="shared" si="28"/>
        <v>521</v>
      </c>
      <c r="AF34" s="40">
        <f t="shared" si="28"/>
        <v>1566</v>
      </c>
    </row>
    <row r="35" spans="2:32" ht="23.1" customHeight="1" x14ac:dyDescent="0.25">
      <c r="B35" s="46" t="s">
        <v>62</v>
      </c>
      <c r="C35" s="50">
        <v>32</v>
      </c>
      <c r="D35" s="50">
        <v>27</v>
      </c>
      <c r="E35" s="50">
        <v>6</v>
      </c>
      <c r="F35" s="50">
        <v>14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1</v>
      </c>
      <c r="M35" s="50">
        <v>141</v>
      </c>
      <c r="N35" s="50">
        <v>0</v>
      </c>
      <c r="O35" s="15">
        <f t="shared" si="0"/>
        <v>83</v>
      </c>
      <c r="P35" s="15">
        <f t="shared" si="1"/>
        <v>224</v>
      </c>
      <c r="R35" s="38" t="s">
        <v>91</v>
      </c>
      <c r="S35" s="39">
        <f t="shared" ref="S35:AF35" si="29">MAX(S13:S18)</f>
        <v>144</v>
      </c>
      <c r="T35" s="39">
        <f t="shared" si="29"/>
        <v>162</v>
      </c>
      <c r="U35" s="39">
        <f t="shared" si="29"/>
        <v>29</v>
      </c>
      <c r="V35" s="39">
        <f t="shared" si="29"/>
        <v>119</v>
      </c>
      <c r="W35" s="39">
        <f t="shared" si="29"/>
        <v>2</v>
      </c>
      <c r="X35" s="39">
        <f t="shared" si="29"/>
        <v>1</v>
      </c>
      <c r="Y35" s="39">
        <f t="shared" si="29"/>
        <v>24</v>
      </c>
      <c r="Z35" s="39">
        <f t="shared" si="29"/>
        <v>13</v>
      </c>
      <c r="AA35" s="39">
        <f t="shared" si="29"/>
        <v>4</v>
      </c>
      <c r="AB35" s="39">
        <f t="shared" si="29"/>
        <v>2</v>
      </c>
      <c r="AC35" s="39">
        <f t="shared" si="29"/>
        <v>667</v>
      </c>
      <c r="AD35" s="39">
        <f t="shared" si="29"/>
        <v>0</v>
      </c>
      <c r="AE35" s="40">
        <f t="shared" si="29"/>
        <v>469</v>
      </c>
      <c r="AF35" s="40">
        <f t="shared" si="29"/>
        <v>1136</v>
      </c>
    </row>
    <row r="36" spans="2:32" ht="23.1" customHeight="1" x14ac:dyDescent="0.25">
      <c r="B36" s="46" t="s">
        <v>63</v>
      </c>
      <c r="C36" s="50">
        <v>25</v>
      </c>
      <c r="D36" s="50">
        <v>24</v>
      </c>
      <c r="E36" s="50">
        <v>2</v>
      </c>
      <c r="F36" s="50">
        <v>19</v>
      </c>
      <c r="G36" s="50">
        <v>0</v>
      </c>
      <c r="H36" s="50">
        <v>0</v>
      </c>
      <c r="I36" s="50">
        <v>7</v>
      </c>
      <c r="J36" s="50">
        <v>2</v>
      </c>
      <c r="K36" s="50">
        <v>0</v>
      </c>
      <c r="L36" s="50">
        <v>0</v>
      </c>
      <c r="M36" s="50">
        <v>134</v>
      </c>
      <c r="N36" s="50">
        <v>0</v>
      </c>
      <c r="O36" s="15">
        <f t="shared" ref="O36:O41" si="30">SUM(C36:L36,N36)</f>
        <v>79</v>
      </c>
      <c r="P36" s="15">
        <f t="shared" si="1"/>
        <v>213</v>
      </c>
      <c r="R36" s="38" t="s">
        <v>92</v>
      </c>
      <c r="S36" s="39">
        <f t="shared" ref="S36:AF36" si="31">MAX(S19:S21)</f>
        <v>139</v>
      </c>
      <c r="T36" s="39">
        <f t="shared" si="31"/>
        <v>94</v>
      </c>
      <c r="U36" s="39">
        <f t="shared" si="31"/>
        <v>20</v>
      </c>
      <c r="V36" s="39">
        <f t="shared" si="31"/>
        <v>106</v>
      </c>
      <c r="W36" s="39">
        <f t="shared" si="31"/>
        <v>2</v>
      </c>
      <c r="X36" s="39">
        <f t="shared" si="31"/>
        <v>4</v>
      </c>
      <c r="Y36" s="39">
        <f t="shared" si="31"/>
        <v>14</v>
      </c>
      <c r="Z36" s="39">
        <f t="shared" si="31"/>
        <v>8</v>
      </c>
      <c r="AA36" s="39">
        <f t="shared" si="31"/>
        <v>3</v>
      </c>
      <c r="AB36" s="39">
        <f t="shared" si="31"/>
        <v>5</v>
      </c>
      <c r="AC36" s="39">
        <f t="shared" si="31"/>
        <v>676</v>
      </c>
      <c r="AD36" s="39">
        <f t="shared" si="31"/>
        <v>0</v>
      </c>
      <c r="AE36" s="40">
        <f t="shared" si="31"/>
        <v>350</v>
      </c>
      <c r="AF36" s="40">
        <f t="shared" si="31"/>
        <v>1020</v>
      </c>
    </row>
    <row r="37" spans="2:32" ht="23.1" customHeight="1" x14ac:dyDescent="0.25">
      <c r="B37" s="45" t="s">
        <v>64</v>
      </c>
      <c r="C37" s="50">
        <v>15</v>
      </c>
      <c r="D37" s="50">
        <v>19</v>
      </c>
      <c r="E37" s="50">
        <v>1</v>
      </c>
      <c r="F37" s="50">
        <v>18</v>
      </c>
      <c r="G37" s="50">
        <v>0</v>
      </c>
      <c r="H37" s="50">
        <v>0</v>
      </c>
      <c r="I37" s="50">
        <v>4</v>
      </c>
      <c r="J37" s="50">
        <v>2</v>
      </c>
      <c r="K37" s="50">
        <v>1</v>
      </c>
      <c r="L37" s="50">
        <v>0</v>
      </c>
      <c r="M37" s="50">
        <v>90</v>
      </c>
      <c r="N37" s="50">
        <v>0</v>
      </c>
      <c r="O37" s="15">
        <f t="shared" si="30"/>
        <v>60</v>
      </c>
      <c r="P37" s="15">
        <f t="shared" si="1"/>
        <v>150</v>
      </c>
      <c r="R37" s="37" t="s">
        <v>85</v>
      </c>
      <c r="S37" s="35">
        <f t="shared" ref="S37:AF37" si="32">SUM(S10:S12)</f>
        <v>529</v>
      </c>
      <c r="T37" s="16">
        <f t="shared" si="32"/>
        <v>412</v>
      </c>
      <c r="U37" s="16">
        <f t="shared" si="32"/>
        <v>59</v>
      </c>
      <c r="V37" s="16">
        <f t="shared" si="32"/>
        <v>465</v>
      </c>
      <c r="W37" s="16">
        <f t="shared" si="32"/>
        <v>1</v>
      </c>
      <c r="X37" s="16">
        <f t="shared" si="32"/>
        <v>5</v>
      </c>
      <c r="Y37" s="16">
        <f t="shared" si="32"/>
        <v>52</v>
      </c>
      <c r="Z37" s="16">
        <f t="shared" si="32"/>
        <v>17</v>
      </c>
      <c r="AA37" s="16">
        <f t="shared" si="32"/>
        <v>11</v>
      </c>
      <c r="AB37" s="16">
        <f t="shared" si="32"/>
        <v>3</v>
      </c>
      <c r="AC37" s="16">
        <f t="shared" si="32"/>
        <v>2955</v>
      </c>
      <c r="AD37" s="16">
        <f t="shared" si="32"/>
        <v>0</v>
      </c>
      <c r="AE37" s="32">
        <f t="shared" si="32"/>
        <v>1554</v>
      </c>
      <c r="AF37" s="32">
        <f t="shared" si="32"/>
        <v>4509</v>
      </c>
    </row>
    <row r="38" spans="2:32" ht="23.1" customHeight="1" x14ac:dyDescent="0.25">
      <c r="B38" s="46" t="s">
        <v>65</v>
      </c>
      <c r="C38" s="50">
        <v>19</v>
      </c>
      <c r="D38" s="50">
        <v>26</v>
      </c>
      <c r="E38" s="50">
        <v>7</v>
      </c>
      <c r="F38" s="50">
        <v>16</v>
      </c>
      <c r="G38" s="50">
        <v>0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83</v>
      </c>
      <c r="N38" s="50">
        <v>0</v>
      </c>
      <c r="O38" s="15">
        <f t="shared" si="30"/>
        <v>73</v>
      </c>
      <c r="P38" s="15">
        <f t="shared" si="1"/>
        <v>156</v>
      </c>
      <c r="R38" s="28" t="s">
        <v>86</v>
      </c>
      <c r="S38" s="16">
        <f t="shared" ref="S38:AF38" si="33">SUM(S13:S18)</f>
        <v>671</v>
      </c>
      <c r="T38" s="16">
        <f t="shared" si="33"/>
        <v>694</v>
      </c>
      <c r="U38" s="16">
        <f t="shared" si="33"/>
        <v>117</v>
      </c>
      <c r="V38" s="16">
        <f t="shared" si="33"/>
        <v>536</v>
      </c>
      <c r="W38" s="16">
        <f t="shared" si="33"/>
        <v>5</v>
      </c>
      <c r="X38" s="16">
        <f t="shared" si="33"/>
        <v>4</v>
      </c>
      <c r="Y38" s="16">
        <f t="shared" si="33"/>
        <v>111</v>
      </c>
      <c r="Z38" s="16">
        <f t="shared" si="33"/>
        <v>54</v>
      </c>
      <c r="AA38" s="16">
        <f t="shared" si="33"/>
        <v>15</v>
      </c>
      <c r="AB38" s="16">
        <f t="shared" si="33"/>
        <v>7</v>
      </c>
      <c r="AC38" s="16">
        <f t="shared" si="33"/>
        <v>3259</v>
      </c>
      <c r="AD38" s="16">
        <f t="shared" si="33"/>
        <v>0</v>
      </c>
      <c r="AE38" s="32">
        <f t="shared" si="33"/>
        <v>2214</v>
      </c>
      <c r="AF38" s="32">
        <f t="shared" si="33"/>
        <v>5473</v>
      </c>
    </row>
    <row r="39" spans="2:32" ht="23.1" customHeight="1" x14ac:dyDescent="0.25">
      <c r="B39" s="46" t="s">
        <v>66</v>
      </c>
      <c r="C39" s="50">
        <v>28</v>
      </c>
      <c r="D39" s="50">
        <v>18</v>
      </c>
      <c r="E39" s="50">
        <v>6</v>
      </c>
      <c r="F39" s="50">
        <v>22</v>
      </c>
      <c r="G39" s="50">
        <v>1</v>
      </c>
      <c r="H39" s="50">
        <v>0</v>
      </c>
      <c r="I39" s="50">
        <v>3</v>
      </c>
      <c r="J39" s="50">
        <v>1</v>
      </c>
      <c r="K39" s="50">
        <v>2</v>
      </c>
      <c r="L39" s="50">
        <v>0</v>
      </c>
      <c r="M39" s="50">
        <v>122</v>
      </c>
      <c r="N39" s="50">
        <v>0</v>
      </c>
      <c r="O39" s="15">
        <f t="shared" si="30"/>
        <v>81</v>
      </c>
      <c r="P39" s="15">
        <f t="shared" si="1"/>
        <v>203</v>
      </c>
      <c r="R39" s="29" t="s">
        <v>87</v>
      </c>
      <c r="S39" s="16">
        <f t="shared" ref="S39:AF39" si="34">SUM(S19:S21)</f>
        <v>359</v>
      </c>
      <c r="T39" s="16">
        <f t="shared" si="34"/>
        <v>247</v>
      </c>
      <c r="U39" s="16">
        <f t="shared" si="34"/>
        <v>44</v>
      </c>
      <c r="V39" s="16">
        <f t="shared" si="34"/>
        <v>286</v>
      </c>
      <c r="W39" s="16">
        <f t="shared" si="34"/>
        <v>4</v>
      </c>
      <c r="X39" s="16">
        <f t="shared" si="34"/>
        <v>10</v>
      </c>
      <c r="Y39" s="16">
        <f t="shared" si="34"/>
        <v>33</v>
      </c>
      <c r="Z39" s="16">
        <f t="shared" si="34"/>
        <v>18</v>
      </c>
      <c r="AA39" s="16">
        <f t="shared" si="34"/>
        <v>5</v>
      </c>
      <c r="AB39" s="16">
        <f t="shared" si="34"/>
        <v>5</v>
      </c>
      <c r="AC39" s="16">
        <f t="shared" si="34"/>
        <v>1724</v>
      </c>
      <c r="AD39" s="16">
        <f t="shared" si="34"/>
        <v>0</v>
      </c>
      <c r="AE39" s="32">
        <f t="shared" si="34"/>
        <v>1011</v>
      </c>
      <c r="AF39" s="32">
        <f t="shared" si="34"/>
        <v>2735</v>
      </c>
    </row>
    <row r="40" spans="2:32" ht="23.1" customHeight="1" x14ac:dyDescent="0.25">
      <c r="B40" s="46" t="s">
        <v>67</v>
      </c>
      <c r="C40" s="50">
        <v>24</v>
      </c>
      <c r="D40" s="50">
        <v>28</v>
      </c>
      <c r="E40" s="50">
        <v>4</v>
      </c>
      <c r="F40" s="50">
        <v>10</v>
      </c>
      <c r="G40" s="50">
        <v>1</v>
      </c>
      <c r="H40" s="50">
        <v>1</v>
      </c>
      <c r="I40" s="50">
        <v>3</v>
      </c>
      <c r="J40" s="50">
        <v>5</v>
      </c>
      <c r="K40" s="50">
        <v>1</v>
      </c>
      <c r="L40" s="50">
        <v>1</v>
      </c>
      <c r="M40" s="50">
        <v>140</v>
      </c>
      <c r="N40" s="50">
        <v>0</v>
      </c>
      <c r="O40" s="15">
        <f t="shared" si="30"/>
        <v>78</v>
      </c>
      <c r="P40" s="15">
        <f t="shared" si="1"/>
        <v>218</v>
      </c>
      <c r="R40" s="5" t="s">
        <v>17</v>
      </c>
      <c r="S40" s="16">
        <f t="shared" ref="S40:AF40" si="35">SUM(S10:S21)</f>
        <v>1559</v>
      </c>
      <c r="T40" s="16">
        <f t="shared" si="35"/>
        <v>1353</v>
      </c>
      <c r="U40" s="16">
        <f t="shared" si="35"/>
        <v>220</v>
      </c>
      <c r="V40" s="16">
        <f t="shared" si="35"/>
        <v>1287</v>
      </c>
      <c r="W40" s="16">
        <f t="shared" si="35"/>
        <v>10</v>
      </c>
      <c r="X40" s="16">
        <f t="shared" si="35"/>
        <v>19</v>
      </c>
      <c r="Y40" s="16">
        <f t="shared" si="35"/>
        <v>196</v>
      </c>
      <c r="Z40" s="16">
        <f t="shared" si="35"/>
        <v>89</v>
      </c>
      <c r="AA40" s="16">
        <f t="shared" si="35"/>
        <v>31</v>
      </c>
      <c r="AB40" s="16">
        <f t="shared" si="35"/>
        <v>15</v>
      </c>
      <c r="AC40" s="16">
        <f t="shared" si="35"/>
        <v>7938</v>
      </c>
      <c r="AD40" s="16">
        <f t="shared" si="35"/>
        <v>0</v>
      </c>
      <c r="AE40" s="32">
        <f t="shared" si="35"/>
        <v>4779</v>
      </c>
      <c r="AF40" s="32">
        <f t="shared" si="35"/>
        <v>12717</v>
      </c>
    </row>
    <row r="41" spans="2:32" ht="23.1" customHeight="1" x14ac:dyDescent="0.25">
      <c r="B41" s="45" t="s">
        <v>68</v>
      </c>
      <c r="C41" s="50">
        <v>22</v>
      </c>
      <c r="D41" s="50">
        <v>18</v>
      </c>
      <c r="E41" s="50">
        <v>4</v>
      </c>
      <c r="F41" s="50">
        <v>24</v>
      </c>
      <c r="G41" s="50">
        <v>0</v>
      </c>
      <c r="H41" s="50">
        <v>0</v>
      </c>
      <c r="I41" s="50">
        <v>3</v>
      </c>
      <c r="J41" s="50">
        <v>3</v>
      </c>
      <c r="K41" s="50">
        <v>1</v>
      </c>
      <c r="L41" s="50">
        <v>1</v>
      </c>
      <c r="M41" s="50">
        <v>150</v>
      </c>
      <c r="N41" s="50">
        <v>0</v>
      </c>
      <c r="O41" s="15">
        <f t="shared" si="30"/>
        <v>76</v>
      </c>
      <c r="P41" s="15">
        <f>SUM(C41:N41)</f>
        <v>226</v>
      </c>
      <c r="R41" s="5" t="s">
        <v>159</v>
      </c>
      <c r="S41" s="16">
        <f>SUM(S10:S33)</f>
        <v>2733</v>
      </c>
      <c r="T41" s="16">
        <f t="shared" ref="T41:AF41" si="36">SUM(T10:T33)</f>
        <v>1431</v>
      </c>
      <c r="U41" s="16">
        <f t="shared" si="36"/>
        <v>288</v>
      </c>
      <c r="V41" s="16">
        <f t="shared" si="36"/>
        <v>1755</v>
      </c>
      <c r="W41" s="16">
        <f t="shared" si="36"/>
        <v>30</v>
      </c>
      <c r="X41" s="16">
        <f t="shared" si="36"/>
        <v>47</v>
      </c>
      <c r="Y41" s="16">
        <f t="shared" si="36"/>
        <v>252</v>
      </c>
      <c r="Z41" s="16">
        <f t="shared" si="36"/>
        <v>128</v>
      </c>
      <c r="AA41" s="16">
        <f t="shared" si="36"/>
        <v>41</v>
      </c>
      <c r="AB41" s="16">
        <f t="shared" si="36"/>
        <v>18</v>
      </c>
      <c r="AC41" s="16">
        <f t="shared" si="36"/>
        <v>10892</v>
      </c>
      <c r="AD41" s="16">
        <f t="shared" si="36"/>
        <v>0</v>
      </c>
      <c r="AE41" s="32">
        <f t="shared" si="36"/>
        <v>6723</v>
      </c>
      <c r="AF41" s="32">
        <f t="shared" si="36"/>
        <v>17615</v>
      </c>
    </row>
    <row r="42" spans="2:32" ht="23.1" customHeight="1" x14ac:dyDescent="0.25">
      <c r="B42" s="46" t="s">
        <v>69</v>
      </c>
      <c r="C42" s="50">
        <v>26</v>
      </c>
      <c r="D42" s="50">
        <v>19</v>
      </c>
      <c r="E42" s="50">
        <v>2</v>
      </c>
      <c r="F42" s="50">
        <v>20</v>
      </c>
      <c r="G42" s="50">
        <v>0</v>
      </c>
      <c r="H42" s="50">
        <v>0</v>
      </c>
      <c r="I42" s="50">
        <v>4</v>
      </c>
      <c r="J42" s="50">
        <v>1</v>
      </c>
      <c r="K42" s="50">
        <v>1</v>
      </c>
      <c r="L42" s="50">
        <v>0</v>
      </c>
      <c r="M42" s="50">
        <v>104</v>
      </c>
      <c r="N42" s="50">
        <v>0</v>
      </c>
      <c r="O42" s="15">
        <f t="shared" si="0"/>
        <v>73</v>
      </c>
      <c r="P42" s="15">
        <f t="shared" si="1"/>
        <v>177</v>
      </c>
      <c r="R42" s="5" t="s">
        <v>160</v>
      </c>
      <c r="S42" s="48">
        <f>S41/S40</f>
        <v>1.7530468248877487</v>
      </c>
      <c r="T42" s="48">
        <f t="shared" ref="T42:AF42" si="37">T41/T40</f>
        <v>1.0576496674057649</v>
      </c>
      <c r="U42" s="48">
        <f t="shared" si="37"/>
        <v>1.3090909090909091</v>
      </c>
      <c r="V42" s="48">
        <f t="shared" si="37"/>
        <v>1.3636363636363635</v>
      </c>
      <c r="W42" s="48">
        <f t="shared" si="37"/>
        <v>3</v>
      </c>
      <c r="X42" s="48">
        <f t="shared" si="37"/>
        <v>2.4736842105263159</v>
      </c>
      <c r="Y42" s="48">
        <f t="shared" si="37"/>
        <v>1.2857142857142858</v>
      </c>
      <c r="Z42" s="48">
        <f t="shared" si="37"/>
        <v>1.4382022471910112</v>
      </c>
      <c r="AA42" s="48">
        <f t="shared" si="37"/>
        <v>1.3225806451612903</v>
      </c>
      <c r="AB42" s="48">
        <f t="shared" si="37"/>
        <v>1.2</v>
      </c>
      <c r="AC42" s="48">
        <f t="shared" si="37"/>
        <v>1.3721340388007055</v>
      </c>
      <c r="AD42" s="48" t="e">
        <f t="shared" si="37"/>
        <v>#DIV/0!</v>
      </c>
      <c r="AE42" s="48">
        <f t="shared" si="37"/>
        <v>1.4067796610169492</v>
      </c>
      <c r="AF42" s="48">
        <f t="shared" si="37"/>
        <v>1.3851537312259181</v>
      </c>
    </row>
    <row r="43" spans="2:32" ht="23.1" customHeight="1" x14ac:dyDescent="0.25">
      <c r="B43" s="45" t="s">
        <v>70</v>
      </c>
      <c r="C43" s="50">
        <v>24</v>
      </c>
      <c r="D43" s="50">
        <v>19</v>
      </c>
      <c r="E43" s="50">
        <v>1</v>
      </c>
      <c r="F43" s="50">
        <v>18</v>
      </c>
      <c r="G43" s="50">
        <v>0</v>
      </c>
      <c r="H43" s="50">
        <v>0</v>
      </c>
      <c r="I43" s="50">
        <v>4</v>
      </c>
      <c r="J43" s="50">
        <v>4</v>
      </c>
      <c r="K43" s="50">
        <v>0</v>
      </c>
      <c r="L43" s="50">
        <v>0</v>
      </c>
      <c r="M43" s="50">
        <v>117</v>
      </c>
      <c r="N43" s="50">
        <v>0</v>
      </c>
      <c r="O43" s="15">
        <f t="shared" si="0"/>
        <v>70</v>
      </c>
      <c r="P43" s="15">
        <f t="shared" si="1"/>
        <v>187</v>
      </c>
    </row>
    <row r="44" spans="2:32" ht="23.1" customHeight="1" x14ac:dyDescent="0.25">
      <c r="B44" s="47" t="s">
        <v>71</v>
      </c>
      <c r="C44" s="50">
        <v>23</v>
      </c>
      <c r="D44" s="50">
        <v>29</v>
      </c>
      <c r="E44" s="50">
        <v>10</v>
      </c>
      <c r="F44" s="50">
        <v>16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151</v>
      </c>
      <c r="N44" s="50">
        <v>0</v>
      </c>
      <c r="O44" s="15">
        <f t="shared" si="0"/>
        <v>82</v>
      </c>
      <c r="P44" s="15">
        <f t="shared" si="1"/>
        <v>233</v>
      </c>
    </row>
    <row r="45" spans="2:32" ht="23.1" customHeight="1" x14ac:dyDescent="0.25">
      <c r="B45" s="45" t="s">
        <v>72</v>
      </c>
      <c r="C45" s="50">
        <v>24</v>
      </c>
      <c r="D45" s="50">
        <v>25</v>
      </c>
      <c r="E45" s="50">
        <v>6</v>
      </c>
      <c r="F45" s="50">
        <v>19</v>
      </c>
      <c r="G45" s="50">
        <v>1</v>
      </c>
      <c r="H45" s="50">
        <v>1</v>
      </c>
      <c r="I45" s="50">
        <v>5</v>
      </c>
      <c r="J45" s="50">
        <v>1</v>
      </c>
      <c r="K45" s="50">
        <v>1</v>
      </c>
      <c r="L45" s="50">
        <v>0</v>
      </c>
      <c r="M45" s="50">
        <v>149</v>
      </c>
      <c r="N45" s="50">
        <v>0</v>
      </c>
      <c r="O45" s="15">
        <f t="shared" si="0"/>
        <v>83</v>
      </c>
      <c r="P45" s="15">
        <f t="shared" si="1"/>
        <v>232</v>
      </c>
    </row>
    <row r="46" spans="2:32" ht="23.1" customHeight="1" x14ac:dyDescent="0.25">
      <c r="B46" s="46" t="s">
        <v>73</v>
      </c>
      <c r="C46" s="50">
        <v>30</v>
      </c>
      <c r="D46" s="50">
        <v>20</v>
      </c>
      <c r="E46" s="50">
        <v>5</v>
      </c>
      <c r="F46" s="50">
        <v>22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2</v>
      </c>
      <c r="M46" s="50">
        <v>170</v>
      </c>
      <c r="N46" s="50">
        <v>0</v>
      </c>
      <c r="O46" s="15">
        <f t="shared" si="0"/>
        <v>83</v>
      </c>
      <c r="P46" s="15">
        <f t="shared" si="1"/>
        <v>253</v>
      </c>
      <c r="R46" s="8"/>
      <c r="T46"/>
    </row>
    <row r="47" spans="2:32" ht="23.1" customHeight="1" x14ac:dyDescent="0.25">
      <c r="B47" s="46" t="s">
        <v>74</v>
      </c>
      <c r="C47" s="50">
        <v>14</v>
      </c>
      <c r="D47" s="50">
        <v>24</v>
      </c>
      <c r="E47" s="50">
        <v>4</v>
      </c>
      <c r="F47" s="50">
        <v>23</v>
      </c>
      <c r="G47" s="50">
        <v>1</v>
      </c>
      <c r="H47" s="50">
        <v>1</v>
      </c>
      <c r="I47" s="50">
        <v>2</v>
      </c>
      <c r="J47" s="50">
        <v>1</v>
      </c>
      <c r="K47" s="50">
        <v>1</v>
      </c>
      <c r="L47" s="50">
        <v>1</v>
      </c>
      <c r="M47" s="50">
        <v>132</v>
      </c>
      <c r="N47" s="50">
        <v>0</v>
      </c>
      <c r="O47" s="15">
        <f t="shared" si="0"/>
        <v>72</v>
      </c>
      <c r="P47" s="15">
        <f t="shared" si="1"/>
        <v>204</v>
      </c>
      <c r="R47" s="8"/>
      <c r="T47"/>
    </row>
    <row r="48" spans="2:32" ht="23.1" customHeight="1" x14ac:dyDescent="0.25">
      <c r="B48" s="46" t="s">
        <v>75</v>
      </c>
      <c r="C48" s="50">
        <v>21</v>
      </c>
      <c r="D48" s="50">
        <v>20</v>
      </c>
      <c r="E48" s="50">
        <v>2</v>
      </c>
      <c r="F48" s="50">
        <v>12</v>
      </c>
      <c r="G48" s="50">
        <v>0</v>
      </c>
      <c r="H48" s="50">
        <v>1</v>
      </c>
      <c r="I48" s="50">
        <v>4</v>
      </c>
      <c r="J48" s="50">
        <v>1</v>
      </c>
      <c r="K48" s="50">
        <v>1</v>
      </c>
      <c r="L48" s="50">
        <v>0</v>
      </c>
      <c r="M48" s="50">
        <v>142</v>
      </c>
      <c r="N48" s="50">
        <v>0</v>
      </c>
      <c r="O48" s="15">
        <f t="shared" si="0"/>
        <v>62</v>
      </c>
      <c r="P48" s="15">
        <f t="shared" si="1"/>
        <v>204</v>
      </c>
      <c r="R48" s="8"/>
      <c r="T48"/>
    </row>
    <row r="49" spans="2:20" ht="23.1" customHeight="1" x14ac:dyDescent="0.25">
      <c r="B49" s="45" t="s">
        <v>76</v>
      </c>
      <c r="C49" s="50">
        <v>31</v>
      </c>
      <c r="D49" s="50">
        <v>30</v>
      </c>
      <c r="E49" s="50">
        <v>4</v>
      </c>
      <c r="F49" s="50">
        <v>28</v>
      </c>
      <c r="G49" s="50">
        <v>0</v>
      </c>
      <c r="H49" s="50">
        <v>0</v>
      </c>
      <c r="I49" s="50">
        <v>1</v>
      </c>
      <c r="J49" s="50">
        <v>4</v>
      </c>
      <c r="K49" s="50">
        <v>0</v>
      </c>
      <c r="L49" s="50">
        <v>2</v>
      </c>
      <c r="M49" s="50">
        <v>154</v>
      </c>
      <c r="N49" s="50">
        <v>0</v>
      </c>
      <c r="O49" s="15">
        <f t="shared" si="0"/>
        <v>100</v>
      </c>
      <c r="P49" s="15">
        <f t="shared" si="1"/>
        <v>254</v>
      </c>
      <c r="R49" s="8"/>
      <c r="T49"/>
    </row>
    <row r="50" spans="2:20" ht="23.1" customHeight="1" x14ac:dyDescent="0.25">
      <c r="B50" s="46" t="s">
        <v>77</v>
      </c>
      <c r="C50" s="50">
        <v>33</v>
      </c>
      <c r="D50" s="50">
        <v>15</v>
      </c>
      <c r="E50" s="50">
        <v>4</v>
      </c>
      <c r="F50" s="50">
        <v>23</v>
      </c>
      <c r="G50" s="50">
        <v>0</v>
      </c>
      <c r="H50" s="50">
        <v>2</v>
      </c>
      <c r="I50" s="50">
        <v>3</v>
      </c>
      <c r="J50" s="50">
        <v>1</v>
      </c>
      <c r="K50" s="50">
        <v>1</v>
      </c>
      <c r="L50" s="50">
        <v>0</v>
      </c>
      <c r="M50" s="50">
        <v>171</v>
      </c>
      <c r="N50" s="50">
        <v>0</v>
      </c>
      <c r="O50" s="15">
        <f t="shared" si="0"/>
        <v>82</v>
      </c>
      <c r="P50" s="15">
        <f t="shared" si="1"/>
        <v>253</v>
      </c>
      <c r="R50" s="8"/>
      <c r="T50"/>
    </row>
    <row r="51" spans="2:20" ht="23.1" customHeight="1" x14ac:dyDescent="0.25">
      <c r="B51" s="46" t="s">
        <v>78</v>
      </c>
      <c r="C51" s="50">
        <v>30</v>
      </c>
      <c r="D51" s="50">
        <v>25</v>
      </c>
      <c r="E51" s="50">
        <v>5</v>
      </c>
      <c r="F51" s="50">
        <v>27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230</v>
      </c>
      <c r="N51" s="50">
        <v>0</v>
      </c>
      <c r="O51" s="15">
        <f t="shared" si="0"/>
        <v>94</v>
      </c>
      <c r="P51" s="15">
        <f t="shared" si="1"/>
        <v>324</v>
      </c>
      <c r="R51" s="8"/>
      <c r="T51"/>
    </row>
    <row r="52" spans="2:20" ht="23.1" customHeight="1" x14ac:dyDescent="0.25">
      <c r="B52" s="46" t="s">
        <v>79</v>
      </c>
      <c r="C52" s="50">
        <v>17</v>
      </c>
      <c r="D52" s="50">
        <v>16</v>
      </c>
      <c r="E52" s="50">
        <v>6</v>
      </c>
      <c r="F52" s="50">
        <v>24</v>
      </c>
      <c r="G52" s="50">
        <v>1</v>
      </c>
      <c r="H52" s="50">
        <v>2</v>
      </c>
      <c r="I52" s="50">
        <v>3</v>
      </c>
      <c r="J52" s="50">
        <v>1</v>
      </c>
      <c r="K52" s="50">
        <v>1</v>
      </c>
      <c r="L52" s="50">
        <v>0</v>
      </c>
      <c r="M52" s="50">
        <v>125</v>
      </c>
      <c r="N52" s="50">
        <v>0</v>
      </c>
      <c r="O52" s="15">
        <f t="shared" si="0"/>
        <v>71</v>
      </c>
      <c r="P52" s="15">
        <f t="shared" si="1"/>
        <v>196</v>
      </c>
      <c r="R52" s="8"/>
      <c r="T52"/>
    </row>
    <row r="53" spans="2:20" ht="23.1" customHeight="1" x14ac:dyDescent="0.25">
      <c r="B53" s="45" t="s">
        <v>80</v>
      </c>
      <c r="C53" s="50">
        <v>44</v>
      </c>
      <c r="D53" s="50">
        <v>22</v>
      </c>
      <c r="E53" s="50">
        <v>5</v>
      </c>
      <c r="F53" s="50">
        <v>21</v>
      </c>
      <c r="G53" s="50">
        <v>0</v>
      </c>
      <c r="H53" s="50">
        <v>0</v>
      </c>
      <c r="I53" s="50">
        <v>3</v>
      </c>
      <c r="J53" s="50">
        <v>1</v>
      </c>
      <c r="K53" s="50">
        <v>1</v>
      </c>
      <c r="L53" s="50">
        <v>0</v>
      </c>
      <c r="M53" s="50">
        <v>150</v>
      </c>
      <c r="N53" s="50">
        <v>0</v>
      </c>
      <c r="O53" s="15">
        <f t="shared" si="0"/>
        <v>97</v>
      </c>
      <c r="P53" s="15">
        <f t="shared" si="1"/>
        <v>247</v>
      </c>
      <c r="R53" s="8"/>
      <c r="T53"/>
    </row>
    <row r="54" spans="2:20" ht="23.1" customHeight="1" x14ac:dyDescent="0.25">
      <c r="B54" s="45" t="s">
        <v>81</v>
      </c>
      <c r="C54" s="50">
        <v>41</v>
      </c>
      <c r="D54" s="50">
        <v>9</v>
      </c>
      <c r="E54" s="50">
        <v>3</v>
      </c>
      <c r="F54" s="50">
        <v>12</v>
      </c>
      <c r="G54" s="50">
        <v>0</v>
      </c>
      <c r="H54" s="50">
        <v>1</v>
      </c>
      <c r="I54" s="50">
        <v>2</v>
      </c>
      <c r="J54" s="50">
        <v>1</v>
      </c>
      <c r="K54" s="50">
        <v>0</v>
      </c>
      <c r="L54" s="50">
        <v>0</v>
      </c>
      <c r="M54" s="50">
        <v>175</v>
      </c>
      <c r="N54" s="50">
        <v>0</v>
      </c>
      <c r="O54" s="15">
        <f t="shared" si="0"/>
        <v>69</v>
      </c>
      <c r="P54" s="15">
        <f t="shared" si="1"/>
        <v>244</v>
      </c>
      <c r="R54" s="8"/>
      <c r="T54"/>
    </row>
    <row r="55" spans="2:20" ht="23.1" customHeight="1" x14ac:dyDescent="0.25">
      <c r="B55" s="45" t="s">
        <v>82</v>
      </c>
      <c r="C55" s="50">
        <v>50</v>
      </c>
      <c r="D55" s="50">
        <v>29</v>
      </c>
      <c r="E55" s="50">
        <v>3</v>
      </c>
      <c r="F55" s="50">
        <v>37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115</v>
      </c>
      <c r="N55" s="50">
        <v>0</v>
      </c>
      <c r="O55" s="15">
        <f t="shared" si="0"/>
        <v>122</v>
      </c>
      <c r="P55" s="15">
        <f t="shared" si="1"/>
        <v>237</v>
      </c>
      <c r="R55" s="8"/>
      <c r="T55"/>
    </row>
    <row r="56" spans="2:20" ht="23.1" customHeight="1" x14ac:dyDescent="0.25">
      <c r="B56" s="45" t="s">
        <v>83</v>
      </c>
      <c r="C56" s="50">
        <v>38</v>
      </c>
      <c r="D56" s="50">
        <v>37</v>
      </c>
      <c r="E56" s="50">
        <v>2</v>
      </c>
      <c r="F56" s="50">
        <v>45</v>
      </c>
      <c r="G56" s="50">
        <v>1</v>
      </c>
      <c r="H56" s="50">
        <v>3</v>
      </c>
      <c r="I56" s="50">
        <v>4</v>
      </c>
      <c r="J56" s="50">
        <v>0</v>
      </c>
      <c r="K56" s="50">
        <v>0</v>
      </c>
      <c r="L56" s="50">
        <v>0</v>
      </c>
      <c r="M56" s="50">
        <v>113</v>
      </c>
      <c r="N56" s="50">
        <v>0</v>
      </c>
      <c r="O56" s="15">
        <f t="shared" si="0"/>
        <v>130</v>
      </c>
      <c r="P56" s="15">
        <f t="shared" si="1"/>
        <v>243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v>0</v>
      </c>
      <c r="E57" s="50">
        <v>1</v>
      </c>
      <c r="F57" s="50">
        <v>12</v>
      </c>
      <c r="G57" s="50">
        <v>1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47</v>
      </c>
      <c r="N57" s="50">
        <v>0</v>
      </c>
      <c r="O57" s="15">
        <f t="shared" si="0"/>
        <v>29</v>
      </c>
      <c r="P57" s="15">
        <f t="shared" si="1"/>
        <v>76</v>
      </c>
      <c r="R57" s="8"/>
      <c r="T57"/>
    </row>
    <row r="58" spans="2:20" ht="23.1" customHeight="1" x14ac:dyDescent="0.25">
      <c r="B58" s="45" t="s">
        <v>99</v>
      </c>
      <c r="C58" s="50">
        <v>47</v>
      </c>
      <c r="D58" s="50">
        <v>9</v>
      </c>
      <c r="E58" s="50">
        <v>2</v>
      </c>
      <c r="F58" s="50">
        <v>33</v>
      </c>
      <c r="G58" s="50">
        <v>1</v>
      </c>
      <c r="H58" s="50">
        <v>1</v>
      </c>
      <c r="I58" s="50">
        <v>0</v>
      </c>
      <c r="J58" s="50">
        <v>1</v>
      </c>
      <c r="K58" s="50">
        <v>0</v>
      </c>
      <c r="L58" s="50">
        <v>0</v>
      </c>
      <c r="M58" s="50">
        <v>107</v>
      </c>
      <c r="N58" s="50">
        <v>0</v>
      </c>
      <c r="O58" s="15">
        <f t="shared" si="0"/>
        <v>94</v>
      </c>
      <c r="P58" s="15">
        <f t="shared" si="1"/>
        <v>201</v>
      </c>
      <c r="R58" s="8"/>
      <c r="T58"/>
    </row>
    <row r="59" spans="2:20" ht="23.1" customHeight="1" x14ac:dyDescent="0.25">
      <c r="B59" s="45" t="s">
        <v>100</v>
      </c>
      <c r="C59" s="50">
        <v>46</v>
      </c>
      <c r="D59" s="50">
        <v>3</v>
      </c>
      <c r="E59" s="50">
        <v>2</v>
      </c>
      <c r="F59" s="50">
        <v>21</v>
      </c>
      <c r="G59" s="50">
        <v>1</v>
      </c>
      <c r="H59" s="50">
        <v>1</v>
      </c>
      <c r="I59" s="50">
        <v>0</v>
      </c>
      <c r="J59" s="50">
        <v>1</v>
      </c>
      <c r="K59" s="50">
        <v>1</v>
      </c>
      <c r="L59" s="50">
        <v>0</v>
      </c>
      <c r="M59" s="50">
        <v>98</v>
      </c>
      <c r="N59" s="50">
        <v>0</v>
      </c>
      <c r="O59" s="15">
        <f t="shared" si="0"/>
        <v>76</v>
      </c>
      <c r="P59" s="15">
        <f t="shared" si="1"/>
        <v>174</v>
      </c>
      <c r="R59" s="8"/>
      <c r="T59"/>
    </row>
    <row r="60" spans="2:20" ht="23.1" customHeight="1" x14ac:dyDescent="0.25">
      <c r="B60" s="45" t="s">
        <v>101</v>
      </c>
      <c r="C60" s="50">
        <v>49</v>
      </c>
      <c r="D60" s="50">
        <v>5</v>
      </c>
      <c r="E60" s="50">
        <v>5</v>
      </c>
      <c r="F60" s="50">
        <v>28</v>
      </c>
      <c r="G60" s="50">
        <v>1</v>
      </c>
      <c r="H60" s="50">
        <v>1</v>
      </c>
      <c r="I60" s="50">
        <v>2</v>
      </c>
      <c r="J60" s="50">
        <v>2</v>
      </c>
      <c r="K60" s="50">
        <v>0</v>
      </c>
      <c r="L60" s="50">
        <v>0</v>
      </c>
      <c r="M60" s="50">
        <v>119</v>
      </c>
      <c r="N60" s="50">
        <v>0</v>
      </c>
      <c r="O60" s="15">
        <f t="shared" si="0"/>
        <v>93</v>
      </c>
      <c r="P60" s="15">
        <f t="shared" si="1"/>
        <v>212</v>
      </c>
      <c r="R60" s="8"/>
      <c r="T60"/>
    </row>
    <row r="61" spans="2:20" ht="23.1" customHeight="1" x14ac:dyDescent="0.25">
      <c r="B61" s="45" t="s">
        <v>102</v>
      </c>
      <c r="C61" s="50">
        <v>58</v>
      </c>
      <c r="D61" s="50">
        <v>1</v>
      </c>
      <c r="E61" s="50">
        <v>2</v>
      </c>
      <c r="F61" s="50">
        <v>32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197</v>
      </c>
      <c r="N61" s="50">
        <v>0</v>
      </c>
      <c r="O61" s="15">
        <f t="shared" si="0"/>
        <v>93</v>
      </c>
      <c r="P61" s="15">
        <f t="shared" si="1"/>
        <v>290</v>
      </c>
      <c r="R61" s="8"/>
      <c r="T61"/>
    </row>
    <row r="62" spans="2:20" ht="23.1" customHeight="1" x14ac:dyDescent="0.25">
      <c r="B62" s="45" t="s">
        <v>107</v>
      </c>
      <c r="C62" s="50">
        <v>52</v>
      </c>
      <c r="D62" s="50">
        <v>1</v>
      </c>
      <c r="E62" s="50">
        <v>6</v>
      </c>
      <c r="F62" s="50">
        <v>40</v>
      </c>
      <c r="G62" s="50">
        <v>0</v>
      </c>
      <c r="H62" s="50">
        <v>1</v>
      </c>
      <c r="I62" s="50">
        <v>2</v>
      </c>
      <c r="J62" s="50">
        <v>0</v>
      </c>
      <c r="K62" s="50">
        <v>0</v>
      </c>
      <c r="L62" s="50">
        <v>1</v>
      </c>
      <c r="M62" s="50">
        <v>147</v>
      </c>
      <c r="N62" s="50">
        <v>0</v>
      </c>
      <c r="O62" s="15">
        <f t="shared" si="0"/>
        <v>103</v>
      </c>
      <c r="P62" s="15">
        <f t="shared" si="1"/>
        <v>250</v>
      </c>
      <c r="R62" s="8"/>
      <c r="T62"/>
    </row>
    <row r="63" spans="2:20" ht="23.1" customHeight="1" x14ac:dyDescent="0.25">
      <c r="B63" s="45" t="s">
        <v>108</v>
      </c>
      <c r="C63" s="50">
        <v>63</v>
      </c>
      <c r="D63" s="50">
        <v>2</v>
      </c>
      <c r="E63" s="50">
        <v>1</v>
      </c>
      <c r="F63" s="50">
        <v>26</v>
      </c>
      <c r="G63" s="50">
        <v>2</v>
      </c>
      <c r="H63" s="50">
        <v>0</v>
      </c>
      <c r="I63" s="50">
        <v>5</v>
      </c>
      <c r="J63" s="50">
        <v>0</v>
      </c>
      <c r="K63" s="50">
        <v>0</v>
      </c>
      <c r="L63" s="50">
        <v>0</v>
      </c>
      <c r="M63" s="50">
        <v>135</v>
      </c>
      <c r="N63" s="50">
        <v>0</v>
      </c>
      <c r="O63" s="15">
        <f t="shared" si="0"/>
        <v>99</v>
      </c>
      <c r="P63" s="15">
        <f t="shared" si="1"/>
        <v>234</v>
      </c>
      <c r="R63" s="8"/>
      <c r="T63"/>
    </row>
    <row r="64" spans="2:20" ht="23.1" customHeight="1" x14ac:dyDescent="0.25">
      <c r="B64" s="45" t="s">
        <v>109</v>
      </c>
      <c r="C64" s="50">
        <v>39</v>
      </c>
      <c r="D64" s="50">
        <v>4</v>
      </c>
      <c r="E64" s="50">
        <v>1</v>
      </c>
      <c r="F64" s="50">
        <v>28</v>
      </c>
      <c r="G64" s="50">
        <v>0</v>
      </c>
      <c r="H64" s="50">
        <v>1</v>
      </c>
      <c r="I64" s="50">
        <v>2</v>
      </c>
      <c r="J64" s="50">
        <v>1</v>
      </c>
      <c r="K64" s="50">
        <v>0</v>
      </c>
      <c r="L64" s="50">
        <v>0</v>
      </c>
      <c r="M64" s="50">
        <v>103</v>
      </c>
      <c r="N64" s="50">
        <v>0</v>
      </c>
      <c r="O64" s="15">
        <f t="shared" si="0"/>
        <v>76</v>
      </c>
      <c r="P64" s="15">
        <f t="shared" si="1"/>
        <v>179</v>
      </c>
      <c r="R64" s="8"/>
      <c r="T64"/>
    </row>
    <row r="65" spans="2:20" ht="23.1" customHeight="1" x14ac:dyDescent="0.25">
      <c r="B65" s="45" t="s">
        <v>158</v>
      </c>
      <c r="C65" s="50">
        <v>44</v>
      </c>
      <c r="D65" s="50">
        <v>5</v>
      </c>
      <c r="E65" s="50">
        <v>2</v>
      </c>
      <c r="F65" s="50">
        <v>20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110</v>
      </c>
      <c r="N65" s="50">
        <v>0</v>
      </c>
      <c r="O65" s="15">
        <f t="shared" si="0"/>
        <v>73</v>
      </c>
      <c r="P65" s="15">
        <f t="shared" si="1"/>
        <v>183</v>
      </c>
      <c r="R65" s="8"/>
      <c r="T65"/>
    </row>
    <row r="66" spans="2:20" ht="23.1" customHeight="1" x14ac:dyDescent="0.25">
      <c r="B66" s="45" t="s">
        <v>103</v>
      </c>
      <c r="C66" s="50">
        <v>46</v>
      </c>
      <c r="D66" s="50">
        <v>5</v>
      </c>
      <c r="E66" s="50">
        <v>6</v>
      </c>
      <c r="F66" s="50">
        <v>24</v>
      </c>
      <c r="G66" s="50">
        <v>0</v>
      </c>
      <c r="H66" s="50">
        <v>1</v>
      </c>
      <c r="I66" s="50">
        <v>2</v>
      </c>
      <c r="J66" s="50">
        <v>1</v>
      </c>
      <c r="K66" s="50">
        <v>0</v>
      </c>
      <c r="L66" s="50">
        <v>0</v>
      </c>
      <c r="M66" s="50">
        <v>105</v>
      </c>
      <c r="N66" s="50">
        <v>0</v>
      </c>
      <c r="O66" s="15">
        <f t="shared" si="0"/>
        <v>85</v>
      </c>
      <c r="P66" s="15">
        <f t="shared" si="1"/>
        <v>190</v>
      </c>
      <c r="R66" s="8"/>
      <c r="T66"/>
    </row>
    <row r="67" spans="2:20" ht="23.1" customHeight="1" x14ac:dyDescent="0.25">
      <c r="B67" s="45" t="s">
        <v>104</v>
      </c>
      <c r="C67" s="50">
        <v>41</v>
      </c>
      <c r="D67" s="50">
        <v>1</v>
      </c>
      <c r="E67" s="50">
        <v>1</v>
      </c>
      <c r="F67" s="50">
        <v>25</v>
      </c>
      <c r="G67" s="50">
        <v>0</v>
      </c>
      <c r="H67" s="50">
        <v>1</v>
      </c>
      <c r="I67" s="50">
        <v>2</v>
      </c>
      <c r="J67" s="50">
        <v>1</v>
      </c>
      <c r="K67" s="50">
        <v>0</v>
      </c>
      <c r="L67" s="50">
        <v>0</v>
      </c>
      <c r="M67" s="50">
        <v>78</v>
      </c>
      <c r="N67" s="50">
        <v>0</v>
      </c>
      <c r="O67" s="15">
        <f t="shared" si="0"/>
        <v>72</v>
      </c>
      <c r="P67" s="15">
        <f t="shared" si="1"/>
        <v>150</v>
      </c>
      <c r="R67" s="8"/>
      <c r="T67"/>
    </row>
    <row r="68" spans="2:20" ht="23.1" customHeight="1" x14ac:dyDescent="0.25">
      <c r="B68" s="45" t="s">
        <v>105</v>
      </c>
      <c r="C68" s="50">
        <v>48</v>
      </c>
      <c r="D68" s="50">
        <v>3</v>
      </c>
      <c r="E68" s="50">
        <v>1</v>
      </c>
      <c r="F68" s="50">
        <v>21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101</v>
      </c>
      <c r="N68" s="50">
        <v>0</v>
      </c>
      <c r="O68" s="15">
        <f t="shared" si="0"/>
        <v>75</v>
      </c>
      <c r="P68" s="15">
        <f t="shared" si="1"/>
        <v>176</v>
      </c>
      <c r="R68" s="8"/>
      <c r="T68"/>
    </row>
    <row r="69" spans="2:20" ht="23.1" customHeight="1" x14ac:dyDescent="0.25">
      <c r="B69" s="45" t="s">
        <v>106</v>
      </c>
      <c r="C69" s="50">
        <v>43</v>
      </c>
      <c r="D69" s="50">
        <v>2</v>
      </c>
      <c r="E69" s="50">
        <v>4</v>
      </c>
      <c r="F69" s="50">
        <v>32</v>
      </c>
      <c r="G69" s="50">
        <v>1</v>
      </c>
      <c r="H69" s="50">
        <v>0</v>
      </c>
      <c r="I69" s="50">
        <v>1</v>
      </c>
      <c r="J69" s="50">
        <v>1</v>
      </c>
      <c r="K69" s="50">
        <v>0</v>
      </c>
      <c r="L69" s="50">
        <v>0</v>
      </c>
      <c r="M69" s="50">
        <v>106</v>
      </c>
      <c r="N69" s="50">
        <v>0</v>
      </c>
      <c r="O69" s="15">
        <f t="shared" si="0"/>
        <v>84</v>
      </c>
      <c r="P69" s="15">
        <f t="shared" si="1"/>
        <v>190</v>
      </c>
      <c r="R69" s="8"/>
      <c r="T69"/>
    </row>
    <row r="70" spans="2:20" ht="23.1" customHeight="1" x14ac:dyDescent="0.25">
      <c r="B70" s="45" t="s">
        <v>110</v>
      </c>
      <c r="C70" s="50">
        <v>26</v>
      </c>
      <c r="D70" s="50">
        <v>0</v>
      </c>
      <c r="E70" s="50">
        <v>0</v>
      </c>
      <c r="F70" s="50">
        <v>6</v>
      </c>
      <c r="G70" s="50">
        <v>1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88</v>
      </c>
      <c r="N70" s="50">
        <v>0</v>
      </c>
      <c r="O70" s="15">
        <f t="shared" si="0"/>
        <v>34</v>
      </c>
      <c r="P70" s="15">
        <f t="shared" si="1"/>
        <v>122</v>
      </c>
      <c r="R70" s="8"/>
      <c r="T70"/>
    </row>
    <row r="71" spans="2:20" ht="23.1" customHeight="1" x14ac:dyDescent="0.25">
      <c r="B71" s="45" t="s">
        <v>111</v>
      </c>
      <c r="C71" s="50">
        <v>37</v>
      </c>
      <c r="D71" s="50">
        <v>4</v>
      </c>
      <c r="E71" s="50">
        <v>1</v>
      </c>
      <c r="F71" s="50">
        <v>9</v>
      </c>
      <c r="G71" s="50">
        <v>1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78</v>
      </c>
      <c r="N71" s="50">
        <v>0</v>
      </c>
      <c r="O71" s="15">
        <f t="shared" si="0"/>
        <v>53</v>
      </c>
      <c r="P71" s="15">
        <f t="shared" si="1"/>
        <v>131</v>
      </c>
      <c r="R71" s="8"/>
      <c r="T71"/>
    </row>
    <row r="72" spans="2:20" ht="23.1" customHeight="1" x14ac:dyDescent="0.25">
      <c r="B72" s="45" t="s">
        <v>112</v>
      </c>
      <c r="C72" s="50">
        <v>27</v>
      </c>
      <c r="D72" s="50">
        <v>2</v>
      </c>
      <c r="E72" s="50">
        <v>3</v>
      </c>
      <c r="F72" s="50">
        <v>6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93</v>
      </c>
      <c r="N72" s="50">
        <v>0</v>
      </c>
      <c r="O72" s="15">
        <f t="shared" si="0"/>
        <v>39</v>
      </c>
      <c r="P72" s="15">
        <f t="shared" si="1"/>
        <v>132</v>
      </c>
      <c r="R72" s="8"/>
      <c r="T72"/>
    </row>
    <row r="73" spans="2:20" ht="23.1" customHeight="1" x14ac:dyDescent="0.25">
      <c r="B73" s="45" t="s">
        <v>113</v>
      </c>
      <c r="C73" s="50">
        <v>47</v>
      </c>
      <c r="D73" s="50">
        <v>1</v>
      </c>
      <c r="E73" s="50">
        <v>3</v>
      </c>
      <c r="F73" s="50">
        <v>7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76</v>
      </c>
      <c r="N73" s="50">
        <v>0</v>
      </c>
      <c r="O73" s="15">
        <f t="shared" si="0"/>
        <v>58</v>
      </c>
      <c r="P73" s="15">
        <f t="shared" si="1"/>
        <v>134</v>
      </c>
      <c r="R73" s="8"/>
      <c r="T73"/>
    </row>
    <row r="74" spans="2:20" ht="23.1" customHeight="1" x14ac:dyDescent="0.25">
      <c r="B74" s="45" t="s">
        <v>114</v>
      </c>
      <c r="C74" s="50">
        <v>15</v>
      </c>
      <c r="D74" s="50">
        <v>2</v>
      </c>
      <c r="E74" s="50">
        <v>3</v>
      </c>
      <c r="F74" s="50">
        <v>7</v>
      </c>
      <c r="G74" s="50">
        <v>0</v>
      </c>
      <c r="H74" s="50">
        <v>0</v>
      </c>
      <c r="I74" s="50">
        <v>3</v>
      </c>
      <c r="J74" s="50">
        <v>1</v>
      </c>
      <c r="K74" s="50">
        <v>0</v>
      </c>
      <c r="L74" s="50">
        <v>0</v>
      </c>
      <c r="M74" s="50">
        <v>63</v>
      </c>
      <c r="N74" s="50">
        <v>0</v>
      </c>
      <c r="O74" s="15">
        <f t="shared" ref="O74:O105" si="38">SUM(C74:L74,N74)</f>
        <v>31</v>
      </c>
      <c r="P74" s="15">
        <f t="shared" ref="P74:P105" si="39">SUM(C74:N74)</f>
        <v>94</v>
      </c>
      <c r="R74" s="8"/>
      <c r="T74"/>
    </row>
    <row r="75" spans="2:20" ht="23.1" customHeight="1" x14ac:dyDescent="0.25">
      <c r="B75" s="45" t="s">
        <v>115</v>
      </c>
      <c r="C75" s="50">
        <v>33</v>
      </c>
      <c r="D75" s="50">
        <v>4</v>
      </c>
      <c r="E75" s="50">
        <v>0</v>
      </c>
      <c r="F75" s="50">
        <v>1</v>
      </c>
      <c r="G75" s="50">
        <v>0</v>
      </c>
      <c r="H75" s="50">
        <v>0</v>
      </c>
      <c r="I75" s="50">
        <v>1</v>
      </c>
      <c r="J75" s="50">
        <v>1</v>
      </c>
      <c r="K75" s="50">
        <v>1</v>
      </c>
      <c r="L75" s="50">
        <v>0</v>
      </c>
      <c r="M75" s="50">
        <v>83</v>
      </c>
      <c r="N75" s="50">
        <v>0</v>
      </c>
      <c r="O75" s="15">
        <f t="shared" si="38"/>
        <v>41</v>
      </c>
      <c r="P75" s="15">
        <f t="shared" si="39"/>
        <v>124</v>
      </c>
      <c r="R75" s="8"/>
      <c r="T75"/>
    </row>
    <row r="76" spans="2:20" ht="23.1" customHeight="1" x14ac:dyDescent="0.25">
      <c r="B76" s="45" t="s">
        <v>116</v>
      </c>
      <c r="C76" s="50">
        <v>28</v>
      </c>
      <c r="D76" s="50">
        <v>2</v>
      </c>
      <c r="E76" s="50">
        <v>1</v>
      </c>
      <c r="F76" s="50">
        <v>5</v>
      </c>
      <c r="G76" s="50">
        <v>0</v>
      </c>
      <c r="H76" s="50">
        <v>1</v>
      </c>
      <c r="I76" s="50">
        <v>1</v>
      </c>
      <c r="J76" s="50">
        <v>0</v>
      </c>
      <c r="K76" s="50">
        <v>2</v>
      </c>
      <c r="L76" s="50">
        <v>0</v>
      </c>
      <c r="M76" s="50">
        <v>72</v>
      </c>
      <c r="N76" s="50">
        <v>0</v>
      </c>
      <c r="O76" s="15">
        <f t="shared" si="38"/>
        <v>40</v>
      </c>
      <c r="P76" s="15">
        <f t="shared" si="39"/>
        <v>112</v>
      </c>
      <c r="R76" s="8"/>
      <c r="T76"/>
    </row>
    <row r="77" spans="2:20" ht="23.1" customHeight="1" x14ac:dyDescent="0.25">
      <c r="B77" s="45" t="s">
        <v>117</v>
      </c>
      <c r="C77" s="50">
        <v>20</v>
      </c>
      <c r="D77" s="50">
        <v>1</v>
      </c>
      <c r="E77" s="50">
        <v>1</v>
      </c>
      <c r="F77" s="50">
        <v>4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51</v>
      </c>
      <c r="N77" s="50">
        <v>0</v>
      </c>
      <c r="O77" s="15">
        <f t="shared" si="38"/>
        <v>28</v>
      </c>
      <c r="P77" s="15">
        <f t="shared" si="39"/>
        <v>79</v>
      </c>
      <c r="R77" s="8"/>
      <c r="T77"/>
    </row>
    <row r="78" spans="2:20" ht="23.1" customHeight="1" x14ac:dyDescent="0.25">
      <c r="B78" s="46" t="s">
        <v>118</v>
      </c>
      <c r="C78" s="50">
        <v>26</v>
      </c>
      <c r="D78" s="50">
        <v>1</v>
      </c>
      <c r="E78" s="50">
        <v>2</v>
      </c>
      <c r="F78" s="50">
        <v>3</v>
      </c>
      <c r="G78" s="50">
        <v>0</v>
      </c>
      <c r="H78" s="50">
        <v>2</v>
      </c>
      <c r="I78" s="50">
        <v>0</v>
      </c>
      <c r="J78" s="50">
        <v>1</v>
      </c>
      <c r="K78" s="50">
        <v>0</v>
      </c>
      <c r="L78" s="50">
        <v>0</v>
      </c>
      <c r="M78" s="50">
        <v>60</v>
      </c>
      <c r="N78" s="50">
        <v>0</v>
      </c>
      <c r="O78" s="15">
        <f t="shared" si="38"/>
        <v>35</v>
      </c>
      <c r="P78" s="15">
        <f t="shared" si="39"/>
        <v>95</v>
      </c>
      <c r="R78" s="8"/>
      <c r="T78"/>
    </row>
    <row r="79" spans="2:20" ht="23.1" customHeight="1" x14ac:dyDescent="0.25">
      <c r="B79" s="45" t="s">
        <v>119</v>
      </c>
      <c r="C79" s="50">
        <v>15</v>
      </c>
      <c r="D79" s="50">
        <v>0</v>
      </c>
      <c r="E79" s="50">
        <v>2</v>
      </c>
      <c r="F79" s="50">
        <v>3</v>
      </c>
      <c r="G79" s="50">
        <v>2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41</v>
      </c>
      <c r="N79" s="50">
        <v>0</v>
      </c>
      <c r="O79" s="15">
        <f t="shared" si="38"/>
        <v>22</v>
      </c>
      <c r="P79" s="15">
        <f t="shared" si="39"/>
        <v>63</v>
      </c>
      <c r="R79" s="8"/>
      <c r="T79"/>
    </row>
    <row r="80" spans="2:20" ht="23.1" customHeight="1" x14ac:dyDescent="0.25">
      <c r="B80" s="47" t="s">
        <v>120</v>
      </c>
      <c r="C80" s="50">
        <v>20</v>
      </c>
      <c r="D80" s="50">
        <v>1</v>
      </c>
      <c r="E80" s="50">
        <v>0</v>
      </c>
      <c r="F80" s="50">
        <v>0</v>
      </c>
      <c r="G80" s="50">
        <v>1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39</v>
      </c>
      <c r="N80" s="50">
        <v>0</v>
      </c>
      <c r="O80" s="15">
        <f t="shared" si="38"/>
        <v>22</v>
      </c>
      <c r="P80" s="15">
        <f t="shared" si="39"/>
        <v>61</v>
      </c>
      <c r="R80" s="8"/>
      <c r="T80"/>
    </row>
    <row r="81" spans="2:20" ht="23.1" customHeight="1" x14ac:dyDescent="0.25">
      <c r="B81" s="45" t="s">
        <v>121</v>
      </c>
      <c r="C81" s="50">
        <v>18</v>
      </c>
      <c r="D81" s="50">
        <v>1</v>
      </c>
      <c r="E81" s="50">
        <v>2</v>
      </c>
      <c r="F81" s="50">
        <v>1</v>
      </c>
      <c r="G81" s="50">
        <v>0</v>
      </c>
      <c r="H81" s="50">
        <v>1</v>
      </c>
      <c r="I81" s="50">
        <v>3</v>
      </c>
      <c r="J81" s="50">
        <v>0</v>
      </c>
      <c r="K81" s="50">
        <v>0</v>
      </c>
      <c r="L81" s="50">
        <v>0</v>
      </c>
      <c r="M81" s="50">
        <v>42</v>
      </c>
      <c r="N81" s="50">
        <v>0</v>
      </c>
      <c r="O81" s="15">
        <f t="shared" si="38"/>
        <v>26</v>
      </c>
      <c r="P81" s="15">
        <f t="shared" si="39"/>
        <v>68</v>
      </c>
      <c r="R81" s="8"/>
      <c r="T81"/>
    </row>
    <row r="82" spans="2:20" ht="23.1" customHeight="1" x14ac:dyDescent="0.25">
      <c r="B82" s="46" t="s">
        <v>122</v>
      </c>
      <c r="C82" s="50">
        <v>19</v>
      </c>
      <c r="D82" s="50">
        <v>5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1</v>
      </c>
      <c r="M82" s="50">
        <v>54</v>
      </c>
      <c r="N82" s="50">
        <v>0</v>
      </c>
      <c r="O82" s="15">
        <f t="shared" si="38"/>
        <v>28</v>
      </c>
      <c r="P82" s="15">
        <f t="shared" si="39"/>
        <v>82</v>
      </c>
      <c r="R82" s="8"/>
      <c r="T82"/>
    </row>
    <row r="83" spans="2:20" ht="23.1" customHeight="1" x14ac:dyDescent="0.25">
      <c r="B83" s="45" t="s">
        <v>123</v>
      </c>
      <c r="C83" s="50">
        <v>18</v>
      </c>
      <c r="D83" s="50">
        <v>2</v>
      </c>
      <c r="E83" s="50">
        <v>1</v>
      </c>
      <c r="F83" s="50">
        <v>0</v>
      </c>
      <c r="G83" s="50">
        <v>0</v>
      </c>
      <c r="H83" s="50">
        <v>1</v>
      </c>
      <c r="I83" s="50">
        <v>1</v>
      </c>
      <c r="J83" s="50">
        <v>0</v>
      </c>
      <c r="K83" s="50">
        <v>0</v>
      </c>
      <c r="L83" s="50">
        <v>0</v>
      </c>
      <c r="M83" s="50">
        <v>58</v>
      </c>
      <c r="N83" s="50">
        <v>0</v>
      </c>
      <c r="O83" s="15">
        <f t="shared" si="38"/>
        <v>23</v>
      </c>
      <c r="P83" s="15">
        <f t="shared" si="39"/>
        <v>81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2</v>
      </c>
      <c r="J84" s="50">
        <v>1</v>
      </c>
      <c r="K84" s="50">
        <v>0</v>
      </c>
      <c r="L84" s="50">
        <v>0</v>
      </c>
      <c r="M84" s="50">
        <v>19</v>
      </c>
      <c r="N84" s="50">
        <v>0</v>
      </c>
      <c r="O84" s="15">
        <f t="shared" si="38"/>
        <v>19</v>
      </c>
      <c r="P84" s="15">
        <f t="shared" si="39"/>
        <v>38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20</v>
      </c>
      <c r="N85" s="50">
        <v>0</v>
      </c>
      <c r="O85" s="15">
        <f t="shared" si="38"/>
        <v>8</v>
      </c>
      <c r="P85" s="15">
        <f t="shared" si="39"/>
        <v>28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1</v>
      </c>
      <c r="H86" s="50">
        <v>1</v>
      </c>
      <c r="I86" s="50">
        <v>0</v>
      </c>
      <c r="J86" s="50">
        <v>0</v>
      </c>
      <c r="K86" s="50">
        <v>1</v>
      </c>
      <c r="L86" s="50">
        <v>0</v>
      </c>
      <c r="M86" s="50">
        <v>28</v>
      </c>
      <c r="N86" s="50">
        <v>0</v>
      </c>
      <c r="O86" s="15">
        <f t="shared" si="38"/>
        <v>6</v>
      </c>
      <c r="P86" s="15">
        <f t="shared" si="39"/>
        <v>34</v>
      </c>
      <c r="R86" s="8"/>
      <c r="T86"/>
    </row>
    <row r="87" spans="2:20" ht="23.1" customHeight="1" x14ac:dyDescent="0.25">
      <c r="B87" s="45" t="s">
        <v>127</v>
      </c>
      <c r="C87" s="50">
        <v>13</v>
      </c>
      <c r="D87" s="50">
        <v>1</v>
      </c>
      <c r="E87" s="50">
        <v>1</v>
      </c>
      <c r="F87" s="50">
        <v>1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35</v>
      </c>
      <c r="N87" s="50">
        <v>0</v>
      </c>
      <c r="O87" s="15">
        <f t="shared" si="38"/>
        <v>17</v>
      </c>
      <c r="P87" s="15">
        <f t="shared" si="39"/>
        <v>52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0</v>
      </c>
      <c r="E88" s="50">
        <v>0</v>
      </c>
      <c r="F88" s="50">
        <v>1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37</v>
      </c>
      <c r="N88" s="50">
        <v>0</v>
      </c>
      <c r="O88" s="15">
        <f t="shared" si="38"/>
        <v>9</v>
      </c>
      <c r="P88" s="15">
        <f t="shared" si="39"/>
        <v>46</v>
      </c>
      <c r="R88" s="8"/>
      <c r="T88"/>
    </row>
    <row r="89" spans="2:20" ht="23.1" customHeight="1" x14ac:dyDescent="0.25">
      <c r="B89" s="45" t="s">
        <v>129</v>
      </c>
      <c r="C89" s="50">
        <v>10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28</v>
      </c>
      <c r="N89" s="50">
        <v>0</v>
      </c>
      <c r="O89" s="15">
        <f t="shared" si="38"/>
        <v>10</v>
      </c>
      <c r="P89" s="15">
        <f t="shared" si="39"/>
        <v>38</v>
      </c>
      <c r="R89" s="8"/>
      <c r="T89"/>
    </row>
    <row r="90" spans="2:20" ht="23.1" customHeight="1" x14ac:dyDescent="0.25">
      <c r="B90" s="46" t="s">
        <v>130</v>
      </c>
      <c r="C90" s="50">
        <v>13</v>
      </c>
      <c r="D90" s="50">
        <v>0</v>
      </c>
      <c r="E90" s="50">
        <v>0</v>
      </c>
      <c r="F90" s="50">
        <v>3</v>
      </c>
      <c r="G90" s="50">
        <v>0</v>
      </c>
      <c r="H90" s="50">
        <v>0</v>
      </c>
      <c r="I90" s="50">
        <v>2</v>
      </c>
      <c r="J90" s="50">
        <v>1</v>
      </c>
      <c r="K90" s="50">
        <v>0</v>
      </c>
      <c r="L90" s="50">
        <v>0</v>
      </c>
      <c r="M90" s="50">
        <v>30</v>
      </c>
      <c r="N90" s="50">
        <v>0</v>
      </c>
      <c r="O90" s="15">
        <f t="shared" si="38"/>
        <v>19</v>
      </c>
      <c r="P90" s="15">
        <f t="shared" si="39"/>
        <v>49</v>
      </c>
      <c r="R90" s="8"/>
      <c r="T90"/>
    </row>
    <row r="91" spans="2:20" ht="23.1" customHeight="1" x14ac:dyDescent="0.25">
      <c r="B91" s="45" t="s">
        <v>131</v>
      </c>
      <c r="C91" s="50">
        <v>17</v>
      </c>
      <c r="D91" s="50">
        <v>0</v>
      </c>
      <c r="E91" s="50">
        <v>0</v>
      </c>
      <c r="F91" s="50">
        <v>1</v>
      </c>
      <c r="G91" s="50">
        <v>1</v>
      </c>
      <c r="H91" s="50">
        <v>1</v>
      </c>
      <c r="I91" s="50">
        <v>0</v>
      </c>
      <c r="J91" s="50">
        <v>1</v>
      </c>
      <c r="K91" s="50">
        <v>0</v>
      </c>
      <c r="L91" s="50">
        <v>0</v>
      </c>
      <c r="M91" s="50">
        <v>25</v>
      </c>
      <c r="N91" s="50">
        <v>0</v>
      </c>
      <c r="O91" s="15">
        <f t="shared" si="38"/>
        <v>21</v>
      </c>
      <c r="P91" s="15">
        <f t="shared" si="39"/>
        <v>46</v>
      </c>
      <c r="R91" s="8"/>
      <c r="T91"/>
    </row>
    <row r="92" spans="2:20" ht="23.1" customHeight="1" x14ac:dyDescent="0.25">
      <c r="B92" s="47" t="s">
        <v>132</v>
      </c>
      <c r="C92" s="50">
        <v>11</v>
      </c>
      <c r="D92" s="50">
        <v>0</v>
      </c>
      <c r="E92" s="50">
        <v>1</v>
      </c>
      <c r="F92" s="50">
        <v>0</v>
      </c>
      <c r="G92" s="50">
        <v>0</v>
      </c>
      <c r="H92" s="50">
        <v>1</v>
      </c>
      <c r="I92" s="50">
        <v>0</v>
      </c>
      <c r="J92" s="50">
        <v>0</v>
      </c>
      <c r="K92" s="50">
        <v>0</v>
      </c>
      <c r="L92" s="50">
        <v>0</v>
      </c>
      <c r="M92" s="50">
        <v>20</v>
      </c>
      <c r="N92" s="50">
        <v>0</v>
      </c>
      <c r="O92" s="15">
        <f t="shared" si="38"/>
        <v>13</v>
      </c>
      <c r="P92" s="15">
        <f t="shared" si="39"/>
        <v>33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16</v>
      </c>
      <c r="N93" s="50">
        <v>0</v>
      </c>
      <c r="O93" s="15">
        <f t="shared" si="38"/>
        <v>11</v>
      </c>
      <c r="P93" s="15">
        <f t="shared" si="39"/>
        <v>27</v>
      </c>
      <c r="R93" s="8"/>
      <c r="T93"/>
    </row>
    <row r="94" spans="2:20" ht="23.1" customHeight="1" x14ac:dyDescent="0.25">
      <c r="B94" s="46" t="s">
        <v>134</v>
      </c>
      <c r="C94" s="50">
        <v>14</v>
      </c>
      <c r="D94" s="50">
        <v>2</v>
      </c>
      <c r="E94" s="50">
        <v>1</v>
      </c>
      <c r="F94" s="50">
        <v>2</v>
      </c>
      <c r="G94" s="50">
        <v>0</v>
      </c>
      <c r="H94" s="50">
        <v>1</v>
      </c>
      <c r="I94" s="50">
        <v>2</v>
      </c>
      <c r="J94" s="50">
        <v>5</v>
      </c>
      <c r="K94" s="50">
        <v>0</v>
      </c>
      <c r="L94" s="50">
        <v>0</v>
      </c>
      <c r="M94" s="50">
        <v>30</v>
      </c>
      <c r="N94" s="50">
        <v>0</v>
      </c>
      <c r="O94" s="15">
        <f t="shared" si="38"/>
        <v>27</v>
      </c>
      <c r="P94" s="15">
        <f t="shared" si="39"/>
        <v>57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0</v>
      </c>
      <c r="E95" s="50">
        <v>0</v>
      </c>
      <c r="F95" s="50">
        <v>0</v>
      </c>
      <c r="G95" s="50">
        <v>1</v>
      </c>
      <c r="H95" s="50">
        <v>1</v>
      </c>
      <c r="I95" s="50">
        <v>1</v>
      </c>
      <c r="J95" s="50">
        <v>0</v>
      </c>
      <c r="K95" s="50">
        <v>0</v>
      </c>
      <c r="L95" s="50">
        <v>0</v>
      </c>
      <c r="M95" s="50">
        <v>26</v>
      </c>
      <c r="N95" s="50">
        <v>0</v>
      </c>
      <c r="O95" s="15">
        <f t="shared" si="38"/>
        <v>10</v>
      </c>
      <c r="P95" s="15">
        <f t="shared" si="39"/>
        <v>36</v>
      </c>
      <c r="R95" s="8"/>
      <c r="T95"/>
    </row>
    <row r="96" spans="2:20" ht="23.1" customHeight="1" x14ac:dyDescent="0.25">
      <c r="B96" s="47" t="s">
        <v>136</v>
      </c>
      <c r="C96" s="50">
        <v>9</v>
      </c>
      <c r="D96" s="50">
        <v>0</v>
      </c>
      <c r="E96" s="50">
        <v>0</v>
      </c>
      <c r="F96" s="50">
        <v>0</v>
      </c>
      <c r="G96" s="50">
        <v>0</v>
      </c>
      <c r="H96" s="50">
        <v>4</v>
      </c>
      <c r="I96" s="50">
        <v>2</v>
      </c>
      <c r="J96" s="50">
        <v>0</v>
      </c>
      <c r="K96" s="50">
        <v>1</v>
      </c>
      <c r="L96" s="50">
        <v>0</v>
      </c>
      <c r="M96" s="50">
        <v>27</v>
      </c>
      <c r="N96" s="50">
        <v>0</v>
      </c>
      <c r="O96" s="15">
        <f t="shared" si="38"/>
        <v>16</v>
      </c>
      <c r="P96" s="15">
        <f t="shared" si="39"/>
        <v>43</v>
      </c>
      <c r="R96" s="8"/>
      <c r="T96"/>
    </row>
    <row r="97" spans="2:20" ht="23.1" customHeight="1" x14ac:dyDescent="0.25">
      <c r="B97" s="45" t="s">
        <v>137</v>
      </c>
      <c r="C97" s="50">
        <v>9</v>
      </c>
      <c r="D97" s="50">
        <v>0</v>
      </c>
      <c r="E97" s="50">
        <v>1</v>
      </c>
      <c r="F97" s="50">
        <v>1</v>
      </c>
      <c r="G97" s="50">
        <v>0</v>
      </c>
      <c r="H97" s="50">
        <v>0</v>
      </c>
      <c r="I97" s="50">
        <v>2</v>
      </c>
      <c r="J97" s="50">
        <v>2</v>
      </c>
      <c r="K97" s="50">
        <v>0</v>
      </c>
      <c r="L97" s="50">
        <v>0</v>
      </c>
      <c r="M97" s="50">
        <v>33</v>
      </c>
      <c r="N97" s="50">
        <v>0</v>
      </c>
      <c r="O97" s="15">
        <f t="shared" si="38"/>
        <v>15</v>
      </c>
      <c r="P97" s="15">
        <f t="shared" si="39"/>
        <v>48</v>
      </c>
      <c r="R97" s="8"/>
      <c r="T97"/>
    </row>
    <row r="98" spans="2:20" ht="23.1" customHeight="1" x14ac:dyDescent="0.25">
      <c r="B98" s="46" t="s">
        <v>138</v>
      </c>
      <c r="C98" s="50">
        <v>8</v>
      </c>
      <c r="D98" s="50">
        <v>1</v>
      </c>
      <c r="E98" s="50">
        <v>2</v>
      </c>
      <c r="F98" s="50">
        <v>2</v>
      </c>
      <c r="G98" s="50">
        <v>1</v>
      </c>
      <c r="H98" s="50">
        <v>1</v>
      </c>
      <c r="I98" s="50">
        <v>1</v>
      </c>
      <c r="J98" s="50">
        <v>1</v>
      </c>
      <c r="K98" s="50">
        <v>1</v>
      </c>
      <c r="L98" s="50">
        <v>0</v>
      </c>
      <c r="M98" s="50">
        <v>13</v>
      </c>
      <c r="N98" s="50">
        <v>0</v>
      </c>
      <c r="O98" s="15">
        <f t="shared" si="38"/>
        <v>18</v>
      </c>
      <c r="P98" s="15">
        <f t="shared" si="39"/>
        <v>31</v>
      </c>
      <c r="R98" s="8"/>
      <c r="T98"/>
    </row>
    <row r="99" spans="2:20" ht="23.1" customHeight="1" x14ac:dyDescent="0.25">
      <c r="B99" s="45" t="s">
        <v>139</v>
      </c>
      <c r="C99" s="50">
        <v>9</v>
      </c>
      <c r="D99" s="50">
        <v>3</v>
      </c>
      <c r="E99" s="50">
        <v>1</v>
      </c>
      <c r="F99" s="50">
        <v>5</v>
      </c>
      <c r="G99" s="50">
        <v>0</v>
      </c>
      <c r="H99" s="50">
        <v>1</v>
      </c>
      <c r="I99" s="50">
        <v>1</v>
      </c>
      <c r="J99" s="50">
        <v>1</v>
      </c>
      <c r="K99" s="50">
        <v>2</v>
      </c>
      <c r="L99" s="50">
        <v>0</v>
      </c>
      <c r="M99" s="50">
        <v>34</v>
      </c>
      <c r="N99" s="50">
        <v>0</v>
      </c>
      <c r="O99" s="15">
        <f t="shared" si="38"/>
        <v>23</v>
      </c>
      <c r="P99" s="15">
        <f t="shared" si="39"/>
        <v>57</v>
      </c>
      <c r="R99" s="8"/>
      <c r="T99"/>
    </row>
    <row r="100" spans="2:20" ht="23.1" customHeight="1" x14ac:dyDescent="0.25">
      <c r="B100" s="47" t="s">
        <v>140</v>
      </c>
      <c r="C100" s="50">
        <v>9</v>
      </c>
      <c r="D100" s="50">
        <v>0</v>
      </c>
      <c r="E100" s="50">
        <v>1</v>
      </c>
      <c r="F100" s="50">
        <v>5</v>
      </c>
      <c r="G100" s="50">
        <v>0</v>
      </c>
      <c r="H100" s="50">
        <v>1</v>
      </c>
      <c r="I100" s="50">
        <v>0</v>
      </c>
      <c r="J100" s="50">
        <v>0</v>
      </c>
      <c r="K100" s="50">
        <v>0</v>
      </c>
      <c r="L100" s="50">
        <v>0</v>
      </c>
      <c r="M100" s="50">
        <v>29</v>
      </c>
      <c r="N100" s="50">
        <v>0</v>
      </c>
      <c r="O100" s="15">
        <f t="shared" si="38"/>
        <v>16</v>
      </c>
      <c r="P100" s="15">
        <f t="shared" si="39"/>
        <v>45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0</v>
      </c>
      <c r="E101" s="50">
        <v>1</v>
      </c>
      <c r="F101" s="50">
        <v>10</v>
      </c>
      <c r="G101" s="50">
        <v>1</v>
      </c>
      <c r="H101" s="50">
        <v>1</v>
      </c>
      <c r="I101" s="50">
        <v>5</v>
      </c>
      <c r="J101" s="50">
        <v>1</v>
      </c>
      <c r="K101" s="50">
        <v>0</v>
      </c>
      <c r="L101" s="50">
        <v>0</v>
      </c>
      <c r="M101" s="50">
        <v>43</v>
      </c>
      <c r="N101" s="50">
        <v>0</v>
      </c>
      <c r="O101" s="15">
        <f t="shared" si="38"/>
        <v>27</v>
      </c>
      <c r="P101" s="15">
        <f t="shared" si="39"/>
        <v>70</v>
      </c>
      <c r="R101" s="8"/>
      <c r="T101"/>
    </row>
    <row r="102" spans="2:20" ht="23.1" customHeight="1" x14ac:dyDescent="0.25">
      <c r="B102" s="46" t="s">
        <v>142</v>
      </c>
      <c r="C102" s="50">
        <v>19</v>
      </c>
      <c r="D102" s="50">
        <v>2</v>
      </c>
      <c r="E102" s="50">
        <v>2</v>
      </c>
      <c r="F102" s="50">
        <v>9</v>
      </c>
      <c r="G102" s="50">
        <v>2</v>
      </c>
      <c r="H102" s="50">
        <v>1</v>
      </c>
      <c r="I102" s="50">
        <v>3</v>
      </c>
      <c r="J102" s="50">
        <v>2</v>
      </c>
      <c r="K102" s="50">
        <v>0</v>
      </c>
      <c r="L102" s="50">
        <v>0</v>
      </c>
      <c r="M102" s="50">
        <v>28</v>
      </c>
      <c r="N102" s="50">
        <v>0</v>
      </c>
      <c r="O102" s="15">
        <f t="shared" si="38"/>
        <v>40</v>
      </c>
      <c r="P102" s="15">
        <f t="shared" si="39"/>
        <v>68</v>
      </c>
      <c r="R102" s="8"/>
      <c r="T102"/>
    </row>
    <row r="103" spans="2:20" ht="23.1" customHeight="1" x14ac:dyDescent="0.25">
      <c r="B103" s="45" t="s">
        <v>143</v>
      </c>
      <c r="C103" s="50">
        <v>16</v>
      </c>
      <c r="D103" s="50">
        <v>0</v>
      </c>
      <c r="E103" s="50">
        <v>0</v>
      </c>
      <c r="F103" s="50">
        <v>14</v>
      </c>
      <c r="G103" s="50">
        <v>1</v>
      </c>
      <c r="H103" s="50">
        <v>0</v>
      </c>
      <c r="I103" s="50">
        <v>1</v>
      </c>
      <c r="J103" s="50">
        <v>1</v>
      </c>
      <c r="K103" s="50">
        <v>0</v>
      </c>
      <c r="L103" s="50">
        <v>1</v>
      </c>
      <c r="M103" s="50">
        <v>44</v>
      </c>
      <c r="N103" s="50">
        <v>0</v>
      </c>
      <c r="O103" s="15">
        <f t="shared" si="38"/>
        <v>34</v>
      </c>
      <c r="P103" s="15">
        <f t="shared" si="39"/>
        <v>78</v>
      </c>
      <c r="R103" s="8"/>
      <c r="T103"/>
    </row>
    <row r="104" spans="2:20" ht="23.1" customHeight="1" x14ac:dyDescent="0.25">
      <c r="B104" s="47" t="s">
        <v>144</v>
      </c>
      <c r="C104" s="50">
        <v>15</v>
      </c>
      <c r="D104" s="50">
        <v>0</v>
      </c>
      <c r="E104" s="50">
        <v>1</v>
      </c>
      <c r="F104" s="50">
        <v>10</v>
      </c>
      <c r="G104" s="50">
        <v>1</v>
      </c>
      <c r="H104" s="50">
        <v>1</v>
      </c>
      <c r="I104" s="50">
        <v>1</v>
      </c>
      <c r="J104" s="50">
        <v>2</v>
      </c>
      <c r="K104" s="50">
        <v>0</v>
      </c>
      <c r="L104" s="50">
        <v>0</v>
      </c>
      <c r="M104" s="50">
        <v>25</v>
      </c>
      <c r="N104" s="50">
        <v>0</v>
      </c>
      <c r="O104" s="15">
        <f t="shared" si="38"/>
        <v>31</v>
      </c>
      <c r="P104" s="15">
        <f t="shared" si="39"/>
        <v>56</v>
      </c>
      <c r="R104" s="8"/>
      <c r="T104"/>
    </row>
    <row r="105" spans="2:20" ht="23.1" customHeight="1" x14ac:dyDescent="0.25">
      <c r="B105" s="45" t="s">
        <v>145</v>
      </c>
      <c r="C105" s="50">
        <v>23</v>
      </c>
      <c r="D105" s="50">
        <v>0</v>
      </c>
      <c r="E105" s="50">
        <v>3</v>
      </c>
      <c r="F105" s="50">
        <v>20</v>
      </c>
      <c r="G105" s="50">
        <v>0</v>
      </c>
      <c r="H105" s="50">
        <v>0</v>
      </c>
      <c r="I105" s="50">
        <v>0</v>
      </c>
      <c r="J105" s="50">
        <v>4</v>
      </c>
      <c r="K105" s="50">
        <v>1</v>
      </c>
      <c r="L105" s="50">
        <v>0</v>
      </c>
      <c r="M105" s="50">
        <v>60</v>
      </c>
      <c r="N105" s="50">
        <v>0</v>
      </c>
      <c r="O105" s="15">
        <f t="shared" si="38"/>
        <v>51</v>
      </c>
      <c r="P105" s="15">
        <f t="shared" si="39"/>
        <v>111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2733</v>
      </c>
      <c r="D106" s="16">
        <f t="shared" ref="D106:P106" si="40">SUM(D10:D105)</f>
        <v>1431</v>
      </c>
      <c r="E106" s="16">
        <f t="shared" si="40"/>
        <v>288</v>
      </c>
      <c r="F106" s="16">
        <f t="shared" si="40"/>
        <v>1755</v>
      </c>
      <c r="G106" s="16">
        <f t="shared" si="40"/>
        <v>30</v>
      </c>
      <c r="H106" s="16">
        <f t="shared" si="40"/>
        <v>47</v>
      </c>
      <c r="I106" s="16">
        <f t="shared" si="40"/>
        <v>252</v>
      </c>
      <c r="J106" s="16">
        <f t="shared" si="40"/>
        <v>128</v>
      </c>
      <c r="K106" s="16">
        <f t="shared" si="40"/>
        <v>41</v>
      </c>
      <c r="L106" s="16">
        <f t="shared" si="40"/>
        <v>18</v>
      </c>
      <c r="M106" s="16">
        <f t="shared" si="40"/>
        <v>10892</v>
      </c>
      <c r="N106" s="16">
        <f t="shared" si="40"/>
        <v>0</v>
      </c>
      <c r="O106" s="16">
        <f t="shared" si="40"/>
        <v>6723</v>
      </c>
      <c r="P106" s="16">
        <f t="shared" si="40"/>
        <v>17615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1">C106/$P$106</f>
        <v>0.1551518592108998</v>
      </c>
      <c r="D107" s="43">
        <f t="shared" si="41"/>
        <v>8.1237581606585299E-2</v>
      </c>
      <c r="E107" s="43">
        <f t="shared" si="41"/>
        <v>1.6349701958558047E-2</v>
      </c>
      <c r="F107" s="43">
        <f t="shared" si="41"/>
        <v>9.9630996309963096E-2</v>
      </c>
      <c r="G107" s="43">
        <f t="shared" si="41"/>
        <v>1.7030939540164632E-3</v>
      </c>
      <c r="H107" s="43">
        <f t="shared" si="41"/>
        <v>2.6681805279591257E-3</v>
      </c>
      <c r="I107" s="43">
        <f t="shared" si="41"/>
        <v>1.4305989213738291E-2</v>
      </c>
      <c r="J107" s="43">
        <f t="shared" si="41"/>
        <v>7.2665342038035763E-3</v>
      </c>
      <c r="K107" s="43">
        <f t="shared" si="41"/>
        <v>2.327561737155833E-3</v>
      </c>
      <c r="L107" s="43">
        <f t="shared" si="41"/>
        <v>1.0218563724098779E-3</v>
      </c>
      <c r="M107" s="43">
        <f t="shared" si="41"/>
        <v>0.61833664490491058</v>
      </c>
      <c r="N107" s="43">
        <f t="shared" si="41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0.40651494868362337</v>
      </c>
      <c r="D108" s="44">
        <f t="shared" ref="D108:N108" si="42">D106/$O$106</f>
        <v>0.21285140562248997</v>
      </c>
      <c r="E108" s="44">
        <f t="shared" si="42"/>
        <v>4.2838018741633198E-2</v>
      </c>
      <c r="F108" s="44">
        <f t="shared" si="42"/>
        <v>0.26104417670682734</v>
      </c>
      <c r="G108" s="44">
        <f t="shared" si="42"/>
        <v>4.4622936189201252E-3</v>
      </c>
      <c r="H108" s="44">
        <f t="shared" si="42"/>
        <v>6.9909266696415295E-3</v>
      </c>
      <c r="I108" s="44">
        <f t="shared" si="42"/>
        <v>3.7483266398929051E-2</v>
      </c>
      <c r="J108" s="44">
        <f t="shared" si="42"/>
        <v>1.9039119440725866E-2</v>
      </c>
      <c r="K108" s="44">
        <f t="shared" si="42"/>
        <v>6.0984679458575041E-3</v>
      </c>
      <c r="L108" s="44">
        <f t="shared" si="42"/>
        <v>2.6773761713520749E-3</v>
      </c>
      <c r="M108" s="44"/>
      <c r="N108" s="44">
        <f t="shared" si="42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3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RUBAGA-KABUSU'!C3:G3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'27.07 KABUSU-RUBAGA-24h'!G5:H5</f>
        <v>CHAD SUPERMARKET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RUBAGA-KABUSU'!D6:E6</f>
        <v>RUBAGA</v>
      </c>
      <c r="E6" s="64"/>
      <c r="F6" s="2" t="s">
        <v>2</v>
      </c>
      <c r="G6" s="63" t="str">
        <f>'22.07 RUBAGA-KABUSU'!G6:H6</f>
        <v>KABUSU</v>
      </c>
      <c r="H6" s="64"/>
      <c r="J6" s="2" t="s">
        <v>21</v>
      </c>
      <c r="K6" s="63" t="str">
        <f>'27.07 KABUSU-RUBAGA-24h'!K6:L6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0</v>
      </c>
      <c r="E10" s="50">
        <v>0</v>
      </c>
      <c r="F10" s="50">
        <v>7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23</v>
      </c>
      <c r="N10" s="50">
        <v>0</v>
      </c>
      <c r="O10" s="15">
        <f t="shared" ref="O10:O57" si="0">SUM(C10:L10,N10)</f>
        <v>30</v>
      </c>
      <c r="P10" s="15">
        <f t="shared" ref="P10:P57" si="1">SUM(C10:N10)</f>
        <v>53</v>
      </c>
      <c r="R10" s="1" t="s">
        <v>6</v>
      </c>
      <c r="S10" s="17">
        <f t="shared" ref="S10:AF10" si="2">SUM(C10:C13)</f>
        <v>59</v>
      </c>
      <c r="T10" s="17">
        <f t="shared" si="2"/>
        <v>4</v>
      </c>
      <c r="U10" s="17">
        <f t="shared" si="2"/>
        <v>3</v>
      </c>
      <c r="V10" s="17">
        <f t="shared" si="2"/>
        <v>52</v>
      </c>
      <c r="W10" s="17">
        <f t="shared" si="2"/>
        <v>1</v>
      </c>
      <c r="X10" s="17">
        <f t="shared" si="2"/>
        <v>1</v>
      </c>
      <c r="Y10" s="17">
        <f t="shared" si="2"/>
        <v>5</v>
      </c>
      <c r="Z10" s="17">
        <f t="shared" si="2"/>
        <v>1</v>
      </c>
      <c r="AA10" s="17">
        <f t="shared" si="2"/>
        <v>1</v>
      </c>
      <c r="AB10" s="17">
        <f t="shared" si="2"/>
        <v>1</v>
      </c>
      <c r="AC10" s="17">
        <f t="shared" si="2"/>
        <v>225</v>
      </c>
      <c r="AD10" s="17">
        <f t="shared" si="2"/>
        <v>0</v>
      </c>
      <c r="AE10" s="31">
        <f t="shared" si="2"/>
        <v>128</v>
      </c>
      <c r="AF10" s="31">
        <f t="shared" si="2"/>
        <v>353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2</v>
      </c>
      <c r="E11" s="50">
        <v>0</v>
      </c>
      <c r="F11" s="50">
        <v>5</v>
      </c>
      <c r="G11" s="50">
        <v>0</v>
      </c>
      <c r="H11" s="50">
        <v>1</v>
      </c>
      <c r="I11" s="50">
        <v>1</v>
      </c>
      <c r="J11" s="50">
        <v>0</v>
      </c>
      <c r="K11" s="50">
        <v>0</v>
      </c>
      <c r="L11" s="50">
        <v>0</v>
      </c>
      <c r="M11" s="50">
        <v>45</v>
      </c>
      <c r="N11" s="50">
        <v>0</v>
      </c>
      <c r="O11" s="15">
        <f t="shared" si="0"/>
        <v>23</v>
      </c>
      <c r="P11" s="15">
        <f t="shared" si="1"/>
        <v>68</v>
      </c>
      <c r="R11" s="1" t="s">
        <v>7</v>
      </c>
      <c r="S11" s="17">
        <f t="shared" ref="S11:AF11" si="3">SUM(C14:C17)</f>
        <v>52</v>
      </c>
      <c r="T11" s="17">
        <f t="shared" si="3"/>
        <v>12</v>
      </c>
      <c r="U11" s="17">
        <f t="shared" si="3"/>
        <v>6</v>
      </c>
      <c r="V11" s="17">
        <f t="shared" si="3"/>
        <v>70</v>
      </c>
      <c r="W11" s="17">
        <f t="shared" si="3"/>
        <v>0</v>
      </c>
      <c r="X11" s="17">
        <f t="shared" si="3"/>
        <v>10</v>
      </c>
      <c r="Y11" s="17">
        <f t="shared" si="3"/>
        <v>10</v>
      </c>
      <c r="Z11" s="17">
        <f t="shared" si="3"/>
        <v>0</v>
      </c>
      <c r="AA11" s="17">
        <f t="shared" si="3"/>
        <v>2</v>
      </c>
      <c r="AB11" s="17">
        <f t="shared" si="3"/>
        <v>1</v>
      </c>
      <c r="AC11" s="17">
        <f t="shared" si="3"/>
        <v>328</v>
      </c>
      <c r="AD11" s="17">
        <f t="shared" si="3"/>
        <v>0</v>
      </c>
      <c r="AE11" s="31">
        <f t="shared" si="3"/>
        <v>163</v>
      </c>
      <c r="AF11" s="31">
        <f t="shared" si="3"/>
        <v>491</v>
      </c>
    </row>
    <row r="12" spans="2:32" ht="23.1" customHeight="1" x14ac:dyDescent="0.25">
      <c r="B12" s="23" t="s">
        <v>39</v>
      </c>
      <c r="C12" s="50">
        <v>7</v>
      </c>
      <c r="D12" s="50">
        <v>0</v>
      </c>
      <c r="E12" s="50">
        <v>1</v>
      </c>
      <c r="F12" s="50">
        <v>20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1</v>
      </c>
      <c r="M12" s="50">
        <v>74</v>
      </c>
      <c r="N12" s="50">
        <v>0</v>
      </c>
      <c r="O12" s="15">
        <f t="shared" si="0"/>
        <v>30</v>
      </c>
      <c r="P12" s="15">
        <f t="shared" si="1"/>
        <v>104</v>
      </c>
      <c r="R12" s="1" t="s">
        <v>8</v>
      </c>
      <c r="S12" s="17">
        <f t="shared" ref="S12:AF12" si="4">SUM(C18:C21)</f>
        <v>86</v>
      </c>
      <c r="T12" s="17">
        <f t="shared" si="4"/>
        <v>10</v>
      </c>
      <c r="U12" s="17">
        <f t="shared" si="4"/>
        <v>11</v>
      </c>
      <c r="V12" s="17">
        <f t="shared" si="4"/>
        <v>83</v>
      </c>
      <c r="W12" s="17">
        <f t="shared" si="4"/>
        <v>3</v>
      </c>
      <c r="X12" s="17">
        <f t="shared" si="4"/>
        <v>0</v>
      </c>
      <c r="Y12" s="17">
        <f t="shared" si="4"/>
        <v>4</v>
      </c>
      <c r="Z12" s="17">
        <f t="shared" si="4"/>
        <v>9</v>
      </c>
      <c r="AA12" s="17">
        <f t="shared" si="4"/>
        <v>0</v>
      </c>
      <c r="AB12" s="17">
        <f t="shared" si="4"/>
        <v>0</v>
      </c>
      <c r="AC12" s="17">
        <f t="shared" si="4"/>
        <v>462</v>
      </c>
      <c r="AD12" s="17">
        <f t="shared" si="4"/>
        <v>0</v>
      </c>
      <c r="AE12" s="31">
        <f t="shared" si="4"/>
        <v>206</v>
      </c>
      <c r="AF12" s="31">
        <f t="shared" si="4"/>
        <v>668</v>
      </c>
    </row>
    <row r="13" spans="2:32" ht="23.1" customHeight="1" x14ac:dyDescent="0.25">
      <c r="B13" s="23" t="s">
        <v>40</v>
      </c>
      <c r="C13" s="50">
        <v>15</v>
      </c>
      <c r="D13" s="50">
        <v>2</v>
      </c>
      <c r="E13" s="50">
        <v>2</v>
      </c>
      <c r="F13" s="50">
        <v>20</v>
      </c>
      <c r="G13" s="50">
        <v>1</v>
      </c>
      <c r="H13" s="50">
        <v>0</v>
      </c>
      <c r="I13" s="50">
        <v>3</v>
      </c>
      <c r="J13" s="50">
        <v>1</v>
      </c>
      <c r="K13" s="50">
        <v>1</v>
      </c>
      <c r="L13" s="50">
        <v>0</v>
      </c>
      <c r="M13" s="50">
        <v>83</v>
      </c>
      <c r="N13" s="50">
        <v>0</v>
      </c>
      <c r="O13" s="15">
        <f t="shared" si="0"/>
        <v>45</v>
      </c>
      <c r="P13" s="15">
        <f t="shared" si="1"/>
        <v>128</v>
      </c>
      <c r="R13" s="1" t="s">
        <v>9</v>
      </c>
      <c r="S13" s="17">
        <f t="shared" ref="S13:AF13" si="5">SUM(C22:C25)</f>
        <v>60</v>
      </c>
      <c r="T13" s="17">
        <f t="shared" si="5"/>
        <v>9</v>
      </c>
      <c r="U13" s="17">
        <f t="shared" si="5"/>
        <v>9</v>
      </c>
      <c r="V13" s="17">
        <f t="shared" si="5"/>
        <v>77</v>
      </c>
      <c r="W13" s="17">
        <f t="shared" si="5"/>
        <v>1</v>
      </c>
      <c r="X13" s="17">
        <f t="shared" si="5"/>
        <v>3</v>
      </c>
      <c r="Y13" s="17">
        <f t="shared" si="5"/>
        <v>10</v>
      </c>
      <c r="Z13" s="17">
        <f t="shared" si="5"/>
        <v>7</v>
      </c>
      <c r="AA13" s="17">
        <f t="shared" si="5"/>
        <v>1</v>
      </c>
      <c r="AB13" s="17">
        <f t="shared" si="5"/>
        <v>0</v>
      </c>
      <c r="AC13" s="17">
        <f t="shared" si="5"/>
        <v>397</v>
      </c>
      <c r="AD13" s="17">
        <f t="shared" si="5"/>
        <v>0</v>
      </c>
      <c r="AE13" s="31">
        <f t="shared" si="5"/>
        <v>177</v>
      </c>
      <c r="AF13" s="31">
        <f t="shared" si="5"/>
        <v>574</v>
      </c>
    </row>
    <row r="14" spans="2:32" ht="23.1" customHeight="1" x14ac:dyDescent="0.25">
      <c r="B14" s="23" t="s">
        <v>41</v>
      </c>
      <c r="C14" s="50">
        <v>7</v>
      </c>
      <c r="D14" s="50">
        <v>1</v>
      </c>
      <c r="E14" s="50">
        <v>0</v>
      </c>
      <c r="F14" s="50">
        <v>22</v>
      </c>
      <c r="G14" s="50">
        <v>0</v>
      </c>
      <c r="H14" s="50">
        <v>2</v>
      </c>
      <c r="I14" s="50">
        <v>3</v>
      </c>
      <c r="J14" s="50">
        <v>0</v>
      </c>
      <c r="K14" s="50">
        <v>0</v>
      </c>
      <c r="L14" s="50">
        <v>0</v>
      </c>
      <c r="M14" s="50">
        <v>83</v>
      </c>
      <c r="N14" s="50">
        <v>0</v>
      </c>
      <c r="O14" s="15">
        <f t="shared" si="0"/>
        <v>35</v>
      </c>
      <c r="P14" s="15">
        <f t="shared" si="1"/>
        <v>118</v>
      </c>
      <c r="R14" s="1" t="s">
        <v>10</v>
      </c>
      <c r="S14" s="17">
        <f t="shared" ref="S14:AF14" si="6">SUM(C26:C29)</f>
        <v>132</v>
      </c>
      <c r="T14" s="17">
        <f t="shared" si="6"/>
        <v>20</v>
      </c>
      <c r="U14" s="17">
        <f t="shared" si="6"/>
        <v>20</v>
      </c>
      <c r="V14" s="17">
        <f t="shared" si="6"/>
        <v>67</v>
      </c>
      <c r="W14" s="17">
        <f t="shared" si="6"/>
        <v>1</v>
      </c>
      <c r="X14" s="17">
        <f t="shared" si="6"/>
        <v>1</v>
      </c>
      <c r="Y14" s="17">
        <f t="shared" si="6"/>
        <v>2</v>
      </c>
      <c r="Z14" s="17">
        <f t="shared" si="6"/>
        <v>7</v>
      </c>
      <c r="AA14" s="17">
        <f t="shared" si="6"/>
        <v>3</v>
      </c>
      <c r="AB14" s="17">
        <f t="shared" si="6"/>
        <v>0</v>
      </c>
      <c r="AC14" s="17">
        <f t="shared" si="6"/>
        <v>386</v>
      </c>
      <c r="AD14" s="17">
        <f t="shared" si="6"/>
        <v>0</v>
      </c>
      <c r="AE14" s="31">
        <f t="shared" si="6"/>
        <v>253</v>
      </c>
      <c r="AF14" s="31">
        <f t="shared" si="6"/>
        <v>639</v>
      </c>
    </row>
    <row r="15" spans="2:32" ht="23.1" customHeight="1" x14ac:dyDescent="0.25">
      <c r="B15" s="23" t="s">
        <v>42</v>
      </c>
      <c r="C15" s="50">
        <v>13</v>
      </c>
      <c r="D15" s="50">
        <v>4</v>
      </c>
      <c r="E15" s="50">
        <v>3</v>
      </c>
      <c r="F15" s="50">
        <v>16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1</v>
      </c>
      <c r="M15" s="50">
        <v>62</v>
      </c>
      <c r="N15" s="50">
        <v>0</v>
      </c>
      <c r="O15" s="15">
        <f t="shared" si="0"/>
        <v>39</v>
      </c>
      <c r="P15" s="15">
        <f t="shared" si="1"/>
        <v>101</v>
      </c>
      <c r="R15" s="1" t="s">
        <v>11</v>
      </c>
      <c r="S15" s="17">
        <f t="shared" ref="S15:AF15" si="7">SUM(C30:C33)</f>
        <v>119</v>
      </c>
      <c r="T15" s="17">
        <f t="shared" si="7"/>
        <v>26</v>
      </c>
      <c r="U15" s="17">
        <f t="shared" si="7"/>
        <v>16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408</v>
      </c>
      <c r="AD15" s="17">
        <f t="shared" si="7"/>
        <v>0</v>
      </c>
      <c r="AE15" s="31">
        <f t="shared" si="7"/>
        <v>226</v>
      </c>
      <c r="AF15" s="31">
        <f t="shared" si="7"/>
        <v>634</v>
      </c>
    </row>
    <row r="16" spans="2:32" ht="23.1" customHeight="1" x14ac:dyDescent="0.25">
      <c r="B16" s="23" t="s">
        <v>43</v>
      </c>
      <c r="C16" s="50">
        <v>20</v>
      </c>
      <c r="D16" s="50">
        <v>2</v>
      </c>
      <c r="E16" s="50">
        <v>2</v>
      </c>
      <c r="F16" s="50">
        <v>20</v>
      </c>
      <c r="G16" s="50">
        <v>0</v>
      </c>
      <c r="H16" s="50">
        <v>5</v>
      </c>
      <c r="I16" s="50">
        <v>2</v>
      </c>
      <c r="J16" s="50">
        <v>0</v>
      </c>
      <c r="K16" s="50">
        <v>2</v>
      </c>
      <c r="L16" s="50">
        <v>0</v>
      </c>
      <c r="M16" s="50">
        <v>113</v>
      </c>
      <c r="N16" s="50">
        <v>0</v>
      </c>
      <c r="O16" s="15">
        <f t="shared" si="0"/>
        <v>53</v>
      </c>
      <c r="P16" s="15">
        <f t="shared" si="1"/>
        <v>166</v>
      </c>
      <c r="R16" s="1" t="s">
        <v>12</v>
      </c>
      <c r="S16" s="17">
        <f t="shared" ref="S16:AF16" si="8">SUM(C34:C37)</f>
        <v>140</v>
      </c>
      <c r="T16" s="17">
        <f t="shared" si="8"/>
        <v>28</v>
      </c>
      <c r="U16" s="17">
        <f t="shared" si="8"/>
        <v>13</v>
      </c>
      <c r="V16" s="17">
        <f t="shared" si="8"/>
        <v>46</v>
      </c>
      <c r="W16" s="17">
        <f t="shared" si="8"/>
        <v>1</v>
      </c>
      <c r="X16" s="17">
        <f t="shared" si="8"/>
        <v>3</v>
      </c>
      <c r="Y16" s="17">
        <f t="shared" si="8"/>
        <v>3</v>
      </c>
      <c r="Z16" s="17">
        <f t="shared" si="8"/>
        <v>5</v>
      </c>
      <c r="AA16" s="17">
        <f t="shared" si="8"/>
        <v>2</v>
      </c>
      <c r="AB16" s="17">
        <f t="shared" si="8"/>
        <v>0</v>
      </c>
      <c r="AC16" s="17">
        <f t="shared" si="8"/>
        <v>287</v>
      </c>
      <c r="AD16" s="17">
        <f t="shared" si="8"/>
        <v>0</v>
      </c>
      <c r="AE16" s="31">
        <f t="shared" si="8"/>
        <v>241</v>
      </c>
      <c r="AF16" s="31">
        <f t="shared" si="8"/>
        <v>528</v>
      </c>
    </row>
    <row r="17" spans="2:32" ht="23.1" customHeight="1" x14ac:dyDescent="0.25">
      <c r="B17" s="23" t="s">
        <v>44</v>
      </c>
      <c r="C17" s="50">
        <v>12</v>
      </c>
      <c r="D17" s="50">
        <v>5</v>
      </c>
      <c r="E17" s="50">
        <v>1</v>
      </c>
      <c r="F17" s="50">
        <v>12</v>
      </c>
      <c r="G17" s="50">
        <v>0</v>
      </c>
      <c r="H17" s="50">
        <v>2</v>
      </c>
      <c r="I17" s="50">
        <v>4</v>
      </c>
      <c r="J17" s="50">
        <v>0</v>
      </c>
      <c r="K17" s="50">
        <v>0</v>
      </c>
      <c r="L17" s="50">
        <v>0</v>
      </c>
      <c r="M17" s="50">
        <v>70</v>
      </c>
      <c r="N17" s="50">
        <v>0</v>
      </c>
      <c r="O17" s="15">
        <f t="shared" si="0"/>
        <v>36</v>
      </c>
      <c r="P17" s="15">
        <f t="shared" si="1"/>
        <v>106</v>
      </c>
      <c r="R17" s="1" t="s">
        <v>13</v>
      </c>
      <c r="S17" s="17">
        <f t="shared" ref="S17:AF17" si="9">SUM(C38:C41)</f>
        <v>155</v>
      </c>
      <c r="T17" s="17">
        <f t="shared" si="9"/>
        <v>31</v>
      </c>
      <c r="U17" s="17">
        <f t="shared" si="9"/>
        <v>17</v>
      </c>
      <c r="V17" s="17">
        <f t="shared" si="9"/>
        <v>47</v>
      </c>
      <c r="W17" s="17">
        <f t="shared" si="9"/>
        <v>5</v>
      </c>
      <c r="X17" s="17">
        <f t="shared" si="9"/>
        <v>0</v>
      </c>
      <c r="Y17" s="17">
        <f t="shared" si="9"/>
        <v>5</v>
      </c>
      <c r="Z17" s="17">
        <f t="shared" si="9"/>
        <v>3</v>
      </c>
      <c r="AA17" s="17">
        <f t="shared" si="9"/>
        <v>4</v>
      </c>
      <c r="AB17" s="17">
        <f t="shared" si="9"/>
        <v>1</v>
      </c>
      <c r="AC17" s="17">
        <f t="shared" si="9"/>
        <v>425</v>
      </c>
      <c r="AD17" s="17">
        <f t="shared" si="9"/>
        <v>0</v>
      </c>
      <c r="AE17" s="31">
        <f t="shared" si="9"/>
        <v>268</v>
      </c>
      <c r="AF17" s="31">
        <f t="shared" si="9"/>
        <v>693</v>
      </c>
    </row>
    <row r="18" spans="2:32" ht="23.1" customHeight="1" x14ac:dyDescent="0.25">
      <c r="B18" s="23" t="s">
        <v>45</v>
      </c>
      <c r="C18" s="50">
        <v>28</v>
      </c>
      <c r="D18" s="50">
        <v>4</v>
      </c>
      <c r="E18" s="50">
        <v>5</v>
      </c>
      <c r="F18" s="50">
        <v>21</v>
      </c>
      <c r="G18" s="50">
        <v>2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120</v>
      </c>
      <c r="N18" s="50">
        <v>0</v>
      </c>
      <c r="O18" s="15">
        <f t="shared" si="0"/>
        <v>63</v>
      </c>
      <c r="P18" s="15">
        <f t="shared" si="1"/>
        <v>183</v>
      </c>
      <c r="R18" s="1" t="s">
        <v>14</v>
      </c>
      <c r="S18" s="17">
        <f t="shared" ref="S18:AF18" si="10">SUM(C42:C45)</f>
        <v>174</v>
      </c>
      <c r="T18" s="17">
        <f t="shared" si="10"/>
        <v>22</v>
      </c>
      <c r="U18" s="17">
        <f t="shared" si="10"/>
        <v>13</v>
      </c>
      <c r="V18" s="17">
        <f t="shared" si="10"/>
        <v>52</v>
      </c>
      <c r="W18" s="17">
        <f t="shared" si="10"/>
        <v>0</v>
      </c>
      <c r="X18" s="17">
        <f t="shared" si="10"/>
        <v>1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1</v>
      </c>
      <c r="AC18" s="17">
        <f t="shared" si="10"/>
        <v>273</v>
      </c>
      <c r="AD18" s="17">
        <f t="shared" si="10"/>
        <v>0</v>
      </c>
      <c r="AE18" s="31">
        <f t="shared" si="10"/>
        <v>272</v>
      </c>
      <c r="AF18" s="31">
        <f t="shared" si="10"/>
        <v>545</v>
      </c>
    </row>
    <row r="19" spans="2:32" ht="23.1" customHeight="1" x14ac:dyDescent="0.25">
      <c r="B19" s="23" t="s">
        <v>46</v>
      </c>
      <c r="C19" s="50">
        <v>14</v>
      </c>
      <c r="D19" s="50">
        <v>3</v>
      </c>
      <c r="E19" s="50">
        <v>1</v>
      </c>
      <c r="F19" s="50">
        <v>21</v>
      </c>
      <c r="G19" s="50">
        <v>0</v>
      </c>
      <c r="H19" s="50">
        <v>0</v>
      </c>
      <c r="I19" s="50">
        <v>1</v>
      </c>
      <c r="J19" s="50">
        <v>4</v>
      </c>
      <c r="K19" s="50">
        <v>0</v>
      </c>
      <c r="L19" s="50">
        <v>0</v>
      </c>
      <c r="M19" s="50">
        <v>94</v>
      </c>
      <c r="N19" s="50">
        <v>0</v>
      </c>
      <c r="O19" s="15">
        <f t="shared" si="0"/>
        <v>44</v>
      </c>
      <c r="P19" s="15">
        <f t="shared" si="1"/>
        <v>138</v>
      </c>
      <c r="R19" s="1" t="s">
        <v>15</v>
      </c>
      <c r="S19" s="17">
        <f t="shared" ref="S19:AF19" si="11">SUM(C46:C49)</f>
        <v>182</v>
      </c>
      <c r="T19" s="17">
        <f t="shared" si="11"/>
        <v>22</v>
      </c>
      <c r="U19" s="17">
        <f t="shared" si="11"/>
        <v>18</v>
      </c>
      <c r="V19" s="17">
        <f t="shared" si="11"/>
        <v>55</v>
      </c>
      <c r="W19" s="17">
        <f t="shared" si="11"/>
        <v>0</v>
      </c>
      <c r="X19" s="17">
        <f t="shared" si="11"/>
        <v>3</v>
      </c>
      <c r="Y19" s="17">
        <f t="shared" si="11"/>
        <v>4</v>
      </c>
      <c r="Z19" s="17">
        <f t="shared" si="11"/>
        <v>6</v>
      </c>
      <c r="AA19" s="17">
        <f t="shared" si="11"/>
        <v>0</v>
      </c>
      <c r="AB19" s="17">
        <f t="shared" si="11"/>
        <v>1</v>
      </c>
      <c r="AC19" s="17">
        <f t="shared" si="11"/>
        <v>230</v>
      </c>
      <c r="AD19" s="17">
        <f t="shared" si="11"/>
        <v>0</v>
      </c>
      <c r="AE19" s="31">
        <f t="shared" si="11"/>
        <v>291</v>
      </c>
      <c r="AF19" s="31">
        <f t="shared" si="11"/>
        <v>521</v>
      </c>
    </row>
    <row r="20" spans="2:32" ht="23.1" customHeight="1" x14ac:dyDescent="0.25">
      <c r="B20" s="23" t="s">
        <v>47</v>
      </c>
      <c r="C20" s="50">
        <v>17</v>
      </c>
      <c r="D20" s="50">
        <v>1</v>
      </c>
      <c r="E20" s="50">
        <v>0</v>
      </c>
      <c r="F20" s="50">
        <v>22</v>
      </c>
      <c r="G20" s="50">
        <v>1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134</v>
      </c>
      <c r="N20" s="50">
        <v>0</v>
      </c>
      <c r="O20" s="15">
        <f t="shared" si="0"/>
        <v>42</v>
      </c>
      <c r="P20" s="15">
        <f t="shared" si="1"/>
        <v>176</v>
      </c>
      <c r="R20" s="1" t="s">
        <v>16</v>
      </c>
      <c r="S20" s="17">
        <f t="shared" ref="S20:AF20" si="12">SUM(C50:C53)</f>
        <v>133</v>
      </c>
      <c r="T20" s="17">
        <f t="shared" si="12"/>
        <v>31</v>
      </c>
      <c r="U20" s="17">
        <f t="shared" si="12"/>
        <v>17</v>
      </c>
      <c r="V20" s="17">
        <f t="shared" si="12"/>
        <v>37</v>
      </c>
      <c r="W20" s="17">
        <f t="shared" si="12"/>
        <v>1</v>
      </c>
      <c r="X20" s="17">
        <f t="shared" si="12"/>
        <v>0</v>
      </c>
      <c r="Y20" s="17">
        <f t="shared" si="12"/>
        <v>8</v>
      </c>
      <c r="Z20" s="17">
        <f t="shared" si="12"/>
        <v>2</v>
      </c>
      <c r="AA20" s="17">
        <f t="shared" si="12"/>
        <v>3</v>
      </c>
      <c r="AB20" s="17">
        <f t="shared" si="12"/>
        <v>2</v>
      </c>
      <c r="AC20" s="17">
        <f t="shared" si="12"/>
        <v>355</v>
      </c>
      <c r="AD20" s="17">
        <f t="shared" si="12"/>
        <v>0</v>
      </c>
      <c r="AE20" s="31">
        <f t="shared" si="12"/>
        <v>234</v>
      </c>
      <c r="AF20" s="31">
        <f t="shared" si="12"/>
        <v>589</v>
      </c>
    </row>
    <row r="21" spans="2:32" ht="23.1" customHeight="1" x14ac:dyDescent="0.25">
      <c r="B21" s="23" t="s">
        <v>48</v>
      </c>
      <c r="C21" s="50">
        <v>27</v>
      </c>
      <c r="D21" s="50">
        <v>2</v>
      </c>
      <c r="E21" s="50">
        <v>5</v>
      </c>
      <c r="F21" s="50">
        <v>19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0</v>
      </c>
      <c r="M21" s="50">
        <v>114</v>
      </c>
      <c r="N21" s="50">
        <v>0</v>
      </c>
      <c r="O21" s="15">
        <f t="shared" si="0"/>
        <v>57</v>
      </c>
      <c r="P21" s="15">
        <f t="shared" si="1"/>
        <v>171</v>
      </c>
      <c r="R21" s="36" t="s">
        <v>20</v>
      </c>
      <c r="S21" s="34">
        <f t="shared" ref="S21:AF21" si="13">SUM(C54:C57)</f>
        <v>262</v>
      </c>
      <c r="T21" s="17">
        <f t="shared" si="13"/>
        <v>32</v>
      </c>
      <c r="U21" s="17">
        <f t="shared" si="13"/>
        <v>11</v>
      </c>
      <c r="V21" s="17">
        <f t="shared" si="13"/>
        <v>37</v>
      </c>
      <c r="W21" s="17">
        <f t="shared" si="13"/>
        <v>3</v>
      </c>
      <c r="X21" s="17">
        <f t="shared" si="13"/>
        <v>1</v>
      </c>
      <c r="Y21" s="17">
        <f t="shared" si="13"/>
        <v>10</v>
      </c>
      <c r="Z21" s="17">
        <f t="shared" si="13"/>
        <v>3</v>
      </c>
      <c r="AA21" s="17">
        <f t="shared" si="13"/>
        <v>3</v>
      </c>
      <c r="AB21" s="17">
        <f t="shared" si="13"/>
        <v>1</v>
      </c>
      <c r="AC21" s="17">
        <f t="shared" si="13"/>
        <v>274</v>
      </c>
      <c r="AD21" s="17">
        <f t="shared" si="13"/>
        <v>0</v>
      </c>
      <c r="AE21" s="31">
        <f t="shared" si="13"/>
        <v>363</v>
      </c>
      <c r="AF21" s="31">
        <f t="shared" si="13"/>
        <v>637</v>
      </c>
    </row>
    <row r="22" spans="2:32" ht="23.1" customHeight="1" x14ac:dyDescent="0.25">
      <c r="B22" s="23" t="s">
        <v>49</v>
      </c>
      <c r="C22" s="50">
        <v>9</v>
      </c>
      <c r="D22" s="50">
        <v>2</v>
      </c>
      <c r="E22" s="50">
        <v>2</v>
      </c>
      <c r="F22" s="50">
        <v>21</v>
      </c>
      <c r="G22" s="50">
        <v>0</v>
      </c>
      <c r="H22" s="50">
        <v>1</v>
      </c>
      <c r="I22" s="50">
        <v>3</v>
      </c>
      <c r="J22" s="50">
        <v>4</v>
      </c>
      <c r="K22" s="50">
        <v>0</v>
      </c>
      <c r="L22" s="50">
        <v>0</v>
      </c>
      <c r="M22" s="50">
        <v>99</v>
      </c>
      <c r="N22" s="50">
        <v>0</v>
      </c>
      <c r="O22" s="15">
        <f t="shared" si="0"/>
        <v>42</v>
      </c>
      <c r="P22" s="15">
        <f t="shared" si="1"/>
        <v>141</v>
      </c>
      <c r="R22" s="38" t="s">
        <v>90</v>
      </c>
      <c r="S22" s="39">
        <f>MAX(S10:S12)</f>
        <v>86</v>
      </c>
      <c r="T22" s="39">
        <f t="shared" ref="T22:AF22" si="14">MAX(T10:T12)</f>
        <v>12</v>
      </c>
      <c r="U22" s="39">
        <f t="shared" si="14"/>
        <v>11</v>
      </c>
      <c r="V22" s="39">
        <f t="shared" si="14"/>
        <v>83</v>
      </c>
      <c r="W22" s="39">
        <f t="shared" si="14"/>
        <v>3</v>
      </c>
      <c r="X22" s="39">
        <f t="shared" si="14"/>
        <v>10</v>
      </c>
      <c r="Y22" s="39">
        <f t="shared" si="14"/>
        <v>10</v>
      </c>
      <c r="Z22" s="39">
        <f t="shared" si="14"/>
        <v>9</v>
      </c>
      <c r="AA22" s="39">
        <f t="shared" si="14"/>
        <v>2</v>
      </c>
      <c r="AB22" s="39">
        <f t="shared" si="14"/>
        <v>1</v>
      </c>
      <c r="AC22" s="39">
        <f t="shared" si="14"/>
        <v>462</v>
      </c>
      <c r="AD22" s="39">
        <f t="shared" si="14"/>
        <v>0</v>
      </c>
      <c r="AE22" s="40">
        <f t="shared" si="14"/>
        <v>206</v>
      </c>
      <c r="AF22" s="40">
        <f t="shared" si="14"/>
        <v>668</v>
      </c>
    </row>
    <row r="23" spans="2:32" ht="23.1" customHeight="1" x14ac:dyDescent="0.25">
      <c r="B23" s="23" t="s">
        <v>50</v>
      </c>
      <c r="C23" s="50">
        <v>11</v>
      </c>
      <c r="D23" s="50">
        <v>1</v>
      </c>
      <c r="E23" s="50">
        <v>1</v>
      </c>
      <c r="F23" s="50">
        <v>15</v>
      </c>
      <c r="G23" s="50">
        <v>0</v>
      </c>
      <c r="H23" s="50">
        <v>1</v>
      </c>
      <c r="I23" s="50">
        <v>1</v>
      </c>
      <c r="J23" s="50">
        <v>1</v>
      </c>
      <c r="K23" s="50">
        <v>0</v>
      </c>
      <c r="L23" s="50">
        <v>0</v>
      </c>
      <c r="M23" s="50">
        <v>105</v>
      </c>
      <c r="N23" s="50">
        <v>0</v>
      </c>
      <c r="O23" s="15">
        <f t="shared" si="0"/>
        <v>31</v>
      </c>
      <c r="P23" s="15">
        <f t="shared" si="1"/>
        <v>136</v>
      </c>
      <c r="R23" s="38" t="s">
        <v>91</v>
      </c>
      <c r="S23" s="39">
        <f>MAX(S13:S18)</f>
        <v>174</v>
      </c>
      <c r="T23" s="39">
        <f t="shared" ref="T23:AF23" si="15">MAX(T13:T18)</f>
        <v>31</v>
      </c>
      <c r="U23" s="39">
        <f t="shared" si="15"/>
        <v>20</v>
      </c>
      <c r="V23" s="39">
        <f t="shared" si="15"/>
        <v>77</v>
      </c>
      <c r="W23" s="39">
        <f t="shared" si="15"/>
        <v>5</v>
      </c>
      <c r="X23" s="39">
        <f t="shared" si="15"/>
        <v>3</v>
      </c>
      <c r="Y23" s="39">
        <f t="shared" si="15"/>
        <v>11</v>
      </c>
      <c r="Z23" s="39">
        <f t="shared" si="15"/>
        <v>7</v>
      </c>
      <c r="AA23" s="39">
        <f t="shared" si="15"/>
        <v>4</v>
      </c>
      <c r="AB23" s="39">
        <f t="shared" si="15"/>
        <v>1</v>
      </c>
      <c r="AC23" s="39">
        <f t="shared" si="15"/>
        <v>425</v>
      </c>
      <c r="AD23" s="39">
        <f t="shared" si="15"/>
        <v>0</v>
      </c>
      <c r="AE23" s="40">
        <f t="shared" si="15"/>
        <v>272</v>
      </c>
      <c r="AF23" s="40">
        <f t="shared" si="15"/>
        <v>693</v>
      </c>
    </row>
    <row r="24" spans="2:32" ht="23.1" customHeight="1" x14ac:dyDescent="0.25">
      <c r="B24" s="23" t="s">
        <v>51</v>
      </c>
      <c r="C24" s="50">
        <v>17</v>
      </c>
      <c r="D24" s="50">
        <v>3</v>
      </c>
      <c r="E24" s="50">
        <v>4</v>
      </c>
      <c r="F24" s="50">
        <v>21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90</v>
      </c>
      <c r="N24" s="50">
        <v>0</v>
      </c>
      <c r="O24" s="15">
        <f t="shared" si="0"/>
        <v>48</v>
      </c>
      <c r="P24" s="15">
        <f t="shared" si="1"/>
        <v>138</v>
      </c>
      <c r="R24" s="38" t="s">
        <v>92</v>
      </c>
      <c r="S24" s="39">
        <f>MAX(S19:S21)</f>
        <v>262</v>
      </c>
      <c r="T24" s="39">
        <f t="shared" ref="T24:AF24" si="16">MAX(T19:T21)</f>
        <v>32</v>
      </c>
      <c r="U24" s="39">
        <f t="shared" si="16"/>
        <v>18</v>
      </c>
      <c r="V24" s="39">
        <f t="shared" si="16"/>
        <v>55</v>
      </c>
      <c r="W24" s="39">
        <f t="shared" si="16"/>
        <v>3</v>
      </c>
      <c r="X24" s="39">
        <f t="shared" si="16"/>
        <v>3</v>
      </c>
      <c r="Y24" s="39">
        <f t="shared" si="16"/>
        <v>10</v>
      </c>
      <c r="Z24" s="39">
        <f t="shared" si="16"/>
        <v>6</v>
      </c>
      <c r="AA24" s="39">
        <f t="shared" si="16"/>
        <v>3</v>
      </c>
      <c r="AB24" s="39">
        <f t="shared" si="16"/>
        <v>2</v>
      </c>
      <c r="AC24" s="39">
        <f t="shared" si="16"/>
        <v>355</v>
      </c>
      <c r="AD24" s="39">
        <f t="shared" si="16"/>
        <v>0</v>
      </c>
      <c r="AE24" s="40">
        <f t="shared" si="16"/>
        <v>363</v>
      </c>
      <c r="AF24" s="40">
        <f t="shared" si="16"/>
        <v>637</v>
      </c>
    </row>
    <row r="25" spans="2:32" ht="23.1" customHeight="1" x14ac:dyDescent="0.25">
      <c r="B25" s="23" t="s">
        <v>52</v>
      </c>
      <c r="C25" s="50">
        <v>23</v>
      </c>
      <c r="D25" s="50">
        <v>3</v>
      </c>
      <c r="E25" s="50">
        <v>2</v>
      </c>
      <c r="F25" s="50">
        <v>20</v>
      </c>
      <c r="G25" s="50">
        <v>1</v>
      </c>
      <c r="H25" s="50">
        <v>1</v>
      </c>
      <c r="I25" s="50">
        <v>4</v>
      </c>
      <c r="J25" s="50">
        <v>2</v>
      </c>
      <c r="K25" s="50">
        <v>0</v>
      </c>
      <c r="L25" s="50">
        <v>0</v>
      </c>
      <c r="M25" s="50">
        <v>103</v>
      </c>
      <c r="N25" s="50">
        <v>0</v>
      </c>
      <c r="O25" s="15">
        <f t="shared" si="0"/>
        <v>56</v>
      </c>
      <c r="P25" s="15">
        <f t="shared" si="1"/>
        <v>159</v>
      </c>
      <c r="R25" s="37" t="s">
        <v>85</v>
      </c>
      <c r="S25" s="35">
        <f t="shared" ref="S25:AF25" si="17">SUM(S10:S12)</f>
        <v>197</v>
      </c>
      <c r="T25" s="16">
        <f t="shared" si="17"/>
        <v>26</v>
      </c>
      <c r="U25" s="16">
        <f t="shared" si="17"/>
        <v>20</v>
      </c>
      <c r="V25" s="16">
        <f t="shared" si="17"/>
        <v>205</v>
      </c>
      <c r="W25" s="16">
        <f t="shared" si="17"/>
        <v>4</v>
      </c>
      <c r="X25" s="16">
        <f t="shared" si="17"/>
        <v>11</v>
      </c>
      <c r="Y25" s="16">
        <f t="shared" si="17"/>
        <v>19</v>
      </c>
      <c r="Z25" s="16">
        <f t="shared" si="17"/>
        <v>10</v>
      </c>
      <c r="AA25" s="16">
        <f t="shared" si="17"/>
        <v>3</v>
      </c>
      <c r="AB25" s="16">
        <f t="shared" si="17"/>
        <v>2</v>
      </c>
      <c r="AC25" s="16">
        <f t="shared" si="17"/>
        <v>1015</v>
      </c>
      <c r="AD25" s="16">
        <f t="shared" si="17"/>
        <v>0</v>
      </c>
      <c r="AE25" s="32">
        <f t="shared" si="17"/>
        <v>497</v>
      </c>
      <c r="AF25" s="32">
        <f t="shared" si="17"/>
        <v>1512</v>
      </c>
    </row>
    <row r="26" spans="2:32" ht="23.1" customHeight="1" x14ac:dyDescent="0.25">
      <c r="B26" s="23" t="s">
        <v>53</v>
      </c>
      <c r="C26" s="50">
        <v>23</v>
      </c>
      <c r="D26" s="50">
        <v>4</v>
      </c>
      <c r="E26" s="50">
        <v>7</v>
      </c>
      <c r="F26" s="50">
        <v>17</v>
      </c>
      <c r="G26" s="50">
        <v>0</v>
      </c>
      <c r="H26" s="50">
        <v>1</v>
      </c>
      <c r="I26" s="50">
        <v>0</v>
      </c>
      <c r="J26" s="50">
        <v>1</v>
      </c>
      <c r="K26" s="50">
        <v>1</v>
      </c>
      <c r="L26" s="50">
        <v>0</v>
      </c>
      <c r="M26" s="50">
        <v>123</v>
      </c>
      <c r="N26" s="50">
        <v>0</v>
      </c>
      <c r="O26" s="15">
        <f t="shared" si="0"/>
        <v>54</v>
      </c>
      <c r="P26" s="15">
        <f t="shared" si="1"/>
        <v>177</v>
      </c>
      <c r="R26" s="28" t="s">
        <v>86</v>
      </c>
      <c r="S26" s="16">
        <f t="shared" ref="S26:AF26" si="18">SUM(S13:S18)</f>
        <v>780</v>
      </c>
      <c r="T26" s="16">
        <f t="shared" si="18"/>
        <v>136</v>
      </c>
      <c r="U26" s="16">
        <f t="shared" si="18"/>
        <v>88</v>
      </c>
      <c r="V26" s="16">
        <f t="shared" si="18"/>
        <v>340</v>
      </c>
      <c r="W26" s="16">
        <f t="shared" si="18"/>
        <v>8</v>
      </c>
      <c r="X26" s="16">
        <f t="shared" si="18"/>
        <v>8</v>
      </c>
      <c r="Y26" s="16">
        <f t="shared" si="18"/>
        <v>37</v>
      </c>
      <c r="Z26" s="16">
        <f t="shared" si="18"/>
        <v>26</v>
      </c>
      <c r="AA26" s="16">
        <f t="shared" si="18"/>
        <v>12</v>
      </c>
      <c r="AB26" s="16">
        <f t="shared" si="18"/>
        <v>2</v>
      </c>
      <c r="AC26" s="16">
        <f t="shared" si="18"/>
        <v>2176</v>
      </c>
      <c r="AD26" s="16">
        <f t="shared" si="18"/>
        <v>0</v>
      </c>
      <c r="AE26" s="32">
        <f t="shared" si="18"/>
        <v>1437</v>
      </c>
      <c r="AF26" s="32">
        <f t="shared" si="18"/>
        <v>3613</v>
      </c>
    </row>
    <row r="27" spans="2:32" ht="23.1" customHeight="1" x14ac:dyDescent="0.25">
      <c r="B27" s="23" t="s">
        <v>54</v>
      </c>
      <c r="C27" s="50">
        <v>32</v>
      </c>
      <c r="D27" s="50">
        <v>6</v>
      </c>
      <c r="E27" s="50">
        <v>1</v>
      </c>
      <c r="F27" s="50">
        <v>20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100</v>
      </c>
      <c r="N27" s="50">
        <v>0</v>
      </c>
      <c r="O27" s="15">
        <f t="shared" si="0"/>
        <v>61</v>
      </c>
      <c r="P27" s="15">
        <f t="shared" si="1"/>
        <v>161</v>
      </c>
      <c r="R27" s="29" t="s">
        <v>87</v>
      </c>
      <c r="S27" s="16">
        <f t="shared" ref="S27:AF27" si="19">SUM(S19:S21)</f>
        <v>577</v>
      </c>
      <c r="T27" s="16">
        <f t="shared" si="19"/>
        <v>85</v>
      </c>
      <c r="U27" s="16">
        <f t="shared" si="19"/>
        <v>46</v>
      </c>
      <c r="V27" s="16">
        <f t="shared" si="19"/>
        <v>129</v>
      </c>
      <c r="W27" s="16">
        <f t="shared" si="19"/>
        <v>4</v>
      </c>
      <c r="X27" s="16">
        <f t="shared" si="19"/>
        <v>4</v>
      </c>
      <c r="Y27" s="16">
        <f t="shared" si="19"/>
        <v>22</v>
      </c>
      <c r="Z27" s="16">
        <f t="shared" si="19"/>
        <v>11</v>
      </c>
      <c r="AA27" s="16">
        <f t="shared" si="19"/>
        <v>6</v>
      </c>
      <c r="AB27" s="16">
        <f t="shared" si="19"/>
        <v>4</v>
      </c>
      <c r="AC27" s="16">
        <f t="shared" si="19"/>
        <v>859</v>
      </c>
      <c r="AD27" s="16">
        <f t="shared" si="19"/>
        <v>0</v>
      </c>
      <c r="AE27" s="32">
        <f t="shared" si="19"/>
        <v>888</v>
      </c>
      <c r="AF27" s="32">
        <f t="shared" si="19"/>
        <v>1747</v>
      </c>
    </row>
    <row r="28" spans="2:32" ht="23.1" customHeight="1" x14ac:dyDescent="0.25">
      <c r="B28" s="23" t="s">
        <v>55</v>
      </c>
      <c r="C28" s="50">
        <v>33</v>
      </c>
      <c r="D28" s="50">
        <v>5</v>
      </c>
      <c r="E28" s="50">
        <v>8</v>
      </c>
      <c r="F28" s="50">
        <v>14</v>
      </c>
      <c r="G28" s="50">
        <v>0</v>
      </c>
      <c r="H28" s="50">
        <v>0</v>
      </c>
      <c r="I28" s="50">
        <v>2</v>
      </c>
      <c r="J28" s="50">
        <v>3</v>
      </c>
      <c r="K28" s="50">
        <v>0</v>
      </c>
      <c r="L28" s="50">
        <v>0</v>
      </c>
      <c r="M28" s="50">
        <v>88</v>
      </c>
      <c r="N28" s="50">
        <v>0</v>
      </c>
      <c r="O28" s="15">
        <f t="shared" si="0"/>
        <v>65</v>
      </c>
      <c r="P28" s="15">
        <f t="shared" si="1"/>
        <v>153</v>
      </c>
      <c r="R28" s="5" t="s">
        <v>17</v>
      </c>
      <c r="S28" s="16">
        <f t="shared" ref="S28:AF28" si="20">SUM(S10:S21)</f>
        <v>1554</v>
      </c>
      <c r="T28" s="16">
        <f t="shared" si="20"/>
        <v>247</v>
      </c>
      <c r="U28" s="16">
        <f t="shared" si="20"/>
        <v>154</v>
      </c>
      <c r="V28" s="16">
        <f t="shared" si="20"/>
        <v>674</v>
      </c>
      <c r="W28" s="16">
        <f t="shared" si="20"/>
        <v>16</v>
      </c>
      <c r="X28" s="16">
        <f t="shared" si="20"/>
        <v>23</v>
      </c>
      <c r="Y28" s="16">
        <f t="shared" si="20"/>
        <v>78</v>
      </c>
      <c r="Z28" s="16">
        <f t="shared" si="20"/>
        <v>47</v>
      </c>
      <c r="AA28" s="16">
        <f t="shared" si="20"/>
        <v>21</v>
      </c>
      <c r="AB28" s="16">
        <f t="shared" si="20"/>
        <v>8</v>
      </c>
      <c r="AC28" s="16">
        <f t="shared" si="20"/>
        <v>4050</v>
      </c>
      <c r="AD28" s="16">
        <f t="shared" si="20"/>
        <v>0</v>
      </c>
      <c r="AE28" s="32">
        <f t="shared" si="20"/>
        <v>2822</v>
      </c>
      <c r="AF28" s="32">
        <f t="shared" si="20"/>
        <v>6872</v>
      </c>
    </row>
    <row r="29" spans="2:32" ht="23.1" customHeight="1" x14ac:dyDescent="0.25">
      <c r="B29" s="23" t="s">
        <v>56</v>
      </c>
      <c r="C29" s="50">
        <v>44</v>
      </c>
      <c r="D29" s="50">
        <v>5</v>
      </c>
      <c r="E29" s="50">
        <v>4</v>
      </c>
      <c r="F29" s="50">
        <v>16</v>
      </c>
      <c r="G29" s="50">
        <v>1</v>
      </c>
      <c r="H29" s="50">
        <v>0</v>
      </c>
      <c r="I29" s="50">
        <v>0</v>
      </c>
      <c r="J29" s="50">
        <v>1</v>
      </c>
      <c r="K29" s="50">
        <v>2</v>
      </c>
      <c r="L29" s="50">
        <v>0</v>
      </c>
      <c r="M29" s="50">
        <v>75</v>
      </c>
      <c r="N29" s="50">
        <v>0</v>
      </c>
      <c r="O29" s="15">
        <f t="shared" si="0"/>
        <v>73</v>
      </c>
      <c r="P29" s="15">
        <f t="shared" si="1"/>
        <v>148</v>
      </c>
      <c r="R29"/>
      <c r="S29" s="20"/>
      <c r="T29" s="19"/>
    </row>
    <row r="30" spans="2:32" ht="23.1" customHeight="1" x14ac:dyDescent="0.25">
      <c r="B30" s="23" t="s">
        <v>57</v>
      </c>
      <c r="C30" s="50">
        <v>39</v>
      </c>
      <c r="D30" s="50">
        <v>14</v>
      </c>
      <c r="E30" s="50">
        <v>7</v>
      </c>
      <c r="F30" s="50">
        <v>16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79</v>
      </c>
      <c r="N30" s="50">
        <v>0</v>
      </c>
      <c r="O30" s="15">
        <f t="shared" si="0"/>
        <v>79</v>
      </c>
      <c r="P30" s="15">
        <f t="shared" si="1"/>
        <v>158</v>
      </c>
    </row>
    <row r="31" spans="2:32" ht="23.1" customHeight="1" x14ac:dyDescent="0.25">
      <c r="B31" s="24" t="s">
        <v>58</v>
      </c>
      <c r="C31" s="50">
        <v>18</v>
      </c>
      <c r="D31" s="50">
        <v>4</v>
      </c>
      <c r="E31" s="50">
        <v>2</v>
      </c>
      <c r="F31" s="50">
        <v>12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160</v>
      </c>
      <c r="N31" s="50">
        <v>0</v>
      </c>
      <c r="O31" s="15">
        <f t="shared" si="0"/>
        <v>41</v>
      </c>
      <c r="P31" s="15">
        <f t="shared" si="1"/>
        <v>201</v>
      </c>
    </row>
    <row r="32" spans="2:32" ht="23.1" customHeight="1" x14ac:dyDescent="0.25">
      <c r="B32" s="24" t="s">
        <v>59</v>
      </c>
      <c r="C32" s="50">
        <v>30</v>
      </c>
      <c r="D32" s="50">
        <v>7</v>
      </c>
      <c r="E32" s="50">
        <v>5</v>
      </c>
      <c r="F32" s="50">
        <v>12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70</v>
      </c>
      <c r="N32" s="50">
        <v>0</v>
      </c>
      <c r="O32" s="15">
        <f t="shared" si="0"/>
        <v>57</v>
      </c>
      <c r="P32" s="15">
        <f t="shared" si="1"/>
        <v>127</v>
      </c>
    </row>
    <row r="33" spans="2:20" ht="23.1" customHeight="1" x14ac:dyDescent="0.25">
      <c r="B33" s="23" t="s">
        <v>60</v>
      </c>
      <c r="C33" s="50">
        <v>32</v>
      </c>
      <c r="D33" s="50">
        <v>1</v>
      </c>
      <c r="E33" s="50">
        <v>2</v>
      </c>
      <c r="F33" s="50">
        <v>11</v>
      </c>
      <c r="G33" s="50">
        <v>0</v>
      </c>
      <c r="H33" s="50">
        <v>0</v>
      </c>
      <c r="I33" s="50">
        <v>1</v>
      </c>
      <c r="J33" s="50">
        <v>0</v>
      </c>
      <c r="K33" s="50">
        <v>2</v>
      </c>
      <c r="L33" s="50">
        <v>0</v>
      </c>
      <c r="M33" s="50">
        <v>99</v>
      </c>
      <c r="N33" s="50">
        <v>0</v>
      </c>
      <c r="O33" s="15">
        <f t="shared" si="0"/>
        <v>49</v>
      </c>
      <c r="P33" s="15">
        <f t="shared" si="1"/>
        <v>148</v>
      </c>
    </row>
    <row r="34" spans="2:20" ht="23.1" customHeight="1" x14ac:dyDescent="0.25">
      <c r="B34" s="24" t="s">
        <v>61</v>
      </c>
      <c r="C34" s="50">
        <v>42</v>
      </c>
      <c r="D34" s="50">
        <v>7</v>
      </c>
      <c r="E34" s="50">
        <v>2</v>
      </c>
      <c r="F34" s="50">
        <v>15</v>
      </c>
      <c r="G34" s="50">
        <v>0</v>
      </c>
      <c r="H34" s="50">
        <v>0</v>
      </c>
      <c r="I34" s="50">
        <v>1</v>
      </c>
      <c r="J34" s="50">
        <v>3</v>
      </c>
      <c r="K34" s="50">
        <v>0</v>
      </c>
      <c r="L34" s="50">
        <v>0</v>
      </c>
      <c r="M34" s="50">
        <v>48</v>
      </c>
      <c r="N34" s="50">
        <v>0</v>
      </c>
      <c r="O34" s="15">
        <f t="shared" si="0"/>
        <v>70</v>
      </c>
      <c r="P34" s="15">
        <f t="shared" si="1"/>
        <v>118</v>
      </c>
    </row>
    <row r="35" spans="2:20" ht="23.1" customHeight="1" x14ac:dyDescent="0.25">
      <c r="B35" s="24" t="s">
        <v>62</v>
      </c>
      <c r="C35" s="50">
        <v>21</v>
      </c>
      <c r="D35" s="50">
        <v>7</v>
      </c>
      <c r="E35" s="50">
        <v>1</v>
      </c>
      <c r="F35" s="50">
        <v>10</v>
      </c>
      <c r="G35" s="50">
        <v>0</v>
      </c>
      <c r="H35" s="50">
        <v>1</v>
      </c>
      <c r="I35" s="50">
        <v>0</v>
      </c>
      <c r="J35" s="50">
        <v>0</v>
      </c>
      <c r="K35" s="50">
        <v>1</v>
      </c>
      <c r="L35" s="50">
        <v>0</v>
      </c>
      <c r="M35" s="50">
        <v>119</v>
      </c>
      <c r="N35" s="50">
        <v>0</v>
      </c>
      <c r="O35" s="15">
        <f t="shared" si="0"/>
        <v>41</v>
      </c>
      <c r="P35" s="15">
        <f t="shared" si="1"/>
        <v>160</v>
      </c>
    </row>
    <row r="36" spans="2:20" ht="23.1" customHeight="1" x14ac:dyDescent="0.25">
      <c r="B36" s="24" t="s">
        <v>63</v>
      </c>
      <c r="C36" s="50">
        <v>27</v>
      </c>
      <c r="D36" s="50">
        <v>8</v>
      </c>
      <c r="E36" s="50">
        <v>6</v>
      </c>
      <c r="F36" s="50">
        <v>13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81</v>
      </c>
      <c r="N36" s="50">
        <v>0</v>
      </c>
      <c r="O36" s="15">
        <f t="shared" si="0"/>
        <v>56</v>
      </c>
      <c r="P36" s="15">
        <f t="shared" si="1"/>
        <v>137</v>
      </c>
    </row>
    <row r="37" spans="2:20" ht="23.1" customHeight="1" x14ac:dyDescent="0.25">
      <c r="B37" s="23" t="s">
        <v>64</v>
      </c>
      <c r="C37" s="50">
        <v>50</v>
      </c>
      <c r="D37" s="50">
        <v>6</v>
      </c>
      <c r="E37" s="50">
        <v>4</v>
      </c>
      <c r="F37" s="50">
        <v>8</v>
      </c>
      <c r="G37" s="50">
        <v>0</v>
      </c>
      <c r="H37" s="50">
        <v>2</v>
      </c>
      <c r="I37" s="50">
        <v>1</v>
      </c>
      <c r="J37" s="50">
        <v>2</v>
      </c>
      <c r="K37" s="50">
        <v>1</v>
      </c>
      <c r="L37" s="50">
        <v>0</v>
      </c>
      <c r="M37" s="50">
        <v>39</v>
      </c>
      <c r="N37" s="50">
        <v>0</v>
      </c>
      <c r="O37" s="15">
        <f t="shared" si="0"/>
        <v>74</v>
      </c>
      <c r="P37" s="15">
        <f t="shared" si="1"/>
        <v>113</v>
      </c>
    </row>
    <row r="38" spans="2:20" ht="23.1" customHeight="1" x14ac:dyDescent="0.25">
      <c r="B38" s="24" t="s">
        <v>65</v>
      </c>
      <c r="C38" s="50">
        <v>36</v>
      </c>
      <c r="D38" s="50">
        <v>6</v>
      </c>
      <c r="E38" s="50">
        <v>4</v>
      </c>
      <c r="F38" s="50">
        <v>19</v>
      </c>
      <c r="G38" s="50">
        <v>0</v>
      </c>
      <c r="H38" s="50">
        <v>0</v>
      </c>
      <c r="I38" s="50">
        <v>1</v>
      </c>
      <c r="J38" s="50">
        <v>1</v>
      </c>
      <c r="K38" s="50">
        <v>1</v>
      </c>
      <c r="L38" s="50">
        <v>0</v>
      </c>
      <c r="M38" s="50">
        <v>94</v>
      </c>
      <c r="N38" s="50">
        <v>0</v>
      </c>
      <c r="O38" s="15">
        <f t="shared" si="0"/>
        <v>68</v>
      </c>
      <c r="P38" s="15">
        <f t="shared" si="1"/>
        <v>162</v>
      </c>
    </row>
    <row r="39" spans="2:20" ht="23.1" customHeight="1" x14ac:dyDescent="0.25">
      <c r="B39" s="24" t="s">
        <v>66</v>
      </c>
      <c r="C39" s="50">
        <v>48</v>
      </c>
      <c r="D39" s="50">
        <v>12</v>
      </c>
      <c r="E39" s="50">
        <v>2</v>
      </c>
      <c r="F39" s="50">
        <v>7</v>
      </c>
      <c r="G39" s="50">
        <v>3</v>
      </c>
      <c r="H39" s="50">
        <v>0</v>
      </c>
      <c r="I39" s="50">
        <v>2</v>
      </c>
      <c r="J39" s="50">
        <v>1</v>
      </c>
      <c r="K39" s="50">
        <v>2</v>
      </c>
      <c r="L39" s="50">
        <v>0</v>
      </c>
      <c r="M39" s="50">
        <v>103</v>
      </c>
      <c r="N39" s="50">
        <v>0</v>
      </c>
      <c r="O39" s="15">
        <f t="shared" si="0"/>
        <v>77</v>
      </c>
      <c r="P39" s="15">
        <f t="shared" si="1"/>
        <v>180</v>
      </c>
    </row>
    <row r="40" spans="2:20" ht="23.1" customHeight="1" x14ac:dyDescent="0.25">
      <c r="B40" s="24" t="s">
        <v>67</v>
      </c>
      <c r="C40" s="50">
        <v>25</v>
      </c>
      <c r="D40" s="50">
        <v>3</v>
      </c>
      <c r="E40" s="50">
        <v>5</v>
      </c>
      <c r="F40" s="50">
        <v>4</v>
      </c>
      <c r="G40" s="50">
        <v>1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120</v>
      </c>
      <c r="N40" s="50">
        <v>0</v>
      </c>
      <c r="O40" s="15">
        <f t="shared" si="0"/>
        <v>40</v>
      </c>
      <c r="P40" s="15">
        <f t="shared" si="1"/>
        <v>160</v>
      </c>
    </row>
    <row r="41" spans="2:20" ht="23.1" customHeight="1" x14ac:dyDescent="0.25">
      <c r="B41" s="23" t="s">
        <v>68</v>
      </c>
      <c r="C41" s="50">
        <v>46</v>
      </c>
      <c r="D41" s="50">
        <v>10</v>
      </c>
      <c r="E41" s="50">
        <v>6</v>
      </c>
      <c r="F41" s="50">
        <v>17</v>
      </c>
      <c r="G41" s="50">
        <v>1</v>
      </c>
      <c r="H41" s="50">
        <v>0</v>
      </c>
      <c r="I41" s="50">
        <v>0</v>
      </c>
      <c r="J41" s="50">
        <v>1</v>
      </c>
      <c r="K41" s="50">
        <v>1</v>
      </c>
      <c r="L41" s="50">
        <v>1</v>
      </c>
      <c r="M41" s="50">
        <v>108</v>
      </c>
      <c r="N41" s="50">
        <v>0</v>
      </c>
      <c r="O41" s="15">
        <f t="shared" si="0"/>
        <v>83</v>
      </c>
      <c r="P41" s="15">
        <f t="shared" si="1"/>
        <v>191</v>
      </c>
    </row>
    <row r="42" spans="2:20" ht="23.1" customHeight="1" x14ac:dyDescent="0.25">
      <c r="B42" s="24" t="s">
        <v>69</v>
      </c>
      <c r="C42" s="50">
        <v>45</v>
      </c>
      <c r="D42" s="50">
        <v>8</v>
      </c>
      <c r="E42" s="50">
        <v>4</v>
      </c>
      <c r="F42" s="50">
        <v>12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50</v>
      </c>
      <c r="N42" s="50">
        <v>0</v>
      </c>
      <c r="O42" s="15">
        <f t="shared" si="0"/>
        <v>71</v>
      </c>
      <c r="P42" s="15">
        <f t="shared" si="1"/>
        <v>121</v>
      </c>
    </row>
    <row r="43" spans="2:20" ht="23.1" customHeight="1" x14ac:dyDescent="0.25">
      <c r="B43" s="23" t="s">
        <v>70</v>
      </c>
      <c r="C43" s="50">
        <v>48</v>
      </c>
      <c r="D43" s="50">
        <v>4</v>
      </c>
      <c r="E43" s="50">
        <v>3</v>
      </c>
      <c r="F43" s="50">
        <v>7</v>
      </c>
      <c r="G43" s="50">
        <v>0</v>
      </c>
      <c r="H43" s="50">
        <v>1</v>
      </c>
      <c r="I43" s="50">
        <v>4</v>
      </c>
      <c r="J43" s="50">
        <v>1</v>
      </c>
      <c r="K43" s="50">
        <v>0</v>
      </c>
      <c r="L43" s="50">
        <v>0</v>
      </c>
      <c r="M43" s="50">
        <v>62</v>
      </c>
      <c r="N43" s="50">
        <v>0</v>
      </c>
      <c r="O43" s="15">
        <f t="shared" si="0"/>
        <v>68</v>
      </c>
      <c r="P43" s="15">
        <f t="shared" si="1"/>
        <v>130</v>
      </c>
    </row>
    <row r="44" spans="2:20" ht="23.1" customHeight="1" x14ac:dyDescent="0.25">
      <c r="B44" s="25" t="s">
        <v>71</v>
      </c>
      <c r="C44" s="50">
        <v>46</v>
      </c>
      <c r="D44" s="50">
        <v>5</v>
      </c>
      <c r="E44" s="50">
        <v>2</v>
      </c>
      <c r="F44" s="50">
        <v>12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</v>
      </c>
      <c r="M44" s="50">
        <v>90</v>
      </c>
      <c r="N44" s="50">
        <v>0</v>
      </c>
      <c r="O44" s="15">
        <f t="shared" si="0"/>
        <v>66</v>
      </c>
      <c r="P44" s="15">
        <f t="shared" si="1"/>
        <v>156</v>
      </c>
    </row>
    <row r="45" spans="2:20" ht="23.1" customHeight="1" x14ac:dyDescent="0.25">
      <c r="B45" s="23" t="s">
        <v>72</v>
      </c>
      <c r="C45" s="50">
        <v>35</v>
      </c>
      <c r="D45" s="50">
        <v>5</v>
      </c>
      <c r="E45" s="50">
        <v>4</v>
      </c>
      <c r="F45" s="50">
        <v>21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71</v>
      </c>
      <c r="N45" s="50">
        <v>0</v>
      </c>
      <c r="O45" s="15">
        <f t="shared" si="0"/>
        <v>67</v>
      </c>
      <c r="P45" s="15">
        <f t="shared" si="1"/>
        <v>138</v>
      </c>
    </row>
    <row r="46" spans="2:20" ht="23.1" customHeight="1" x14ac:dyDescent="0.25">
      <c r="B46" s="24" t="s">
        <v>73</v>
      </c>
      <c r="C46" s="50">
        <v>59</v>
      </c>
      <c r="D46" s="50">
        <v>7</v>
      </c>
      <c r="E46" s="50">
        <v>5</v>
      </c>
      <c r="F46" s="50">
        <v>10</v>
      </c>
      <c r="G46" s="50">
        <v>0</v>
      </c>
      <c r="H46" s="50">
        <v>1</v>
      </c>
      <c r="I46" s="50">
        <v>0</v>
      </c>
      <c r="J46" s="50">
        <v>1</v>
      </c>
      <c r="K46" s="50">
        <v>0</v>
      </c>
      <c r="L46" s="50">
        <v>1</v>
      </c>
      <c r="M46" s="50">
        <v>45</v>
      </c>
      <c r="N46" s="50">
        <v>0</v>
      </c>
      <c r="O46" s="15">
        <f t="shared" si="0"/>
        <v>84</v>
      </c>
      <c r="P46" s="15">
        <f t="shared" si="1"/>
        <v>129</v>
      </c>
      <c r="R46" s="8"/>
      <c r="T46"/>
    </row>
    <row r="47" spans="2:20" ht="23.1" customHeight="1" x14ac:dyDescent="0.25">
      <c r="B47" s="24" t="s">
        <v>74</v>
      </c>
      <c r="C47" s="50">
        <v>43</v>
      </c>
      <c r="D47" s="50">
        <v>5</v>
      </c>
      <c r="E47" s="50">
        <v>6</v>
      </c>
      <c r="F47" s="50">
        <v>19</v>
      </c>
      <c r="G47" s="50">
        <v>0</v>
      </c>
      <c r="H47" s="50">
        <v>1</v>
      </c>
      <c r="I47" s="50">
        <v>2</v>
      </c>
      <c r="J47" s="50">
        <v>0</v>
      </c>
      <c r="K47" s="50">
        <v>0</v>
      </c>
      <c r="L47" s="50">
        <v>0</v>
      </c>
      <c r="M47" s="50">
        <v>80</v>
      </c>
      <c r="N47" s="50">
        <v>0</v>
      </c>
      <c r="O47" s="15">
        <f t="shared" si="0"/>
        <v>76</v>
      </c>
      <c r="P47" s="15">
        <f t="shared" si="1"/>
        <v>156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4</v>
      </c>
      <c r="E48" s="50">
        <v>4</v>
      </c>
      <c r="F48" s="50">
        <v>16</v>
      </c>
      <c r="G48" s="50">
        <v>0</v>
      </c>
      <c r="H48" s="50">
        <v>0</v>
      </c>
      <c r="I48" s="50">
        <v>1</v>
      </c>
      <c r="J48" s="50">
        <v>2</v>
      </c>
      <c r="K48" s="50">
        <v>0</v>
      </c>
      <c r="L48" s="50">
        <v>0</v>
      </c>
      <c r="M48" s="50">
        <v>66</v>
      </c>
      <c r="N48" s="50">
        <v>0</v>
      </c>
      <c r="O48" s="15">
        <f t="shared" si="0"/>
        <v>67</v>
      </c>
      <c r="P48" s="15">
        <f t="shared" si="1"/>
        <v>133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6</v>
      </c>
      <c r="E49" s="50">
        <v>3</v>
      </c>
      <c r="F49" s="50">
        <v>10</v>
      </c>
      <c r="G49" s="50">
        <v>0</v>
      </c>
      <c r="H49" s="50">
        <v>1</v>
      </c>
      <c r="I49" s="50">
        <v>1</v>
      </c>
      <c r="J49" s="50">
        <v>3</v>
      </c>
      <c r="K49" s="50">
        <v>0</v>
      </c>
      <c r="L49" s="50">
        <v>0</v>
      </c>
      <c r="M49" s="50">
        <v>39</v>
      </c>
      <c r="N49" s="50">
        <v>0</v>
      </c>
      <c r="O49" s="15">
        <f t="shared" si="0"/>
        <v>64</v>
      </c>
      <c r="P49" s="15">
        <f t="shared" si="1"/>
        <v>103</v>
      </c>
      <c r="R49" s="8"/>
      <c r="T49"/>
    </row>
    <row r="50" spans="2:20" ht="23.1" customHeight="1" x14ac:dyDescent="0.25">
      <c r="B50" s="24" t="s">
        <v>77</v>
      </c>
      <c r="C50" s="50">
        <v>41</v>
      </c>
      <c r="D50" s="50">
        <v>7</v>
      </c>
      <c r="E50" s="50">
        <v>3</v>
      </c>
      <c r="F50" s="50">
        <v>9</v>
      </c>
      <c r="G50" s="50">
        <v>1</v>
      </c>
      <c r="H50" s="50">
        <v>0</v>
      </c>
      <c r="I50" s="50">
        <v>3</v>
      </c>
      <c r="J50" s="50">
        <v>1</v>
      </c>
      <c r="K50" s="50">
        <v>0</v>
      </c>
      <c r="L50" s="50">
        <v>1</v>
      </c>
      <c r="M50" s="50">
        <v>99</v>
      </c>
      <c r="N50" s="50">
        <v>0</v>
      </c>
      <c r="O50" s="15">
        <f t="shared" si="0"/>
        <v>66</v>
      </c>
      <c r="P50" s="15">
        <f t="shared" si="1"/>
        <v>165</v>
      </c>
      <c r="R50" s="8"/>
      <c r="T50"/>
    </row>
    <row r="51" spans="2:20" ht="23.1" customHeight="1" x14ac:dyDescent="0.25">
      <c r="B51" s="24" t="s">
        <v>78</v>
      </c>
      <c r="C51" s="50">
        <v>29</v>
      </c>
      <c r="D51" s="50">
        <v>8</v>
      </c>
      <c r="E51" s="50">
        <v>3</v>
      </c>
      <c r="F51" s="50">
        <v>12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50</v>
      </c>
      <c r="N51" s="50">
        <v>0</v>
      </c>
      <c r="O51" s="15">
        <f t="shared" si="0"/>
        <v>53</v>
      </c>
      <c r="P51" s="15">
        <f t="shared" si="1"/>
        <v>103</v>
      </c>
      <c r="R51" s="8"/>
      <c r="T51"/>
    </row>
    <row r="52" spans="2:20" ht="23.1" customHeight="1" x14ac:dyDescent="0.25">
      <c r="B52" s="24" t="s">
        <v>79</v>
      </c>
      <c r="C52" s="50">
        <v>35</v>
      </c>
      <c r="D52" s="50">
        <v>10</v>
      </c>
      <c r="E52" s="50">
        <v>10</v>
      </c>
      <c r="F52" s="50">
        <v>7</v>
      </c>
      <c r="G52" s="50">
        <v>0</v>
      </c>
      <c r="H52" s="50">
        <v>0</v>
      </c>
      <c r="I52" s="50">
        <v>3</v>
      </c>
      <c r="J52" s="50">
        <v>1</v>
      </c>
      <c r="K52" s="50">
        <v>2</v>
      </c>
      <c r="L52" s="50">
        <v>1</v>
      </c>
      <c r="M52" s="50">
        <v>56</v>
      </c>
      <c r="N52" s="50">
        <v>0</v>
      </c>
      <c r="O52" s="15">
        <f t="shared" si="0"/>
        <v>69</v>
      </c>
      <c r="P52" s="15">
        <f t="shared" si="1"/>
        <v>125</v>
      </c>
      <c r="R52" s="8"/>
      <c r="T52"/>
    </row>
    <row r="53" spans="2:20" ht="23.1" customHeight="1" x14ac:dyDescent="0.25">
      <c r="B53" s="23" t="s">
        <v>80</v>
      </c>
      <c r="C53" s="50">
        <v>28</v>
      </c>
      <c r="D53" s="50">
        <v>6</v>
      </c>
      <c r="E53" s="50">
        <v>1</v>
      </c>
      <c r="F53" s="50">
        <v>9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150</v>
      </c>
      <c r="N53" s="50">
        <v>0</v>
      </c>
      <c r="O53" s="15">
        <f t="shared" si="0"/>
        <v>46</v>
      </c>
      <c r="P53" s="15">
        <f t="shared" si="1"/>
        <v>196</v>
      </c>
      <c r="R53" s="8"/>
      <c r="T53"/>
    </row>
    <row r="54" spans="2:20" ht="23.1" customHeight="1" x14ac:dyDescent="0.25">
      <c r="B54" s="23" t="s">
        <v>81</v>
      </c>
      <c r="C54" s="50">
        <v>52</v>
      </c>
      <c r="D54" s="50">
        <v>8</v>
      </c>
      <c r="E54" s="50">
        <v>5</v>
      </c>
      <c r="F54" s="50">
        <v>17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1</v>
      </c>
      <c r="M54" s="50">
        <v>70</v>
      </c>
      <c r="N54" s="50">
        <v>0</v>
      </c>
      <c r="O54" s="15">
        <f t="shared" si="0"/>
        <v>84</v>
      </c>
      <c r="P54" s="15">
        <f t="shared" si="1"/>
        <v>154</v>
      </c>
      <c r="R54" s="8"/>
      <c r="T54"/>
    </row>
    <row r="55" spans="2:20" ht="23.1" customHeight="1" x14ac:dyDescent="0.25">
      <c r="B55" s="23" t="s">
        <v>82</v>
      </c>
      <c r="C55" s="50">
        <v>69</v>
      </c>
      <c r="D55" s="50">
        <v>2</v>
      </c>
      <c r="E55" s="50">
        <v>0</v>
      </c>
      <c r="F55" s="50">
        <v>8</v>
      </c>
      <c r="G55" s="50">
        <v>0</v>
      </c>
      <c r="H55" s="50">
        <v>1</v>
      </c>
      <c r="I55" s="50">
        <v>3</v>
      </c>
      <c r="J55" s="50">
        <v>0</v>
      </c>
      <c r="K55" s="50">
        <v>0</v>
      </c>
      <c r="L55" s="50">
        <v>0</v>
      </c>
      <c r="M55" s="50">
        <v>65</v>
      </c>
      <c r="N55" s="50">
        <v>0</v>
      </c>
      <c r="O55" s="15">
        <f t="shared" si="0"/>
        <v>83</v>
      </c>
      <c r="P55" s="15">
        <f t="shared" si="1"/>
        <v>148</v>
      </c>
      <c r="R55" s="8"/>
      <c r="T55"/>
    </row>
    <row r="56" spans="2:20" ht="23.1" customHeight="1" x14ac:dyDescent="0.25">
      <c r="B56" s="23" t="s">
        <v>83</v>
      </c>
      <c r="C56" s="50">
        <v>83</v>
      </c>
      <c r="D56" s="50">
        <v>17</v>
      </c>
      <c r="E56" s="50">
        <v>2</v>
      </c>
      <c r="F56" s="50">
        <v>5</v>
      </c>
      <c r="G56" s="50">
        <v>2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51</v>
      </c>
      <c r="N56" s="50">
        <v>0</v>
      </c>
      <c r="O56" s="15">
        <f t="shared" si="0"/>
        <v>110</v>
      </c>
      <c r="P56" s="15">
        <f t="shared" si="1"/>
        <v>161</v>
      </c>
      <c r="R56" s="8"/>
      <c r="T56"/>
    </row>
    <row r="57" spans="2:20" ht="23.1" customHeight="1" x14ac:dyDescent="0.25">
      <c r="B57" s="23" t="s">
        <v>84</v>
      </c>
      <c r="C57" s="50">
        <v>58</v>
      </c>
      <c r="D57" s="50">
        <v>5</v>
      </c>
      <c r="E57" s="50">
        <v>4</v>
      </c>
      <c r="F57" s="50">
        <v>7</v>
      </c>
      <c r="G57" s="50">
        <v>1</v>
      </c>
      <c r="H57" s="50">
        <v>0</v>
      </c>
      <c r="I57" s="50">
        <v>6</v>
      </c>
      <c r="J57" s="50">
        <v>2</v>
      </c>
      <c r="K57" s="50">
        <v>3</v>
      </c>
      <c r="L57" s="50">
        <v>0</v>
      </c>
      <c r="M57" s="50">
        <v>88</v>
      </c>
      <c r="N57" s="50">
        <v>0</v>
      </c>
      <c r="O57" s="15">
        <f t="shared" si="0"/>
        <v>86</v>
      </c>
      <c r="P57" s="15">
        <f t="shared" si="1"/>
        <v>174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1554</v>
      </c>
      <c r="D58" s="16">
        <f t="shared" si="21"/>
        <v>247</v>
      </c>
      <c r="E58" s="16">
        <f t="shared" si="21"/>
        <v>154</v>
      </c>
      <c r="F58" s="16">
        <f t="shared" si="21"/>
        <v>674</v>
      </c>
      <c r="G58" s="16">
        <f t="shared" si="21"/>
        <v>16</v>
      </c>
      <c r="H58" s="16">
        <f t="shared" si="21"/>
        <v>23</v>
      </c>
      <c r="I58" s="16">
        <f t="shared" si="21"/>
        <v>78</v>
      </c>
      <c r="J58" s="16">
        <f t="shared" si="21"/>
        <v>47</v>
      </c>
      <c r="K58" s="16">
        <f t="shared" si="21"/>
        <v>21</v>
      </c>
      <c r="L58" s="16">
        <f t="shared" si="21"/>
        <v>8</v>
      </c>
      <c r="M58" s="16">
        <f t="shared" si="21"/>
        <v>4050</v>
      </c>
      <c r="N58" s="16">
        <f t="shared" si="21"/>
        <v>0</v>
      </c>
      <c r="O58" s="16">
        <f t="shared" si="21"/>
        <v>2822</v>
      </c>
      <c r="P58" s="16">
        <f t="shared" si="21"/>
        <v>6872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0.22613504074505239</v>
      </c>
      <c r="D59" s="43">
        <f t="shared" si="22"/>
        <v>3.5942956926658907E-2</v>
      </c>
      <c r="E59" s="43">
        <f t="shared" si="22"/>
        <v>2.2409778812572757E-2</v>
      </c>
      <c r="F59" s="43">
        <f t="shared" si="22"/>
        <v>9.8079161816065186E-2</v>
      </c>
      <c r="G59" s="43">
        <f t="shared" si="22"/>
        <v>2.3282887077997671E-3</v>
      </c>
      <c r="H59" s="43">
        <f t="shared" si="22"/>
        <v>3.3469150174621652E-3</v>
      </c>
      <c r="I59" s="43">
        <f t="shared" si="22"/>
        <v>1.1350407450523865E-2</v>
      </c>
      <c r="J59" s="43">
        <f t="shared" si="22"/>
        <v>6.8393480791618163E-3</v>
      </c>
      <c r="K59" s="43">
        <f t="shared" si="22"/>
        <v>3.0558789289871946E-3</v>
      </c>
      <c r="L59" s="43">
        <f t="shared" si="22"/>
        <v>1.1641443538998836E-3</v>
      </c>
      <c r="M59" s="43">
        <f t="shared" si="22"/>
        <v>0.58934807916181609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0.55067328136073712</v>
      </c>
      <c r="D60" s="44">
        <f t="shared" ref="D60:N60" si="23">D58/$O$58</f>
        <v>8.7526576895818567E-2</v>
      </c>
      <c r="E60" s="44">
        <f t="shared" si="23"/>
        <v>5.4571226080793761E-2</v>
      </c>
      <c r="F60" s="44">
        <f t="shared" si="23"/>
        <v>0.23883770375620128</v>
      </c>
      <c r="G60" s="44">
        <f t="shared" si="23"/>
        <v>5.6697377746279237E-3</v>
      </c>
      <c r="H60" s="44">
        <f t="shared" si="23"/>
        <v>8.1502480510276393E-3</v>
      </c>
      <c r="I60" s="44">
        <f t="shared" si="23"/>
        <v>2.7639971651311126E-2</v>
      </c>
      <c r="J60" s="44">
        <f t="shared" si="23"/>
        <v>1.6654854712969524E-2</v>
      </c>
      <c r="K60" s="44">
        <f t="shared" si="23"/>
        <v>7.4415308291991495E-3</v>
      </c>
      <c r="L60" s="44">
        <f t="shared" si="23"/>
        <v>2.8348688873139618E-3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9" zoomScale="60" workbookViewId="0">
      <selection activeCell="P6" sqref="P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RUBAGA-KABUSU'!D5</f>
        <v>28.07.19</v>
      </c>
      <c r="E5" s="3"/>
      <c r="F5" s="41" t="s">
        <v>1</v>
      </c>
      <c r="G5" s="63" t="str">
        <f>'28.07 RUBAGA-KABUSU'!G5:H5</f>
        <v>CHAD SUPERMARKET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KABUSU-RUBAGA'!D6:E6</f>
        <v>KABUSU</v>
      </c>
      <c r="E6" s="64"/>
      <c r="F6" s="2" t="s">
        <v>2</v>
      </c>
      <c r="G6" s="63" t="str">
        <f>'22.07 KABUSU-RUBAGA'!G6:H6</f>
        <v>RUBAGA</v>
      </c>
      <c r="H6" s="64"/>
      <c r="J6" s="2" t="s">
        <v>21</v>
      </c>
      <c r="K6" s="63" t="str">
        <f>'28.07 RUBAGA-KABUSU'!K6:L6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19</v>
      </c>
      <c r="D10" s="50">
        <v>33</v>
      </c>
      <c r="E10" s="50">
        <v>6</v>
      </c>
      <c r="F10" s="50">
        <v>18</v>
      </c>
      <c r="G10" s="50">
        <v>0</v>
      </c>
      <c r="H10" s="50">
        <v>0</v>
      </c>
      <c r="I10" s="50">
        <v>4</v>
      </c>
      <c r="J10" s="50">
        <v>1</v>
      </c>
      <c r="K10" s="50">
        <v>0</v>
      </c>
      <c r="L10" s="50">
        <v>1</v>
      </c>
      <c r="M10" s="50">
        <v>168</v>
      </c>
      <c r="N10" s="50">
        <v>0</v>
      </c>
      <c r="O10" s="15">
        <f t="shared" ref="O10:O57" si="0">SUM(C10:L10,N10)</f>
        <v>82</v>
      </c>
      <c r="P10" s="15">
        <f t="shared" ref="P10:P57" si="1">SUM(C10:N10)</f>
        <v>250</v>
      </c>
      <c r="R10" s="1" t="s">
        <v>6</v>
      </c>
      <c r="S10" s="17">
        <f t="shared" ref="S10:AF10" si="2">SUM(C10:C13)</f>
        <v>78</v>
      </c>
      <c r="T10" s="17">
        <f t="shared" si="2"/>
        <v>61</v>
      </c>
      <c r="U10" s="17">
        <f t="shared" si="2"/>
        <v>15</v>
      </c>
      <c r="V10" s="17">
        <f t="shared" si="2"/>
        <v>79</v>
      </c>
      <c r="W10" s="17">
        <f t="shared" si="2"/>
        <v>1</v>
      </c>
      <c r="X10" s="17">
        <f t="shared" si="2"/>
        <v>2</v>
      </c>
      <c r="Y10" s="17">
        <f t="shared" si="2"/>
        <v>14</v>
      </c>
      <c r="Z10" s="17">
        <f t="shared" si="2"/>
        <v>5</v>
      </c>
      <c r="AA10" s="17">
        <f t="shared" si="2"/>
        <v>2</v>
      </c>
      <c r="AB10" s="17">
        <f t="shared" si="2"/>
        <v>1</v>
      </c>
      <c r="AC10" s="17">
        <f t="shared" si="2"/>
        <v>485</v>
      </c>
      <c r="AD10" s="17">
        <f t="shared" si="2"/>
        <v>0</v>
      </c>
      <c r="AE10" s="31">
        <f t="shared" si="2"/>
        <v>258</v>
      </c>
      <c r="AF10" s="31">
        <f t="shared" si="2"/>
        <v>743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5</v>
      </c>
      <c r="E11" s="50">
        <v>6</v>
      </c>
      <c r="F11" s="50">
        <v>25</v>
      </c>
      <c r="G11" s="50">
        <v>1</v>
      </c>
      <c r="H11" s="50">
        <v>1</v>
      </c>
      <c r="I11" s="50">
        <v>2</v>
      </c>
      <c r="J11" s="50">
        <v>1</v>
      </c>
      <c r="K11" s="50">
        <v>0</v>
      </c>
      <c r="L11" s="50">
        <v>0</v>
      </c>
      <c r="M11" s="50">
        <v>42</v>
      </c>
      <c r="N11" s="50">
        <v>0</v>
      </c>
      <c r="O11" s="15">
        <f t="shared" si="0"/>
        <v>57</v>
      </c>
      <c r="P11" s="15">
        <f t="shared" si="1"/>
        <v>99</v>
      </c>
      <c r="R11" s="1" t="s">
        <v>7</v>
      </c>
      <c r="S11" s="17">
        <f t="shared" ref="S11:AF11" si="3">SUM(C14:C17)</f>
        <v>92</v>
      </c>
      <c r="T11" s="17">
        <f t="shared" si="3"/>
        <v>39</v>
      </c>
      <c r="U11" s="17">
        <f t="shared" si="3"/>
        <v>10</v>
      </c>
      <c r="V11" s="17">
        <f t="shared" si="3"/>
        <v>137</v>
      </c>
      <c r="W11" s="17">
        <f t="shared" si="3"/>
        <v>0</v>
      </c>
      <c r="X11" s="17">
        <f t="shared" si="3"/>
        <v>1</v>
      </c>
      <c r="Y11" s="17">
        <f t="shared" si="3"/>
        <v>12</v>
      </c>
      <c r="Z11" s="17">
        <f t="shared" si="3"/>
        <v>6</v>
      </c>
      <c r="AA11" s="17">
        <f t="shared" si="3"/>
        <v>0</v>
      </c>
      <c r="AB11" s="17">
        <f t="shared" si="3"/>
        <v>1</v>
      </c>
      <c r="AC11" s="17">
        <f t="shared" si="3"/>
        <v>578</v>
      </c>
      <c r="AD11" s="17">
        <f t="shared" si="3"/>
        <v>0</v>
      </c>
      <c r="AE11" s="31">
        <f t="shared" si="3"/>
        <v>298</v>
      </c>
      <c r="AF11" s="31">
        <f t="shared" si="3"/>
        <v>876</v>
      </c>
    </row>
    <row r="12" spans="2:32" ht="23.1" customHeight="1" x14ac:dyDescent="0.25">
      <c r="B12" s="23" t="s">
        <v>39</v>
      </c>
      <c r="C12" s="50">
        <v>18</v>
      </c>
      <c r="D12" s="50">
        <v>4</v>
      </c>
      <c r="E12" s="50">
        <v>1</v>
      </c>
      <c r="F12" s="50" t="s">
        <v>177</v>
      </c>
      <c r="G12" s="50">
        <v>0</v>
      </c>
      <c r="H12" s="50">
        <v>1</v>
      </c>
      <c r="I12" s="50">
        <v>1</v>
      </c>
      <c r="J12" s="50">
        <v>0</v>
      </c>
      <c r="K12" s="50">
        <v>1</v>
      </c>
      <c r="L12" s="50">
        <v>0</v>
      </c>
      <c r="M12" s="50">
        <v>140</v>
      </c>
      <c r="N12" s="50">
        <v>0</v>
      </c>
      <c r="O12" s="15">
        <f t="shared" si="0"/>
        <v>26</v>
      </c>
      <c r="P12" s="15">
        <f t="shared" si="1"/>
        <v>166</v>
      </c>
      <c r="R12" s="1" t="s">
        <v>8</v>
      </c>
      <c r="S12" s="17">
        <f t="shared" ref="S12:AF12" si="4">SUM(C18:C21)</f>
        <v>122</v>
      </c>
      <c r="T12" s="17">
        <f t="shared" si="4"/>
        <v>69</v>
      </c>
      <c r="U12" s="17">
        <f t="shared" si="4"/>
        <v>17</v>
      </c>
      <c r="V12" s="17">
        <f t="shared" si="4"/>
        <v>110</v>
      </c>
      <c r="W12" s="17">
        <f t="shared" si="4"/>
        <v>0</v>
      </c>
      <c r="X12" s="17">
        <f t="shared" si="4"/>
        <v>2</v>
      </c>
      <c r="Y12" s="17">
        <f t="shared" si="4"/>
        <v>9</v>
      </c>
      <c r="Z12" s="17">
        <f t="shared" si="4"/>
        <v>5</v>
      </c>
      <c r="AA12" s="17">
        <f t="shared" si="4"/>
        <v>0</v>
      </c>
      <c r="AB12" s="17">
        <f t="shared" si="4"/>
        <v>1</v>
      </c>
      <c r="AC12" s="17">
        <f t="shared" si="4"/>
        <v>703</v>
      </c>
      <c r="AD12" s="17">
        <f t="shared" si="4"/>
        <v>0</v>
      </c>
      <c r="AE12" s="31">
        <f t="shared" si="4"/>
        <v>335</v>
      </c>
      <c r="AF12" s="31">
        <f t="shared" si="4"/>
        <v>1038</v>
      </c>
    </row>
    <row r="13" spans="2:32" ht="23.1" customHeight="1" x14ac:dyDescent="0.25">
      <c r="B13" s="23" t="s">
        <v>40</v>
      </c>
      <c r="C13" s="50">
        <v>25</v>
      </c>
      <c r="D13" s="50">
        <v>19</v>
      </c>
      <c r="E13" s="50">
        <v>2</v>
      </c>
      <c r="F13" s="50">
        <v>36</v>
      </c>
      <c r="G13" s="50">
        <v>0</v>
      </c>
      <c r="H13" s="50">
        <v>0</v>
      </c>
      <c r="I13" s="50">
        <v>7</v>
      </c>
      <c r="J13" s="50">
        <v>3</v>
      </c>
      <c r="K13" s="50">
        <v>1</v>
      </c>
      <c r="L13" s="50">
        <v>0</v>
      </c>
      <c r="M13" s="50">
        <v>135</v>
      </c>
      <c r="N13" s="50">
        <v>0</v>
      </c>
      <c r="O13" s="15">
        <f t="shared" si="0"/>
        <v>93</v>
      </c>
      <c r="P13" s="15">
        <f t="shared" si="1"/>
        <v>228</v>
      </c>
      <c r="R13" s="1" t="s">
        <v>9</v>
      </c>
      <c r="S13" s="17">
        <f t="shared" ref="S13:AF13" si="5">SUM(C22:C25)</f>
        <v>167</v>
      </c>
      <c r="T13" s="17">
        <f t="shared" si="5"/>
        <v>74</v>
      </c>
      <c r="U13" s="17">
        <f t="shared" si="5"/>
        <v>13</v>
      </c>
      <c r="V13" s="17">
        <f t="shared" si="5"/>
        <v>106</v>
      </c>
      <c r="W13" s="17">
        <f t="shared" si="5"/>
        <v>0</v>
      </c>
      <c r="X13" s="17">
        <f t="shared" si="5"/>
        <v>2</v>
      </c>
      <c r="Y13" s="17">
        <f t="shared" si="5"/>
        <v>17</v>
      </c>
      <c r="Z13" s="17">
        <f t="shared" si="5"/>
        <v>5</v>
      </c>
      <c r="AA13" s="17">
        <f t="shared" si="5"/>
        <v>3</v>
      </c>
      <c r="AB13" s="17">
        <f t="shared" si="5"/>
        <v>2</v>
      </c>
      <c r="AC13" s="17">
        <f t="shared" si="5"/>
        <v>746</v>
      </c>
      <c r="AD13" s="17">
        <f t="shared" si="5"/>
        <v>0</v>
      </c>
      <c r="AE13" s="31">
        <f t="shared" si="5"/>
        <v>389</v>
      </c>
      <c r="AF13" s="31">
        <f t="shared" si="5"/>
        <v>1135</v>
      </c>
    </row>
    <row r="14" spans="2:32" ht="23.1" customHeight="1" x14ac:dyDescent="0.25">
      <c r="B14" s="23" t="s">
        <v>41</v>
      </c>
      <c r="C14" s="50">
        <v>24</v>
      </c>
      <c r="D14" s="50">
        <v>6</v>
      </c>
      <c r="E14" s="50">
        <v>3</v>
      </c>
      <c r="F14" s="50">
        <v>32</v>
      </c>
      <c r="G14" s="50">
        <v>0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129</v>
      </c>
      <c r="N14" s="50">
        <v>0</v>
      </c>
      <c r="O14" s="15">
        <f t="shared" si="0"/>
        <v>69</v>
      </c>
      <c r="P14" s="15">
        <f t="shared" si="1"/>
        <v>198</v>
      </c>
      <c r="R14" s="1" t="s">
        <v>10</v>
      </c>
      <c r="S14" s="17">
        <f t="shared" ref="S14:AF14" si="6">SUM(C26:C29)</f>
        <v>122</v>
      </c>
      <c r="T14" s="17">
        <f t="shared" si="6"/>
        <v>92</v>
      </c>
      <c r="U14" s="17">
        <f t="shared" si="6"/>
        <v>16</v>
      </c>
      <c r="V14" s="17">
        <f t="shared" si="6"/>
        <v>105</v>
      </c>
      <c r="W14" s="17">
        <f t="shared" si="6"/>
        <v>0</v>
      </c>
      <c r="X14" s="17">
        <f t="shared" si="6"/>
        <v>1</v>
      </c>
      <c r="Y14" s="17">
        <f t="shared" si="6"/>
        <v>14</v>
      </c>
      <c r="Z14" s="17">
        <f t="shared" si="6"/>
        <v>6</v>
      </c>
      <c r="AA14" s="17">
        <f t="shared" si="6"/>
        <v>4</v>
      </c>
      <c r="AB14" s="17">
        <f t="shared" si="6"/>
        <v>1</v>
      </c>
      <c r="AC14" s="17">
        <f t="shared" si="6"/>
        <v>680</v>
      </c>
      <c r="AD14" s="17">
        <f t="shared" si="6"/>
        <v>0</v>
      </c>
      <c r="AE14" s="31">
        <f t="shared" si="6"/>
        <v>361</v>
      </c>
      <c r="AF14" s="31">
        <f t="shared" si="6"/>
        <v>1041</v>
      </c>
    </row>
    <row r="15" spans="2:32" ht="23.1" customHeight="1" x14ac:dyDescent="0.25">
      <c r="B15" s="23" t="s">
        <v>42</v>
      </c>
      <c r="C15" s="50">
        <v>16</v>
      </c>
      <c r="D15" s="50">
        <v>5</v>
      </c>
      <c r="E15" s="50">
        <v>1</v>
      </c>
      <c r="F15" s="50">
        <v>35</v>
      </c>
      <c r="G15" s="50">
        <v>0</v>
      </c>
      <c r="H15" s="50">
        <v>1</v>
      </c>
      <c r="I15" s="50">
        <v>6</v>
      </c>
      <c r="J15" s="50">
        <v>1</v>
      </c>
      <c r="K15" s="50">
        <v>0</v>
      </c>
      <c r="L15" s="50">
        <v>0</v>
      </c>
      <c r="M15" s="50">
        <v>126</v>
      </c>
      <c r="N15" s="50">
        <v>0</v>
      </c>
      <c r="O15" s="15">
        <f t="shared" si="0"/>
        <v>65</v>
      </c>
      <c r="P15" s="15">
        <f t="shared" si="1"/>
        <v>191</v>
      </c>
      <c r="R15" s="1" t="s">
        <v>11</v>
      </c>
      <c r="S15" s="17">
        <f t="shared" ref="S15:AF15" si="7">SUM(C30:C33)</f>
        <v>128</v>
      </c>
      <c r="T15" s="17">
        <f t="shared" si="7"/>
        <v>76</v>
      </c>
      <c r="U15" s="17">
        <f t="shared" si="7"/>
        <v>7</v>
      </c>
      <c r="V15" s="17">
        <f t="shared" si="7"/>
        <v>88</v>
      </c>
      <c r="W15" s="17">
        <f t="shared" si="7"/>
        <v>0</v>
      </c>
      <c r="X15" s="17">
        <f t="shared" si="7"/>
        <v>0</v>
      </c>
      <c r="Y15" s="17">
        <f t="shared" si="7"/>
        <v>25</v>
      </c>
      <c r="Z15" s="17">
        <f t="shared" si="7"/>
        <v>6</v>
      </c>
      <c r="AA15" s="17">
        <f t="shared" si="7"/>
        <v>3</v>
      </c>
      <c r="AB15" s="17">
        <f t="shared" si="7"/>
        <v>1</v>
      </c>
      <c r="AC15" s="17">
        <f t="shared" si="7"/>
        <v>593</v>
      </c>
      <c r="AD15" s="17">
        <f t="shared" si="7"/>
        <v>0</v>
      </c>
      <c r="AE15" s="31">
        <f t="shared" si="7"/>
        <v>334</v>
      </c>
      <c r="AF15" s="31">
        <f t="shared" si="7"/>
        <v>927</v>
      </c>
    </row>
    <row r="16" spans="2:32" ht="23.1" customHeight="1" x14ac:dyDescent="0.25">
      <c r="B16" s="23" t="s">
        <v>43</v>
      </c>
      <c r="C16" s="50">
        <v>27</v>
      </c>
      <c r="D16" s="50">
        <v>19</v>
      </c>
      <c r="E16" s="50">
        <v>5</v>
      </c>
      <c r="F16" s="50">
        <v>37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1</v>
      </c>
      <c r="M16" s="50">
        <v>186</v>
      </c>
      <c r="N16" s="50">
        <v>0</v>
      </c>
      <c r="O16" s="15">
        <f t="shared" si="0"/>
        <v>93</v>
      </c>
      <c r="P16" s="15">
        <f t="shared" si="1"/>
        <v>279</v>
      </c>
      <c r="R16" s="1" t="s">
        <v>12</v>
      </c>
      <c r="S16" s="17">
        <f t="shared" ref="S16:AF16" si="8">SUM(C34:C37)</f>
        <v>129</v>
      </c>
      <c r="T16" s="17">
        <f t="shared" si="8"/>
        <v>85</v>
      </c>
      <c r="U16" s="17">
        <f t="shared" si="8"/>
        <v>14</v>
      </c>
      <c r="V16" s="17">
        <f t="shared" si="8"/>
        <v>109</v>
      </c>
      <c r="W16" s="17">
        <f t="shared" si="8"/>
        <v>0</v>
      </c>
      <c r="X16" s="17">
        <f t="shared" si="8"/>
        <v>1</v>
      </c>
      <c r="Y16" s="17">
        <f t="shared" si="8"/>
        <v>12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572</v>
      </c>
      <c r="AD16" s="17">
        <f t="shared" si="8"/>
        <v>0</v>
      </c>
      <c r="AE16" s="31">
        <f t="shared" si="8"/>
        <v>353</v>
      </c>
      <c r="AF16" s="31">
        <f t="shared" si="8"/>
        <v>925</v>
      </c>
    </row>
    <row r="17" spans="2:32" ht="23.1" customHeight="1" x14ac:dyDescent="0.25">
      <c r="B17" s="23" t="s">
        <v>44</v>
      </c>
      <c r="C17" s="50">
        <v>25</v>
      </c>
      <c r="D17" s="50">
        <v>9</v>
      </c>
      <c r="E17" s="50">
        <v>1</v>
      </c>
      <c r="F17" s="50">
        <v>33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137</v>
      </c>
      <c r="N17" s="50">
        <v>0</v>
      </c>
      <c r="O17" s="15">
        <f t="shared" si="0"/>
        <v>71</v>
      </c>
      <c r="P17" s="15">
        <f t="shared" si="1"/>
        <v>208</v>
      </c>
      <c r="R17" s="1" t="s">
        <v>13</v>
      </c>
      <c r="S17" s="17">
        <f t="shared" ref="S17:AF17" si="9">SUM(C38:C41)</f>
        <v>110</v>
      </c>
      <c r="T17" s="17">
        <f t="shared" si="9"/>
        <v>60</v>
      </c>
      <c r="U17" s="17">
        <f t="shared" si="9"/>
        <v>13</v>
      </c>
      <c r="V17" s="17">
        <f t="shared" si="9"/>
        <v>78</v>
      </c>
      <c r="W17" s="17">
        <f t="shared" si="9"/>
        <v>0</v>
      </c>
      <c r="X17" s="17">
        <f t="shared" si="9"/>
        <v>2</v>
      </c>
      <c r="Y17" s="17">
        <f t="shared" si="9"/>
        <v>9</v>
      </c>
      <c r="Z17" s="17">
        <f t="shared" si="9"/>
        <v>9</v>
      </c>
      <c r="AA17" s="17">
        <f t="shared" si="9"/>
        <v>3</v>
      </c>
      <c r="AB17" s="17">
        <f t="shared" si="9"/>
        <v>4</v>
      </c>
      <c r="AC17" s="17">
        <f t="shared" si="9"/>
        <v>506</v>
      </c>
      <c r="AD17" s="17">
        <f t="shared" si="9"/>
        <v>0</v>
      </c>
      <c r="AE17" s="31">
        <f t="shared" si="9"/>
        <v>288</v>
      </c>
      <c r="AF17" s="31">
        <f t="shared" si="9"/>
        <v>794</v>
      </c>
    </row>
    <row r="18" spans="2:32" ht="23.1" customHeight="1" x14ac:dyDescent="0.25">
      <c r="B18" s="23" t="s">
        <v>45</v>
      </c>
      <c r="C18" s="50">
        <v>35</v>
      </c>
      <c r="D18" s="50">
        <v>9</v>
      </c>
      <c r="E18" s="50">
        <v>0</v>
      </c>
      <c r="F18" s="50">
        <v>23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1</v>
      </c>
      <c r="M18" s="50">
        <v>160</v>
      </c>
      <c r="N18" s="50">
        <v>0</v>
      </c>
      <c r="O18" s="15">
        <f t="shared" si="0"/>
        <v>72</v>
      </c>
      <c r="P18" s="15">
        <f t="shared" si="1"/>
        <v>232</v>
      </c>
      <c r="R18" s="1" t="s">
        <v>14</v>
      </c>
      <c r="S18" s="17">
        <f t="shared" ref="S18:AF18" si="10">SUM(C42:C45)</f>
        <v>115</v>
      </c>
      <c r="T18" s="17">
        <f t="shared" si="10"/>
        <v>65</v>
      </c>
      <c r="U18" s="17">
        <f t="shared" si="10"/>
        <v>14</v>
      </c>
      <c r="V18" s="17">
        <f t="shared" si="10"/>
        <v>94</v>
      </c>
      <c r="W18" s="17">
        <f t="shared" si="10"/>
        <v>7</v>
      </c>
      <c r="X18" s="17">
        <f t="shared" si="10"/>
        <v>1</v>
      </c>
      <c r="Y18" s="17">
        <f t="shared" si="10"/>
        <v>11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642</v>
      </c>
      <c r="AD18" s="17">
        <f t="shared" si="10"/>
        <v>0</v>
      </c>
      <c r="AE18" s="31">
        <f t="shared" si="10"/>
        <v>310</v>
      </c>
      <c r="AF18" s="31">
        <f t="shared" si="10"/>
        <v>952</v>
      </c>
    </row>
    <row r="19" spans="2:32" ht="23.1" customHeight="1" x14ac:dyDescent="0.25">
      <c r="B19" s="23" t="s">
        <v>46</v>
      </c>
      <c r="C19" s="50">
        <v>28</v>
      </c>
      <c r="D19" s="50">
        <v>17</v>
      </c>
      <c r="E19" s="50">
        <v>5</v>
      </c>
      <c r="F19" s="50">
        <v>25</v>
      </c>
      <c r="G19" s="50">
        <v>0</v>
      </c>
      <c r="H19" s="50">
        <v>1</v>
      </c>
      <c r="I19" s="50">
        <v>1</v>
      </c>
      <c r="J19" s="50">
        <v>0</v>
      </c>
      <c r="K19" s="50">
        <v>0</v>
      </c>
      <c r="L19" s="50">
        <v>0</v>
      </c>
      <c r="M19" s="50">
        <v>170</v>
      </c>
      <c r="N19" s="50">
        <v>0</v>
      </c>
      <c r="O19" s="15">
        <f t="shared" si="0"/>
        <v>77</v>
      </c>
      <c r="P19" s="15">
        <f t="shared" si="1"/>
        <v>247</v>
      </c>
      <c r="R19" s="1" t="s">
        <v>15</v>
      </c>
      <c r="S19" s="17">
        <f t="shared" ref="S19:AF19" si="11">SUM(C46:C49)</f>
        <v>107</v>
      </c>
      <c r="T19" s="17">
        <f t="shared" si="11"/>
        <v>28</v>
      </c>
      <c r="U19" s="17">
        <f t="shared" si="11"/>
        <v>15</v>
      </c>
      <c r="V19" s="17">
        <f t="shared" si="11"/>
        <v>92</v>
      </c>
      <c r="W19" s="17">
        <f t="shared" si="11"/>
        <v>4</v>
      </c>
      <c r="X19" s="17">
        <f t="shared" si="11"/>
        <v>1</v>
      </c>
      <c r="Y19" s="17">
        <f t="shared" si="11"/>
        <v>13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676</v>
      </c>
      <c r="AD19" s="17">
        <f t="shared" si="11"/>
        <v>0</v>
      </c>
      <c r="AE19" s="31">
        <f t="shared" si="11"/>
        <v>265</v>
      </c>
      <c r="AF19" s="31">
        <f t="shared" si="11"/>
        <v>941</v>
      </c>
    </row>
    <row r="20" spans="2:32" ht="23.1" customHeight="1" x14ac:dyDescent="0.25">
      <c r="B20" s="23" t="s">
        <v>47</v>
      </c>
      <c r="C20" s="50">
        <v>28</v>
      </c>
      <c r="D20" s="50">
        <v>15</v>
      </c>
      <c r="E20" s="50">
        <v>6</v>
      </c>
      <c r="F20" s="50">
        <v>39</v>
      </c>
      <c r="G20" s="50">
        <v>0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195</v>
      </c>
      <c r="N20" s="50">
        <v>0</v>
      </c>
      <c r="O20" s="15">
        <f t="shared" si="0"/>
        <v>92</v>
      </c>
      <c r="P20" s="15">
        <f t="shared" si="1"/>
        <v>287</v>
      </c>
      <c r="R20" s="1" t="s">
        <v>16</v>
      </c>
      <c r="S20" s="17">
        <f t="shared" ref="S20:AF20" si="12">SUM(C50:C53)</f>
        <v>144</v>
      </c>
      <c r="T20" s="17">
        <f t="shared" si="12"/>
        <v>80</v>
      </c>
      <c r="U20" s="17">
        <f t="shared" si="12"/>
        <v>10</v>
      </c>
      <c r="V20" s="17">
        <f t="shared" si="12"/>
        <v>95</v>
      </c>
      <c r="W20" s="17">
        <f t="shared" si="12"/>
        <v>1</v>
      </c>
      <c r="X20" s="17">
        <f t="shared" si="12"/>
        <v>4</v>
      </c>
      <c r="Y20" s="17">
        <f t="shared" si="12"/>
        <v>16</v>
      </c>
      <c r="Z20" s="17">
        <f t="shared" si="12"/>
        <v>3</v>
      </c>
      <c r="AA20" s="17">
        <f t="shared" si="12"/>
        <v>0</v>
      </c>
      <c r="AB20" s="17">
        <f t="shared" si="12"/>
        <v>1</v>
      </c>
      <c r="AC20" s="17">
        <f t="shared" si="12"/>
        <v>768</v>
      </c>
      <c r="AD20" s="17">
        <f t="shared" si="12"/>
        <v>0</v>
      </c>
      <c r="AE20" s="31">
        <f t="shared" si="12"/>
        <v>354</v>
      </c>
      <c r="AF20" s="31">
        <f t="shared" si="12"/>
        <v>1122</v>
      </c>
    </row>
    <row r="21" spans="2:32" ht="23.1" customHeight="1" x14ac:dyDescent="0.25">
      <c r="B21" s="23" t="s">
        <v>48</v>
      </c>
      <c r="C21" s="50">
        <v>31</v>
      </c>
      <c r="D21" s="50">
        <v>28</v>
      </c>
      <c r="E21" s="50">
        <v>6</v>
      </c>
      <c r="F21" s="50">
        <v>23</v>
      </c>
      <c r="G21" s="50">
        <v>0</v>
      </c>
      <c r="H21" s="50">
        <v>1</v>
      </c>
      <c r="I21" s="50">
        <v>3</v>
      </c>
      <c r="J21" s="50">
        <v>2</v>
      </c>
      <c r="K21" s="50">
        <v>0</v>
      </c>
      <c r="L21" s="50">
        <v>0</v>
      </c>
      <c r="M21" s="50">
        <v>178</v>
      </c>
      <c r="N21" s="50">
        <v>0</v>
      </c>
      <c r="O21" s="15">
        <f t="shared" si="0"/>
        <v>94</v>
      </c>
      <c r="P21" s="15">
        <f t="shared" si="1"/>
        <v>272</v>
      </c>
      <c r="R21" s="36" t="s">
        <v>20</v>
      </c>
      <c r="S21" s="34">
        <f t="shared" ref="S21:AF21" si="13">SUM(C54:C57)</f>
        <v>216</v>
      </c>
      <c r="T21" s="17">
        <f t="shared" si="13"/>
        <v>87</v>
      </c>
      <c r="U21" s="17">
        <f t="shared" si="13"/>
        <v>33</v>
      </c>
      <c r="V21" s="17">
        <f t="shared" si="13"/>
        <v>130</v>
      </c>
      <c r="W21" s="17">
        <f t="shared" si="13"/>
        <v>2</v>
      </c>
      <c r="X21" s="17">
        <f t="shared" si="13"/>
        <v>1</v>
      </c>
      <c r="Y21" s="17">
        <f t="shared" si="13"/>
        <v>13</v>
      </c>
      <c r="Z21" s="17">
        <f t="shared" si="13"/>
        <v>5</v>
      </c>
      <c r="AA21" s="17">
        <f t="shared" si="13"/>
        <v>0</v>
      </c>
      <c r="AB21" s="17">
        <f t="shared" si="13"/>
        <v>3</v>
      </c>
      <c r="AC21" s="17">
        <f t="shared" si="13"/>
        <v>767</v>
      </c>
      <c r="AD21" s="17">
        <f t="shared" si="13"/>
        <v>0</v>
      </c>
      <c r="AE21" s="31">
        <f t="shared" si="13"/>
        <v>490</v>
      </c>
      <c r="AF21" s="31">
        <f t="shared" si="13"/>
        <v>1257</v>
      </c>
    </row>
    <row r="22" spans="2:32" ht="23.1" customHeight="1" x14ac:dyDescent="0.25">
      <c r="B22" s="23" t="s">
        <v>49</v>
      </c>
      <c r="C22" s="50">
        <v>56</v>
      </c>
      <c r="D22" s="50">
        <v>20</v>
      </c>
      <c r="E22" s="50">
        <v>4</v>
      </c>
      <c r="F22" s="50">
        <v>27</v>
      </c>
      <c r="G22" s="50">
        <v>0</v>
      </c>
      <c r="H22" s="50">
        <v>0</v>
      </c>
      <c r="I22" s="50">
        <v>1</v>
      </c>
      <c r="J22" s="50">
        <v>0</v>
      </c>
      <c r="K22" s="50">
        <v>2</v>
      </c>
      <c r="L22" s="50">
        <v>0</v>
      </c>
      <c r="M22" s="50">
        <v>224</v>
      </c>
      <c r="N22" s="50">
        <v>0</v>
      </c>
      <c r="O22" s="15">
        <f t="shared" si="0"/>
        <v>110</v>
      </c>
      <c r="P22" s="15">
        <f t="shared" si="1"/>
        <v>334</v>
      </c>
      <c r="R22" s="38" t="s">
        <v>90</v>
      </c>
      <c r="S22" s="39">
        <f>MAX(S10:S12)</f>
        <v>122</v>
      </c>
      <c r="T22" s="39">
        <f t="shared" ref="T22:AF22" si="14">MAX(T10:T12)</f>
        <v>69</v>
      </c>
      <c r="U22" s="39">
        <f t="shared" si="14"/>
        <v>17</v>
      </c>
      <c r="V22" s="39">
        <f t="shared" si="14"/>
        <v>137</v>
      </c>
      <c r="W22" s="39">
        <f t="shared" si="14"/>
        <v>1</v>
      </c>
      <c r="X22" s="39">
        <f t="shared" si="14"/>
        <v>2</v>
      </c>
      <c r="Y22" s="39">
        <f t="shared" si="14"/>
        <v>14</v>
      </c>
      <c r="Z22" s="39">
        <f t="shared" si="14"/>
        <v>6</v>
      </c>
      <c r="AA22" s="39">
        <f t="shared" si="14"/>
        <v>2</v>
      </c>
      <c r="AB22" s="39">
        <f t="shared" si="14"/>
        <v>1</v>
      </c>
      <c r="AC22" s="39">
        <f t="shared" si="14"/>
        <v>703</v>
      </c>
      <c r="AD22" s="39">
        <f t="shared" si="14"/>
        <v>0</v>
      </c>
      <c r="AE22" s="40">
        <f t="shared" si="14"/>
        <v>335</v>
      </c>
      <c r="AF22" s="40">
        <f t="shared" si="14"/>
        <v>1038</v>
      </c>
    </row>
    <row r="23" spans="2:32" ht="23.1" customHeight="1" x14ac:dyDescent="0.25">
      <c r="B23" s="23" t="s">
        <v>50</v>
      </c>
      <c r="C23" s="50">
        <v>36</v>
      </c>
      <c r="D23" s="50">
        <v>26</v>
      </c>
      <c r="E23" s="50">
        <v>6</v>
      </c>
      <c r="F23" s="50">
        <v>39</v>
      </c>
      <c r="G23" s="50">
        <v>0</v>
      </c>
      <c r="H23" s="50">
        <v>0</v>
      </c>
      <c r="I23" s="50">
        <v>6</v>
      </c>
      <c r="J23" s="50">
        <v>4</v>
      </c>
      <c r="K23" s="50">
        <v>1</v>
      </c>
      <c r="L23" s="50">
        <v>0</v>
      </c>
      <c r="M23" s="50">
        <v>206</v>
      </c>
      <c r="N23" s="50">
        <v>0</v>
      </c>
      <c r="O23" s="15">
        <f t="shared" si="0"/>
        <v>118</v>
      </c>
      <c r="P23" s="15">
        <f t="shared" si="1"/>
        <v>324</v>
      </c>
      <c r="R23" s="38" t="s">
        <v>91</v>
      </c>
      <c r="S23" s="39">
        <f>MAX(S13:S18)</f>
        <v>167</v>
      </c>
      <c r="T23" s="39">
        <f t="shared" ref="T23:AF23" si="15">MAX(T13:T18)</f>
        <v>92</v>
      </c>
      <c r="U23" s="39">
        <f t="shared" si="15"/>
        <v>16</v>
      </c>
      <c r="V23" s="39">
        <f t="shared" si="15"/>
        <v>109</v>
      </c>
      <c r="W23" s="39">
        <f t="shared" si="15"/>
        <v>7</v>
      </c>
      <c r="X23" s="39">
        <f t="shared" si="15"/>
        <v>2</v>
      </c>
      <c r="Y23" s="39">
        <f t="shared" si="15"/>
        <v>25</v>
      </c>
      <c r="Z23" s="39">
        <f t="shared" si="15"/>
        <v>9</v>
      </c>
      <c r="AA23" s="39">
        <f t="shared" si="15"/>
        <v>4</v>
      </c>
      <c r="AB23" s="39">
        <f t="shared" si="15"/>
        <v>4</v>
      </c>
      <c r="AC23" s="39">
        <f t="shared" si="15"/>
        <v>746</v>
      </c>
      <c r="AD23" s="39">
        <f t="shared" si="15"/>
        <v>0</v>
      </c>
      <c r="AE23" s="40">
        <f t="shared" si="15"/>
        <v>389</v>
      </c>
      <c r="AF23" s="40">
        <f t="shared" si="15"/>
        <v>1135</v>
      </c>
    </row>
    <row r="24" spans="2:32" ht="23.1" customHeight="1" x14ac:dyDescent="0.25">
      <c r="B24" s="23" t="s">
        <v>51</v>
      </c>
      <c r="C24" s="50">
        <v>39</v>
      </c>
      <c r="D24" s="50">
        <v>7</v>
      </c>
      <c r="E24" s="50">
        <v>2</v>
      </c>
      <c r="F24" s="50">
        <v>22</v>
      </c>
      <c r="G24" s="50">
        <v>0</v>
      </c>
      <c r="H24" s="50">
        <v>0</v>
      </c>
      <c r="I24" s="50">
        <v>7</v>
      </c>
      <c r="J24" s="50">
        <v>1</v>
      </c>
      <c r="K24" s="50">
        <v>0</v>
      </c>
      <c r="L24" s="50">
        <v>0</v>
      </c>
      <c r="M24" s="50">
        <v>120</v>
      </c>
      <c r="N24" s="50">
        <v>0</v>
      </c>
      <c r="O24" s="15">
        <f t="shared" si="0"/>
        <v>78</v>
      </c>
      <c r="P24" s="15">
        <f t="shared" si="1"/>
        <v>198</v>
      </c>
      <c r="R24" s="38" t="s">
        <v>92</v>
      </c>
      <c r="S24" s="39">
        <f>MAX(S19:S21)</f>
        <v>216</v>
      </c>
      <c r="T24" s="39">
        <f t="shared" ref="T24:AF24" si="16">MAX(T19:T21)</f>
        <v>87</v>
      </c>
      <c r="U24" s="39">
        <f t="shared" si="16"/>
        <v>33</v>
      </c>
      <c r="V24" s="39">
        <f t="shared" si="16"/>
        <v>130</v>
      </c>
      <c r="W24" s="39">
        <f t="shared" si="16"/>
        <v>4</v>
      </c>
      <c r="X24" s="39">
        <f t="shared" si="16"/>
        <v>4</v>
      </c>
      <c r="Y24" s="39">
        <f t="shared" si="16"/>
        <v>16</v>
      </c>
      <c r="Z24" s="39">
        <f t="shared" si="16"/>
        <v>5</v>
      </c>
      <c r="AA24" s="39">
        <f t="shared" si="16"/>
        <v>0</v>
      </c>
      <c r="AB24" s="39">
        <f t="shared" si="16"/>
        <v>3</v>
      </c>
      <c r="AC24" s="39">
        <f t="shared" si="16"/>
        <v>768</v>
      </c>
      <c r="AD24" s="39">
        <f t="shared" si="16"/>
        <v>0</v>
      </c>
      <c r="AE24" s="40">
        <f t="shared" si="16"/>
        <v>490</v>
      </c>
      <c r="AF24" s="40">
        <f t="shared" si="16"/>
        <v>1257</v>
      </c>
    </row>
    <row r="25" spans="2:32" ht="23.1" customHeight="1" x14ac:dyDescent="0.25">
      <c r="B25" s="23" t="s">
        <v>52</v>
      </c>
      <c r="C25" s="50">
        <v>36</v>
      </c>
      <c r="D25" s="50">
        <v>21</v>
      </c>
      <c r="E25" s="50">
        <v>1</v>
      </c>
      <c r="F25" s="50">
        <v>18</v>
      </c>
      <c r="G25" s="50">
        <v>0</v>
      </c>
      <c r="H25" s="50">
        <v>2</v>
      </c>
      <c r="I25" s="50">
        <v>3</v>
      </c>
      <c r="J25" s="50">
        <v>0</v>
      </c>
      <c r="K25" s="50">
        <v>0</v>
      </c>
      <c r="L25" s="50">
        <v>2</v>
      </c>
      <c r="M25" s="50">
        <v>196</v>
      </c>
      <c r="N25" s="50">
        <v>0</v>
      </c>
      <c r="O25" s="15">
        <f t="shared" si="0"/>
        <v>83</v>
      </c>
      <c r="P25" s="15">
        <f t="shared" si="1"/>
        <v>279</v>
      </c>
      <c r="R25" s="37" t="s">
        <v>85</v>
      </c>
      <c r="S25" s="35">
        <f t="shared" ref="S25:AF25" si="17">SUM(S10:S12)</f>
        <v>292</v>
      </c>
      <c r="T25" s="16">
        <f t="shared" si="17"/>
        <v>169</v>
      </c>
      <c r="U25" s="16">
        <f t="shared" si="17"/>
        <v>42</v>
      </c>
      <c r="V25" s="16">
        <f t="shared" si="17"/>
        <v>326</v>
      </c>
      <c r="W25" s="16">
        <f t="shared" si="17"/>
        <v>1</v>
      </c>
      <c r="X25" s="16">
        <f t="shared" si="17"/>
        <v>5</v>
      </c>
      <c r="Y25" s="16">
        <f t="shared" si="17"/>
        <v>35</v>
      </c>
      <c r="Z25" s="16">
        <f t="shared" si="17"/>
        <v>16</v>
      </c>
      <c r="AA25" s="16">
        <f t="shared" si="17"/>
        <v>2</v>
      </c>
      <c r="AB25" s="16">
        <f t="shared" si="17"/>
        <v>3</v>
      </c>
      <c r="AC25" s="16">
        <f t="shared" si="17"/>
        <v>1766</v>
      </c>
      <c r="AD25" s="16">
        <f t="shared" si="17"/>
        <v>0</v>
      </c>
      <c r="AE25" s="32">
        <f t="shared" si="17"/>
        <v>891</v>
      </c>
      <c r="AF25" s="32">
        <f t="shared" si="17"/>
        <v>2657</v>
      </c>
    </row>
    <row r="26" spans="2:32" ht="23.1" customHeight="1" x14ac:dyDescent="0.25">
      <c r="B26" s="23" t="s">
        <v>53</v>
      </c>
      <c r="C26" s="50">
        <v>31</v>
      </c>
      <c r="D26" s="50">
        <v>15</v>
      </c>
      <c r="E26" s="50">
        <v>6</v>
      </c>
      <c r="F26" s="50">
        <v>31</v>
      </c>
      <c r="G26" s="50">
        <v>0</v>
      </c>
      <c r="H26" s="50">
        <v>0</v>
      </c>
      <c r="I26" s="50">
        <v>2</v>
      </c>
      <c r="J26" s="50">
        <v>1</v>
      </c>
      <c r="K26" s="50">
        <v>1</v>
      </c>
      <c r="L26" s="50">
        <v>0</v>
      </c>
      <c r="M26" s="50">
        <v>170</v>
      </c>
      <c r="N26" s="50">
        <v>0</v>
      </c>
      <c r="O26" s="15">
        <f t="shared" si="0"/>
        <v>87</v>
      </c>
      <c r="P26" s="15">
        <f t="shared" si="1"/>
        <v>257</v>
      </c>
      <c r="R26" s="28" t="s">
        <v>86</v>
      </c>
      <c r="S26" s="16">
        <f t="shared" ref="S26:AF26" si="18">SUM(S13:S18)</f>
        <v>771</v>
      </c>
      <c r="T26" s="16">
        <f t="shared" si="18"/>
        <v>452</v>
      </c>
      <c r="U26" s="16">
        <f t="shared" si="18"/>
        <v>77</v>
      </c>
      <c r="V26" s="16">
        <f t="shared" si="18"/>
        <v>580</v>
      </c>
      <c r="W26" s="16">
        <f t="shared" si="18"/>
        <v>7</v>
      </c>
      <c r="X26" s="16">
        <f t="shared" si="18"/>
        <v>7</v>
      </c>
      <c r="Y26" s="16">
        <f t="shared" si="18"/>
        <v>88</v>
      </c>
      <c r="Z26" s="16">
        <f t="shared" si="18"/>
        <v>31</v>
      </c>
      <c r="AA26" s="16">
        <f t="shared" si="18"/>
        <v>13</v>
      </c>
      <c r="AB26" s="16">
        <f t="shared" si="18"/>
        <v>9</v>
      </c>
      <c r="AC26" s="16">
        <f t="shared" si="18"/>
        <v>3739</v>
      </c>
      <c r="AD26" s="16">
        <f t="shared" si="18"/>
        <v>0</v>
      </c>
      <c r="AE26" s="32">
        <f t="shared" si="18"/>
        <v>2035</v>
      </c>
      <c r="AF26" s="32">
        <f t="shared" si="18"/>
        <v>5774</v>
      </c>
    </row>
    <row r="27" spans="2:32" ht="23.1" customHeight="1" x14ac:dyDescent="0.25">
      <c r="B27" s="23" t="s">
        <v>54</v>
      </c>
      <c r="C27" s="50">
        <v>29</v>
      </c>
      <c r="D27" s="50">
        <v>30</v>
      </c>
      <c r="E27" s="50">
        <v>7</v>
      </c>
      <c r="F27" s="50">
        <v>31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200</v>
      </c>
      <c r="N27" s="50">
        <v>0</v>
      </c>
      <c r="O27" s="15">
        <f t="shared" si="0"/>
        <v>100</v>
      </c>
      <c r="P27" s="15">
        <f t="shared" si="1"/>
        <v>300</v>
      </c>
      <c r="R27" s="29" t="s">
        <v>87</v>
      </c>
      <c r="S27" s="16">
        <f t="shared" ref="S27:AF27" si="19">SUM(S19:S21)</f>
        <v>467</v>
      </c>
      <c r="T27" s="16">
        <f t="shared" si="19"/>
        <v>195</v>
      </c>
      <c r="U27" s="16">
        <f t="shared" si="19"/>
        <v>58</v>
      </c>
      <c r="V27" s="16">
        <f t="shared" si="19"/>
        <v>317</v>
      </c>
      <c r="W27" s="16">
        <f t="shared" si="19"/>
        <v>7</v>
      </c>
      <c r="X27" s="16">
        <f t="shared" si="19"/>
        <v>6</v>
      </c>
      <c r="Y27" s="16">
        <f t="shared" si="19"/>
        <v>42</v>
      </c>
      <c r="Z27" s="16">
        <f t="shared" si="19"/>
        <v>13</v>
      </c>
      <c r="AA27" s="16">
        <f t="shared" si="19"/>
        <v>0</v>
      </c>
      <c r="AB27" s="16">
        <f t="shared" si="19"/>
        <v>4</v>
      </c>
      <c r="AC27" s="16">
        <f t="shared" si="19"/>
        <v>2211</v>
      </c>
      <c r="AD27" s="16">
        <f t="shared" si="19"/>
        <v>0</v>
      </c>
      <c r="AE27" s="32">
        <f t="shared" si="19"/>
        <v>1109</v>
      </c>
      <c r="AF27" s="32">
        <f t="shared" si="19"/>
        <v>3320</v>
      </c>
    </row>
    <row r="28" spans="2:32" ht="23.1" customHeight="1" x14ac:dyDescent="0.25">
      <c r="B28" s="23" t="s">
        <v>55</v>
      </c>
      <c r="C28" s="50">
        <v>26</v>
      </c>
      <c r="D28" s="50">
        <v>30</v>
      </c>
      <c r="E28" s="50">
        <v>2</v>
      </c>
      <c r="F28" s="50">
        <v>22</v>
      </c>
      <c r="G28" s="50">
        <v>0</v>
      </c>
      <c r="H28" s="50">
        <v>0</v>
      </c>
      <c r="I28" s="50">
        <v>6</v>
      </c>
      <c r="J28" s="50">
        <v>4</v>
      </c>
      <c r="K28" s="50">
        <v>1</v>
      </c>
      <c r="L28" s="50">
        <v>0</v>
      </c>
      <c r="M28" s="50">
        <v>114</v>
      </c>
      <c r="N28" s="50">
        <v>0</v>
      </c>
      <c r="O28" s="15">
        <f t="shared" si="0"/>
        <v>91</v>
      </c>
      <c r="P28" s="15">
        <f t="shared" si="1"/>
        <v>205</v>
      </c>
      <c r="R28" s="5" t="s">
        <v>17</v>
      </c>
      <c r="S28" s="16">
        <f t="shared" ref="S28:AF28" si="20">SUM(S10:S21)</f>
        <v>1530</v>
      </c>
      <c r="T28" s="16">
        <f t="shared" si="20"/>
        <v>816</v>
      </c>
      <c r="U28" s="16">
        <f t="shared" si="20"/>
        <v>177</v>
      </c>
      <c r="V28" s="16">
        <f t="shared" si="20"/>
        <v>1223</v>
      </c>
      <c r="W28" s="16">
        <f t="shared" si="20"/>
        <v>15</v>
      </c>
      <c r="X28" s="16">
        <f t="shared" si="20"/>
        <v>18</v>
      </c>
      <c r="Y28" s="16">
        <f t="shared" si="20"/>
        <v>165</v>
      </c>
      <c r="Z28" s="16">
        <f t="shared" si="20"/>
        <v>60</v>
      </c>
      <c r="AA28" s="16">
        <f t="shared" si="20"/>
        <v>15</v>
      </c>
      <c r="AB28" s="16">
        <f t="shared" si="20"/>
        <v>16</v>
      </c>
      <c r="AC28" s="16">
        <f t="shared" si="20"/>
        <v>7716</v>
      </c>
      <c r="AD28" s="16">
        <f t="shared" si="20"/>
        <v>0</v>
      </c>
      <c r="AE28" s="32">
        <f t="shared" si="20"/>
        <v>4035</v>
      </c>
      <c r="AF28" s="32">
        <f t="shared" si="20"/>
        <v>11751</v>
      </c>
    </row>
    <row r="29" spans="2:32" ht="23.1" customHeight="1" x14ac:dyDescent="0.25">
      <c r="B29" s="23" t="s">
        <v>56</v>
      </c>
      <c r="C29" s="50">
        <v>36</v>
      </c>
      <c r="D29" s="50">
        <v>17</v>
      </c>
      <c r="E29" s="50">
        <v>1</v>
      </c>
      <c r="F29" s="50">
        <v>21</v>
      </c>
      <c r="G29" s="50">
        <v>0</v>
      </c>
      <c r="H29" s="50">
        <v>1</v>
      </c>
      <c r="I29" s="50">
        <v>3</v>
      </c>
      <c r="J29" s="50">
        <v>1</v>
      </c>
      <c r="K29" s="50">
        <v>2</v>
      </c>
      <c r="L29" s="50">
        <v>1</v>
      </c>
      <c r="M29" s="50">
        <v>196</v>
      </c>
      <c r="N29" s="50">
        <v>0</v>
      </c>
      <c r="O29" s="15">
        <f t="shared" si="0"/>
        <v>83</v>
      </c>
      <c r="P29" s="15">
        <f t="shared" si="1"/>
        <v>279</v>
      </c>
      <c r="R29"/>
      <c r="S29" s="20"/>
      <c r="T29" s="19"/>
    </row>
    <row r="30" spans="2:32" ht="23.1" customHeight="1" x14ac:dyDescent="0.25">
      <c r="B30" s="23" t="s">
        <v>57</v>
      </c>
      <c r="C30" s="50">
        <v>32</v>
      </c>
      <c r="D30" s="50">
        <v>10</v>
      </c>
      <c r="E30" s="50">
        <v>3</v>
      </c>
      <c r="F30" s="50">
        <v>23</v>
      </c>
      <c r="G30" s="50">
        <v>0</v>
      </c>
      <c r="H30" s="50">
        <v>0</v>
      </c>
      <c r="I30" s="50">
        <v>5</v>
      </c>
      <c r="J30" s="50">
        <v>3</v>
      </c>
      <c r="K30" s="50">
        <v>1</v>
      </c>
      <c r="L30" s="50">
        <v>1</v>
      </c>
      <c r="M30" s="50">
        <v>131</v>
      </c>
      <c r="N30" s="50">
        <v>0</v>
      </c>
      <c r="O30" s="15">
        <f t="shared" si="0"/>
        <v>78</v>
      </c>
      <c r="P30" s="15">
        <f t="shared" si="1"/>
        <v>209</v>
      </c>
    </row>
    <row r="31" spans="2:32" ht="23.1" customHeight="1" x14ac:dyDescent="0.25">
      <c r="B31" s="24" t="s">
        <v>58</v>
      </c>
      <c r="C31" s="50">
        <v>37</v>
      </c>
      <c r="D31" s="50">
        <v>23</v>
      </c>
      <c r="E31" s="50">
        <v>2</v>
      </c>
      <c r="F31" s="50">
        <v>24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162</v>
      </c>
      <c r="N31" s="50">
        <v>0</v>
      </c>
      <c r="O31" s="15">
        <f t="shared" si="0"/>
        <v>87</v>
      </c>
      <c r="P31" s="15">
        <f t="shared" si="1"/>
        <v>249</v>
      </c>
    </row>
    <row r="32" spans="2:32" ht="23.1" customHeight="1" x14ac:dyDescent="0.25">
      <c r="B32" s="24" t="s">
        <v>59</v>
      </c>
      <c r="C32" s="50">
        <v>27</v>
      </c>
      <c r="D32" s="50">
        <v>32</v>
      </c>
      <c r="E32" s="50">
        <v>1</v>
      </c>
      <c r="F32" s="50">
        <v>23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0</v>
      </c>
      <c r="M32" s="50">
        <v>130</v>
      </c>
      <c r="N32" s="50">
        <v>0</v>
      </c>
      <c r="O32" s="15">
        <f t="shared" si="0"/>
        <v>86</v>
      </c>
      <c r="P32" s="15">
        <f t="shared" si="1"/>
        <v>216</v>
      </c>
    </row>
    <row r="33" spans="2:20" ht="23.1" customHeight="1" x14ac:dyDescent="0.25">
      <c r="B33" s="23" t="s">
        <v>60</v>
      </c>
      <c r="C33" s="50">
        <v>32</v>
      </c>
      <c r="D33" s="50">
        <v>11</v>
      </c>
      <c r="E33" s="50">
        <v>1</v>
      </c>
      <c r="F33" s="50">
        <v>18</v>
      </c>
      <c r="G33" s="50">
        <v>0</v>
      </c>
      <c r="H33" s="50">
        <v>0</v>
      </c>
      <c r="I33" s="50">
        <v>18</v>
      </c>
      <c r="J33" s="50">
        <v>2</v>
      </c>
      <c r="K33" s="50">
        <v>1</v>
      </c>
      <c r="L33" s="50">
        <v>0</v>
      </c>
      <c r="M33" s="50">
        <v>170</v>
      </c>
      <c r="N33" s="50">
        <v>0</v>
      </c>
      <c r="O33" s="15">
        <f t="shared" si="0"/>
        <v>83</v>
      </c>
      <c r="P33" s="15">
        <f t="shared" si="1"/>
        <v>253</v>
      </c>
    </row>
    <row r="34" spans="2:20" ht="23.1" customHeight="1" x14ac:dyDescent="0.25">
      <c r="B34" s="24" t="s">
        <v>61</v>
      </c>
      <c r="C34" s="50">
        <v>42</v>
      </c>
      <c r="D34" s="50">
        <v>18</v>
      </c>
      <c r="E34" s="50">
        <v>3</v>
      </c>
      <c r="F34" s="50">
        <v>27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178</v>
      </c>
      <c r="N34" s="50">
        <v>0</v>
      </c>
      <c r="O34" s="15">
        <f t="shared" si="0"/>
        <v>93</v>
      </c>
      <c r="P34" s="15">
        <f t="shared" si="1"/>
        <v>271</v>
      </c>
    </row>
    <row r="35" spans="2:20" ht="23.1" customHeight="1" x14ac:dyDescent="0.25">
      <c r="B35" s="24" t="s">
        <v>62</v>
      </c>
      <c r="C35" s="50">
        <v>33</v>
      </c>
      <c r="D35" s="50">
        <v>26</v>
      </c>
      <c r="E35" s="50">
        <v>6</v>
      </c>
      <c r="F35" s="50">
        <v>25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131</v>
      </c>
      <c r="N35" s="50">
        <v>0</v>
      </c>
      <c r="O35" s="15">
        <f t="shared" si="0"/>
        <v>93</v>
      </c>
      <c r="P35" s="15">
        <f t="shared" si="1"/>
        <v>224</v>
      </c>
    </row>
    <row r="36" spans="2:20" ht="23.1" customHeight="1" x14ac:dyDescent="0.25">
      <c r="B36" s="24" t="s">
        <v>63</v>
      </c>
      <c r="C36" s="50">
        <v>23</v>
      </c>
      <c r="D36" s="50">
        <v>26</v>
      </c>
      <c r="E36" s="50">
        <v>1</v>
      </c>
      <c r="F36" s="50">
        <v>41</v>
      </c>
      <c r="G36" s="50">
        <v>0</v>
      </c>
      <c r="H36" s="50">
        <v>1</v>
      </c>
      <c r="I36" s="50">
        <v>1</v>
      </c>
      <c r="J36" s="50">
        <v>0</v>
      </c>
      <c r="K36" s="50">
        <v>0</v>
      </c>
      <c r="L36" s="50">
        <v>1</v>
      </c>
      <c r="M36" s="50">
        <v>143</v>
      </c>
      <c r="N36" s="50">
        <v>0</v>
      </c>
      <c r="O36" s="15">
        <f t="shared" si="0"/>
        <v>94</v>
      </c>
      <c r="P36" s="15">
        <f t="shared" si="1"/>
        <v>237</v>
      </c>
    </row>
    <row r="37" spans="2:20" ht="23.1" customHeight="1" x14ac:dyDescent="0.25">
      <c r="B37" s="23" t="s">
        <v>64</v>
      </c>
      <c r="C37" s="50">
        <v>31</v>
      </c>
      <c r="D37" s="50">
        <v>15</v>
      </c>
      <c r="E37" s="50">
        <v>4</v>
      </c>
      <c r="F37" s="50">
        <v>16</v>
      </c>
      <c r="G37" s="50">
        <v>0</v>
      </c>
      <c r="H37" s="50">
        <v>0</v>
      </c>
      <c r="I37" s="50">
        <v>5</v>
      </c>
      <c r="J37" s="50">
        <v>2</v>
      </c>
      <c r="K37" s="50">
        <v>0</v>
      </c>
      <c r="L37" s="50">
        <v>0</v>
      </c>
      <c r="M37" s="50">
        <v>120</v>
      </c>
      <c r="N37" s="50">
        <v>0</v>
      </c>
      <c r="O37" s="15">
        <f t="shared" si="0"/>
        <v>73</v>
      </c>
      <c r="P37" s="15">
        <f t="shared" si="1"/>
        <v>193</v>
      </c>
    </row>
    <row r="38" spans="2:20" ht="23.1" customHeight="1" x14ac:dyDescent="0.25">
      <c r="B38" s="24" t="s">
        <v>65</v>
      </c>
      <c r="C38" s="50">
        <v>26</v>
      </c>
      <c r="D38" s="50">
        <v>13</v>
      </c>
      <c r="E38" s="50">
        <v>0</v>
      </c>
      <c r="F38" s="50">
        <v>18</v>
      </c>
      <c r="G38" s="50">
        <v>0</v>
      </c>
      <c r="H38" s="50">
        <v>1</v>
      </c>
      <c r="I38" s="50">
        <v>3</v>
      </c>
      <c r="J38" s="50">
        <v>1</v>
      </c>
      <c r="K38" s="50">
        <v>0</v>
      </c>
      <c r="L38" s="50">
        <v>3</v>
      </c>
      <c r="M38" s="50">
        <v>100</v>
      </c>
      <c r="N38" s="50">
        <v>0</v>
      </c>
      <c r="O38" s="15">
        <f t="shared" si="0"/>
        <v>65</v>
      </c>
      <c r="P38" s="15">
        <f t="shared" si="1"/>
        <v>165</v>
      </c>
    </row>
    <row r="39" spans="2:20" ht="23.1" customHeight="1" x14ac:dyDescent="0.25">
      <c r="B39" s="24" t="s">
        <v>66</v>
      </c>
      <c r="C39" s="50">
        <v>32</v>
      </c>
      <c r="D39" s="50">
        <v>23</v>
      </c>
      <c r="E39" s="50">
        <v>3</v>
      </c>
      <c r="F39" s="50">
        <v>25</v>
      </c>
      <c r="G39" s="50">
        <v>0</v>
      </c>
      <c r="H39" s="50">
        <v>1</v>
      </c>
      <c r="I39" s="50">
        <v>2</v>
      </c>
      <c r="J39" s="50">
        <v>1</v>
      </c>
      <c r="K39" s="50">
        <v>3</v>
      </c>
      <c r="L39" s="50">
        <v>1</v>
      </c>
      <c r="M39" s="50">
        <v>173</v>
      </c>
      <c r="N39" s="50">
        <v>0</v>
      </c>
      <c r="O39" s="15">
        <f t="shared" si="0"/>
        <v>91</v>
      </c>
      <c r="P39" s="15">
        <f t="shared" si="1"/>
        <v>264</v>
      </c>
    </row>
    <row r="40" spans="2:20" ht="23.1" customHeight="1" x14ac:dyDescent="0.25">
      <c r="B40" s="24" t="s">
        <v>67</v>
      </c>
      <c r="C40" s="50">
        <v>30</v>
      </c>
      <c r="D40" s="50">
        <v>11</v>
      </c>
      <c r="E40" s="50">
        <v>4</v>
      </c>
      <c r="F40" s="50">
        <v>16</v>
      </c>
      <c r="G40" s="50">
        <v>0</v>
      </c>
      <c r="H40" s="50">
        <v>0</v>
      </c>
      <c r="I40" s="50">
        <v>3</v>
      </c>
      <c r="J40" s="50">
        <v>3</v>
      </c>
      <c r="K40" s="50">
        <v>0</v>
      </c>
      <c r="L40" s="50">
        <v>0</v>
      </c>
      <c r="M40" s="50">
        <v>125</v>
      </c>
      <c r="N40" s="50">
        <v>0</v>
      </c>
      <c r="O40" s="15">
        <f t="shared" si="0"/>
        <v>67</v>
      </c>
      <c r="P40" s="15">
        <f t="shared" si="1"/>
        <v>192</v>
      </c>
    </row>
    <row r="41" spans="2:20" ht="23.1" customHeight="1" x14ac:dyDescent="0.25">
      <c r="B41" s="23" t="s">
        <v>68</v>
      </c>
      <c r="C41" s="50">
        <v>22</v>
      </c>
      <c r="D41" s="50">
        <v>13</v>
      </c>
      <c r="E41" s="50">
        <v>6</v>
      </c>
      <c r="F41" s="50">
        <v>19</v>
      </c>
      <c r="G41" s="50">
        <v>0</v>
      </c>
      <c r="H41" s="50">
        <v>0</v>
      </c>
      <c r="I41" s="50">
        <v>1</v>
      </c>
      <c r="J41" s="50">
        <v>4</v>
      </c>
      <c r="K41" s="50">
        <v>0</v>
      </c>
      <c r="L41" s="50">
        <v>0</v>
      </c>
      <c r="M41" s="50">
        <v>108</v>
      </c>
      <c r="N41" s="50">
        <v>0</v>
      </c>
      <c r="O41" s="15">
        <f t="shared" si="0"/>
        <v>65</v>
      </c>
      <c r="P41" s="15">
        <f t="shared" si="1"/>
        <v>173</v>
      </c>
    </row>
    <row r="42" spans="2:20" ht="23.1" customHeight="1" x14ac:dyDescent="0.25">
      <c r="B42" s="24" t="s">
        <v>69</v>
      </c>
      <c r="C42" s="50">
        <v>20</v>
      </c>
      <c r="D42" s="50">
        <v>18</v>
      </c>
      <c r="E42" s="50">
        <v>3</v>
      </c>
      <c r="F42" s="50">
        <v>20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159</v>
      </c>
      <c r="N42" s="50">
        <v>0</v>
      </c>
      <c r="O42" s="15">
        <f t="shared" si="0"/>
        <v>64</v>
      </c>
      <c r="P42" s="15">
        <f t="shared" si="1"/>
        <v>223</v>
      </c>
    </row>
    <row r="43" spans="2:20" ht="23.1" customHeight="1" x14ac:dyDescent="0.25">
      <c r="B43" s="23" t="s">
        <v>70</v>
      </c>
      <c r="C43" s="50">
        <v>50</v>
      </c>
      <c r="D43" s="50">
        <v>18</v>
      </c>
      <c r="E43" s="50">
        <v>4</v>
      </c>
      <c r="F43" s="50">
        <v>32</v>
      </c>
      <c r="G43" s="50">
        <v>7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165</v>
      </c>
      <c r="N43" s="50">
        <v>0</v>
      </c>
      <c r="O43" s="15">
        <f t="shared" si="0"/>
        <v>114</v>
      </c>
      <c r="P43" s="15">
        <f t="shared" si="1"/>
        <v>279</v>
      </c>
    </row>
    <row r="44" spans="2:20" ht="23.1" customHeight="1" x14ac:dyDescent="0.25">
      <c r="B44" s="25" t="s">
        <v>71</v>
      </c>
      <c r="C44" s="50">
        <v>19</v>
      </c>
      <c r="D44" s="50">
        <v>16</v>
      </c>
      <c r="E44" s="50">
        <v>2</v>
      </c>
      <c r="F44" s="50">
        <v>22</v>
      </c>
      <c r="G44" s="50">
        <v>0</v>
      </c>
      <c r="H44" s="50">
        <v>1</v>
      </c>
      <c r="I44" s="50">
        <v>1</v>
      </c>
      <c r="J44" s="50">
        <v>0</v>
      </c>
      <c r="K44" s="50">
        <v>0</v>
      </c>
      <c r="L44" s="50">
        <v>0</v>
      </c>
      <c r="M44" s="50">
        <v>172</v>
      </c>
      <c r="N44" s="50">
        <v>0</v>
      </c>
      <c r="O44" s="15">
        <f t="shared" si="0"/>
        <v>61</v>
      </c>
      <c r="P44" s="15">
        <f t="shared" si="1"/>
        <v>233</v>
      </c>
    </row>
    <row r="45" spans="2:20" ht="23.1" customHeight="1" x14ac:dyDescent="0.25">
      <c r="B45" s="23" t="s">
        <v>72</v>
      </c>
      <c r="C45" s="50">
        <v>26</v>
      </c>
      <c r="D45" s="50">
        <v>13</v>
      </c>
      <c r="E45" s="50">
        <v>5</v>
      </c>
      <c r="F45" s="50">
        <v>20</v>
      </c>
      <c r="G45" s="50">
        <v>0</v>
      </c>
      <c r="H45" s="50">
        <v>0</v>
      </c>
      <c r="I45" s="50">
        <v>7</v>
      </c>
      <c r="J45" s="50">
        <v>0</v>
      </c>
      <c r="K45" s="50">
        <v>0</v>
      </c>
      <c r="L45" s="50">
        <v>0</v>
      </c>
      <c r="M45" s="50">
        <v>146</v>
      </c>
      <c r="N45" s="50">
        <v>0</v>
      </c>
      <c r="O45" s="15">
        <f t="shared" si="0"/>
        <v>71</v>
      </c>
      <c r="P45" s="15">
        <f t="shared" si="1"/>
        <v>217</v>
      </c>
    </row>
    <row r="46" spans="2:20" ht="23.1" customHeight="1" x14ac:dyDescent="0.25">
      <c r="B46" s="24" t="s">
        <v>73</v>
      </c>
      <c r="C46" s="50">
        <v>23</v>
      </c>
      <c r="D46" s="50">
        <v>10</v>
      </c>
      <c r="E46" s="50">
        <v>4</v>
      </c>
      <c r="F46" s="50">
        <v>28</v>
      </c>
      <c r="G46" s="50">
        <v>1</v>
      </c>
      <c r="H46" s="50">
        <v>1</v>
      </c>
      <c r="I46" s="50">
        <v>5</v>
      </c>
      <c r="J46" s="50">
        <v>2</v>
      </c>
      <c r="K46" s="50">
        <v>0</v>
      </c>
      <c r="L46" s="50">
        <v>0</v>
      </c>
      <c r="M46" s="50">
        <v>128</v>
      </c>
      <c r="N46" s="50">
        <v>0</v>
      </c>
      <c r="O46" s="15">
        <f t="shared" si="0"/>
        <v>74</v>
      </c>
      <c r="P46" s="15">
        <f t="shared" si="1"/>
        <v>202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9</v>
      </c>
      <c r="E47" s="50">
        <v>3</v>
      </c>
      <c r="F47" s="50">
        <v>16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163</v>
      </c>
      <c r="N47" s="50">
        <v>0</v>
      </c>
      <c r="O47" s="15">
        <f t="shared" si="0"/>
        <v>55</v>
      </c>
      <c r="P47" s="15">
        <f t="shared" si="1"/>
        <v>218</v>
      </c>
      <c r="R47" s="8"/>
      <c r="T47"/>
    </row>
    <row r="48" spans="2:20" ht="23.1" customHeight="1" x14ac:dyDescent="0.25">
      <c r="B48" s="24" t="s">
        <v>75</v>
      </c>
      <c r="C48" s="50">
        <v>26</v>
      </c>
      <c r="D48" s="50">
        <v>1</v>
      </c>
      <c r="E48" s="50">
        <v>7</v>
      </c>
      <c r="F48" s="50">
        <v>31</v>
      </c>
      <c r="G48" s="50">
        <v>3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195</v>
      </c>
      <c r="N48" s="50">
        <v>0</v>
      </c>
      <c r="O48" s="15">
        <f t="shared" si="0"/>
        <v>70</v>
      </c>
      <c r="P48" s="15">
        <f t="shared" si="1"/>
        <v>265</v>
      </c>
      <c r="R48" s="8"/>
      <c r="T48"/>
    </row>
    <row r="49" spans="2:20" ht="23.1" customHeight="1" x14ac:dyDescent="0.25">
      <c r="B49" s="23" t="s">
        <v>76</v>
      </c>
      <c r="C49" s="50">
        <v>36</v>
      </c>
      <c r="D49" s="50">
        <v>8</v>
      </c>
      <c r="E49" s="50">
        <v>1</v>
      </c>
      <c r="F49" s="50">
        <v>17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190</v>
      </c>
      <c r="N49" s="50">
        <v>0</v>
      </c>
      <c r="O49" s="15">
        <f t="shared" si="0"/>
        <v>66</v>
      </c>
      <c r="P49" s="15">
        <f t="shared" si="1"/>
        <v>256</v>
      </c>
      <c r="R49" s="8"/>
      <c r="T49"/>
    </row>
    <row r="50" spans="2:20" ht="23.1" customHeight="1" x14ac:dyDescent="0.25">
      <c r="B50" s="24" t="s">
        <v>77</v>
      </c>
      <c r="C50" s="50">
        <v>39</v>
      </c>
      <c r="D50" s="50">
        <v>30</v>
      </c>
      <c r="E50" s="50">
        <v>3</v>
      </c>
      <c r="F50" s="50">
        <v>16</v>
      </c>
      <c r="G50" s="50">
        <v>0</v>
      </c>
      <c r="H50" s="50">
        <v>2</v>
      </c>
      <c r="I50" s="50">
        <v>5</v>
      </c>
      <c r="J50" s="50">
        <v>0</v>
      </c>
      <c r="K50" s="50">
        <v>0</v>
      </c>
      <c r="L50" s="50">
        <v>0</v>
      </c>
      <c r="M50" s="50">
        <v>188</v>
      </c>
      <c r="N50" s="50">
        <v>0</v>
      </c>
      <c r="O50" s="15">
        <f t="shared" si="0"/>
        <v>95</v>
      </c>
      <c r="P50" s="15">
        <f t="shared" si="1"/>
        <v>283</v>
      </c>
      <c r="R50" s="8"/>
      <c r="T50"/>
    </row>
    <row r="51" spans="2:20" ht="23.1" customHeight="1" x14ac:dyDescent="0.25">
      <c r="B51" s="24" t="s">
        <v>78</v>
      </c>
      <c r="C51" s="50">
        <v>36</v>
      </c>
      <c r="D51" s="50">
        <v>18</v>
      </c>
      <c r="E51" s="50">
        <v>3</v>
      </c>
      <c r="F51" s="50">
        <v>30</v>
      </c>
      <c r="G51" s="50">
        <v>0</v>
      </c>
      <c r="H51" s="50">
        <v>2</v>
      </c>
      <c r="I51" s="50">
        <v>2</v>
      </c>
      <c r="J51" s="50">
        <v>0</v>
      </c>
      <c r="K51" s="50">
        <v>0</v>
      </c>
      <c r="L51" s="50">
        <v>0</v>
      </c>
      <c r="M51" s="50">
        <v>192</v>
      </c>
      <c r="N51" s="50">
        <v>0</v>
      </c>
      <c r="O51" s="15">
        <f t="shared" si="0"/>
        <v>91</v>
      </c>
      <c r="P51" s="15">
        <f t="shared" si="1"/>
        <v>283</v>
      </c>
      <c r="R51" s="8"/>
      <c r="T51"/>
    </row>
    <row r="52" spans="2:20" ht="23.1" customHeight="1" x14ac:dyDescent="0.25">
      <c r="B52" s="24" t="s">
        <v>79</v>
      </c>
      <c r="C52" s="50">
        <v>37</v>
      </c>
      <c r="D52" s="50">
        <v>23</v>
      </c>
      <c r="E52" s="50">
        <v>3</v>
      </c>
      <c r="F52" s="50">
        <v>27</v>
      </c>
      <c r="G52" s="50">
        <v>1</v>
      </c>
      <c r="H52" s="50">
        <v>0</v>
      </c>
      <c r="I52" s="50">
        <v>2</v>
      </c>
      <c r="J52" s="50">
        <v>2</v>
      </c>
      <c r="K52" s="50">
        <v>0</v>
      </c>
      <c r="L52" s="50">
        <v>0</v>
      </c>
      <c r="M52" s="50">
        <v>184</v>
      </c>
      <c r="N52" s="50">
        <v>0</v>
      </c>
      <c r="O52" s="15">
        <f t="shared" si="0"/>
        <v>95</v>
      </c>
      <c r="P52" s="15">
        <f t="shared" si="1"/>
        <v>279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9</v>
      </c>
      <c r="E53" s="50">
        <v>1</v>
      </c>
      <c r="F53" s="50">
        <v>22</v>
      </c>
      <c r="G53" s="50">
        <v>0</v>
      </c>
      <c r="H53" s="50">
        <v>0</v>
      </c>
      <c r="I53" s="50">
        <v>7</v>
      </c>
      <c r="J53" s="50">
        <v>1</v>
      </c>
      <c r="K53" s="50">
        <v>0</v>
      </c>
      <c r="L53" s="50">
        <v>1</v>
      </c>
      <c r="M53" s="50">
        <v>204</v>
      </c>
      <c r="N53" s="50">
        <v>0</v>
      </c>
      <c r="O53" s="15">
        <f t="shared" si="0"/>
        <v>73</v>
      </c>
      <c r="P53" s="15">
        <f t="shared" si="1"/>
        <v>277</v>
      </c>
      <c r="R53" s="8"/>
      <c r="T53"/>
    </row>
    <row r="54" spans="2:20" ht="23.1" customHeight="1" x14ac:dyDescent="0.25">
      <c r="B54" s="23" t="s">
        <v>81</v>
      </c>
      <c r="C54" s="50">
        <v>46</v>
      </c>
      <c r="D54" s="50">
        <v>5</v>
      </c>
      <c r="E54" s="50">
        <v>3</v>
      </c>
      <c r="F54" s="50">
        <v>20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188</v>
      </c>
      <c r="N54" s="50">
        <v>0</v>
      </c>
      <c r="O54" s="15">
        <f t="shared" si="0"/>
        <v>76</v>
      </c>
      <c r="P54" s="15">
        <f t="shared" si="1"/>
        <v>264</v>
      </c>
      <c r="R54" s="8"/>
      <c r="T54"/>
    </row>
    <row r="55" spans="2:20" ht="23.1" customHeight="1" x14ac:dyDescent="0.25">
      <c r="B55" s="23" t="s">
        <v>82</v>
      </c>
      <c r="C55" s="50">
        <v>46</v>
      </c>
      <c r="D55" s="50">
        <v>15</v>
      </c>
      <c r="E55" s="50">
        <v>4</v>
      </c>
      <c r="F55" s="50">
        <v>18</v>
      </c>
      <c r="G55" s="50">
        <v>2</v>
      </c>
      <c r="H55" s="50">
        <v>1</v>
      </c>
      <c r="I55" s="50">
        <v>2</v>
      </c>
      <c r="J55" s="50">
        <v>1</v>
      </c>
      <c r="K55" s="50">
        <v>0</v>
      </c>
      <c r="L55" s="50">
        <v>2</v>
      </c>
      <c r="M55" s="50">
        <v>171</v>
      </c>
      <c r="N55" s="50">
        <v>0</v>
      </c>
      <c r="O55" s="15">
        <f t="shared" si="0"/>
        <v>91</v>
      </c>
      <c r="P55" s="15">
        <f t="shared" si="1"/>
        <v>262</v>
      </c>
      <c r="R55" s="8"/>
      <c r="T55"/>
    </row>
    <row r="56" spans="2:20" ht="23.1" customHeight="1" x14ac:dyDescent="0.25">
      <c r="B56" s="23" t="s">
        <v>83</v>
      </c>
      <c r="C56" s="50">
        <v>61</v>
      </c>
      <c r="D56" s="50">
        <v>7</v>
      </c>
      <c r="E56" s="50">
        <v>5</v>
      </c>
      <c r="F56" s="50">
        <v>26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1</v>
      </c>
      <c r="M56" s="50">
        <v>184</v>
      </c>
      <c r="N56" s="50">
        <v>0</v>
      </c>
      <c r="O56" s="15">
        <f t="shared" si="0"/>
        <v>104</v>
      </c>
      <c r="P56" s="15">
        <f t="shared" si="1"/>
        <v>288</v>
      </c>
      <c r="R56" s="8"/>
      <c r="T56"/>
    </row>
    <row r="57" spans="2:20" ht="23.1" customHeight="1" x14ac:dyDescent="0.25">
      <c r="B57" s="23" t="s">
        <v>84</v>
      </c>
      <c r="C57" s="50">
        <v>63</v>
      </c>
      <c r="D57" s="50">
        <v>60</v>
      </c>
      <c r="E57" s="50">
        <v>21</v>
      </c>
      <c r="F57" s="50">
        <v>66</v>
      </c>
      <c r="G57" s="50">
        <v>0</v>
      </c>
      <c r="H57" s="50">
        <v>0</v>
      </c>
      <c r="I57" s="50">
        <v>7</v>
      </c>
      <c r="J57" s="50">
        <v>2</v>
      </c>
      <c r="K57" s="50">
        <v>0</v>
      </c>
      <c r="L57" s="50">
        <v>0</v>
      </c>
      <c r="M57" s="50">
        <v>224</v>
      </c>
      <c r="N57" s="50">
        <v>0</v>
      </c>
      <c r="O57" s="15">
        <f t="shared" si="0"/>
        <v>219</v>
      </c>
      <c r="P57" s="15">
        <f t="shared" si="1"/>
        <v>443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1530</v>
      </c>
      <c r="D58" s="16">
        <f t="shared" si="21"/>
        <v>816</v>
      </c>
      <c r="E58" s="16">
        <f t="shared" si="21"/>
        <v>177</v>
      </c>
      <c r="F58" s="16">
        <f t="shared" si="21"/>
        <v>1223</v>
      </c>
      <c r="G58" s="16">
        <f t="shared" si="21"/>
        <v>15</v>
      </c>
      <c r="H58" s="16">
        <f t="shared" si="21"/>
        <v>18</v>
      </c>
      <c r="I58" s="16">
        <f t="shared" si="21"/>
        <v>165</v>
      </c>
      <c r="J58" s="16">
        <f t="shared" si="21"/>
        <v>60</v>
      </c>
      <c r="K58" s="16">
        <f t="shared" si="21"/>
        <v>15</v>
      </c>
      <c r="L58" s="16">
        <f t="shared" si="21"/>
        <v>16</v>
      </c>
      <c r="M58" s="16">
        <f t="shared" si="21"/>
        <v>7716</v>
      </c>
      <c r="N58" s="16">
        <f t="shared" si="21"/>
        <v>0</v>
      </c>
      <c r="O58" s="16">
        <f t="shared" si="21"/>
        <v>4035</v>
      </c>
      <c r="P58" s="16">
        <f t="shared" si="21"/>
        <v>11751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0.13020168496298187</v>
      </c>
      <c r="D59" s="43">
        <f t="shared" si="22"/>
        <v>6.9440898646923668E-2</v>
      </c>
      <c r="E59" s="43">
        <f t="shared" si="22"/>
        <v>1.5062547868266531E-2</v>
      </c>
      <c r="F59" s="43">
        <f t="shared" si="22"/>
        <v>0.10407624882988682</v>
      </c>
      <c r="G59" s="43">
        <f t="shared" si="22"/>
        <v>1.2764871074802144E-3</v>
      </c>
      <c r="H59" s="43">
        <f t="shared" si="22"/>
        <v>1.5317845289762573E-3</v>
      </c>
      <c r="I59" s="43">
        <f t="shared" si="22"/>
        <v>1.404135818228236E-2</v>
      </c>
      <c r="J59" s="43">
        <f t="shared" si="22"/>
        <v>5.1059484299208575E-3</v>
      </c>
      <c r="K59" s="43">
        <f t="shared" si="22"/>
        <v>1.2764871074802144E-3</v>
      </c>
      <c r="L59" s="43">
        <f t="shared" si="22"/>
        <v>1.3615862479788954E-3</v>
      </c>
      <c r="M59" s="43">
        <f t="shared" si="22"/>
        <v>0.65662496808782234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0.379182156133829</v>
      </c>
      <c r="D60" s="44">
        <f t="shared" ref="D60:N60" si="23">D58/$O$58</f>
        <v>0.20223048327137547</v>
      </c>
      <c r="E60" s="44">
        <f t="shared" si="23"/>
        <v>4.3866171003717473E-2</v>
      </c>
      <c r="F60" s="44">
        <f t="shared" si="23"/>
        <v>0.3030978934324659</v>
      </c>
      <c r="G60" s="44">
        <f t="shared" si="23"/>
        <v>3.7174721189591076E-3</v>
      </c>
      <c r="H60" s="44">
        <f t="shared" si="23"/>
        <v>4.4609665427509295E-3</v>
      </c>
      <c r="I60" s="44">
        <f t="shared" si="23"/>
        <v>4.0892193308550186E-2</v>
      </c>
      <c r="J60" s="44">
        <f t="shared" si="23"/>
        <v>1.4869888475836431E-2</v>
      </c>
      <c r="K60" s="44">
        <f t="shared" si="23"/>
        <v>3.7174721189591076E-3</v>
      </c>
      <c r="L60" s="44">
        <f t="shared" si="23"/>
        <v>3.9653035935563819E-3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I46" zoomScale="60" workbookViewId="0">
      <selection activeCell="X81" sqref="X8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169</v>
      </c>
      <c r="E5" s="66"/>
      <c r="F5" s="41" t="s">
        <v>1</v>
      </c>
      <c r="G5" s="63" t="str">
        <f>'28.07 RUBAGA-KABUSU'!G5:H5</f>
        <v>CHAD SUPERMARKET</v>
      </c>
      <c r="H5" s="64"/>
      <c r="I5" s="14"/>
      <c r="J5" s="2" t="s">
        <v>5</v>
      </c>
      <c r="K5" s="63" t="str">
        <f>'28.07 RUBAGA-KABUSU'!K5:L5</f>
        <v>EMMANUEL EGIMU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'28.07 RUBAGA-KABUSU'!D6:E6</f>
        <v>RUBAGA</v>
      </c>
      <c r="E6" s="64"/>
      <c r="F6" s="2" t="s">
        <v>2</v>
      </c>
      <c r="G6" s="63" t="str">
        <f>'28.07 RUBAGA-KABUSU'!G6:H6</f>
        <v>KABUSU</v>
      </c>
      <c r="H6" s="64"/>
      <c r="J6" s="2" t="s">
        <v>21</v>
      </c>
      <c r="K6" s="63" t="str">
        <f>'28.07 RUBAGA-KABUSU'!K6:L6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RUBAGA-KABUSU'!C10,'23.07 RUBAGA-KABUSU'!C10,'24.07 RUBAGA-KABUSU'!C10,'25.07 RUBAGA-KABUSU'!C10,'26.07 RUBAGA-KABUSU-24h'!C10,'27.07 RUBAGA-KABUSU-24h'!C10,'28.07 RUBAGA-KABUSU'!C10)</f>
        <v>32.571428571428569</v>
      </c>
      <c r="D10" s="49">
        <f>AVERAGE('22.07 RUBAGA-KABUSU'!D10,'23.07 RUBAGA-KABUSU'!D10,'24.07 RUBAGA-KABUSU'!D10,'25.07 RUBAGA-KABUSU'!D10,'26.07 RUBAGA-KABUSU-24h'!D10,'27.07 RUBAGA-KABUSU-24h'!D10,'28.07 RUBAGA-KABUSU'!D10)</f>
        <v>6.2857142857142856</v>
      </c>
      <c r="E10" s="49">
        <f>AVERAGE('22.07 RUBAGA-KABUSU'!E10,'23.07 RUBAGA-KABUSU'!E10,'24.07 RUBAGA-KABUSU'!E10,'25.07 RUBAGA-KABUSU'!E10,'26.07 RUBAGA-KABUSU-24h'!E10,'27.07 RUBAGA-KABUSU-24h'!E10,'28.07 RUBAGA-KABUSU'!E10)</f>
        <v>3.2857142857142856</v>
      </c>
      <c r="F10" s="49">
        <f>AVERAGE('22.07 RUBAGA-KABUSU'!F10,'23.07 RUBAGA-KABUSU'!F10,'24.07 RUBAGA-KABUSU'!F10,'25.07 RUBAGA-KABUSU'!F10,'26.07 RUBAGA-KABUSU-24h'!F10,'27.07 RUBAGA-KABUSU-24h'!F10,'28.07 RUBAGA-KABUSU'!F10)</f>
        <v>17</v>
      </c>
      <c r="G10" s="49">
        <f>AVERAGE('22.07 RUBAGA-KABUSU'!G10,'23.07 RUBAGA-KABUSU'!G10,'24.07 RUBAGA-KABUSU'!G10,'25.07 RUBAGA-KABUSU'!G10,'26.07 RUBAGA-KABUSU-24h'!G10,'27.07 RUBAGA-KABUSU-24h'!G10,'28.07 RUBAGA-KABUSU'!G10)</f>
        <v>0.7142857142857143</v>
      </c>
      <c r="H10" s="49">
        <f>AVERAGE('22.07 RUBAGA-KABUSU'!H10,'23.07 RUBAGA-KABUSU'!H10,'24.07 RUBAGA-KABUSU'!H10,'25.07 RUBAGA-KABUSU'!H10,'26.07 RUBAGA-KABUSU-24h'!H10,'27.07 RUBAGA-KABUSU-24h'!H10,'28.07 RUBAGA-KABUSU'!H10)</f>
        <v>0.42857142857142855</v>
      </c>
      <c r="I10" s="49">
        <f>AVERAGE('22.07 RUBAGA-KABUSU'!I10,'23.07 RUBAGA-KABUSU'!I10,'24.07 RUBAGA-KABUSU'!I10,'25.07 RUBAGA-KABUSU'!I10,'26.07 RUBAGA-KABUSU-24h'!I10,'27.07 RUBAGA-KABUSU-24h'!I10,'28.07 RUBAGA-KABUSU'!I10)</f>
        <v>1.8571428571428572</v>
      </c>
      <c r="J10" s="49">
        <f>AVERAGE('22.07 RUBAGA-KABUSU'!J10,'23.07 RUBAGA-KABUSU'!J10,'24.07 RUBAGA-KABUSU'!J10,'25.07 RUBAGA-KABUSU'!J10,'26.07 RUBAGA-KABUSU-24h'!J10,'27.07 RUBAGA-KABUSU-24h'!J10,'28.07 RUBAGA-KABUSU'!J10)</f>
        <v>0.2857142857142857</v>
      </c>
      <c r="K10" s="49">
        <f>AVERAGE('22.07 RUBAGA-KABUSU'!K10,'23.07 RUBAGA-KABUSU'!K10,'24.07 RUBAGA-KABUSU'!K10,'25.07 RUBAGA-KABUSU'!K10,'26.07 RUBAGA-KABUSU-24h'!K10,'27.07 RUBAGA-KABUSU-24h'!K10,'28.07 RUBAGA-KABUSU'!K10)</f>
        <v>0</v>
      </c>
      <c r="L10" s="49">
        <f>AVERAGE('22.07 RUBAGA-KABUSU'!L10,'23.07 RUBAGA-KABUSU'!L10,'24.07 RUBAGA-KABUSU'!L10,'25.07 RUBAGA-KABUSU'!L10,'26.07 RUBAGA-KABUSU-24h'!L10,'27.07 RUBAGA-KABUSU-24h'!L10,'28.07 RUBAGA-KABUSU'!L10)</f>
        <v>0</v>
      </c>
      <c r="M10" s="49">
        <f>AVERAGE('22.07 RUBAGA-KABUSU'!M10,'23.07 RUBAGA-KABUSU'!M10,'24.07 RUBAGA-KABUSU'!M10,'25.07 RUBAGA-KABUSU'!M10,'26.07 RUBAGA-KABUSU-24h'!M10,'27.07 RUBAGA-KABUSU-24h'!M10,'28.07 RUBAGA-KABUSU'!M10)</f>
        <v>64.142857142857139</v>
      </c>
      <c r="N10" s="49">
        <f>AVERAGE('22.07 RUBAGA-KABUSU'!N10,'23.07 RUBAGA-KABUSU'!N10,'24.07 RUBAGA-KABUSU'!N10,'25.07 RUBAGA-KABUSU'!N10,'26.07 RUBAGA-KABUSU-24h'!N10,'27.07 RUBAGA-KABUSU-24h'!N10,'28.07 RUBAGA-KABUSU'!N10)</f>
        <v>0</v>
      </c>
      <c r="O10" s="15">
        <f t="shared" ref="O10:O57" si="0">SUM(C10:L10,N10)</f>
        <v>62.428571428571423</v>
      </c>
      <c r="P10" s="15">
        <f t="shared" ref="P10:P57" si="1">SUM(C10:N10)</f>
        <v>126.57142857142856</v>
      </c>
      <c r="R10" s="1" t="s">
        <v>6</v>
      </c>
      <c r="S10" s="17">
        <f t="shared" ref="S10:AF10" si="2">SUM(C10:C13)</f>
        <v>105.71428571428571</v>
      </c>
      <c r="T10" s="17">
        <f t="shared" si="2"/>
        <v>17</v>
      </c>
      <c r="U10" s="17">
        <f t="shared" si="2"/>
        <v>8.5714285714285712</v>
      </c>
      <c r="V10" s="17">
        <f t="shared" si="2"/>
        <v>82.714285714285708</v>
      </c>
      <c r="W10" s="17">
        <f t="shared" si="2"/>
        <v>2.4285714285714288</v>
      </c>
      <c r="X10" s="17">
        <f t="shared" si="2"/>
        <v>2.4285714285714284</v>
      </c>
      <c r="Y10" s="17">
        <f t="shared" si="2"/>
        <v>5.7142857142857144</v>
      </c>
      <c r="Z10" s="17">
        <f t="shared" si="2"/>
        <v>3.5714285714285712</v>
      </c>
      <c r="AA10" s="17">
        <f t="shared" si="2"/>
        <v>0.2857142857142857</v>
      </c>
      <c r="AB10" s="17">
        <f t="shared" si="2"/>
        <v>0.5714285714285714</v>
      </c>
      <c r="AC10" s="17">
        <f t="shared" si="2"/>
        <v>387</v>
      </c>
      <c r="AD10" s="17">
        <f t="shared" si="2"/>
        <v>0</v>
      </c>
      <c r="AE10" s="31">
        <f t="shared" si="2"/>
        <v>229</v>
      </c>
      <c r="AF10" s="31">
        <f t="shared" si="2"/>
        <v>616</v>
      </c>
    </row>
    <row r="11" spans="2:32" s="6" customFormat="1" ht="23.1" customHeight="1" x14ac:dyDescent="0.25">
      <c r="B11" s="23" t="s">
        <v>38</v>
      </c>
      <c r="C11" s="49">
        <f>AVERAGE('22.07 RUBAGA-KABUSU'!C11,'23.07 RUBAGA-KABUSU'!C11,'24.07 RUBAGA-KABUSU'!C11,'25.07 RUBAGA-KABUSU'!C11,'26.07 RUBAGA-KABUSU-24h'!C11,'27.07 RUBAGA-KABUSU-24h'!C11,'28.07 RUBAGA-KABUSU'!C11)</f>
        <v>25.714285714285715</v>
      </c>
      <c r="D11" s="49">
        <f>AVERAGE('22.07 RUBAGA-KABUSU'!D11,'23.07 RUBAGA-KABUSU'!D11,'24.07 RUBAGA-KABUSU'!D11,'25.07 RUBAGA-KABUSU'!D11,'26.07 RUBAGA-KABUSU-24h'!D11,'27.07 RUBAGA-KABUSU-24h'!D11,'28.07 RUBAGA-KABUSU'!D11)</f>
        <v>3.7142857142857144</v>
      </c>
      <c r="E11" s="49">
        <f>AVERAGE('22.07 RUBAGA-KABUSU'!E11,'23.07 RUBAGA-KABUSU'!E11,'24.07 RUBAGA-KABUSU'!E11,'25.07 RUBAGA-KABUSU'!E11,'26.07 RUBAGA-KABUSU-24h'!E11,'27.07 RUBAGA-KABUSU-24h'!E11,'28.07 RUBAGA-KABUSU'!E11)</f>
        <v>1.4285714285714286</v>
      </c>
      <c r="F11" s="49">
        <f>AVERAGE('22.07 RUBAGA-KABUSU'!F11,'23.07 RUBAGA-KABUSU'!F11,'24.07 RUBAGA-KABUSU'!F11,'25.07 RUBAGA-KABUSU'!F11,'26.07 RUBAGA-KABUSU-24h'!F11,'27.07 RUBAGA-KABUSU-24h'!F11,'28.07 RUBAGA-KABUSU'!F11)</f>
        <v>21.142857142857142</v>
      </c>
      <c r="G11" s="49">
        <f>AVERAGE('22.07 RUBAGA-KABUSU'!G11,'23.07 RUBAGA-KABUSU'!G11,'24.07 RUBAGA-KABUSU'!G11,'25.07 RUBAGA-KABUSU'!G11,'26.07 RUBAGA-KABUSU-24h'!G11,'27.07 RUBAGA-KABUSU-24h'!G11,'28.07 RUBAGA-KABUSU'!G11)</f>
        <v>0.2857142857142857</v>
      </c>
      <c r="H11" s="49">
        <f>AVERAGE('22.07 RUBAGA-KABUSU'!H11,'23.07 RUBAGA-KABUSU'!H11,'24.07 RUBAGA-KABUSU'!H11,'25.07 RUBAGA-KABUSU'!H11,'26.07 RUBAGA-KABUSU-24h'!H11,'27.07 RUBAGA-KABUSU-24h'!H11,'28.07 RUBAGA-KABUSU'!H11)</f>
        <v>0.7142857142857143</v>
      </c>
      <c r="I11" s="49">
        <f>AVERAGE('22.07 RUBAGA-KABUSU'!I11,'23.07 RUBAGA-KABUSU'!I11,'24.07 RUBAGA-KABUSU'!I11,'25.07 RUBAGA-KABUSU'!I11,'26.07 RUBAGA-KABUSU-24h'!I11,'27.07 RUBAGA-KABUSU-24h'!I11,'28.07 RUBAGA-KABUSU'!I11)</f>
        <v>0.8571428571428571</v>
      </c>
      <c r="J11" s="49">
        <f>AVERAGE('22.07 RUBAGA-KABUSU'!J11,'23.07 RUBAGA-KABUSU'!J11,'24.07 RUBAGA-KABUSU'!J11,'25.07 RUBAGA-KABUSU'!J11,'26.07 RUBAGA-KABUSU-24h'!J11,'27.07 RUBAGA-KABUSU-24h'!J11,'28.07 RUBAGA-KABUSU'!J11)</f>
        <v>1.1428571428571428</v>
      </c>
      <c r="K11" s="49">
        <f>AVERAGE('22.07 RUBAGA-KABUSU'!K11,'23.07 RUBAGA-KABUSU'!K11,'24.07 RUBAGA-KABUSU'!K11,'25.07 RUBAGA-KABUSU'!K11,'26.07 RUBAGA-KABUSU-24h'!K11,'27.07 RUBAGA-KABUSU-24h'!K11,'28.07 RUBAGA-KABUSU'!K11)</f>
        <v>0</v>
      </c>
      <c r="L11" s="49">
        <f>AVERAGE('22.07 RUBAGA-KABUSU'!L11,'23.07 RUBAGA-KABUSU'!L11,'24.07 RUBAGA-KABUSU'!L11,'25.07 RUBAGA-KABUSU'!L11,'26.07 RUBAGA-KABUSU-24h'!L11,'27.07 RUBAGA-KABUSU-24h'!L11,'28.07 RUBAGA-KABUSU'!L11)</f>
        <v>0.2857142857142857</v>
      </c>
      <c r="M11" s="49">
        <f>AVERAGE('22.07 RUBAGA-KABUSU'!M11,'23.07 RUBAGA-KABUSU'!M11,'24.07 RUBAGA-KABUSU'!M11,'25.07 RUBAGA-KABUSU'!M11,'26.07 RUBAGA-KABUSU-24h'!M11,'27.07 RUBAGA-KABUSU-24h'!M11,'28.07 RUBAGA-KABUSU'!M11)</f>
        <v>88.571428571428569</v>
      </c>
      <c r="N11" s="49">
        <f>AVERAGE('22.07 RUBAGA-KABUSU'!N11,'23.07 RUBAGA-KABUSU'!N11,'24.07 RUBAGA-KABUSU'!N11,'25.07 RUBAGA-KABUSU'!N11,'26.07 RUBAGA-KABUSU-24h'!N11,'27.07 RUBAGA-KABUSU-24h'!N11,'28.07 RUBAGA-KABUSU'!N11)</f>
        <v>0</v>
      </c>
      <c r="O11" s="15">
        <f t="shared" si="0"/>
        <v>55.285714285714285</v>
      </c>
      <c r="P11" s="15">
        <f t="shared" si="1"/>
        <v>143.85714285714286</v>
      </c>
      <c r="R11" s="1" t="s">
        <v>7</v>
      </c>
      <c r="S11" s="17">
        <f t="shared" ref="S11:AF11" si="3">SUM(C14:C17)</f>
        <v>76.714285714285722</v>
      </c>
      <c r="T11" s="17">
        <f t="shared" si="3"/>
        <v>16.285714285714285</v>
      </c>
      <c r="U11" s="17">
        <f t="shared" si="3"/>
        <v>7.8571428571428577</v>
      </c>
      <c r="V11" s="17">
        <f t="shared" si="3"/>
        <v>84.428571428571416</v>
      </c>
      <c r="W11" s="17">
        <f t="shared" si="3"/>
        <v>2.2857142857142856</v>
      </c>
      <c r="X11" s="17">
        <f t="shared" si="3"/>
        <v>2.714285714285714</v>
      </c>
      <c r="Y11" s="17">
        <f t="shared" si="3"/>
        <v>11.285714285714285</v>
      </c>
      <c r="Z11" s="17">
        <f t="shared" si="3"/>
        <v>6.8571428571428568</v>
      </c>
      <c r="AA11" s="17">
        <f t="shared" si="3"/>
        <v>1.2857142857142856</v>
      </c>
      <c r="AB11" s="17">
        <f t="shared" si="3"/>
        <v>1.5714285714285712</v>
      </c>
      <c r="AC11" s="17">
        <f t="shared" si="3"/>
        <v>699.71428571428578</v>
      </c>
      <c r="AD11" s="17">
        <f t="shared" si="3"/>
        <v>0</v>
      </c>
      <c r="AE11" s="31">
        <f t="shared" si="3"/>
        <v>211.28571428571431</v>
      </c>
      <c r="AF11" s="31">
        <f t="shared" si="3"/>
        <v>911</v>
      </c>
    </row>
    <row r="12" spans="2:32" ht="23.1" customHeight="1" x14ac:dyDescent="0.25">
      <c r="B12" s="23" t="s">
        <v>39</v>
      </c>
      <c r="C12" s="49">
        <f>AVERAGE('22.07 RUBAGA-KABUSU'!C12,'23.07 RUBAGA-KABUSU'!C12,'24.07 RUBAGA-KABUSU'!C12,'25.07 RUBAGA-KABUSU'!C12,'26.07 RUBAGA-KABUSU-24h'!C12,'27.07 RUBAGA-KABUSU-24h'!C12,'28.07 RUBAGA-KABUSU'!C12)</f>
        <v>20</v>
      </c>
      <c r="D12" s="49">
        <f>AVERAGE('22.07 RUBAGA-KABUSU'!D12,'23.07 RUBAGA-KABUSU'!D12,'24.07 RUBAGA-KABUSU'!D12,'25.07 RUBAGA-KABUSU'!D12,'26.07 RUBAGA-KABUSU-24h'!D12,'27.07 RUBAGA-KABUSU-24h'!D12,'28.07 RUBAGA-KABUSU'!D12)</f>
        <v>2.8571428571428572</v>
      </c>
      <c r="E12" s="49">
        <f>AVERAGE('22.07 RUBAGA-KABUSU'!E12,'23.07 RUBAGA-KABUSU'!E12,'24.07 RUBAGA-KABUSU'!E12,'25.07 RUBAGA-KABUSU'!E12,'26.07 RUBAGA-KABUSU-24h'!E12,'27.07 RUBAGA-KABUSU-24h'!E12,'28.07 RUBAGA-KABUSU'!E12)</f>
        <v>2.2857142857142856</v>
      </c>
      <c r="F12" s="49">
        <f>AVERAGE('22.07 RUBAGA-KABUSU'!F12,'23.07 RUBAGA-KABUSU'!F12,'24.07 RUBAGA-KABUSU'!F12,'25.07 RUBAGA-KABUSU'!F12,'26.07 RUBAGA-KABUSU-24h'!F12,'27.07 RUBAGA-KABUSU-24h'!F12,'28.07 RUBAGA-KABUSU'!F12)</f>
        <v>21</v>
      </c>
      <c r="G12" s="49">
        <f>AVERAGE('22.07 RUBAGA-KABUSU'!G12,'23.07 RUBAGA-KABUSU'!G12,'24.07 RUBAGA-KABUSU'!G12,'25.07 RUBAGA-KABUSU'!G12,'26.07 RUBAGA-KABUSU-24h'!G12,'27.07 RUBAGA-KABUSU-24h'!G12,'28.07 RUBAGA-KABUSU'!G12)</f>
        <v>0.7142857142857143</v>
      </c>
      <c r="H12" s="49">
        <f>AVERAGE('22.07 RUBAGA-KABUSU'!H12,'23.07 RUBAGA-KABUSU'!H12,'24.07 RUBAGA-KABUSU'!H12,'25.07 RUBAGA-KABUSU'!H12,'26.07 RUBAGA-KABUSU-24h'!H12,'27.07 RUBAGA-KABUSU-24h'!H12,'28.07 RUBAGA-KABUSU'!H12)</f>
        <v>1.1428571428571428</v>
      </c>
      <c r="I12" s="49">
        <f>AVERAGE('22.07 RUBAGA-KABUSU'!I12,'23.07 RUBAGA-KABUSU'!I12,'24.07 RUBAGA-KABUSU'!I12,'25.07 RUBAGA-KABUSU'!I12,'26.07 RUBAGA-KABUSU-24h'!I12,'27.07 RUBAGA-KABUSU-24h'!I12,'28.07 RUBAGA-KABUSU'!I12)</f>
        <v>1.1428571428571428</v>
      </c>
      <c r="J12" s="49">
        <f>AVERAGE('22.07 RUBAGA-KABUSU'!J12,'23.07 RUBAGA-KABUSU'!J12,'24.07 RUBAGA-KABUSU'!J12,'25.07 RUBAGA-KABUSU'!J12,'26.07 RUBAGA-KABUSU-24h'!J12,'27.07 RUBAGA-KABUSU-24h'!J12,'28.07 RUBAGA-KABUSU'!J12)</f>
        <v>1</v>
      </c>
      <c r="K12" s="49">
        <f>AVERAGE('22.07 RUBAGA-KABUSU'!K12,'23.07 RUBAGA-KABUSU'!K12,'24.07 RUBAGA-KABUSU'!K12,'25.07 RUBAGA-KABUSU'!K12,'26.07 RUBAGA-KABUSU-24h'!K12,'27.07 RUBAGA-KABUSU-24h'!K12,'28.07 RUBAGA-KABUSU'!K12)</f>
        <v>0.14285714285714285</v>
      </c>
      <c r="L12" s="49">
        <f>AVERAGE('22.07 RUBAGA-KABUSU'!L12,'23.07 RUBAGA-KABUSU'!L12,'24.07 RUBAGA-KABUSU'!L12,'25.07 RUBAGA-KABUSU'!L12,'26.07 RUBAGA-KABUSU-24h'!L12,'27.07 RUBAGA-KABUSU-24h'!L12,'28.07 RUBAGA-KABUSU'!L12)</f>
        <v>0.2857142857142857</v>
      </c>
      <c r="M12" s="49">
        <f>AVERAGE('22.07 RUBAGA-KABUSU'!M12,'23.07 RUBAGA-KABUSU'!M12,'24.07 RUBAGA-KABUSU'!M12,'25.07 RUBAGA-KABUSU'!M12,'26.07 RUBAGA-KABUSU-24h'!M12,'27.07 RUBAGA-KABUSU-24h'!M12,'28.07 RUBAGA-KABUSU'!M12)</f>
        <v>103.57142857142857</v>
      </c>
      <c r="N12" s="49">
        <f>AVERAGE('22.07 RUBAGA-KABUSU'!N12,'23.07 RUBAGA-KABUSU'!N12,'24.07 RUBAGA-KABUSU'!N12,'25.07 RUBAGA-KABUSU'!N12,'26.07 RUBAGA-KABUSU-24h'!N12,'27.07 RUBAGA-KABUSU-24h'!N12,'28.07 RUBAGA-KABUSU'!N12)</f>
        <v>0</v>
      </c>
      <c r="O12" s="15">
        <f t="shared" si="0"/>
        <v>50.571428571428577</v>
      </c>
      <c r="P12" s="15">
        <f t="shared" si="1"/>
        <v>154.14285714285714</v>
      </c>
      <c r="R12" s="1" t="s">
        <v>8</v>
      </c>
      <c r="S12" s="17">
        <f t="shared" ref="S12:AF12" si="4">SUM(C18:C21)</f>
        <v>85.142857142857139</v>
      </c>
      <c r="T12" s="17">
        <f t="shared" si="4"/>
        <v>14.571428571428571</v>
      </c>
      <c r="U12" s="17">
        <f t="shared" si="4"/>
        <v>11.142857142857142</v>
      </c>
      <c r="V12" s="17">
        <f t="shared" si="4"/>
        <v>80.285714285714278</v>
      </c>
      <c r="W12" s="17">
        <f t="shared" si="4"/>
        <v>2.8571428571428568</v>
      </c>
      <c r="X12" s="17">
        <f t="shared" si="4"/>
        <v>0.8571428571428571</v>
      </c>
      <c r="Y12" s="17">
        <f t="shared" si="4"/>
        <v>9</v>
      </c>
      <c r="Z12" s="17">
        <f t="shared" si="4"/>
        <v>11</v>
      </c>
      <c r="AA12" s="17">
        <f t="shared" si="4"/>
        <v>1.1428571428571428</v>
      </c>
      <c r="AB12" s="17">
        <f t="shared" si="4"/>
        <v>25</v>
      </c>
      <c r="AC12" s="17">
        <f t="shared" si="4"/>
        <v>617.28571428571422</v>
      </c>
      <c r="AD12" s="17">
        <f t="shared" si="4"/>
        <v>0</v>
      </c>
      <c r="AE12" s="31">
        <f t="shared" si="4"/>
        <v>241</v>
      </c>
      <c r="AF12" s="31">
        <f t="shared" si="4"/>
        <v>858.28571428571433</v>
      </c>
    </row>
    <row r="13" spans="2:32" ht="23.1" customHeight="1" x14ac:dyDescent="0.25">
      <c r="B13" s="23" t="s">
        <v>40</v>
      </c>
      <c r="C13" s="49">
        <f>AVERAGE('22.07 RUBAGA-KABUSU'!C13,'23.07 RUBAGA-KABUSU'!C13,'24.07 RUBAGA-KABUSU'!C13,'25.07 RUBAGA-KABUSU'!C13,'26.07 RUBAGA-KABUSU-24h'!C13,'27.07 RUBAGA-KABUSU-24h'!C13,'28.07 RUBAGA-KABUSU'!C13)</f>
        <v>27.428571428571427</v>
      </c>
      <c r="D13" s="49">
        <f>AVERAGE('22.07 RUBAGA-KABUSU'!D13,'23.07 RUBAGA-KABUSU'!D13,'24.07 RUBAGA-KABUSU'!D13,'25.07 RUBAGA-KABUSU'!D13,'26.07 RUBAGA-KABUSU-24h'!D13,'27.07 RUBAGA-KABUSU-24h'!D13,'28.07 RUBAGA-KABUSU'!D13)</f>
        <v>4.1428571428571432</v>
      </c>
      <c r="E13" s="49">
        <f>AVERAGE('22.07 RUBAGA-KABUSU'!E13,'23.07 RUBAGA-KABUSU'!E13,'24.07 RUBAGA-KABUSU'!E13,'25.07 RUBAGA-KABUSU'!E13,'26.07 RUBAGA-KABUSU-24h'!E13,'27.07 RUBAGA-KABUSU-24h'!E13,'28.07 RUBAGA-KABUSU'!E13)</f>
        <v>1.5714285714285714</v>
      </c>
      <c r="F13" s="49">
        <f>AVERAGE('22.07 RUBAGA-KABUSU'!F13,'23.07 RUBAGA-KABUSU'!F13,'24.07 RUBAGA-KABUSU'!F13,'25.07 RUBAGA-KABUSU'!F13,'26.07 RUBAGA-KABUSU-24h'!F13,'27.07 RUBAGA-KABUSU-24h'!F13,'28.07 RUBAGA-KABUSU'!F13)</f>
        <v>23.571428571428573</v>
      </c>
      <c r="G13" s="49">
        <f>AVERAGE('22.07 RUBAGA-KABUSU'!G13,'23.07 RUBAGA-KABUSU'!G13,'24.07 RUBAGA-KABUSU'!G13,'25.07 RUBAGA-KABUSU'!G13,'26.07 RUBAGA-KABUSU-24h'!G13,'27.07 RUBAGA-KABUSU-24h'!G13,'28.07 RUBAGA-KABUSU'!G13)</f>
        <v>0.7142857142857143</v>
      </c>
      <c r="H13" s="49">
        <f>AVERAGE('22.07 RUBAGA-KABUSU'!H13,'23.07 RUBAGA-KABUSU'!H13,'24.07 RUBAGA-KABUSU'!H13,'25.07 RUBAGA-KABUSU'!H13,'26.07 RUBAGA-KABUSU-24h'!H13,'27.07 RUBAGA-KABUSU-24h'!H13,'28.07 RUBAGA-KABUSU'!H13)</f>
        <v>0.14285714285714285</v>
      </c>
      <c r="I13" s="49">
        <f>AVERAGE('22.07 RUBAGA-KABUSU'!I13,'23.07 RUBAGA-KABUSU'!I13,'24.07 RUBAGA-KABUSU'!I13,'25.07 RUBAGA-KABUSU'!I13,'26.07 RUBAGA-KABUSU-24h'!I13,'27.07 RUBAGA-KABUSU-24h'!I13,'28.07 RUBAGA-KABUSU'!I13)</f>
        <v>1.8571428571428572</v>
      </c>
      <c r="J13" s="49">
        <f>AVERAGE('22.07 RUBAGA-KABUSU'!J13,'23.07 RUBAGA-KABUSU'!J13,'24.07 RUBAGA-KABUSU'!J13,'25.07 RUBAGA-KABUSU'!J13,'26.07 RUBAGA-KABUSU-24h'!J13,'27.07 RUBAGA-KABUSU-24h'!J13,'28.07 RUBAGA-KABUSU'!J13)</f>
        <v>1.1428571428571428</v>
      </c>
      <c r="K13" s="49">
        <f>AVERAGE('22.07 RUBAGA-KABUSU'!K13,'23.07 RUBAGA-KABUSU'!K13,'24.07 RUBAGA-KABUSU'!K13,'25.07 RUBAGA-KABUSU'!K13,'26.07 RUBAGA-KABUSU-24h'!K13,'27.07 RUBAGA-KABUSU-24h'!K13,'28.07 RUBAGA-KABUSU'!K13)</f>
        <v>0.14285714285714285</v>
      </c>
      <c r="L13" s="49">
        <f>AVERAGE('22.07 RUBAGA-KABUSU'!L13,'23.07 RUBAGA-KABUSU'!L13,'24.07 RUBAGA-KABUSU'!L13,'25.07 RUBAGA-KABUSU'!L13,'26.07 RUBAGA-KABUSU-24h'!L13,'27.07 RUBAGA-KABUSU-24h'!L13,'28.07 RUBAGA-KABUSU'!L13)</f>
        <v>0</v>
      </c>
      <c r="M13" s="49">
        <f>AVERAGE('22.07 RUBAGA-KABUSU'!M13,'23.07 RUBAGA-KABUSU'!M13,'24.07 RUBAGA-KABUSU'!M13,'25.07 RUBAGA-KABUSU'!M13,'26.07 RUBAGA-KABUSU-24h'!M13,'27.07 RUBAGA-KABUSU-24h'!M13,'28.07 RUBAGA-KABUSU'!M13)</f>
        <v>130.71428571428572</v>
      </c>
      <c r="N13" s="49">
        <f>AVERAGE('22.07 RUBAGA-KABUSU'!N13,'23.07 RUBAGA-KABUSU'!N13,'24.07 RUBAGA-KABUSU'!N13,'25.07 RUBAGA-KABUSU'!N13,'26.07 RUBAGA-KABUSU-24h'!N13,'27.07 RUBAGA-KABUSU-24h'!N13,'28.07 RUBAGA-KABUSU'!N13)</f>
        <v>0</v>
      </c>
      <c r="O13" s="15">
        <f t="shared" si="0"/>
        <v>60.714285714285715</v>
      </c>
      <c r="P13" s="15">
        <f t="shared" si="1"/>
        <v>191.42857142857144</v>
      </c>
      <c r="R13" s="1" t="s">
        <v>9</v>
      </c>
      <c r="S13" s="17">
        <f t="shared" ref="S13:AF13" si="5">SUM(C22:C25)</f>
        <v>84.285714285714292</v>
      </c>
      <c r="T13" s="17">
        <f t="shared" si="5"/>
        <v>18.571428571428573</v>
      </c>
      <c r="U13" s="17">
        <f t="shared" si="5"/>
        <v>11.285714285714285</v>
      </c>
      <c r="V13" s="17">
        <f t="shared" si="5"/>
        <v>62.714285714285715</v>
      </c>
      <c r="W13" s="17">
        <f t="shared" si="5"/>
        <v>1.8571428571428572</v>
      </c>
      <c r="X13" s="17">
        <f t="shared" si="5"/>
        <v>1.2857142857142856</v>
      </c>
      <c r="Y13" s="17">
        <f t="shared" si="5"/>
        <v>13</v>
      </c>
      <c r="Z13" s="17">
        <f t="shared" si="5"/>
        <v>10.428571428571429</v>
      </c>
      <c r="AA13" s="17">
        <f t="shared" si="5"/>
        <v>1.8571428571428572</v>
      </c>
      <c r="AB13" s="17">
        <f t="shared" si="5"/>
        <v>0.42857142857142855</v>
      </c>
      <c r="AC13" s="17">
        <f t="shared" si="5"/>
        <v>558.57142857142856</v>
      </c>
      <c r="AD13" s="17">
        <f t="shared" si="5"/>
        <v>0</v>
      </c>
      <c r="AE13" s="31">
        <f t="shared" si="5"/>
        <v>205.71428571428572</v>
      </c>
      <c r="AF13" s="31">
        <f t="shared" si="5"/>
        <v>764.28571428571433</v>
      </c>
    </row>
    <row r="14" spans="2:32" ht="23.1" customHeight="1" x14ac:dyDescent="0.25">
      <c r="B14" s="23" t="s">
        <v>41</v>
      </c>
      <c r="C14" s="49">
        <f>AVERAGE('22.07 RUBAGA-KABUSU'!C14,'23.07 RUBAGA-KABUSU'!C14,'24.07 RUBAGA-KABUSU'!C14,'25.07 RUBAGA-KABUSU'!C14,'26.07 RUBAGA-KABUSU-24h'!C14,'27.07 RUBAGA-KABUSU-24h'!C14,'28.07 RUBAGA-KABUSU'!C14)</f>
        <v>18.571428571428573</v>
      </c>
      <c r="D14" s="49">
        <f>AVERAGE('22.07 RUBAGA-KABUSU'!D14,'23.07 RUBAGA-KABUSU'!D14,'24.07 RUBAGA-KABUSU'!D14,'25.07 RUBAGA-KABUSU'!D14,'26.07 RUBAGA-KABUSU-24h'!D14,'27.07 RUBAGA-KABUSU-24h'!D14,'28.07 RUBAGA-KABUSU'!D14)</f>
        <v>3.4285714285714284</v>
      </c>
      <c r="E14" s="49">
        <f>AVERAGE('22.07 RUBAGA-KABUSU'!E14,'23.07 RUBAGA-KABUSU'!E14,'24.07 RUBAGA-KABUSU'!E14,'25.07 RUBAGA-KABUSU'!E14,'26.07 RUBAGA-KABUSU-24h'!E14,'27.07 RUBAGA-KABUSU-24h'!E14,'28.07 RUBAGA-KABUSU'!E14)</f>
        <v>1.7142857142857142</v>
      </c>
      <c r="F14" s="49">
        <f>AVERAGE('22.07 RUBAGA-KABUSU'!F14,'23.07 RUBAGA-KABUSU'!F14,'24.07 RUBAGA-KABUSU'!F14,'25.07 RUBAGA-KABUSU'!F14,'26.07 RUBAGA-KABUSU-24h'!F14,'27.07 RUBAGA-KABUSU-24h'!F14,'28.07 RUBAGA-KABUSU'!F14)</f>
        <v>21.428571428571427</v>
      </c>
      <c r="G14" s="49">
        <f>AVERAGE('22.07 RUBAGA-KABUSU'!G14,'23.07 RUBAGA-KABUSU'!G14,'24.07 RUBAGA-KABUSU'!G14,'25.07 RUBAGA-KABUSU'!G14,'26.07 RUBAGA-KABUSU-24h'!G14,'27.07 RUBAGA-KABUSU-24h'!G14,'28.07 RUBAGA-KABUSU'!G14)</f>
        <v>0.7142857142857143</v>
      </c>
      <c r="H14" s="49">
        <f>AVERAGE('22.07 RUBAGA-KABUSU'!H14,'23.07 RUBAGA-KABUSU'!H14,'24.07 RUBAGA-KABUSU'!H14,'25.07 RUBAGA-KABUSU'!H14,'26.07 RUBAGA-KABUSU-24h'!H14,'27.07 RUBAGA-KABUSU-24h'!H14,'28.07 RUBAGA-KABUSU'!H14)</f>
        <v>0.5714285714285714</v>
      </c>
      <c r="I14" s="49">
        <f>AVERAGE('22.07 RUBAGA-KABUSU'!I14,'23.07 RUBAGA-KABUSU'!I14,'24.07 RUBAGA-KABUSU'!I14,'25.07 RUBAGA-KABUSU'!I14,'26.07 RUBAGA-KABUSU-24h'!I14,'27.07 RUBAGA-KABUSU-24h'!I14,'28.07 RUBAGA-KABUSU'!I14)</f>
        <v>3.5714285714285716</v>
      </c>
      <c r="J14" s="49">
        <f>AVERAGE('22.07 RUBAGA-KABUSU'!J14,'23.07 RUBAGA-KABUSU'!J14,'24.07 RUBAGA-KABUSU'!J14,'25.07 RUBAGA-KABUSU'!J14,'26.07 RUBAGA-KABUSU-24h'!J14,'27.07 RUBAGA-KABUSU-24h'!J14,'28.07 RUBAGA-KABUSU'!J14)</f>
        <v>1.1428571428571428</v>
      </c>
      <c r="K14" s="49">
        <f>AVERAGE('22.07 RUBAGA-KABUSU'!K14,'23.07 RUBAGA-KABUSU'!K14,'24.07 RUBAGA-KABUSU'!K14,'25.07 RUBAGA-KABUSU'!K14,'26.07 RUBAGA-KABUSU-24h'!K14,'27.07 RUBAGA-KABUSU-24h'!K14,'28.07 RUBAGA-KABUSU'!K14)</f>
        <v>0.14285714285714285</v>
      </c>
      <c r="L14" s="49">
        <f>AVERAGE('22.07 RUBAGA-KABUSU'!L14,'23.07 RUBAGA-KABUSU'!L14,'24.07 RUBAGA-KABUSU'!L14,'25.07 RUBAGA-KABUSU'!L14,'26.07 RUBAGA-KABUSU-24h'!L14,'27.07 RUBAGA-KABUSU-24h'!L14,'28.07 RUBAGA-KABUSU'!L14)</f>
        <v>0.2857142857142857</v>
      </c>
      <c r="M14" s="49">
        <f>AVERAGE('22.07 RUBAGA-KABUSU'!M14,'23.07 RUBAGA-KABUSU'!M14,'24.07 RUBAGA-KABUSU'!M14,'25.07 RUBAGA-KABUSU'!M14,'26.07 RUBAGA-KABUSU-24h'!M14,'27.07 RUBAGA-KABUSU-24h'!M14,'28.07 RUBAGA-KABUSU'!M14)</f>
        <v>153.71428571428572</v>
      </c>
      <c r="N14" s="49">
        <f>AVERAGE('22.07 RUBAGA-KABUSU'!N14,'23.07 RUBAGA-KABUSU'!N14,'24.07 RUBAGA-KABUSU'!N14,'25.07 RUBAGA-KABUSU'!N14,'26.07 RUBAGA-KABUSU-24h'!N14,'27.07 RUBAGA-KABUSU-24h'!N14,'28.07 RUBAGA-KABUSU'!N14)</f>
        <v>0</v>
      </c>
      <c r="O14" s="15">
        <f t="shared" si="0"/>
        <v>51.571428571428569</v>
      </c>
      <c r="P14" s="15">
        <f t="shared" si="1"/>
        <v>205.28571428571428</v>
      </c>
      <c r="R14" s="1" t="s">
        <v>10</v>
      </c>
      <c r="S14" s="17">
        <f t="shared" ref="S14:AF14" si="6">SUM(C26:C29)</f>
        <v>119.14285714285714</v>
      </c>
      <c r="T14" s="17">
        <f t="shared" si="6"/>
        <v>21.571428571428573</v>
      </c>
      <c r="U14" s="17">
        <f t="shared" si="6"/>
        <v>13.714285714285715</v>
      </c>
      <c r="V14" s="17">
        <f t="shared" si="6"/>
        <v>60.285714285714285</v>
      </c>
      <c r="W14" s="17">
        <f t="shared" si="6"/>
        <v>1.1428571428571428</v>
      </c>
      <c r="X14" s="17">
        <f t="shared" si="6"/>
        <v>0.71428571428571419</v>
      </c>
      <c r="Y14" s="17">
        <f t="shared" si="6"/>
        <v>12.428571428571429</v>
      </c>
      <c r="Z14" s="17">
        <f t="shared" si="6"/>
        <v>10.857142857142858</v>
      </c>
      <c r="AA14" s="17">
        <f t="shared" si="6"/>
        <v>3.7142857142857144</v>
      </c>
      <c r="AB14" s="17">
        <f t="shared" si="6"/>
        <v>1.2857142857142856</v>
      </c>
      <c r="AC14" s="17">
        <f t="shared" si="6"/>
        <v>545.42857142857144</v>
      </c>
      <c r="AD14" s="17">
        <f t="shared" si="6"/>
        <v>0</v>
      </c>
      <c r="AE14" s="31">
        <f t="shared" si="6"/>
        <v>244.85714285714283</v>
      </c>
      <c r="AF14" s="31">
        <f t="shared" si="6"/>
        <v>790.28571428571433</v>
      </c>
    </row>
    <row r="15" spans="2:32" ht="23.1" customHeight="1" x14ac:dyDescent="0.25">
      <c r="B15" s="23" t="s">
        <v>42</v>
      </c>
      <c r="C15" s="49">
        <f>AVERAGE('22.07 RUBAGA-KABUSU'!C15,'23.07 RUBAGA-KABUSU'!C15,'24.07 RUBAGA-KABUSU'!C15,'25.07 RUBAGA-KABUSU'!C15,'26.07 RUBAGA-KABUSU-24h'!C15,'27.07 RUBAGA-KABUSU-24h'!C15,'28.07 RUBAGA-KABUSU'!C15)</f>
        <v>23.142857142857142</v>
      </c>
      <c r="D15" s="49">
        <f>AVERAGE('22.07 RUBAGA-KABUSU'!D15,'23.07 RUBAGA-KABUSU'!D15,'24.07 RUBAGA-KABUSU'!D15,'25.07 RUBAGA-KABUSU'!D15,'26.07 RUBAGA-KABUSU-24h'!D15,'27.07 RUBAGA-KABUSU-24h'!D15,'28.07 RUBAGA-KABUSU'!D15)</f>
        <v>4.5714285714285712</v>
      </c>
      <c r="E15" s="49">
        <f>AVERAGE('22.07 RUBAGA-KABUSU'!E15,'23.07 RUBAGA-KABUSU'!E15,'24.07 RUBAGA-KABUSU'!E15,'25.07 RUBAGA-KABUSU'!E15,'26.07 RUBAGA-KABUSU-24h'!E15,'27.07 RUBAGA-KABUSU-24h'!E15,'28.07 RUBAGA-KABUSU'!E15)</f>
        <v>2.2857142857142856</v>
      </c>
      <c r="F15" s="49">
        <f>AVERAGE('22.07 RUBAGA-KABUSU'!F15,'23.07 RUBAGA-KABUSU'!F15,'24.07 RUBAGA-KABUSU'!F15,'25.07 RUBAGA-KABUSU'!F15,'26.07 RUBAGA-KABUSU-24h'!F15,'27.07 RUBAGA-KABUSU-24h'!F15,'28.07 RUBAGA-KABUSU'!F15)</f>
        <v>19.285714285714285</v>
      </c>
      <c r="G15" s="49">
        <f>AVERAGE('22.07 RUBAGA-KABUSU'!G15,'23.07 RUBAGA-KABUSU'!G15,'24.07 RUBAGA-KABUSU'!G15,'25.07 RUBAGA-KABUSU'!G15,'26.07 RUBAGA-KABUSU-24h'!G15,'27.07 RUBAGA-KABUSU-24h'!G15,'28.07 RUBAGA-KABUSU'!G15)</f>
        <v>0.7142857142857143</v>
      </c>
      <c r="H15" s="49">
        <f>AVERAGE('22.07 RUBAGA-KABUSU'!H15,'23.07 RUBAGA-KABUSU'!H15,'24.07 RUBAGA-KABUSU'!H15,'25.07 RUBAGA-KABUSU'!H15,'26.07 RUBAGA-KABUSU-24h'!H15,'27.07 RUBAGA-KABUSU-24h'!H15,'28.07 RUBAGA-KABUSU'!H15)</f>
        <v>0.5714285714285714</v>
      </c>
      <c r="I15" s="49">
        <f>AVERAGE('22.07 RUBAGA-KABUSU'!I15,'23.07 RUBAGA-KABUSU'!I15,'24.07 RUBAGA-KABUSU'!I15,'25.07 RUBAGA-KABUSU'!I15,'26.07 RUBAGA-KABUSU-24h'!I15,'27.07 RUBAGA-KABUSU-24h'!I15,'28.07 RUBAGA-KABUSU'!I15)</f>
        <v>2.4285714285714284</v>
      </c>
      <c r="J15" s="49">
        <f>AVERAGE('22.07 RUBAGA-KABUSU'!J15,'23.07 RUBAGA-KABUSU'!J15,'24.07 RUBAGA-KABUSU'!J15,'25.07 RUBAGA-KABUSU'!J15,'26.07 RUBAGA-KABUSU-24h'!J15,'27.07 RUBAGA-KABUSU-24h'!J15,'28.07 RUBAGA-KABUSU'!J15)</f>
        <v>1.7142857142857142</v>
      </c>
      <c r="K15" s="49">
        <f>AVERAGE('22.07 RUBAGA-KABUSU'!K15,'23.07 RUBAGA-KABUSU'!K15,'24.07 RUBAGA-KABUSU'!K15,'25.07 RUBAGA-KABUSU'!K15,'26.07 RUBAGA-KABUSU-24h'!K15,'27.07 RUBAGA-KABUSU-24h'!K15,'28.07 RUBAGA-KABUSU'!K15)</f>
        <v>0.14285714285714285</v>
      </c>
      <c r="L15" s="49">
        <f>AVERAGE('22.07 RUBAGA-KABUSU'!L15,'23.07 RUBAGA-KABUSU'!L15,'24.07 RUBAGA-KABUSU'!L15,'25.07 RUBAGA-KABUSU'!L15,'26.07 RUBAGA-KABUSU-24h'!L15,'27.07 RUBAGA-KABUSU-24h'!L15,'28.07 RUBAGA-KABUSU'!L15)</f>
        <v>0.5714285714285714</v>
      </c>
      <c r="M15" s="49">
        <f>AVERAGE('22.07 RUBAGA-KABUSU'!M15,'23.07 RUBAGA-KABUSU'!M15,'24.07 RUBAGA-KABUSU'!M15,'25.07 RUBAGA-KABUSU'!M15,'26.07 RUBAGA-KABUSU-24h'!M15,'27.07 RUBAGA-KABUSU-24h'!M15,'28.07 RUBAGA-KABUSU'!M15)</f>
        <v>176.71428571428572</v>
      </c>
      <c r="N15" s="49">
        <f>AVERAGE('22.07 RUBAGA-KABUSU'!N15,'23.07 RUBAGA-KABUSU'!N15,'24.07 RUBAGA-KABUSU'!N15,'25.07 RUBAGA-KABUSU'!N15,'26.07 RUBAGA-KABUSU-24h'!N15,'27.07 RUBAGA-KABUSU-24h'!N15,'28.07 RUBAGA-KABUSU'!N15)</f>
        <v>0</v>
      </c>
      <c r="O15" s="15">
        <f t="shared" si="0"/>
        <v>55.428571428571431</v>
      </c>
      <c r="P15" s="15">
        <f t="shared" si="1"/>
        <v>232.14285714285717</v>
      </c>
      <c r="R15" s="1" t="s">
        <v>11</v>
      </c>
      <c r="S15" s="17">
        <f t="shared" ref="S15:AF15" si="7">SUM(C30:C33)</f>
        <v>115.71428571428571</v>
      </c>
      <c r="T15" s="17">
        <f t="shared" si="7"/>
        <v>23.857142857142854</v>
      </c>
      <c r="U15" s="17">
        <f t="shared" si="7"/>
        <v>14.571428571428573</v>
      </c>
      <c r="V15" s="17">
        <f t="shared" si="7"/>
        <v>51.571428571428569</v>
      </c>
      <c r="W15" s="17">
        <f t="shared" si="7"/>
        <v>1.7142857142857142</v>
      </c>
      <c r="X15" s="17">
        <f t="shared" si="7"/>
        <v>1.2857142857142856</v>
      </c>
      <c r="Y15" s="17">
        <f t="shared" si="7"/>
        <v>15.142857142857144</v>
      </c>
      <c r="Z15" s="17">
        <f t="shared" si="7"/>
        <v>11.285714285714285</v>
      </c>
      <c r="AA15" s="17">
        <f t="shared" si="7"/>
        <v>3.285714285714286</v>
      </c>
      <c r="AB15" s="17">
        <f t="shared" si="7"/>
        <v>1.8571428571428572</v>
      </c>
      <c r="AC15" s="17">
        <f t="shared" si="7"/>
        <v>468.57142857142856</v>
      </c>
      <c r="AD15" s="17">
        <f t="shared" si="7"/>
        <v>0</v>
      </c>
      <c r="AE15" s="31">
        <f t="shared" si="7"/>
        <v>240.28571428571425</v>
      </c>
      <c r="AF15" s="31">
        <f t="shared" si="7"/>
        <v>708.85714285714289</v>
      </c>
    </row>
    <row r="16" spans="2:32" ht="23.1" customHeight="1" x14ac:dyDescent="0.25">
      <c r="B16" s="23" t="s">
        <v>43</v>
      </c>
      <c r="C16" s="49">
        <f>AVERAGE('22.07 RUBAGA-KABUSU'!C16,'23.07 RUBAGA-KABUSU'!C16,'24.07 RUBAGA-KABUSU'!C16,'25.07 RUBAGA-KABUSU'!C16,'26.07 RUBAGA-KABUSU-24h'!C16,'27.07 RUBAGA-KABUSU-24h'!C16,'28.07 RUBAGA-KABUSU'!C16)</f>
        <v>18.285714285714285</v>
      </c>
      <c r="D16" s="49">
        <f>AVERAGE('22.07 RUBAGA-KABUSU'!D16,'23.07 RUBAGA-KABUSU'!D16,'24.07 RUBAGA-KABUSU'!D16,'25.07 RUBAGA-KABUSU'!D16,'26.07 RUBAGA-KABUSU-24h'!D16,'27.07 RUBAGA-KABUSU-24h'!D16,'28.07 RUBAGA-KABUSU'!D16)</f>
        <v>3.5714285714285716</v>
      </c>
      <c r="E16" s="49">
        <f>AVERAGE('22.07 RUBAGA-KABUSU'!E16,'23.07 RUBAGA-KABUSU'!E16,'24.07 RUBAGA-KABUSU'!E16,'25.07 RUBAGA-KABUSU'!E16,'26.07 RUBAGA-KABUSU-24h'!E16,'27.07 RUBAGA-KABUSU-24h'!E16,'28.07 RUBAGA-KABUSU'!E16)</f>
        <v>1.4285714285714286</v>
      </c>
      <c r="F16" s="49">
        <f>AVERAGE('22.07 RUBAGA-KABUSU'!F16,'23.07 RUBAGA-KABUSU'!F16,'24.07 RUBAGA-KABUSU'!F16,'25.07 RUBAGA-KABUSU'!F16,'26.07 RUBAGA-KABUSU-24h'!F16,'27.07 RUBAGA-KABUSU-24h'!F16,'28.07 RUBAGA-KABUSU'!F16)</f>
        <v>24.428571428571427</v>
      </c>
      <c r="G16" s="49">
        <f>AVERAGE('22.07 RUBAGA-KABUSU'!G16,'23.07 RUBAGA-KABUSU'!G16,'24.07 RUBAGA-KABUSU'!G16,'25.07 RUBAGA-KABUSU'!G16,'26.07 RUBAGA-KABUSU-24h'!G16,'27.07 RUBAGA-KABUSU-24h'!G16,'28.07 RUBAGA-KABUSU'!G16)</f>
        <v>0.2857142857142857</v>
      </c>
      <c r="H16" s="49">
        <f>AVERAGE('22.07 RUBAGA-KABUSU'!H16,'23.07 RUBAGA-KABUSU'!H16,'24.07 RUBAGA-KABUSU'!H16,'25.07 RUBAGA-KABUSU'!H16,'26.07 RUBAGA-KABUSU-24h'!H16,'27.07 RUBAGA-KABUSU-24h'!H16,'28.07 RUBAGA-KABUSU'!H16)</f>
        <v>1.1428571428571428</v>
      </c>
      <c r="I16" s="49">
        <f>AVERAGE('22.07 RUBAGA-KABUSU'!I16,'23.07 RUBAGA-KABUSU'!I16,'24.07 RUBAGA-KABUSU'!I16,'25.07 RUBAGA-KABUSU'!I16,'26.07 RUBAGA-KABUSU-24h'!I16,'27.07 RUBAGA-KABUSU-24h'!I16,'28.07 RUBAGA-KABUSU'!I16)</f>
        <v>3.1428571428571428</v>
      </c>
      <c r="J16" s="49">
        <f>AVERAGE('22.07 RUBAGA-KABUSU'!J16,'23.07 RUBAGA-KABUSU'!J16,'24.07 RUBAGA-KABUSU'!J16,'25.07 RUBAGA-KABUSU'!J16,'26.07 RUBAGA-KABUSU-24h'!J16,'27.07 RUBAGA-KABUSU-24h'!J16,'28.07 RUBAGA-KABUSU'!J16)</f>
        <v>2</v>
      </c>
      <c r="K16" s="49">
        <f>AVERAGE('22.07 RUBAGA-KABUSU'!K16,'23.07 RUBAGA-KABUSU'!K16,'24.07 RUBAGA-KABUSU'!K16,'25.07 RUBAGA-KABUSU'!K16,'26.07 RUBAGA-KABUSU-24h'!K16,'27.07 RUBAGA-KABUSU-24h'!K16,'28.07 RUBAGA-KABUSU'!K16)</f>
        <v>0.7142857142857143</v>
      </c>
      <c r="L16" s="49">
        <f>AVERAGE('22.07 RUBAGA-KABUSU'!L16,'23.07 RUBAGA-KABUSU'!L16,'24.07 RUBAGA-KABUSU'!L16,'25.07 RUBAGA-KABUSU'!L16,'26.07 RUBAGA-KABUSU-24h'!L16,'27.07 RUBAGA-KABUSU-24h'!L16,'28.07 RUBAGA-KABUSU'!L16)</f>
        <v>0.42857142857142855</v>
      </c>
      <c r="M16" s="49">
        <f>AVERAGE('22.07 RUBAGA-KABUSU'!M16,'23.07 RUBAGA-KABUSU'!M16,'24.07 RUBAGA-KABUSU'!M16,'25.07 RUBAGA-KABUSU'!M16,'26.07 RUBAGA-KABUSU-24h'!M16,'27.07 RUBAGA-KABUSU-24h'!M16,'28.07 RUBAGA-KABUSU'!M16)</f>
        <v>191.42857142857142</v>
      </c>
      <c r="N16" s="49">
        <f>AVERAGE('22.07 RUBAGA-KABUSU'!N16,'23.07 RUBAGA-KABUSU'!N16,'24.07 RUBAGA-KABUSU'!N16,'25.07 RUBAGA-KABUSU'!N16,'26.07 RUBAGA-KABUSU-24h'!N16,'27.07 RUBAGA-KABUSU-24h'!N16,'28.07 RUBAGA-KABUSU'!N16)</f>
        <v>0</v>
      </c>
      <c r="O16" s="15">
        <f t="shared" si="0"/>
        <v>55.428571428571431</v>
      </c>
      <c r="P16" s="15">
        <f t="shared" si="1"/>
        <v>246.85714285714283</v>
      </c>
      <c r="R16" s="1" t="s">
        <v>12</v>
      </c>
      <c r="S16" s="17">
        <f t="shared" ref="S16:AF16" si="8">SUM(C34:C37)</f>
        <v>129</v>
      </c>
      <c r="T16" s="17">
        <f t="shared" si="8"/>
        <v>21.714285714285715</v>
      </c>
      <c r="U16" s="17">
        <f t="shared" si="8"/>
        <v>12.571428571428571</v>
      </c>
      <c r="V16" s="17">
        <f t="shared" si="8"/>
        <v>54.428571428571431</v>
      </c>
      <c r="W16" s="17">
        <f t="shared" si="8"/>
        <v>1.1428571428571428</v>
      </c>
      <c r="X16" s="17">
        <f t="shared" si="8"/>
        <v>1.7142857142857142</v>
      </c>
      <c r="Y16" s="17">
        <f t="shared" si="8"/>
        <v>11.571428571428571</v>
      </c>
      <c r="Z16" s="17">
        <f t="shared" si="8"/>
        <v>11.428571428571429</v>
      </c>
      <c r="AA16" s="17">
        <f t="shared" si="8"/>
        <v>3.4285714285714288</v>
      </c>
      <c r="AB16" s="17">
        <f t="shared" si="8"/>
        <v>1.2857142857142856</v>
      </c>
      <c r="AC16" s="17">
        <f t="shared" si="8"/>
        <v>431.57142857142856</v>
      </c>
      <c r="AD16" s="17">
        <f t="shared" si="8"/>
        <v>0</v>
      </c>
      <c r="AE16" s="31">
        <f t="shared" si="8"/>
        <v>248.28571428571425</v>
      </c>
      <c r="AF16" s="31">
        <f t="shared" si="8"/>
        <v>679.85714285714278</v>
      </c>
    </row>
    <row r="17" spans="2:32" ht="23.1" customHeight="1" x14ac:dyDescent="0.25">
      <c r="B17" s="23" t="s">
        <v>44</v>
      </c>
      <c r="C17" s="49">
        <f>AVERAGE('22.07 RUBAGA-KABUSU'!C17,'23.07 RUBAGA-KABUSU'!C17,'24.07 RUBAGA-KABUSU'!C17,'25.07 RUBAGA-KABUSU'!C17,'26.07 RUBAGA-KABUSU-24h'!C17,'27.07 RUBAGA-KABUSU-24h'!C17,'28.07 RUBAGA-KABUSU'!C17)</f>
        <v>16.714285714285715</v>
      </c>
      <c r="D17" s="49">
        <f>AVERAGE('22.07 RUBAGA-KABUSU'!D17,'23.07 RUBAGA-KABUSU'!D17,'24.07 RUBAGA-KABUSU'!D17,'25.07 RUBAGA-KABUSU'!D17,'26.07 RUBAGA-KABUSU-24h'!D17,'27.07 RUBAGA-KABUSU-24h'!D17,'28.07 RUBAGA-KABUSU'!D17)</f>
        <v>4.7142857142857144</v>
      </c>
      <c r="E17" s="49">
        <f>AVERAGE('22.07 RUBAGA-KABUSU'!E17,'23.07 RUBAGA-KABUSU'!E17,'24.07 RUBAGA-KABUSU'!E17,'25.07 RUBAGA-KABUSU'!E17,'26.07 RUBAGA-KABUSU-24h'!E17,'27.07 RUBAGA-KABUSU-24h'!E17,'28.07 RUBAGA-KABUSU'!E17)</f>
        <v>2.4285714285714284</v>
      </c>
      <c r="F17" s="49">
        <f>AVERAGE('22.07 RUBAGA-KABUSU'!F17,'23.07 RUBAGA-KABUSU'!F17,'24.07 RUBAGA-KABUSU'!F17,'25.07 RUBAGA-KABUSU'!F17,'26.07 RUBAGA-KABUSU-24h'!F17,'27.07 RUBAGA-KABUSU-24h'!F17,'28.07 RUBAGA-KABUSU'!F17)</f>
        <v>19.285714285714285</v>
      </c>
      <c r="G17" s="49">
        <f>AVERAGE('22.07 RUBAGA-KABUSU'!G17,'23.07 RUBAGA-KABUSU'!G17,'24.07 RUBAGA-KABUSU'!G17,'25.07 RUBAGA-KABUSU'!G17,'26.07 RUBAGA-KABUSU-24h'!G17,'27.07 RUBAGA-KABUSU-24h'!G17,'28.07 RUBAGA-KABUSU'!G17)</f>
        <v>0.5714285714285714</v>
      </c>
      <c r="H17" s="49">
        <f>AVERAGE('22.07 RUBAGA-KABUSU'!H17,'23.07 RUBAGA-KABUSU'!H17,'24.07 RUBAGA-KABUSU'!H17,'25.07 RUBAGA-KABUSU'!H17,'26.07 RUBAGA-KABUSU-24h'!H17,'27.07 RUBAGA-KABUSU-24h'!H17,'28.07 RUBAGA-KABUSU'!H17)</f>
        <v>0.42857142857142855</v>
      </c>
      <c r="I17" s="49">
        <f>AVERAGE('22.07 RUBAGA-KABUSU'!I17,'23.07 RUBAGA-KABUSU'!I17,'24.07 RUBAGA-KABUSU'!I17,'25.07 RUBAGA-KABUSU'!I17,'26.07 RUBAGA-KABUSU-24h'!I17,'27.07 RUBAGA-KABUSU-24h'!I17,'28.07 RUBAGA-KABUSU'!I17)</f>
        <v>2.1428571428571428</v>
      </c>
      <c r="J17" s="49">
        <f>AVERAGE('22.07 RUBAGA-KABUSU'!J17,'23.07 RUBAGA-KABUSU'!J17,'24.07 RUBAGA-KABUSU'!J17,'25.07 RUBAGA-KABUSU'!J17,'26.07 RUBAGA-KABUSU-24h'!J17,'27.07 RUBAGA-KABUSU-24h'!J17,'28.07 RUBAGA-KABUSU'!J17)</f>
        <v>2</v>
      </c>
      <c r="K17" s="49">
        <f>AVERAGE('22.07 RUBAGA-KABUSU'!K17,'23.07 RUBAGA-KABUSU'!K17,'24.07 RUBAGA-KABUSU'!K17,'25.07 RUBAGA-KABUSU'!K17,'26.07 RUBAGA-KABUSU-24h'!K17,'27.07 RUBAGA-KABUSU-24h'!K17,'28.07 RUBAGA-KABUSU'!K17)</f>
        <v>0.2857142857142857</v>
      </c>
      <c r="L17" s="49">
        <f>AVERAGE('22.07 RUBAGA-KABUSU'!L17,'23.07 RUBAGA-KABUSU'!L17,'24.07 RUBAGA-KABUSU'!L17,'25.07 RUBAGA-KABUSU'!L17,'26.07 RUBAGA-KABUSU-24h'!L17,'27.07 RUBAGA-KABUSU-24h'!L17,'28.07 RUBAGA-KABUSU'!L17)</f>
        <v>0.2857142857142857</v>
      </c>
      <c r="M17" s="49">
        <f>AVERAGE('22.07 RUBAGA-KABUSU'!M17,'23.07 RUBAGA-KABUSU'!M17,'24.07 RUBAGA-KABUSU'!M17,'25.07 RUBAGA-KABUSU'!M17,'26.07 RUBAGA-KABUSU-24h'!M17,'27.07 RUBAGA-KABUSU-24h'!M17,'28.07 RUBAGA-KABUSU'!M17)</f>
        <v>177.85714285714286</v>
      </c>
      <c r="N17" s="49">
        <f>AVERAGE('22.07 RUBAGA-KABUSU'!N17,'23.07 RUBAGA-KABUSU'!N17,'24.07 RUBAGA-KABUSU'!N17,'25.07 RUBAGA-KABUSU'!N17,'26.07 RUBAGA-KABUSU-24h'!N17,'27.07 RUBAGA-KABUSU-24h'!N17,'28.07 RUBAGA-KABUSU'!N17)</f>
        <v>0</v>
      </c>
      <c r="O17" s="15">
        <f t="shared" si="0"/>
        <v>48.857142857142854</v>
      </c>
      <c r="P17" s="15">
        <f t="shared" si="1"/>
        <v>226.71428571428572</v>
      </c>
      <c r="R17" s="1" t="s">
        <v>13</v>
      </c>
      <c r="S17" s="17">
        <f t="shared" ref="S17:AF17" si="9">SUM(C38:C41)</f>
        <v>137.85714285714286</v>
      </c>
      <c r="T17" s="17">
        <f t="shared" si="9"/>
        <v>23.571428571428569</v>
      </c>
      <c r="U17" s="17">
        <f t="shared" si="9"/>
        <v>15.285714285714288</v>
      </c>
      <c r="V17" s="17">
        <f t="shared" si="9"/>
        <v>46.285714285714292</v>
      </c>
      <c r="W17" s="17">
        <f t="shared" si="9"/>
        <v>1.4285714285714284</v>
      </c>
      <c r="X17" s="17">
        <f t="shared" si="9"/>
        <v>0.5714285714285714</v>
      </c>
      <c r="Y17" s="17">
        <f t="shared" si="9"/>
        <v>12.571428571428571</v>
      </c>
      <c r="Z17" s="17">
        <f t="shared" si="9"/>
        <v>9.2857142857142847</v>
      </c>
      <c r="AA17" s="17">
        <f t="shared" si="9"/>
        <v>2.7142857142857144</v>
      </c>
      <c r="AB17" s="17">
        <f t="shared" si="9"/>
        <v>1.9999999999999998</v>
      </c>
      <c r="AC17" s="17">
        <f t="shared" si="9"/>
        <v>469.71428571428572</v>
      </c>
      <c r="AD17" s="17">
        <f t="shared" si="9"/>
        <v>0</v>
      </c>
      <c r="AE17" s="31">
        <f t="shared" si="9"/>
        <v>251.57142857142856</v>
      </c>
      <c r="AF17" s="31">
        <f t="shared" si="9"/>
        <v>721.28571428571422</v>
      </c>
    </row>
    <row r="18" spans="2:32" ht="23.1" customHeight="1" x14ac:dyDescent="0.25">
      <c r="B18" s="23" t="s">
        <v>45</v>
      </c>
      <c r="C18" s="49">
        <f>AVERAGE('22.07 RUBAGA-KABUSU'!C18,'23.07 RUBAGA-KABUSU'!C18,'24.07 RUBAGA-KABUSU'!C18,'25.07 RUBAGA-KABUSU'!C18,'26.07 RUBAGA-KABUSU-24h'!C18,'27.07 RUBAGA-KABUSU-24h'!C18,'28.07 RUBAGA-KABUSU'!C18)</f>
        <v>25</v>
      </c>
      <c r="D18" s="49">
        <f>AVERAGE('22.07 RUBAGA-KABUSU'!D18,'23.07 RUBAGA-KABUSU'!D18,'24.07 RUBAGA-KABUSU'!D18,'25.07 RUBAGA-KABUSU'!D18,'26.07 RUBAGA-KABUSU-24h'!D18,'27.07 RUBAGA-KABUSU-24h'!D18,'28.07 RUBAGA-KABUSU'!D18)</f>
        <v>3</v>
      </c>
      <c r="E18" s="49">
        <f>AVERAGE('22.07 RUBAGA-KABUSU'!E18,'23.07 RUBAGA-KABUSU'!E18,'24.07 RUBAGA-KABUSU'!E18,'25.07 RUBAGA-KABUSU'!E18,'26.07 RUBAGA-KABUSU-24h'!E18,'27.07 RUBAGA-KABUSU-24h'!E18,'28.07 RUBAGA-KABUSU'!E18)</f>
        <v>3</v>
      </c>
      <c r="F18" s="49">
        <f>AVERAGE('22.07 RUBAGA-KABUSU'!F18,'23.07 RUBAGA-KABUSU'!F18,'24.07 RUBAGA-KABUSU'!F18,'25.07 RUBAGA-KABUSU'!F18,'26.07 RUBAGA-KABUSU-24h'!F18,'27.07 RUBAGA-KABUSU-24h'!F18,'28.07 RUBAGA-KABUSU'!F18)</f>
        <v>21.285714285714285</v>
      </c>
      <c r="G18" s="49">
        <f>AVERAGE('22.07 RUBAGA-KABUSU'!G18,'23.07 RUBAGA-KABUSU'!G18,'24.07 RUBAGA-KABUSU'!G18,'25.07 RUBAGA-KABUSU'!G18,'26.07 RUBAGA-KABUSU-24h'!G18,'27.07 RUBAGA-KABUSU-24h'!G18,'28.07 RUBAGA-KABUSU'!G18)</f>
        <v>1</v>
      </c>
      <c r="H18" s="49">
        <f>AVERAGE('22.07 RUBAGA-KABUSU'!H18,'23.07 RUBAGA-KABUSU'!H18,'24.07 RUBAGA-KABUSU'!H18,'25.07 RUBAGA-KABUSU'!H18,'26.07 RUBAGA-KABUSU-24h'!H18,'27.07 RUBAGA-KABUSU-24h'!H18,'28.07 RUBAGA-KABUSU'!H18)</f>
        <v>0.2857142857142857</v>
      </c>
      <c r="I18" s="49">
        <f>AVERAGE('22.07 RUBAGA-KABUSU'!I18,'23.07 RUBAGA-KABUSU'!I18,'24.07 RUBAGA-KABUSU'!I18,'25.07 RUBAGA-KABUSU'!I18,'26.07 RUBAGA-KABUSU-24h'!I18,'27.07 RUBAGA-KABUSU-24h'!I18,'28.07 RUBAGA-KABUSU'!I18)</f>
        <v>2</v>
      </c>
      <c r="J18" s="49">
        <f>AVERAGE('22.07 RUBAGA-KABUSU'!J18,'23.07 RUBAGA-KABUSU'!J18,'24.07 RUBAGA-KABUSU'!J18,'25.07 RUBAGA-KABUSU'!J18,'26.07 RUBAGA-KABUSU-24h'!J18,'27.07 RUBAGA-KABUSU-24h'!J18,'28.07 RUBAGA-KABUSU'!J18)</f>
        <v>2.5714285714285716</v>
      </c>
      <c r="K18" s="49">
        <f>AVERAGE('22.07 RUBAGA-KABUSU'!K18,'23.07 RUBAGA-KABUSU'!K18,'24.07 RUBAGA-KABUSU'!K18,'25.07 RUBAGA-KABUSU'!K18,'26.07 RUBAGA-KABUSU-24h'!K18,'27.07 RUBAGA-KABUSU-24h'!K18,'28.07 RUBAGA-KABUSU'!K18)</f>
        <v>0.42857142857142855</v>
      </c>
      <c r="L18" s="49">
        <f>AVERAGE('22.07 RUBAGA-KABUSU'!L18,'23.07 RUBAGA-KABUSU'!L18,'24.07 RUBAGA-KABUSU'!L18,'25.07 RUBAGA-KABUSU'!L18,'26.07 RUBAGA-KABUSU-24h'!L18,'27.07 RUBAGA-KABUSU-24h'!L18,'28.07 RUBAGA-KABUSU'!L18)</f>
        <v>0.7142857142857143</v>
      </c>
      <c r="M18" s="49">
        <f>AVERAGE('22.07 RUBAGA-KABUSU'!M18,'23.07 RUBAGA-KABUSU'!M18,'24.07 RUBAGA-KABUSU'!M18,'25.07 RUBAGA-KABUSU'!M18,'26.07 RUBAGA-KABUSU-24h'!M18,'27.07 RUBAGA-KABUSU-24h'!M18,'28.07 RUBAGA-KABUSU'!M18)</f>
        <v>203.71428571428572</v>
      </c>
      <c r="N18" s="49">
        <f>AVERAGE('22.07 RUBAGA-KABUSU'!N18,'23.07 RUBAGA-KABUSU'!N18,'24.07 RUBAGA-KABUSU'!N18,'25.07 RUBAGA-KABUSU'!N18,'26.07 RUBAGA-KABUSU-24h'!N18,'27.07 RUBAGA-KABUSU-24h'!N18,'28.07 RUBAGA-KABUSU'!N18)</f>
        <v>0</v>
      </c>
      <c r="O18" s="15">
        <f t="shared" si="0"/>
        <v>59.285714285714285</v>
      </c>
      <c r="P18" s="15">
        <f t="shared" si="1"/>
        <v>263</v>
      </c>
      <c r="R18" s="1" t="s">
        <v>14</v>
      </c>
      <c r="S18" s="17">
        <f t="shared" ref="S18:AF18" si="10">SUM(C42:C45)</f>
        <v>158.28571428571428</v>
      </c>
      <c r="T18" s="17">
        <f t="shared" si="10"/>
        <v>28</v>
      </c>
      <c r="U18" s="17">
        <f t="shared" si="10"/>
        <v>14.714285714285714</v>
      </c>
      <c r="V18" s="17">
        <f t="shared" si="10"/>
        <v>48.571428571428569</v>
      </c>
      <c r="W18" s="17">
        <f t="shared" si="10"/>
        <v>0.71428571428571419</v>
      </c>
      <c r="X18" s="17">
        <f t="shared" si="10"/>
        <v>0.85714285714285698</v>
      </c>
      <c r="Y18" s="17">
        <f t="shared" si="10"/>
        <v>13.857142857142858</v>
      </c>
      <c r="Z18" s="17">
        <f t="shared" si="10"/>
        <v>10.714285714285714</v>
      </c>
      <c r="AA18" s="17">
        <f t="shared" si="10"/>
        <v>3</v>
      </c>
      <c r="AB18" s="17">
        <f t="shared" si="10"/>
        <v>0.85714285714285698</v>
      </c>
      <c r="AC18" s="17">
        <f t="shared" si="10"/>
        <v>405.57142857142856</v>
      </c>
      <c r="AD18" s="17">
        <f t="shared" si="10"/>
        <v>0</v>
      </c>
      <c r="AE18" s="31">
        <f t="shared" si="10"/>
        <v>279.57142857142856</v>
      </c>
      <c r="AF18" s="31">
        <f t="shared" si="10"/>
        <v>685.14285714285711</v>
      </c>
    </row>
    <row r="19" spans="2:32" ht="23.1" customHeight="1" x14ac:dyDescent="0.25">
      <c r="B19" s="23" t="s">
        <v>46</v>
      </c>
      <c r="C19" s="49">
        <f>AVERAGE('22.07 RUBAGA-KABUSU'!C19,'23.07 RUBAGA-KABUSU'!C19,'24.07 RUBAGA-KABUSU'!C19,'25.07 RUBAGA-KABUSU'!C19,'26.07 RUBAGA-KABUSU-24h'!C19,'27.07 RUBAGA-KABUSU-24h'!C19,'28.07 RUBAGA-KABUSU'!C19)</f>
        <v>18.142857142857142</v>
      </c>
      <c r="D19" s="49">
        <f>AVERAGE('22.07 RUBAGA-KABUSU'!D19,'23.07 RUBAGA-KABUSU'!D19,'24.07 RUBAGA-KABUSU'!D19,'25.07 RUBAGA-KABUSU'!D19,'26.07 RUBAGA-KABUSU-24h'!D19,'27.07 RUBAGA-KABUSU-24h'!D19,'28.07 RUBAGA-KABUSU'!D19)</f>
        <v>5.1428571428571432</v>
      </c>
      <c r="E19" s="49">
        <f>AVERAGE('22.07 RUBAGA-KABUSU'!E19,'23.07 RUBAGA-KABUSU'!E19,'24.07 RUBAGA-KABUSU'!E19,'25.07 RUBAGA-KABUSU'!E19,'26.07 RUBAGA-KABUSU-24h'!E19,'27.07 RUBAGA-KABUSU-24h'!E19,'28.07 RUBAGA-KABUSU'!E19)</f>
        <v>2.5714285714285716</v>
      </c>
      <c r="F19" s="49">
        <f>AVERAGE('22.07 RUBAGA-KABUSU'!F19,'23.07 RUBAGA-KABUSU'!F19,'24.07 RUBAGA-KABUSU'!F19,'25.07 RUBAGA-KABUSU'!F19,'26.07 RUBAGA-KABUSU-24h'!F19,'27.07 RUBAGA-KABUSU-24h'!F19,'28.07 RUBAGA-KABUSU'!F19)</f>
        <v>20.714285714285715</v>
      </c>
      <c r="G19" s="49">
        <f>AVERAGE('22.07 RUBAGA-KABUSU'!G19,'23.07 RUBAGA-KABUSU'!G19,'24.07 RUBAGA-KABUSU'!G19,'25.07 RUBAGA-KABUSU'!G19,'26.07 RUBAGA-KABUSU-24h'!G19,'27.07 RUBAGA-KABUSU-24h'!G19,'28.07 RUBAGA-KABUSU'!G19)</f>
        <v>0.2857142857142857</v>
      </c>
      <c r="H19" s="49">
        <f>AVERAGE('22.07 RUBAGA-KABUSU'!H19,'23.07 RUBAGA-KABUSU'!H19,'24.07 RUBAGA-KABUSU'!H19,'25.07 RUBAGA-KABUSU'!H19,'26.07 RUBAGA-KABUSU-24h'!H19,'27.07 RUBAGA-KABUSU-24h'!H19,'28.07 RUBAGA-KABUSU'!H19)</f>
        <v>0</v>
      </c>
      <c r="I19" s="49">
        <f>AVERAGE('22.07 RUBAGA-KABUSU'!I19,'23.07 RUBAGA-KABUSU'!I19,'24.07 RUBAGA-KABUSU'!I19,'25.07 RUBAGA-KABUSU'!I19,'26.07 RUBAGA-KABUSU-24h'!I19,'27.07 RUBAGA-KABUSU-24h'!I19,'28.07 RUBAGA-KABUSU'!I19)</f>
        <v>2.1428571428571428</v>
      </c>
      <c r="J19" s="49">
        <f>AVERAGE('22.07 RUBAGA-KABUSU'!J19,'23.07 RUBAGA-KABUSU'!J19,'24.07 RUBAGA-KABUSU'!J19,'25.07 RUBAGA-KABUSU'!J19,'26.07 RUBAGA-KABUSU-24h'!J19,'27.07 RUBAGA-KABUSU-24h'!J19,'28.07 RUBAGA-KABUSU'!J19)</f>
        <v>3.5714285714285716</v>
      </c>
      <c r="K19" s="49">
        <f>AVERAGE('22.07 RUBAGA-KABUSU'!K19,'23.07 RUBAGA-KABUSU'!K19,'24.07 RUBAGA-KABUSU'!K19,'25.07 RUBAGA-KABUSU'!K19,'26.07 RUBAGA-KABUSU-24h'!K19,'27.07 RUBAGA-KABUSU-24h'!K19,'28.07 RUBAGA-KABUSU'!K19)</f>
        <v>0</v>
      </c>
      <c r="L19" s="49">
        <f>AVERAGE('22.07 RUBAGA-KABUSU'!L19,'23.07 RUBAGA-KABUSU'!L19,'24.07 RUBAGA-KABUSU'!L19,'25.07 RUBAGA-KABUSU'!L19,'26.07 RUBAGA-KABUSU-24h'!L19,'27.07 RUBAGA-KABUSU-24h'!L19,'28.07 RUBAGA-KABUSU'!L19)</f>
        <v>0</v>
      </c>
      <c r="M19" s="49">
        <f>AVERAGE('22.07 RUBAGA-KABUSU'!M19,'23.07 RUBAGA-KABUSU'!M19,'24.07 RUBAGA-KABUSU'!M19,'25.07 RUBAGA-KABUSU'!M19,'26.07 RUBAGA-KABUSU-24h'!M19,'27.07 RUBAGA-KABUSU-24h'!M19,'28.07 RUBAGA-KABUSU'!M19)</f>
        <v>142.42857142857142</v>
      </c>
      <c r="N19" s="49">
        <f>AVERAGE('22.07 RUBAGA-KABUSU'!N19,'23.07 RUBAGA-KABUSU'!N19,'24.07 RUBAGA-KABUSU'!N19,'25.07 RUBAGA-KABUSU'!N19,'26.07 RUBAGA-KABUSU-24h'!N19,'27.07 RUBAGA-KABUSU-24h'!N19,'28.07 RUBAGA-KABUSU'!N19)</f>
        <v>0</v>
      </c>
      <c r="O19" s="15">
        <f t="shared" si="0"/>
        <v>52.571428571428569</v>
      </c>
      <c r="P19" s="15">
        <f t="shared" si="1"/>
        <v>195</v>
      </c>
      <c r="R19" s="1" t="s">
        <v>15</v>
      </c>
      <c r="S19" s="17">
        <f t="shared" ref="S19:AF19" si="11">SUM(C46:C49)</f>
        <v>179.57142857142856</v>
      </c>
      <c r="T19" s="17">
        <f t="shared" si="11"/>
        <v>30.428571428571431</v>
      </c>
      <c r="U19" s="17">
        <f t="shared" si="11"/>
        <v>16.857142857142858</v>
      </c>
      <c r="V19" s="17">
        <f t="shared" si="11"/>
        <v>49.857142857142861</v>
      </c>
      <c r="W19" s="17">
        <f t="shared" si="11"/>
        <v>1.2857142857142856</v>
      </c>
      <c r="X19" s="17">
        <f t="shared" si="11"/>
        <v>2</v>
      </c>
      <c r="Y19" s="17">
        <f t="shared" si="11"/>
        <v>14.428571428571429</v>
      </c>
      <c r="Z19" s="17">
        <f t="shared" si="11"/>
        <v>9.1428571428571423</v>
      </c>
      <c r="AA19" s="17">
        <f t="shared" si="11"/>
        <v>2.2857142857142856</v>
      </c>
      <c r="AB19" s="17">
        <f t="shared" si="11"/>
        <v>1.4285714285714284</v>
      </c>
      <c r="AC19" s="17">
        <f t="shared" si="11"/>
        <v>515.28571428571422</v>
      </c>
      <c r="AD19" s="17">
        <f t="shared" si="11"/>
        <v>0.14285714285714285</v>
      </c>
      <c r="AE19" s="31">
        <f t="shared" si="11"/>
        <v>307.42857142857144</v>
      </c>
      <c r="AF19" s="31">
        <f t="shared" si="11"/>
        <v>822.71428571428567</v>
      </c>
    </row>
    <row r="20" spans="2:32" ht="23.1" customHeight="1" x14ac:dyDescent="0.25">
      <c r="B20" s="23" t="s">
        <v>47</v>
      </c>
      <c r="C20" s="49">
        <f>AVERAGE('22.07 RUBAGA-KABUSU'!C20,'23.07 RUBAGA-KABUSU'!C20,'24.07 RUBAGA-KABUSU'!C20,'25.07 RUBAGA-KABUSU'!C20,'26.07 RUBAGA-KABUSU-24h'!C20,'27.07 RUBAGA-KABUSU-24h'!C20,'28.07 RUBAGA-KABUSU'!C20)</f>
        <v>19.571428571428573</v>
      </c>
      <c r="D20" s="49">
        <f>AVERAGE('22.07 RUBAGA-KABUSU'!D20,'23.07 RUBAGA-KABUSU'!D20,'24.07 RUBAGA-KABUSU'!D20,'25.07 RUBAGA-KABUSU'!D20,'26.07 RUBAGA-KABUSU-24h'!D20,'27.07 RUBAGA-KABUSU-24h'!D20,'28.07 RUBAGA-KABUSU'!D20)</f>
        <v>2.8571428571428572</v>
      </c>
      <c r="E20" s="49">
        <f>AVERAGE('22.07 RUBAGA-KABUSU'!E20,'23.07 RUBAGA-KABUSU'!E20,'24.07 RUBAGA-KABUSU'!E20,'25.07 RUBAGA-KABUSU'!E20,'26.07 RUBAGA-KABUSU-24h'!E20,'27.07 RUBAGA-KABUSU-24h'!E20,'28.07 RUBAGA-KABUSU'!E20)</f>
        <v>2.1428571428571428</v>
      </c>
      <c r="F20" s="49">
        <f>AVERAGE('22.07 RUBAGA-KABUSU'!F20,'23.07 RUBAGA-KABUSU'!F20,'24.07 RUBAGA-KABUSU'!F20,'25.07 RUBAGA-KABUSU'!F20,'26.07 RUBAGA-KABUSU-24h'!F20,'27.07 RUBAGA-KABUSU-24h'!F20,'28.07 RUBAGA-KABUSU'!F20)</f>
        <v>19.571428571428573</v>
      </c>
      <c r="G20" s="49">
        <f>AVERAGE('22.07 RUBAGA-KABUSU'!G20,'23.07 RUBAGA-KABUSU'!G20,'24.07 RUBAGA-KABUSU'!G20,'25.07 RUBAGA-KABUSU'!G20,'26.07 RUBAGA-KABUSU-24h'!G20,'27.07 RUBAGA-KABUSU-24h'!G20,'28.07 RUBAGA-KABUSU'!G20)</f>
        <v>0.42857142857142855</v>
      </c>
      <c r="H20" s="49">
        <f>AVERAGE('22.07 RUBAGA-KABUSU'!H20,'23.07 RUBAGA-KABUSU'!H20,'24.07 RUBAGA-KABUSU'!H20,'25.07 RUBAGA-KABUSU'!H20,'26.07 RUBAGA-KABUSU-24h'!H20,'27.07 RUBAGA-KABUSU-24h'!H20,'28.07 RUBAGA-KABUSU'!H20)</f>
        <v>0.2857142857142857</v>
      </c>
      <c r="I20" s="49">
        <f>AVERAGE('22.07 RUBAGA-KABUSU'!I20,'23.07 RUBAGA-KABUSU'!I20,'24.07 RUBAGA-KABUSU'!I20,'25.07 RUBAGA-KABUSU'!I20,'26.07 RUBAGA-KABUSU-24h'!I20,'27.07 RUBAGA-KABUSU-24h'!I20,'28.07 RUBAGA-KABUSU'!I20)</f>
        <v>2.4285714285714284</v>
      </c>
      <c r="J20" s="49">
        <f>AVERAGE('22.07 RUBAGA-KABUSU'!J20,'23.07 RUBAGA-KABUSU'!J20,'24.07 RUBAGA-KABUSU'!J20,'25.07 RUBAGA-KABUSU'!J20,'26.07 RUBAGA-KABUSU-24h'!J20,'27.07 RUBAGA-KABUSU-24h'!J20,'28.07 RUBAGA-KABUSU'!J20)</f>
        <v>2.2857142857142856</v>
      </c>
      <c r="K20" s="49">
        <f>AVERAGE('22.07 RUBAGA-KABUSU'!K20,'23.07 RUBAGA-KABUSU'!K20,'24.07 RUBAGA-KABUSU'!K20,'25.07 RUBAGA-KABUSU'!K20,'26.07 RUBAGA-KABUSU-24h'!K20,'27.07 RUBAGA-KABUSU-24h'!K20,'28.07 RUBAGA-KABUSU'!K20)</f>
        <v>0.14285714285714285</v>
      </c>
      <c r="L20" s="49">
        <f>AVERAGE('22.07 RUBAGA-KABUSU'!L20,'23.07 RUBAGA-KABUSU'!L20,'24.07 RUBAGA-KABUSU'!L20,'25.07 RUBAGA-KABUSU'!L20,'26.07 RUBAGA-KABUSU-24h'!L20,'27.07 RUBAGA-KABUSU-24h'!L20,'28.07 RUBAGA-KABUSU'!L20)</f>
        <v>0</v>
      </c>
      <c r="M20" s="49">
        <f>AVERAGE('22.07 RUBAGA-KABUSU'!M20,'23.07 RUBAGA-KABUSU'!M20,'24.07 RUBAGA-KABUSU'!M20,'25.07 RUBAGA-KABUSU'!M20,'26.07 RUBAGA-KABUSU-24h'!M20,'27.07 RUBAGA-KABUSU-24h'!M20,'28.07 RUBAGA-KABUSU'!M20)</f>
        <v>144</v>
      </c>
      <c r="N20" s="49">
        <f>AVERAGE('22.07 RUBAGA-KABUSU'!N20,'23.07 RUBAGA-KABUSU'!N20,'24.07 RUBAGA-KABUSU'!N20,'25.07 RUBAGA-KABUSU'!N20,'26.07 RUBAGA-KABUSU-24h'!N20,'27.07 RUBAGA-KABUSU-24h'!N20,'28.07 RUBAGA-KABUSU'!N20)</f>
        <v>0</v>
      </c>
      <c r="O20" s="15">
        <f t="shared" si="0"/>
        <v>49.714285714285722</v>
      </c>
      <c r="P20" s="15">
        <f t="shared" si="1"/>
        <v>193.71428571428572</v>
      </c>
      <c r="R20" s="1" t="s">
        <v>16</v>
      </c>
      <c r="S20" s="17">
        <f t="shared" ref="S20:AF20" si="12">SUM(C50:C53)</f>
        <v>226.85714285714286</v>
      </c>
      <c r="T20" s="17">
        <f t="shared" si="12"/>
        <v>41.285714285714285</v>
      </c>
      <c r="U20" s="17">
        <f t="shared" si="12"/>
        <v>16.571428571428573</v>
      </c>
      <c r="V20" s="17">
        <f t="shared" si="12"/>
        <v>41</v>
      </c>
      <c r="W20" s="17">
        <f t="shared" si="12"/>
        <v>0.5714285714285714</v>
      </c>
      <c r="X20" s="17">
        <f t="shared" si="12"/>
        <v>0.14285714285714285</v>
      </c>
      <c r="Y20" s="17">
        <f t="shared" si="12"/>
        <v>12.142857142857142</v>
      </c>
      <c r="Z20" s="17">
        <f t="shared" si="12"/>
        <v>11</v>
      </c>
      <c r="AA20" s="17">
        <f t="shared" si="12"/>
        <v>2.5714285714285712</v>
      </c>
      <c r="AB20" s="17">
        <f t="shared" si="12"/>
        <v>1.4285714285714286</v>
      </c>
      <c r="AC20" s="17">
        <f t="shared" si="12"/>
        <v>465.28571428571428</v>
      </c>
      <c r="AD20" s="17">
        <f t="shared" si="12"/>
        <v>0</v>
      </c>
      <c r="AE20" s="31">
        <f t="shared" si="12"/>
        <v>353.57142857142856</v>
      </c>
      <c r="AF20" s="31">
        <f t="shared" si="12"/>
        <v>818.85714285714289</v>
      </c>
    </row>
    <row r="21" spans="2:32" ht="23.1" customHeight="1" x14ac:dyDescent="0.25">
      <c r="B21" s="23" t="s">
        <v>48</v>
      </c>
      <c r="C21" s="49">
        <f>AVERAGE('22.07 RUBAGA-KABUSU'!C21,'23.07 RUBAGA-KABUSU'!C21,'24.07 RUBAGA-KABUSU'!C21,'25.07 RUBAGA-KABUSU'!C21,'26.07 RUBAGA-KABUSU-24h'!C21,'27.07 RUBAGA-KABUSU-24h'!C21,'28.07 RUBAGA-KABUSU'!C21)</f>
        <v>22.428571428571427</v>
      </c>
      <c r="D21" s="49">
        <f>AVERAGE('22.07 RUBAGA-KABUSU'!D21,'23.07 RUBAGA-KABUSU'!D21,'24.07 RUBAGA-KABUSU'!D21,'25.07 RUBAGA-KABUSU'!D21,'26.07 RUBAGA-KABUSU-24h'!D21,'27.07 RUBAGA-KABUSU-24h'!D21,'28.07 RUBAGA-KABUSU'!D21)</f>
        <v>3.5714285714285716</v>
      </c>
      <c r="E21" s="49">
        <f>AVERAGE('22.07 RUBAGA-KABUSU'!E21,'23.07 RUBAGA-KABUSU'!E21,'24.07 RUBAGA-KABUSU'!E21,'25.07 RUBAGA-KABUSU'!E21,'26.07 RUBAGA-KABUSU-24h'!E21,'27.07 RUBAGA-KABUSU-24h'!E21,'28.07 RUBAGA-KABUSU'!E21)</f>
        <v>3.4285714285714284</v>
      </c>
      <c r="F21" s="49">
        <f>AVERAGE('22.07 RUBAGA-KABUSU'!F21,'23.07 RUBAGA-KABUSU'!F21,'24.07 RUBAGA-KABUSU'!F21,'25.07 RUBAGA-KABUSU'!F21,'26.07 RUBAGA-KABUSU-24h'!F21,'27.07 RUBAGA-KABUSU-24h'!F21,'28.07 RUBAGA-KABUSU'!F21)</f>
        <v>18.714285714285715</v>
      </c>
      <c r="G21" s="49">
        <f>AVERAGE('22.07 RUBAGA-KABUSU'!G21,'23.07 RUBAGA-KABUSU'!G21,'24.07 RUBAGA-KABUSU'!G21,'25.07 RUBAGA-KABUSU'!G21,'26.07 RUBAGA-KABUSU-24h'!G21,'27.07 RUBAGA-KABUSU-24h'!G21,'28.07 RUBAGA-KABUSU'!G21)</f>
        <v>1.1428571428571428</v>
      </c>
      <c r="H21" s="49">
        <f>AVERAGE('22.07 RUBAGA-KABUSU'!H21,'23.07 RUBAGA-KABUSU'!H21,'24.07 RUBAGA-KABUSU'!H21,'25.07 RUBAGA-KABUSU'!H21,'26.07 RUBAGA-KABUSU-24h'!H21,'27.07 RUBAGA-KABUSU-24h'!H21,'28.07 RUBAGA-KABUSU'!H21)</f>
        <v>0.2857142857142857</v>
      </c>
      <c r="I21" s="49">
        <f>AVERAGE('22.07 RUBAGA-KABUSU'!I21,'23.07 RUBAGA-KABUSU'!I21,'24.07 RUBAGA-KABUSU'!I21,'25.07 RUBAGA-KABUSU'!I21,'26.07 RUBAGA-KABUSU-24h'!I21,'27.07 RUBAGA-KABUSU-24h'!I21,'28.07 RUBAGA-KABUSU'!I21)</f>
        <v>2.4285714285714284</v>
      </c>
      <c r="J21" s="49">
        <f>AVERAGE('22.07 RUBAGA-KABUSU'!J21,'23.07 RUBAGA-KABUSU'!J21,'24.07 RUBAGA-KABUSU'!J21,'25.07 RUBAGA-KABUSU'!J21,'26.07 RUBAGA-KABUSU-24h'!J21,'27.07 RUBAGA-KABUSU-24h'!J21,'28.07 RUBAGA-KABUSU'!J21)</f>
        <v>2.5714285714285716</v>
      </c>
      <c r="K21" s="49">
        <f>AVERAGE('22.07 RUBAGA-KABUSU'!K21,'23.07 RUBAGA-KABUSU'!K21,'24.07 RUBAGA-KABUSU'!K21,'25.07 RUBAGA-KABUSU'!K21,'26.07 RUBAGA-KABUSU-24h'!K21,'27.07 RUBAGA-KABUSU-24h'!K21,'28.07 RUBAGA-KABUSU'!K21)</f>
        <v>0.5714285714285714</v>
      </c>
      <c r="L21" s="49">
        <f>AVERAGE('22.07 RUBAGA-KABUSU'!L21,'23.07 RUBAGA-KABUSU'!L21,'24.07 RUBAGA-KABUSU'!L21,'25.07 RUBAGA-KABUSU'!L21,'26.07 RUBAGA-KABUSU-24h'!L21,'27.07 RUBAGA-KABUSU-24h'!L21,'28.07 RUBAGA-KABUSU'!L21)</f>
        <v>24.285714285714285</v>
      </c>
      <c r="M21" s="49">
        <f>AVERAGE('22.07 RUBAGA-KABUSU'!M21,'23.07 RUBAGA-KABUSU'!M21,'24.07 RUBAGA-KABUSU'!M21,'25.07 RUBAGA-KABUSU'!M21,'26.07 RUBAGA-KABUSU-24h'!M21,'27.07 RUBAGA-KABUSU-24h'!M21,'28.07 RUBAGA-KABUSU'!M21)</f>
        <v>127.14285714285714</v>
      </c>
      <c r="N21" s="49">
        <f>AVERAGE('22.07 RUBAGA-KABUSU'!N21,'23.07 RUBAGA-KABUSU'!N21,'24.07 RUBAGA-KABUSU'!N21,'25.07 RUBAGA-KABUSU'!N21,'26.07 RUBAGA-KABUSU-24h'!N21,'27.07 RUBAGA-KABUSU-24h'!N21,'28.07 RUBAGA-KABUSU'!N21)</f>
        <v>0</v>
      </c>
      <c r="O21" s="15">
        <f t="shared" si="0"/>
        <v>79.428571428571416</v>
      </c>
      <c r="P21" s="15">
        <f t="shared" si="1"/>
        <v>206.57142857142856</v>
      </c>
      <c r="R21" s="36" t="s">
        <v>20</v>
      </c>
      <c r="S21" s="34">
        <f t="shared" ref="S21:AF21" si="13">SUM(C54:C57)</f>
        <v>258</v>
      </c>
      <c r="T21" s="17">
        <f t="shared" si="13"/>
        <v>52.857142857142861</v>
      </c>
      <c r="U21" s="17">
        <f t="shared" si="13"/>
        <v>18</v>
      </c>
      <c r="V21" s="17">
        <f t="shared" si="13"/>
        <v>30.428571428571427</v>
      </c>
      <c r="W21" s="17">
        <f t="shared" si="13"/>
        <v>2.4285714285714284</v>
      </c>
      <c r="X21" s="17">
        <f t="shared" si="13"/>
        <v>0.71428571428571419</v>
      </c>
      <c r="Y21" s="17">
        <f t="shared" si="13"/>
        <v>12.714285714285714</v>
      </c>
      <c r="Z21" s="17">
        <f t="shared" si="13"/>
        <v>8.1428571428571441</v>
      </c>
      <c r="AA21" s="17">
        <f t="shared" si="13"/>
        <v>3</v>
      </c>
      <c r="AB21" s="17">
        <f t="shared" si="13"/>
        <v>1.857142857142857</v>
      </c>
      <c r="AC21" s="17">
        <f t="shared" si="13"/>
        <v>385</v>
      </c>
      <c r="AD21" s="17">
        <f t="shared" si="13"/>
        <v>0.42857142857142855</v>
      </c>
      <c r="AE21" s="31">
        <f t="shared" si="13"/>
        <v>388.57142857142856</v>
      </c>
      <c r="AF21" s="31">
        <f t="shared" si="13"/>
        <v>773.57142857142844</v>
      </c>
    </row>
    <row r="22" spans="2:32" ht="23.1" customHeight="1" x14ac:dyDescent="0.25">
      <c r="B22" s="23" t="s">
        <v>49</v>
      </c>
      <c r="C22" s="49">
        <f>AVERAGE('22.07 RUBAGA-KABUSU'!C22,'23.07 RUBAGA-KABUSU'!C22,'24.07 RUBAGA-KABUSU'!C22,'25.07 RUBAGA-KABUSU'!C22,'26.07 RUBAGA-KABUSU-24h'!C22,'27.07 RUBAGA-KABUSU-24h'!C22,'28.07 RUBAGA-KABUSU'!C22)</f>
        <v>21.857142857142858</v>
      </c>
      <c r="D22" s="49">
        <f>AVERAGE('22.07 RUBAGA-KABUSU'!D22,'23.07 RUBAGA-KABUSU'!D22,'24.07 RUBAGA-KABUSU'!D22,'25.07 RUBAGA-KABUSU'!D22,'26.07 RUBAGA-KABUSU-24h'!D22,'27.07 RUBAGA-KABUSU-24h'!D22,'28.07 RUBAGA-KABUSU'!D22)</f>
        <v>6.2857142857142856</v>
      </c>
      <c r="E22" s="49">
        <f>AVERAGE('22.07 RUBAGA-KABUSU'!E22,'23.07 RUBAGA-KABUSU'!E22,'24.07 RUBAGA-KABUSU'!E22,'25.07 RUBAGA-KABUSU'!E22,'26.07 RUBAGA-KABUSU-24h'!E22,'27.07 RUBAGA-KABUSU-24h'!E22,'28.07 RUBAGA-KABUSU'!E22)</f>
        <v>2.8571428571428572</v>
      </c>
      <c r="F22" s="49">
        <f>AVERAGE('22.07 RUBAGA-KABUSU'!F22,'23.07 RUBAGA-KABUSU'!F22,'24.07 RUBAGA-KABUSU'!F22,'25.07 RUBAGA-KABUSU'!F22,'26.07 RUBAGA-KABUSU-24h'!F22,'27.07 RUBAGA-KABUSU-24h'!F22,'28.07 RUBAGA-KABUSU'!F22)</f>
        <v>18.571428571428573</v>
      </c>
      <c r="G22" s="49">
        <f>AVERAGE('22.07 RUBAGA-KABUSU'!G22,'23.07 RUBAGA-KABUSU'!G22,'24.07 RUBAGA-KABUSU'!G22,'25.07 RUBAGA-KABUSU'!G22,'26.07 RUBAGA-KABUSU-24h'!G22,'27.07 RUBAGA-KABUSU-24h'!G22,'28.07 RUBAGA-KABUSU'!G22)</f>
        <v>0.5714285714285714</v>
      </c>
      <c r="H22" s="49">
        <f>AVERAGE('22.07 RUBAGA-KABUSU'!H22,'23.07 RUBAGA-KABUSU'!H22,'24.07 RUBAGA-KABUSU'!H22,'25.07 RUBAGA-KABUSU'!H22,'26.07 RUBAGA-KABUSU-24h'!H22,'27.07 RUBAGA-KABUSU-24h'!H22,'28.07 RUBAGA-KABUSU'!H22)</f>
        <v>0.42857142857142855</v>
      </c>
      <c r="I22" s="49">
        <f>AVERAGE('22.07 RUBAGA-KABUSU'!I22,'23.07 RUBAGA-KABUSU'!I22,'24.07 RUBAGA-KABUSU'!I22,'25.07 RUBAGA-KABUSU'!I22,'26.07 RUBAGA-KABUSU-24h'!I22,'27.07 RUBAGA-KABUSU-24h'!I22,'28.07 RUBAGA-KABUSU'!I22)</f>
        <v>3.2857142857142856</v>
      </c>
      <c r="J22" s="49">
        <f>AVERAGE('22.07 RUBAGA-KABUSU'!J22,'23.07 RUBAGA-KABUSU'!J22,'24.07 RUBAGA-KABUSU'!J22,'25.07 RUBAGA-KABUSU'!J22,'26.07 RUBAGA-KABUSU-24h'!J22,'27.07 RUBAGA-KABUSU-24h'!J22,'28.07 RUBAGA-KABUSU'!J22)</f>
        <v>3.4285714285714284</v>
      </c>
      <c r="K22" s="49">
        <f>AVERAGE('22.07 RUBAGA-KABUSU'!K22,'23.07 RUBAGA-KABUSU'!K22,'24.07 RUBAGA-KABUSU'!K22,'25.07 RUBAGA-KABUSU'!K22,'26.07 RUBAGA-KABUSU-24h'!K22,'27.07 RUBAGA-KABUSU-24h'!K22,'28.07 RUBAGA-KABUSU'!K22)</f>
        <v>0.5714285714285714</v>
      </c>
      <c r="L22" s="49">
        <f>AVERAGE('22.07 RUBAGA-KABUSU'!L22,'23.07 RUBAGA-KABUSU'!L22,'24.07 RUBAGA-KABUSU'!L22,'25.07 RUBAGA-KABUSU'!L22,'26.07 RUBAGA-KABUSU-24h'!L22,'27.07 RUBAGA-KABUSU-24h'!L22,'28.07 RUBAGA-KABUSU'!L22)</f>
        <v>0.14285714285714285</v>
      </c>
      <c r="M22" s="49">
        <f>AVERAGE('22.07 RUBAGA-KABUSU'!M22,'23.07 RUBAGA-KABUSU'!M22,'24.07 RUBAGA-KABUSU'!M22,'25.07 RUBAGA-KABUSU'!M22,'26.07 RUBAGA-KABUSU-24h'!M22,'27.07 RUBAGA-KABUSU-24h'!M22,'28.07 RUBAGA-KABUSU'!M22)</f>
        <v>153.57142857142858</v>
      </c>
      <c r="N22" s="49">
        <f>AVERAGE('22.07 RUBAGA-KABUSU'!N22,'23.07 RUBAGA-KABUSU'!N22,'24.07 RUBAGA-KABUSU'!N22,'25.07 RUBAGA-KABUSU'!N22,'26.07 RUBAGA-KABUSU-24h'!N22,'27.07 RUBAGA-KABUSU-24h'!N22,'28.07 RUBAGA-KABUSU'!N22)</f>
        <v>0</v>
      </c>
      <c r="O22" s="15">
        <f t="shared" si="0"/>
        <v>58</v>
      </c>
      <c r="P22" s="15">
        <f t="shared" si="1"/>
        <v>211.57142857142858</v>
      </c>
      <c r="R22" s="1" t="s">
        <v>146</v>
      </c>
      <c r="S22" s="34">
        <f>SUM(C58:C61)</f>
        <v>72</v>
      </c>
      <c r="T22" s="34">
        <f t="shared" ref="T22:AF22" si="14">SUM(D58:D61)</f>
        <v>18</v>
      </c>
      <c r="U22" s="34">
        <f t="shared" si="14"/>
        <v>6</v>
      </c>
      <c r="V22" s="34">
        <f t="shared" si="14"/>
        <v>15.5</v>
      </c>
      <c r="W22" s="34">
        <f t="shared" si="14"/>
        <v>1.5</v>
      </c>
      <c r="X22" s="34">
        <f t="shared" si="14"/>
        <v>0</v>
      </c>
      <c r="Y22" s="34">
        <f t="shared" si="14"/>
        <v>6</v>
      </c>
      <c r="Z22" s="34">
        <f t="shared" si="14"/>
        <v>1.5</v>
      </c>
      <c r="AA22" s="34">
        <f t="shared" si="14"/>
        <v>2.5</v>
      </c>
      <c r="AB22" s="34">
        <f t="shared" si="14"/>
        <v>0</v>
      </c>
      <c r="AC22" s="34">
        <f t="shared" si="14"/>
        <v>169.5</v>
      </c>
      <c r="AD22" s="34">
        <f t="shared" si="14"/>
        <v>0</v>
      </c>
      <c r="AE22" s="31">
        <f t="shared" si="14"/>
        <v>123</v>
      </c>
      <c r="AF22" s="31">
        <f t="shared" si="14"/>
        <v>292.5</v>
      </c>
    </row>
    <row r="23" spans="2:32" ht="23.1" customHeight="1" x14ac:dyDescent="0.25">
      <c r="B23" s="23" t="s">
        <v>50</v>
      </c>
      <c r="C23" s="49">
        <f>AVERAGE('22.07 RUBAGA-KABUSU'!C23,'23.07 RUBAGA-KABUSU'!C23,'24.07 RUBAGA-KABUSU'!C23,'25.07 RUBAGA-KABUSU'!C23,'26.07 RUBAGA-KABUSU-24h'!C23,'27.07 RUBAGA-KABUSU-24h'!C23,'28.07 RUBAGA-KABUSU'!C23)</f>
        <v>16</v>
      </c>
      <c r="D23" s="49">
        <f>AVERAGE('22.07 RUBAGA-KABUSU'!D23,'23.07 RUBAGA-KABUSU'!D23,'24.07 RUBAGA-KABUSU'!D23,'25.07 RUBAGA-KABUSU'!D23,'26.07 RUBAGA-KABUSU-24h'!D23,'27.07 RUBAGA-KABUSU-24h'!D23,'28.07 RUBAGA-KABUSU'!D23)</f>
        <v>4.4285714285714288</v>
      </c>
      <c r="E23" s="49">
        <f>AVERAGE('22.07 RUBAGA-KABUSU'!E23,'23.07 RUBAGA-KABUSU'!E23,'24.07 RUBAGA-KABUSU'!E23,'25.07 RUBAGA-KABUSU'!E23,'26.07 RUBAGA-KABUSU-24h'!E23,'27.07 RUBAGA-KABUSU-24h'!E23,'28.07 RUBAGA-KABUSU'!E23)</f>
        <v>1.8571428571428572</v>
      </c>
      <c r="F23" s="49">
        <f>AVERAGE('22.07 RUBAGA-KABUSU'!F23,'23.07 RUBAGA-KABUSU'!F23,'24.07 RUBAGA-KABUSU'!F23,'25.07 RUBAGA-KABUSU'!F23,'26.07 RUBAGA-KABUSU-24h'!F23,'27.07 RUBAGA-KABUSU-24h'!F23,'28.07 RUBAGA-KABUSU'!F23)</f>
        <v>15.142857142857142</v>
      </c>
      <c r="G23" s="49">
        <f>AVERAGE('22.07 RUBAGA-KABUSU'!G23,'23.07 RUBAGA-KABUSU'!G23,'24.07 RUBAGA-KABUSU'!G23,'25.07 RUBAGA-KABUSU'!G23,'26.07 RUBAGA-KABUSU-24h'!G23,'27.07 RUBAGA-KABUSU-24h'!G23,'28.07 RUBAGA-KABUSU'!G23)</f>
        <v>0.42857142857142855</v>
      </c>
      <c r="H23" s="49">
        <f>AVERAGE('22.07 RUBAGA-KABUSU'!H23,'23.07 RUBAGA-KABUSU'!H23,'24.07 RUBAGA-KABUSU'!H23,'25.07 RUBAGA-KABUSU'!H23,'26.07 RUBAGA-KABUSU-24h'!H23,'27.07 RUBAGA-KABUSU-24h'!H23,'28.07 RUBAGA-KABUSU'!H23)</f>
        <v>0.14285714285714285</v>
      </c>
      <c r="I23" s="49">
        <f>AVERAGE('22.07 RUBAGA-KABUSU'!I23,'23.07 RUBAGA-KABUSU'!I23,'24.07 RUBAGA-KABUSU'!I23,'25.07 RUBAGA-KABUSU'!I23,'26.07 RUBAGA-KABUSU-24h'!I23,'27.07 RUBAGA-KABUSU-24h'!I23,'28.07 RUBAGA-KABUSU'!I23)</f>
        <v>2.4285714285714284</v>
      </c>
      <c r="J23" s="49">
        <f>AVERAGE('22.07 RUBAGA-KABUSU'!J23,'23.07 RUBAGA-KABUSU'!J23,'24.07 RUBAGA-KABUSU'!J23,'25.07 RUBAGA-KABUSU'!J23,'26.07 RUBAGA-KABUSU-24h'!J23,'27.07 RUBAGA-KABUSU-24h'!J23,'28.07 RUBAGA-KABUSU'!J23)</f>
        <v>2.5714285714285716</v>
      </c>
      <c r="K23" s="49">
        <f>AVERAGE('22.07 RUBAGA-KABUSU'!K23,'23.07 RUBAGA-KABUSU'!K23,'24.07 RUBAGA-KABUSU'!K23,'25.07 RUBAGA-KABUSU'!K23,'26.07 RUBAGA-KABUSU-24h'!K23,'27.07 RUBAGA-KABUSU-24h'!K23,'28.07 RUBAGA-KABUSU'!K23)</f>
        <v>0.42857142857142855</v>
      </c>
      <c r="L23" s="49">
        <f>AVERAGE('22.07 RUBAGA-KABUSU'!L23,'23.07 RUBAGA-KABUSU'!L23,'24.07 RUBAGA-KABUSU'!L23,'25.07 RUBAGA-KABUSU'!L23,'26.07 RUBAGA-KABUSU-24h'!L23,'27.07 RUBAGA-KABUSU-24h'!L23,'28.07 RUBAGA-KABUSU'!L23)</f>
        <v>0.14285714285714285</v>
      </c>
      <c r="M23" s="49">
        <f>AVERAGE('22.07 RUBAGA-KABUSU'!M23,'23.07 RUBAGA-KABUSU'!M23,'24.07 RUBAGA-KABUSU'!M23,'25.07 RUBAGA-KABUSU'!M23,'26.07 RUBAGA-KABUSU-24h'!M23,'27.07 RUBAGA-KABUSU-24h'!M23,'28.07 RUBAGA-KABUSU'!M23)</f>
        <v>152.28571428571428</v>
      </c>
      <c r="N23" s="49">
        <f>AVERAGE('22.07 RUBAGA-KABUSU'!N23,'23.07 RUBAGA-KABUSU'!N23,'24.07 RUBAGA-KABUSU'!N23,'25.07 RUBAGA-KABUSU'!N23,'26.07 RUBAGA-KABUSU-24h'!N23,'27.07 RUBAGA-KABUSU-24h'!N23,'28.07 RUBAGA-KABUSU'!N23)</f>
        <v>0</v>
      </c>
      <c r="O23" s="15">
        <f t="shared" si="0"/>
        <v>43.571428571428584</v>
      </c>
      <c r="P23" s="15">
        <f t="shared" si="1"/>
        <v>195.85714285714286</v>
      </c>
      <c r="R23" s="1" t="s">
        <v>147</v>
      </c>
      <c r="S23" s="34">
        <f>SUM(C62:C65)</f>
        <v>89.5</v>
      </c>
      <c r="T23" s="34">
        <f t="shared" ref="T23:AF23" si="15">SUM(D62:D65)</f>
        <v>19</v>
      </c>
      <c r="U23" s="34">
        <f t="shared" si="15"/>
        <v>2.5</v>
      </c>
      <c r="V23" s="34">
        <f t="shared" si="15"/>
        <v>25</v>
      </c>
      <c r="W23" s="34">
        <f t="shared" si="15"/>
        <v>1.5</v>
      </c>
      <c r="X23" s="34">
        <f t="shared" si="15"/>
        <v>0</v>
      </c>
      <c r="Y23" s="34">
        <f t="shared" si="15"/>
        <v>4.5</v>
      </c>
      <c r="Z23" s="34">
        <f t="shared" si="15"/>
        <v>3</v>
      </c>
      <c r="AA23" s="34">
        <f t="shared" si="15"/>
        <v>1</v>
      </c>
      <c r="AB23" s="34">
        <f t="shared" si="15"/>
        <v>0</v>
      </c>
      <c r="AC23" s="34">
        <f t="shared" si="15"/>
        <v>206.5</v>
      </c>
      <c r="AD23" s="34">
        <f t="shared" si="15"/>
        <v>0</v>
      </c>
      <c r="AE23" s="31">
        <f t="shared" si="15"/>
        <v>146</v>
      </c>
      <c r="AF23" s="31">
        <f t="shared" si="15"/>
        <v>352.5</v>
      </c>
    </row>
    <row r="24" spans="2:32" ht="23.1" customHeight="1" x14ac:dyDescent="0.25">
      <c r="B24" s="23" t="s">
        <v>51</v>
      </c>
      <c r="C24" s="49">
        <f>AVERAGE('22.07 RUBAGA-KABUSU'!C24,'23.07 RUBAGA-KABUSU'!C24,'24.07 RUBAGA-KABUSU'!C24,'25.07 RUBAGA-KABUSU'!C24,'26.07 RUBAGA-KABUSU-24h'!C24,'27.07 RUBAGA-KABUSU-24h'!C24,'28.07 RUBAGA-KABUSU'!C24)</f>
        <v>20.857142857142858</v>
      </c>
      <c r="D24" s="49">
        <f>AVERAGE('22.07 RUBAGA-KABUSU'!D24,'23.07 RUBAGA-KABUSU'!D24,'24.07 RUBAGA-KABUSU'!D24,'25.07 RUBAGA-KABUSU'!D24,'26.07 RUBAGA-KABUSU-24h'!D24,'27.07 RUBAGA-KABUSU-24h'!D24,'28.07 RUBAGA-KABUSU'!D24)</f>
        <v>3.7142857142857144</v>
      </c>
      <c r="E24" s="49">
        <f>AVERAGE('22.07 RUBAGA-KABUSU'!E24,'23.07 RUBAGA-KABUSU'!E24,'24.07 RUBAGA-KABUSU'!E24,'25.07 RUBAGA-KABUSU'!E24,'26.07 RUBAGA-KABUSU-24h'!E24,'27.07 RUBAGA-KABUSU-24h'!E24,'28.07 RUBAGA-KABUSU'!E24)</f>
        <v>2.8571428571428572</v>
      </c>
      <c r="F24" s="49">
        <f>AVERAGE('22.07 RUBAGA-KABUSU'!F24,'23.07 RUBAGA-KABUSU'!F24,'24.07 RUBAGA-KABUSU'!F24,'25.07 RUBAGA-KABUSU'!F24,'26.07 RUBAGA-KABUSU-24h'!F24,'27.07 RUBAGA-KABUSU-24h'!F24,'28.07 RUBAGA-KABUSU'!F24)</f>
        <v>14</v>
      </c>
      <c r="G24" s="49">
        <f>AVERAGE('22.07 RUBAGA-KABUSU'!G24,'23.07 RUBAGA-KABUSU'!G24,'24.07 RUBAGA-KABUSU'!G24,'25.07 RUBAGA-KABUSU'!G24,'26.07 RUBAGA-KABUSU-24h'!G24,'27.07 RUBAGA-KABUSU-24h'!G24,'28.07 RUBAGA-KABUSU'!G24)</f>
        <v>0.5714285714285714</v>
      </c>
      <c r="H24" s="49">
        <f>AVERAGE('22.07 RUBAGA-KABUSU'!H24,'23.07 RUBAGA-KABUSU'!H24,'24.07 RUBAGA-KABUSU'!H24,'25.07 RUBAGA-KABUSU'!H24,'26.07 RUBAGA-KABUSU-24h'!H24,'27.07 RUBAGA-KABUSU-24h'!H24,'28.07 RUBAGA-KABUSU'!H24)</f>
        <v>0</v>
      </c>
      <c r="I24" s="49">
        <f>AVERAGE('22.07 RUBAGA-KABUSU'!I24,'23.07 RUBAGA-KABUSU'!I24,'24.07 RUBAGA-KABUSU'!I24,'25.07 RUBAGA-KABUSU'!I24,'26.07 RUBAGA-KABUSU-24h'!I24,'27.07 RUBAGA-KABUSU-24h'!I24,'28.07 RUBAGA-KABUSU'!I24)</f>
        <v>3.1428571428571428</v>
      </c>
      <c r="J24" s="49">
        <f>AVERAGE('22.07 RUBAGA-KABUSU'!J24,'23.07 RUBAGA-KABUSU'!J24,'24.07 RUBAGA-KABUSU'!J24,'25.07 RUBAGA-KABUSU'!J24,'26.07 RUBAGA-KABUSU-24h'!J24,'27.07 RUBAGA-KABUSU-24h'!J24,'28.07 RUBAGA-KABUSU'!J24)</f>
        <v>1.5714285714285714</v>
      </c>
      <c r="K24" s="49">
        <f>AVERAGE('22.07 RUBAGA-KABUSU'!K24,'23.07 RUBAGA-KABUSU'!K24,'24.07 RUBAGA-KABUSU'!K24,'25.07 RUBAGA-KABUSU'!K24,'26.07 RUBAGA-KABUSU-24h'!K24,'27.07 RUBAGA-KABUSU-24h'!K24,'28.07 RUBAGA-KABUSU'!K24)</f>
        <v>0.5714285714285714</v>
      </c>
      <c r="L24" s="49">
        <f>AVERAGE('22.07 RUBAGA-KABUSU'!L24,'23.07 RUBAGA-KABUSU'!L24,'24.07 RUBAGA-KABUSU'!L24,'25.07 RUBAGA-KABUSU'!L24,'26.07 RUBAGA-KABUSU-24h'!L24,'27.07 RUBAGA-KABUSU-24h'!L24,'28.07 RUBAGA-KABUSU'!L24)</f>
        <v>0</v>
      </c>
      <c r="M24" s="49">
        <f>AVERAGE('22.07 RUBAGA-KABUSU'!M24,'23.07 RUBAGA-KABUSU'!M24,'24.07 RUBAGA-KABUSU'!M24,'25.07 RUBAGA-KABUSU'!M24,'26.07 RUBAGA-KABUSU-24h'!M24,'27.07 RUBAGA-KABUSU-24h'!M24,'28.07 RUBAGA-KABUSU'!M24)</f>
        <v>129.57142857142858</v>
      </c>
      <c r="N24" s="49">
        <f>AVERAGE('22.07 RUBAGA-KABUSU'!N24,'23.07 RUBAGA-KABUSU'!N24,'24.07 RUBAGA-KABUSU'!N24,'25.07 RUBAGA-KABUSU'!N24,'26.07 RUBAGA-KABUSU-24h'!N24,'27.07 RUBAGA-KABUSU-24h'!N24,'28.07 RUBAGA-KABUSU'!N24)</f>
        <v>0</v>
      </c>
      <c r="O24" s="15">
        <f t="shared" si="0"/>
        <v>47.285714285714285</v>
      </c>
      <c r="P24" s="15">
        <f t="shared" si="1"/>
        <v>176.85714285714286</v>
      </c>
      <c r="R24" s="1" t="s">
        <v>148</v>
      </c>
      <c r="S24" s="34">
        <f>SUM(C66:C69)</f>
        <v>44</v>
      </c>
      <c r="T24" s="34">
        <f t="shared" ref="T24:AF24" si="16">SUM(D66:D69)</f>
        <v>3</v>
      </c>
      <c r="U24" s="34">
        <f t="shared" si="16"/>
        <v>3.5</v>
      </c>
      <c r="V24" s="34">
        <f t="shared" si="16"/>
        <v>8.5</v>
      </c>
      <c r="W24" s="34">
        <f t="shared" si="16"/>
        <v>8</v>
      </c>
      <c r="X24" s="34">
        <f t="shared" si="16"/>
        <v>0</v>
      </c>
      <c r="Y24" s="34">
        <f t="shared" si="16"/>
        <v>7</v>
      </c>
      <c r="Z24" s="34">
        <f t="shared" si="16"/>
        <v>7</v>
      </c>
      <c r="AA24" s="34">
        <f t="shared" si="16"/>
        <v>0.5</v>
      </c>
      <c r="AB24" s="34">
        <f t="shared" si="16"/>
        <v>0</v>
      </c>
      <c r="AC24" s="34">
        <f t="shared" si="16"/>
        <v>133.5</v>
      </c>
      <c r="AD24" s="34">
        <f t="shared" si="16"/>
        <v>0</v>
      </c>
      <c r="AE24" s="31">
        <f t="shared" si="16"/>
        <v>81.5</v>
      </c>
      <c r="AF24" s="31">
        <f t="shared" si="16"/>
        <v>215</v>
      </c>
    </row>
    <row r="25" spans="2:32" ht="23.1" customHeight="1" x14ac:dyDescent="0.25">
      <c r="B25" s="23" t="s">
        <v>52</v>
      </c>
      <c r="C25" s="49">
        <f>AVERAGE('22.07 RUBAGA-KABUSU'!C25,'23.07 RUBAGA-KABUSU'!C25,'24.07 RUBAGA-KABUSU'!C25,'25.07 RUBAGA-KABUSU'!C25,'26.07 RUBAGA-KABUSU-24h'!C25,'27.07 RUBAGA-KABUSU-24h'!C25,'28.07 RUBAGA-KABUSU'!C25)</f>
        <v>25.571428571428573</v>
      </c>
      <c r="D25" s="49">
        <f>AVERAGE('22.07 RUBAGA-KABUSU'!D25,'23.07 RUBAGA-KABUSU'!D25,'24.07 RUBAGA-KABUSU'!D25,'25.07 RUBAGA-KABUSU'!D25,'26.07 RUBAGA-KABUSU-24h'!D25,'27.07 RUBAGA-KABUSU-24h'!D25,'28.07 RUBAGA-KABUSU'!D25)</f>
        <v>4.1428571428571432</v>
      </c>
      <c r="E25" s="49">
        <f>AVERAGE('22.07 RUBAGA-KABUSU'!E25,'23.07 RUBAGA-KABUSU'!E25,'24.07 RUBAGA-KABUSU'!E25,'25.07 RUBAGA-KABUSU'!E25,'26.07 RUBAGA-KABUSU-24h'!E25,'27.07 RUBAGA-KABUSU-24h'!E25,'28.07 RUBAGA-KABUSU'!E25)</f>
        <v>3.7142857142857144</v>
      </c>
      <c r="F25" s="49">
        <f>AVERAGE('22.07 RUBAGA-KABUSU'!F25,'23.07 RUBAGA-KABUSU'!F25,'24.07 RUBAGA-KABUSU'!F25,'25.07 RUBAGA-KABUSU'!F25,'26.07 RUBAGA-KABUSU-24h'!F25,'27.07 RUBAGA-KABUSU-24h'!F25,'28.07 RUBAGA-KABUSU'!F25)</f>
        <v>15</v>
      </c>
      <c r="G25" s="49">
        <f>AVERAGE('22.07 RUBAGA-KABUSU'!G25,'23.07 RUBAGA-KABUSU'!G25,'24.07 RUBAGA-KABUSU'!G25,'25.07 RUBAGA-KABUSU'!G25,'26.07 RUBAGA-KABUSU-24h'!G25,'27.07 RUBAGA-KABUSU-24h'!G25,'28.07 RUBAGA-KABUSU'!G25)</f>
        <v>0.2857142857142857</v>
      </c>
      <c r="H25" s="49">
        <f>AVERAGE('22.07 RUBAGA-KABUSU'!H25,'23.07 RUBAGA-KABUSU'!H25,'24.07 RUBAGA-KABUSU'!H25,'25.07 RUBAGA-KABUSU'!H25,'26.07 RUBAGA-KABUSU-24h'!H25,'27.07 RUBAGA-KABUSU-24h'!H25,'28.07 RUBAGA-KABUSU'!H25)</f>
        <v>0.7142857142857143</v>
      </c>
      <c r="I25" s="49">
        <f>AVERAGE('22.07 RUBAGA-KABUSU'!I25,'23.07 RUBAGA-KABUSU'!I25,'24.07 RUBAGA-KABUSU'!I25,'25.07 RUBAGA-KABUSU'!I25,'26.07 RUBAGA-KABUSU-24h'!I25,'27.07 RUBAGA-KABUSU-24h'!I25,'28.07 RUBAGA-KABUSU'!I25)</f>
        <v>4.1428571428571432</v>
      </c>
      <c r="J25" s="49">
        <f>AVERAGE('22.07 RUBAGA-KABUSU'!J25,'23.07 RUBAGA-KABUSU'!J25,'24.07 RUBAGA-KABUSU'!J25,'25.07 RUBAGA-KABUSU'!J25,'26.07 RUBAGA-KABUSU-24h'!J25,'27.07 RUBAGA-KABUSU-24h'!J25,'28.07 RUBAGA-KABUSU'!J25)</f>
        <v>2.8571428571428572</v>
      </c>
      <c r="K25" s="49">
        <f>AVERAGE('22.07 RUBAGA-KABUSU'!K25,'23.07 RUBAGA-KABUSU'!K25,'24.07 RUBAGA-KABUSU'!K25,'25.07 RUBAGA-KABUSU'!K25,'26.07 RUBAGA-KABUSU-24h'!K25,'27.07 RUBAGA-KABUSU-24h'!K25,'28.07 RUBAGA-KABUSU'!K25)</f>
        <v>0.2857142857142857</v>
      </c>
      <c r="L25" s="49">
        <f>AVERAGE('22.07 RUBAGA-KABUSU'!L25,'23.07 RUBAGA-KABUSU'!L25,'24.07 RUBAGA-KABUSU'!L25,'25.07 RUBAGA-KABUSU'!L25,'26.07 RUBAGA-KABUSU-24h'!L25,'27.07 RUBAGA-KABUSU-24h'!L25,'28.07 RUBAGA-KABUSU'!L25)</f>
        <v>0.14285714285714285</v>
      </c>
      <c r="M25" s="49">
        <f>AVERAGE('22.07 RUBAGA-KABUSU'!M25,'23.07 RUBAGA-KABUSU'!M25,'24.07 RUBAGA-KABUSU'!M25,'25.07 RUBAGA-KABUSU'!M25,'26.07 RUBAGA-KABUSU-24h'!M25,'27.07 RUBAGA-KABUSU-24h'!M25,'28.07 RUBAGA-KABUSU'!M25)</f>
        <v>123.14285714285714</v>
      </c>
      <c r="N25" s="49">
        <f>AVERAGE('22.07 RUBAGA-KABUSU'!N25,'23.07 RUBAGA-KABUSU'!N25,'24.07 RUBAGA-KABUSU'!N25,'25.07 RUBAGA-KABUSU'!N25,'26.07 RUBAGA-KABUSU-24h'!N25,'27.07 RUBAGA-KABUSU-24h'!N25,'28.07 RUBAGA-KABUSU'!N25)</f>
        <v>0</v>
      </c>
      <c r="O25" s="15">
        <f t="shared" si="0"/>
        <v>56.857142857142861</v>
      </c>
      <c r="P25" s="15">
        <f t="shared" si="1"/>
        <v>180</v>
      </c>
      <c r="R25" s="1" t="s">
        <v>149</v>
      </c>
      <c r="S25" s="34">
        <f>SUM(C70:C73)</f>
        <v>138.5</v>
      </c>
      <c r="T25" s="34">
        <f t="shared" ref="T25:AF25" si="17">SUM(D70:D73)</f>
        <v>27</v>
      </c>
      <c r="U25" s="34">
        <f t="shared" si="17"/>
        <v>9</v>
      </c>
      <c r="V25" s="34">
        <f t="shared" si="17"/>
        <v>36.5</v>
      </c>
      <c r="W25" s="34">
        <f t="shared" si="17"/>
        <v>0</v>
      </c>
      <c r="X25" s="34">
        <f t="shared" si="17"/>
        <v>0.5</v>
      </c>
      <c r="Y25" s="34">
        <f t="shared" si="17"/>
        <v>7</v>
      </c>
      <c r="Z25" s="34">
        <f t="shared" si="17"/>
        <v>1.5</v>
      </c>
      <c r="AA25" s="34">
        <f t="shared" si="17"/>
        <v>1.5</v>
      </c>
      <c r="AB25" s="34">
        <f t="shared" si="17"/>
        <v>1.5</v>
      </c>
      <c r="AC25" s="34">
        <f t="shared" si="17"/>
        <v>282.5</v>
      </c>
      <c r="AD25" s="34">
        <f t="shared" si="17"/>
        <v>0</v>
      </c>
      <c r="AE25" s="31">
        <f t="shared" si="17"/>
        <v>223</v>
      </c>
      <c r="AF25" s="31">
        <f t="shared" si="17"/>
        <v>505.5</v>
      </c>
    </row>
    <row r="26" spans="2:32" ht="23.1" customHeight="1" x14ac:dyDescent="0.25">
      <c r="B26" s="23" t="s">
        <v>53</v>
      </c>
      <c r="C26" s="49">
        <f>AVERAGE('22.07 RUBAGA-KABUSU'!C26,'23.07 RUBAGA-KABUSU'!C26,'24.07 RUBAGA-KABUSU'!C26,'25.07 RUBAGA-KABUSU'!C26,'26.07 RUBAGA-KABUSU-24h'!C26,'27.07 RUBAGA-KABUSU-24h'!C26,'28.07 RUBAGA-KABUSU'!C26)</f>
        <v>29.285714285714285</v>
      </c>
      <c r="D26" s="49">
        <f>AVERAGE('22.07 RUBAGA-KABUSU'!D26,'23.07 RUBAGA-KABUSU'!D26,'24.07 RUBAGA-KABUSU'!D26,'25.07 RUBAGA-KABUSU'!D26,'26.07 RUBAGA-KABUSU-24h'!D26,'27.07 RUBAGA-KABUSU-24h'!D26,'28.07 RUBAGA-KABUSU'!D26)</f>
        <v>4.2857142857142856</v>
      </c>
      <c r="E26" s="49">
        <f>AVERAGE('22.07 RUBAGA-KABUSU'!E26,'23.07 RUBAGA-KABUSU'!E26,'24.07 RUBAGA-KABUSU'!E26,'25.07 RUBAGA-KABUSU'!E26,'26.07 RUBAGA-KABUSU-24h'!E26,'27.07 RUBAGA-KABUSU-24h'!E26,'28.07 RUBAGA-KABUSU'!E26)</f>
        <v>3.2857142857142856</v>
      </c>
      <c r="F26" s="49">
        <f>AVERAGE('22.07 RUBAGA-KABUSU'!F26,'23.07 RUBAGA-KABUSU'!F26,'24.07 RUBAGA-KABUSU'!F26,'25.07 RUBAGA-KABUSU'!F26,'26.07 RUBAGA-KABUSU-24h'!F26,'27.07 RUBAGA-KABUSU-24h'!F26,'28.07 RUBAGA-KABUSU'!F26)</f>
        <v>14.428571428571429</v>
      </c>
      <c r="G26" s="49">
        <f>AVERAGE('22.07 RUBAGA-KABUSU'!G26,'23.07 RUBAGA-KABUSU'!G26,'24.07 RUBAGA-KABUSU'!G26,'25.07 RUBAGA-KABUSU'!G26,'26.07 RUBAGA-KABUSU-24h'!G26,'27.07 RUBAGA-KABUSU-24h'!G26,'28.07 RUBAGA-KABUSU'!G26)</f>
        <v>0.14285714285714285</v>
      </c>
      <c r="H26" s="49">
        <f>AVERAGE('22.07 RUBAGA-KABUSU'!H26,'23.07 RUBAGA-KABUSU'!H26,'24.07 RUBAGA-KABUSU'!H26,'25.07 RUBAGA-KABUSU'!H26,'26.07 RUBAGA-KABUSU-24h'!H26,'27.07 RUBAGA-KABUSU-24h'!H26,'28.07 RUBAGA-KABUSU'!H26)</f>
        <v>0.2857142857142857</v>
      </c>
      <c r="I26" s="49">
        <f>AVERAGE('22.07 RUBAGA-KABUSU'!I26,'23.07 RUBAGA-KABUSU'!I26,'24.07 RUBAGA-KABUSU'!I26,'25.07 RUBAGA-KABUSU'!I26,'26.07 RUBAGA-KABUSU-24h'!I26,'27.07 RUBAGA-KABUSU-24h'!I26,'28.07 RUBAGA-KABUSU'!I26)</f>
        <v>3.5714285714285716</v>
      </c>
      <c r="J26" s="49">
        <f>AVERAGE('22.07 RUBAGA-KABUSU'!J26,'23.07 RUBAGA-KABUSU'!J26,'24.07 RUBAGA-KABUSU'!J26,'25.07 RUBAGA-KABUSU'!J26,'26.07 RUBAGA-KABUSU-24h'!J26,'27.07 RUBAGA-KABUSU-24h'!J26,'28.07 RUBAGA-KABUSU'!J26)</f>
        <v>2.8571428571428572</v>
      </c>
      <c r="K26" s="49">
        <f>AVERAGE('22.07 RUBAGA-KABUSU'!K26,'23.07 RUBAGA-KABUSU'!K26,'24.07 RUBAGA-KABUSU'!K26,'25.07 RUBAGA-KABUSU'!K26,'26.07 RUBAGA-KABUSU-24h'!K26,'27.07 RUBAGA-KABUSU-24h'!K26,'28.07 RUBAGA-KABUSU'!K26)</f>
        <v>1.2857142857142858</v>
      </c>
      <c r="L26" s="49">
        <f>AVERAGE('22.07 RUBAGA-KABUSU'!L26,'23.07 RUBAGA-KABUSU'!L26,'24.07 RUBAGA-KABUSU'!L26,'25.07 RUBAGA-KABUSU'!L26,'26.07 RUBAGA-KABUSU-24h'!L26,'27.07 RUBAGA-KABUSU-24h'!L26,'28.07 RUBAGA-KABUSU'!L26)</f>
        <v>0.42857142857142855</v>
      </c>
      <c r="M26" s="49">
        <f>AVERAGE('22.07 RUBAGA-KABUSU'!M26,'23.07 RUBAGA-KABUSU'!M26,'24.07 RUBAGA-KABUSU'!M26,'25.07 RUBAGA-KABUSU'!M26,'26.07 RUBAGA-KABUSU-24h'!M26,'27.07 RUBAGA-KABUSU-24h'!M26,'28.07 RUBAGA-KABUSU'!M26)</f>
        <v>137.85714285714286</v>
      </c>
      <c r="N26" s="49">
        <f>AVERAGE('22.07 RUBAGA-KABUSU'!N26,'23.07 RUBAGA-KABUSU'!N26,'24.07 RUBAGA-KABUSU'!N26,'25.07 RUBAGA-KABUSU'!N26,'26.07 RUBAGA-KABUSU-24h'!N26,'27.07 RUBAGA-KABUSU-24h'!N26,'28.07 RUBAGA-KABUSU'!N26)</f>
        <v>0</v>
      </c>
      <c r="O26" s="15">
        <f t="shared" si="0"/>
        <v>59.857142857142854</v>
      </c>
      <c r="P26" s="15">
        <f t="shared" si="1"/>
        <v>197.71428571428572</v>
      </c>
      <c r="R26" s="1" t="s">
        <v>150</v>
      </c>
      <c r="S26" s="34">
        <f>SUM(C74:C77)</f>
        <v>130.5</v>
      </c>
      <c r="T26" s="34">
        <f t="shared" ref="T26:AF26" si="18">SUM(D74:D77)</f>
        <v>17</v>
      </c>
      <c r="U26" s="34">
        <f t="shared" si="18"/>
        <v>11</v>
      </c>
      <c r="V26" s="34">
        <f t="shared" si="18"/>
        <v>24</v>
      </c>
      <c r="W26" s="34">
        <f t="shared" si="18"/>
        <v>2</v>
      </c>
      <c r="X26" s="34">
        <f t="shared" si="18"/>
        <v>4</v>
      </c>
      <c r="Y26" s="34">
        <f t="shared" si="18"/>
        <v>4.5</v>
      </c>
      <c r="Z26" s="34">
        <f t="shared" si="18"/>
        <v>2.5</v>
      </c>
      <c r="AA26" s="34">
        <f t="shared" si="18"/>
        <v>1.5</v>
      </c>
      <c r="AB26" s="34">
        <f t="shared" si="18"/>
        <v>1</v>
      </c>
      <c r="AC26" s="34">
        <f t="shared" si="18"/>
        <v>307</v>
      </c>
      <c r="AD26" s="34">
        <f t="shared" si="18"/>
        <v>0.5</v>
      </c>
      <c r="AE26" s="31">
        <f t="shared" si="18"/>
        <v>198.5</v>
      </c>
      <c r="AF26" s="31">
        <f t="shared" si="18"/>
        <v>505.5</v>
      </c>
    </row>
    <row r="27" spans="2:32" ht="23.1" customHeight="1" x14ac:dyDescent="0.25">
      <c r="B27" s="23" t="s">
        <v>54</v>
      </c>
      <c r="C27" s="49">
        <f>AVERAGE('22.07 RUBAGA-KABUSU'!C27,'23.07 RUBAGA-KABUSU'!C27,'24.07 RUBAGA-KABUSU'!C27,'25.07 RUBAGA-KABUSU'!C27,'26.07 RUBAGA-KABUSU-24h'!C27,'27.07 RUBAGA-KABUSU-24h'!C27,'28.07 RUBAGA-KABUSU'!C27)</f>
        <v>25.714285714285715</v>
      </c>
      <c r="D27" s="49">
        <f>AVERAGE('22.07 RUBAGA-KABUSU'!D27,'23.07 RUBAGA-KABUSU'!D27,'24.07 RUBAGA-KABUSU'!D27,'25.07 RUBAGA-KABUSU'!D27,'26.07 RUBAGA-KABUSU-24h'!D27,'27.07 RUBAGA-KABUSU-24h'!D27,'28.07 RUBAGA-KABUSU'!D27)</f>
        <v>5.5714285714285712</v>
      </c>
      <c r="E27" s="49">
        <f>AVERAGE('22.07 RUBAGA-KABUSU'!E27,'23.07 RUBAGA-KABUSU'!E27,'24.07 RUBAGA-KABUSU'!E27,'25.07 RUBAGA-KABUSU'!E27,'26.07 RUBAGA-KABUSU-24h'!E27,'27.07 RUBAGA-KABUSU-24h'!E27,'28.07 RUBAGA-KABUSU'!E27)</f>
        <v>2.2857142857142856</v>
      </c>
      <c r="F27" s="49">
        <f>AVERAGE('22.07 RUBAGA-KABUSU'!F27,'23.07 RUBAGA-KABUSU'!F27,'24.07 RUBAGA-KABUSU'!F27,'25.07 RUBAGA-KABUSU'!F27,'26.07 RUBAGA-KABUSU-24h'!F27,'27.07 RUBAGA-KABUSU-24h'!F27,'28.07 RUBAGA-KABUSU'!F27)</f>
        <v>13.714285714285714</v>
      </c>
      <c r="G27" s="49">
        <f>AVERAGE('22.07 RUBAGA-KABUSU'!G27,'23.07 RUBAGA-KABUSU'!G27,'24.07 RUBAGA-KABUSU'!G27,'25.07 RUBAGA-KABUSU'!G27,'26.07 RUBAGA-KABUSU-24h'!G27,'27.07 RUBAGA-KABUSU-24h'!G27,'28.07 RUBAGA-KABUSU'!G27)</f>
        <v>0.42857142857142855</v>
      </c>
      <c r="H27" s="49">
        <f>AVERAGE('22.07 RUBAGA-KABUSU'!H27,'23.07 RUBAGA-KABUSU'!H27,'24.07 RUBAGA-KABUSU'!H27,'25.07 RUBAGA-KABUSU'!H27,'26.07 RUBAGA-KABUSU-24h'!H27,'27.07 RUBAGA-KABUSU-24h'!H27,'28.07 RUBAGA-KABUSU'!H27)</f>
        <v>0.2857142857142857</v>
      </c>
      <c r="I27" s="49">
        <f>AVERAGE('22.07 RUBAGA-KABUSU'!I27,'23.07 RUBAGA-KABUSU'!I27,'24.07 RUBAGA-KABUSU'!I27,'25.07 RUBAGA-KABUSU'!I27,'26.07 RUBAGA-KABUSU-24h'!I27,'27.07 RUBAGA-KABUSU-24h'!I27,'28.07 RUBAGA-KABUSU'!I27)</f>
        <v>2.1428571428571428</v>
      </c>
      <c r="J27" s="49">
        <f>AVERAGE('22.07 RUBAGA-KABUSU'!J27,'23.07 RUBAGA-KABUSU'!J27,'24.07 RUBAGA-KABUSU'!J27,'25.07 RUBAGA-KABUSU'!J27,'26.07 RUBAGA-KABUSU-24h'!J27,'27.07 RUBAGA-KABUSU-24h'!J27,'28.07 RUBAGA-KABUSU'!J27)</f>
        <v>3.8571428571428572</v>
      </c>
      <c r="K27" s="49">
        <f>AVERAGE('22.07 RUBAGA-KABUSU'!K27,'23.07 RUBAGA-KABUSU'!K27,'24.07 RUBAGA-KABUSU'!K27,'25.07 RUBAGA-KABUSU'!K27,'26.07 RUBAGA-KABUSU-24h'!K27,'27.07 RUBAGA-KABUSU-24h'!K27,'28.07 RUBAGA-KABUSU'!K27)</f>
        <v>0.7142857142857143</v>
      </c>
      <c r="L27" s="49">
        <f>AVERAGE('22.07 RUBAGA-KABUSU'!L27,'23.07 RUBAGA-KABUSU'!L27,'24.07 RUBAGA-KABUSU'!L27,'25.07 RUBAGA-KABUSU'!L27,'26.07 RUBAGA-KABUSU-24h'!L27,'27.07 RUBAGA-KABUSU-24h'!L27,'28.07 RUBAGA-KABUSU'!L27)</f>
        <v>0</v>
      </c>
      <c r="M27" s="49">
        <f>AVERAGE('22.07 RUBAGA-KABUSU'!M27,'23.07 RUBAGA-KABUSU'!M27,'24.07 RUBAGA-KABUSU'!M27,'25.07 RUBAGA-KABUSU'!M27,'26.07 RUBAGA-KABUSU-24h'!M27,'27.07 RUBAGA-KABUSU-24h'!M27,'28.07 RUBAGA-KABUSU'!M27)</f>
        <v>139.42857142857142</v>
      </c>
      <c r="N27" s="49">
        <f>AVERAGE('22.07 RUBAGA-KABUSU'!N27,'23.07 RUBAGA-KABUSU'!N27,'24.07 RUBAGA-KABUSU'!N27,'25.07 RUBAGA-KABUSU'!N27,'26.07 RUBAGA-KABUSU-24h'!N27,'27.07 RUBAGA-KABUSU-24h'!N27,'28.07 RUBAGA-KABUSU'!N27)</f>
        <v>0</v>
      </c>
      <c r="O27" s="15">
        <f t="shared" si="0"/>
        <v>54.714285714285715</v>
      </c>
      <c r="P27" s="15">
        <f t="shared" si="1"/>
        <v>194.14285714285714</v>
      </c>
      <c r="R27" s="1" t="s">
        <v>151</v>
      </c>
      <c r="S27" s="34">
        <f>SUM(C78:C81)</f>
        <v>121</v>
      </c>
      <c r="T27" s="34">
        <f t="shared" ref="T27:AF27" si="19">SUM(D78:D81)</f>
        <v>7</v>
      </c>
      <c r="U27" s="34">
        <f t="shared" si="19"/>
        <v>8</v>
      </c>
      <c r="V27" s="34">
        <f t="shared" si="19"/>
        <v>13.5</v>
      </c>
      <c r="W27" s="34">
        <f t="shared" si="19"/>
        <v>0.5</v>
      </c>
      <c r="X27" s="34">
        <f t="shared" si="19"/>
        <v>2</v>
      </c>
      <c r="Y27" s="34">
        <f t="shared" si="19"/>
        <v>4</v>
      </c>
      <c r="Z27" s="34">
        <f t="shared" si="19"/>
        <v>1.5</v>
      </c>
      <c r="AA27" s="34">
        <f t="shared" si="19"/>
        <v>5</v>
      </c>
      <c r="AB27" s="34">
        <f t="shared" si="19"/>
        <v>0</v>
      </c>
      <c r="AC27" s="34">
        <f t="shared" si="19"/>
        <v>206</v>
      </c>
      <c r="AD27" s="34">
        <f t="shared" si="19"/>
        <v>1</v>
      </c>
      <c r="AE27" s="31">
        <f t="shared" si="19"/>
        <v>163.5</v>
      </c>
      <c r="AF27" s="31">
        <f t="shared" si="19"/>
        <v>369.5</v>
      </c>
    </row>
    <row r="28" spans="2:32" ht="23.1" customHeight="1" x14ac:dyDescent="0.25">
      <c r="B28" s="23" t="s">
        <v>55</v>
      </c>
      <c r="C28" s="49">
        <f>AVERAGE('22.07 RUBAGA-KABUSU'!C28,'23.07 RUBAGA-KABUSU'!C28,'24.07 RUBAGA-KABUSU'!C28,'25.07 RUBAGA-KABUSU'!C28,'26.07 RUBAGA-KABUSU-24h'!C28,'27.07 RUBAGA-KABUSU-24h'!C28,'28.07 RUBAGA-KABUSU'!C28)</f>
        <v>33.285714285714285</v>
      </c>
      <c r="D28" s="49">
        <f>AVERAGE('22.07 RUBAGA-KABUSU'!D28,'23.07 RUBAGA-KABUSU'!D28,'24.07 RUBAGA-KABUSU'!D28,'25.07 RUBAGA-KABUSU'!D28,'26.07 RUBAGA-KABUSU-24h'!D28,'27.07 RUBAGA-KABUSU-24h'!D28,'28.07 RUBAGA-KABUSU'!D28)</f>
        <v>5.7142857142857144</v>
      </c>
      <c r="E28" s="49">
        <f>AVERAGE('22.07 RUBAGA-KABUSU'!E28,'23.07 RUBAGA-KABUSU'!E28,'24.07 RUBAGA-KABUSU'!E28,'25.07 RUBAGA-KABUSU'!E28,'26.07 RUBAGA-KABUSU-24h'!E28,'27.07 RUBAGA-KABUSU-24h'!E28,'28.07 RUBAGA-KABUSU'!E28)</f>
        <v>4.2857142857142856</v>
      </c>
      <c r="F28" s="49">
        <f>AVERAGE('22.07 RUBAGA-KABUSU'!F28,'23.07 RUBAGA-KABUSU'!F28,'24.07 RUBAGA-KABUSU'!F28,'25.07 RUBAGA-KABUSU'!F28,'26.07 RUBAGA-KABUSU-24h'!F28,'27.07 RUBAGA-KABUSU-24h'!F28,'28.07 RUBAGA-KABUSU'!F28)</f>
        <v>18.571428571428573</v>
      </c>
      <c r="G28" s="49">
        <f>AVERAGE('22.07 RUBAGA-KABUSU'!G28,'23.07 RUBAGA-KABUSU'!G28,'24.07 RUBAGA-KABUSU'!G28,'25.07 RUBAGA-KABUSU'!G28,'26.07 RUBAGA-KABUSU-24h'!G28,'27.07 RUBAGA-KABUSU-24h'!G28,'28.07 RUBAGA-KABUSU'!G28)</f>
        <v>0.42857142857142855</v>
      </c>
      <c r="H28" s="49">
        <f>AVERAGE('22.07 RUBAGA-KABUSU'!H28,'23.07 RUBAGA-KABUSU'!H28,'24.07 RUBAGA-KABUSU'!H28,'25.07 RUBAGA-KABUSU'!H28,'26.07 RUBAGA-KABUSU-24h'!H28,'27.07 RUBAGA-KABUSU-24h'!H28,'28.07 RUBAGA-KABUSU'!H28)</f>
        <v>0.14285714285714285</v>
      </c>
      <c r="I28" s="49">
        <f>AVERAGE('22.07 RUBAGA-KABUSU'!I28,'23.07 RUBAGA-KABUSU'!I28,'24.07 RUBAGA-KABUSU'!I28,'25.07 RUBAGA-KABUSU'!I28,'26.07 RUBAGA-KABUSU-24h'!I28,'27.07 RUBAGA-KABUSU-24h'!I28,'28.07 RUBAGA-KABUSU'!I28)</f>
        <v>3.2857142857142856</v>
      </c>
      <c r="J28" s="49">
        <f>AVERAGE('22.07 RUBAGA-KABUSU'!J28,'23.07 RUBAGA-KABUSU'!J28,'24.07 RUBAGA-KABUSU'!J28,'25.07 RUBAGA-KABUSU'!J28,'26.07 RUBAGA-KABUSU-24h'!J28,'27.07 RUBAGA-KABUSU-24h'!J28,'28.07 RUBAGA-KABUSU'!J28)</f>
        <v>2.1428571428571428</v>
      </c>
      <c r="K28" s="49">
        <f>AVERAGE('22.07 RUBAGA-KABUSU'!K28,'23.07 RUBAGA-KABUSU'!K28,'24.07 RUBAGA-KABUSU'!K28,'25.07 RUBAGA-KABUSU'!K28,'26.07 RUBAGA-KABUSU-24h'!K28,'27.07 RUBAGA-KABUSU-24h'!K28,'28.07 RUBAGA-KABUSU'!K28)</f>
        <v>0.7142857142857143</v>
      </c>
      <c r="L28" s="49">
        <f>AVERAGE('22.07 RUBAGA-KABUSU'!L28,'23.07 RUBAGA-KABUSU'!L28,'24.07 RUBAGA-KABUSU'!L28,'25.07 RUBAGA-KABUSU'!L28,'26.07 RUBAGA-KABUSU-24h'!L28,'27.07 RUBAGA-KABUSU-24h'!L28,'28.07 RUBAGA-KABUSU'!L28)</f>
        <v>0.7142857142857143</v>
      </c>
      <c r="M28" s="49">
        <f>AVERAGE('22.07 RUBAGA-KABUSU'!M28,'23.07 RUBAGA-KABUSU'!M28,'24.07 RUBAGA-KABUSU'!M28,'25.07 RUBAGA-KABUSU'!M28,'26.07 RUBAGA-KABUSU-24h'!M28,'27.07 RUBAGA-KABUSU-24h'!M28,'28.07 RUBAGA-KABUSU'!M28)</f>
        <v>132.57142857142858</v>
      </c>
      <c r="N28" s="49">
        <f>AVERAGE('22.07 RUBAGA-KABUSU'!N28,'23.07 RUBAGA-KABUSU'!N28,'24.07 RUBAGA-KABUSU'!N28,'25.07 RUBAGA-KABUSU'!N28,'26.07 RUBAGA-KABUSU-24h'!N28,'27.07 RUBAGA-KABUSU-24h'!N28,'28.07 RUBAGA-KABUSU'!N28)</f>
        <v>0</v>
      </c>
      <c r="O28" s="15">
        <f t="shared" si="0"/>
        <v>69.285714285714278</v>
      </c>
      <c r="P28" s="15">
        <f t="shared" si="1"/>
        <v>201.85714285714286</v>
      </c>
      <c r="R28" s="1" t="s">
        <v>152</v>
      </c>
      <c r="S28" s="34">
        <f>SUM(C82:C85)</f>
        <v>63</v>
      </c>
      <c r="T28" s="34">
        <f t="shared" ref="T28:AF28" si="20">SUM(D82:D85)</f>
        <v>3</v>
      </c>
      <c r="U28" s="34">
        <f t="shared" si="20"/>
        <v>3.5</v>
      </c>
      <c r="V28" s="34">
        <f t="shared" si="20"/>
        <v>1.5</v>
      </c>
      <c r="W28" s="34">
        <f t="shared" si="20"/>
        <v>0</v>
      </c>
      <c r="X28" s="34">
        <f t="shared" si="20"/>
        <v>0.5</v>
      </c>
      <c r="Y28" s="34">
        <f t="shared" si="20"/>
        <v>2.5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134</v>
      </c>
      <c r="AD28" s="34">
        <f t="shared" si="20"/>
        <v>0</v>
      </c>
      <c r="AE28" s="31">
        <f t="shared" si="20"/>
        <v>75</v>
      </c>
      <c r="AF28" s="31">
        <f t="shared" si="20"/>
        <v>209</v>
      </c>
    </row>
    <row r="29" spans="2:32" ht="23.1" customHeight="1" x14ac:dyDescent="0.25">
      <c r="B29" s="23" t="s">
        <v>56</v>
      </c>
      <c r="C29" s="49">
        <f>AVERAGE('22.07 RUBAGA-KABUSU'!C29,'23.07 RUBAGA-KABUSU'!C29,'24.07 RUBAGA-KABUSU'!C29,'25.07 RUBAGA-KABUSU'!C29,'26.07 RUBAGA-KABUSU-24h'!C29,'27.07 RUBAGA-KABUSU-24h'!C29,'28.07 RUBAGA-KABUSU'!C29)</f>
        <v>30.857142857142858</v>
      </c>
      <c r="D29" s="49">
        <f>AVERAGE('22.07 RUBAGA-KABUSU'!D29,'23.07 RUBAGA-KABUSU'!D29,'24.07 RUBAGA-KABUSU'!D29,'25.07 RUBAGA-KABUSU'!D29,'26.07 RUBAGA-KABUSU-24h'!D29,'27.07 RUBAGA-KABUSU-24h'!D29,'28.07 RUBAGA-KABUSU'!D29)</f>
        <v>6</v>
      </c>
      <c r="E29" s="49">
        <f>AVERAGE('22.07 RUBAGA-KABUSU'!E29,'23.07 RUBAGA-KABUSU'!E29,'24.07 RUBAGA-KABUSU'!E29,'25.07 RUBAGA-KABUSU'!E29,'26.07 RUBAGA-KABUSU-24h'!E29,'27.07 RUBAGA-KABUSU-24h'!E29,'28.07 RUBAGA-KABUSU'!E29)</f>
        <v>3.8571428571428572</v>
      </c>
      <c r="F29" s="49">
        <f>AVERAGE('22.07 RUBAGA-KABUSU'!F29,'23.07 RUBAGA-KABUSU'!F29,'24.07 RUBAGA-KABUSU'!F29,'25.07 RUBAGA-KABUSU'!F29,'26.07 RUBAGA-KABUSU-24h'!F29,'27.07 RUBAGA-KABUSU-24h'!F29,'28.07 RUBAGA-KABUSU'!F29)</f>
        <v>13.571428571428571</v>
      </c>
      <c r="G29" s="49">
        <f>AVERAGE('22.07 RUBAGA-KABUSU'!G29,'23.07 RUBAGA-KABUSU'!G29,'24.07 RUBAGA-KABUSU'!G29,'25.07 RUBAGA-KABUSU'!G29,'26.07 RUBAGA-KABUSU-24h'!G29,'27.07 RUBAGA-KABUSU-24h'!G29,'28.07 RUBAGA-KABUSU'!G29)</f>
        <v>0.14285714285714285</v>
      </c>
      <c r="H29" s="49">
        <f>AVERAGE('22.07 RUBAGA-KABUSU'!H29,'23.07 RUBAGA-KABUSU'!H29,'24.07 RUBAGA-KABUSU'!H29,'25.07 RUBAGA-KABUSU'!H29,'26.07 RUBAGA-KABUSU-24h'!H29,'27.07 RUBAGA-KABUSU-24h'!H29,'28.07 RUBAGA-KABUSU'!H29)</f>
        <v>0</v>
      </c>
      <c r="I29" s="49">
        <f>AVERAGE('22.07 RUBAGA-KABUSU'!I29,'23.07 RUBAGA-KABUSU'!I29,'24.07 RUBAGA-KABUSU'!I29,'25.07 RUBAGA-KABUSU'!I29,'26.07 RUBAGA-KABUSU-24h'!I29,'27.07 RUBAGA-KABUSU-24h'!I29,'28.07 RUBAGA-KABUSU'!I29)</f>
        <v>3.4285714285714284</v>
      </c>
      <c r="J29" s="49">
        <f>AVERAGE('22.07 RUBAGA-KABUSU'!J29,'23.07 RUBAGA-KABUSU'!J29,'24.07 RUBAGA-KABUSU'!J29,'25.07 RUBAGA-KABUSU'!J29,'26.07 RUBAGA-KABUSU-24h'!J29,'27.07 RUBAGA-KABUSU-24h'!J29,'28.07 RUBAGA-KABUSU'!J29)</f>
        <v>2</v>
      </c>
      <c r="K29" s="49">
        <f>AVERAGE('22.07 RUBAGA-KABUSU'!K29,'23.07 RUBAGA-KABUSU'!K29,'24.07 RUBAGA-KABUSU'!K29,'25.07 RUBAGA-KABUSU'!K29,'26.07 RUBAGA-KABUSU-24h'!K29,'27.07 RUBAGA-KABUSU-24h'!K29,'28.07 RUBAGA-KABUSU'!K29)</f>
        <v>1</v>
      </c>
      <c r="L29" s="49">
        <f>AVERAGE('22.07 RUBAGA-KABUSU'!L29,'23.07 RUBAGA-KABUSU'!L29,'24.07 RUBAGA-KABUSU'!L29,'25.07 RUBAGA-KABUSU'!L29,'26.07 RUBAGA-KABUSU-24h'!L29,'27.07 RUBAGA-KABUSU-24h'!L29,'28.07 RUBAGA-KABUSU'!L29)</f>
        <v>0.14285714285714285</v>
      </c>
      <c r="M29" s="49">
        <f>AVERAGE('22.07 RUBAGA-KABUSU'!M29,'23.07 RUBAGA-KABUSU'!M29,'24.07 RUBAGA-KABUSU'!M29,'25.07 RUBAGA-KABUSU'!M29,'26.07 RUBAGA-KABUSU-24h'!M29,'27.07 RUBAGA-KABUSU-24h'!M29,'28.07 RUBAGA-KABUSU'!M29)</f>
        <v>135.57142857142858</v>
      </c>
      <c r="N29" s="49">
        <f>AVERAGE('22.07 RUBAGA-KABUSU'!N29,'23.07 RUBAGA-KABUSU'!N29,'24.07 RUBAGA-KABUSU'!N29,'25.07 RUBAGA-KABUSU'!N29,'26.07 RUBAGA-KABUSU-24h'!N29,'27.07 RUBAGA-KABUSU-24h'!N29,'28.07 RUBAGA-KABUSU'!N29)</f>
        <v>0</v>
      </c>
      <c r="O29" s="15">
        <f t="shared" si="0"/>
        <v>61.000000000000007</v>
      </c>
      <c r="P29" s="15">
        <f t="shared" si="1"/>
        <v>196.57142857142858</v>
      </c>
      <c r="R29" s="1" t="s">
        <v>153</v>
      </c>
      <c r="S29" s="34">
        <f>SUM(C86:C89)</f>
        <v>54</v>
      </c>
      <c r="T29" s="34">
        <f t="shared" ref="T29:AF29" si="21">SUM(D86:D89)</f>
        <v>7.5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0.5</v>
      </c>
      <c r="Y29" s="34">
        <f t="shared" si="21"/>
        <v>2</v>
      </c>
      <c r="Z29" s="34">
        <f t="shared" si="21"/>
        <v>2.5</v>
      </c>
      <c r="AA29" s="34">
        <f t="shared" si="21"/>
        <v>0.5</v>
      </c>
      <c r="AB29" s="34">
        <f t="shared" si="21"/>
        <v>0</v>
      </c>
      <c r="AC29" s="34">
        <f t="shared" si="21"/>
        <v>78.5</v>
      </c>
      <c r="AD29" s="34">
        <f t="shared" si="21"/>
        <v>0.5</v>
      </c>
      <c r="AE29" s="31">
        <f t="shared" si="21"/>
        <v>71.5</v>
      </c>
      <c r="AF29" s="31">
        <f t="shared" si="21"/>
        <v>150</v>
      </c>
    </row>
    <row r="30" spans="2:32" ht="23.1" customHeight="1" x14ac:dyDescent="0.25">
      <c r="B30" s="23" t="s">
        <v>57</v>
      </c>
      <c r="C30" s="49">
        <f>AVERAGE('22.07 RUBAGA-KABUSU'!C30,'23.07 RUBAGA-KABUSU'!C30,'24.07 RUBAGA-KABUSU'!C30,'25.07 RUBAGA-KABUSU'!C30,'26.07 RUBAGA-KABUSU-24h'!C30,'27.07 RUBAGA-KABUSU-24h'!C30,'28.07 RUBAGA-KABUSU'!C30)</f>
        <v>26.428571428571427</v>
      </c>
      <c r="D30" s="49">
        <f>AVERAGE('22.07 RUBAGA-KABUSU'!D30,'23.07 RUBAGA-KABUSU'!D30,'24.07 RUBAGA-KABUSU'!D30,'25.07 RUBAGA-KABUSU'!D30,'26.07 RUBAGA-KABUSU-24h'!D30,'27.07 RUBAGA-KABUSU-24h'!D30,'28.07 RUBAGA-KABUSU'!D30)</f>
        <v>5.8571428571428568</v>
      </c>
      <c r="E30" s="49">
        <f>AVERAGE('22.07 RUBAGA-KABUSU'!E30,'23.07 RUBAGA-KABUSU'!E30,'24.07 RUBAGA-KABUSU'!E30,'25.07 RUBAGA-KABUSU'!E30,'26.07 RUBAGA-KABUSU-24h'!E30,'27.07 RUBAGA-KABUSU-24h'!E30,'28.07 RUBAGA-KABUSU'!E30)</f>
        <v>4.2857142857142856</v>
      </c>
      <c r="F30" s="49">
        <f>AVERAGE('22.07 RUBAGA-KABUSU'!F30,'23.07 RUBAGA-KABUSU'!F30,'24.07 RUBAGA-KABUSU'!F30,'25.07 RUBAGA-KABUSU'!F30,'26.07 RUBAGA-KABUSU-24h'!F30,'27.07 RUBAGA-KABUSU-24h'!F30,'28.07 RUBAGA-KABUSU'!F30)</f>
        <v>13.714285714285714</v>
      </c>
      <c r="G30" s="49">
        <f>AVERAGE('22.07 RUBAGA-KABUSU'!G30,'23.07 RUBAGA-KABUSU'!G30,'24.07 RUBAGA-KABUSU'!G30,'25.07 RUBAGA-KABUSU'!G30,'26.07 RUBAGA-KABUSU-24h'!G30,'27.07 RUBAGA-KABUSU-24h'!G30,'28.07 RUBAGA-KABUSU'!G30)</f>
        <v>0.2857142857142857</v>
      </c>
      <c r="H30" s="49">
        <f>AVERAGE('22.07 RUBAGA-KABUSU'!H30,'23.07 RUBAGA-KABUSU'!H30,'24.07 RUBAGA-KABUSU'!H30,'25.07 RUBAGA-KABUSU'!H30,'26.07 RUBAGA-KABUSU-24h'!H30,'27.07 RUBAGA-KABUSU-24h'!H30,'28.07 RUBAGA-KABUSU'!H30)</f>
        <v>0</v>
      </c>
      <c r="I30" s="49">
        <f>AVERAGE('22.07 RUBAGA-KABUSU'!I30,'23.07 RUBAGA-KABUSU'!I30,'24.07 RUBAGA-KABUSU'!I30,'25.07 RUBAGA-KABUSU'!I30,'26.07 RUBAGA-KABUSU-24h'!I30,'27.07 RUBAGA-KABUSU-24h'!I30,'28.07 RUBAGA-KABUSU'!I30)</f>
        <v>3.7142857142857144</v>
      </c>
      <c r="J30" s="49">
        <f>AVERAGE('22.07 RUBAGA-KABUSU'!J30,'23.07 RUBAGA-KABUSU'!J30,'24.07 RUBAGA-KABUSU'!J30,'25.07 RUBAGA-KABUSU'!J30,'26.07 RUBAGA-KABUSU-24h'!J30,'27.07 RUBAGA-KABUSU-24h'!J30,'28.07 RUBAGA-KABUSU'!J30)</f>
        <v>3.2857142857142856</v>
      </c>
      <c r="K30" s="49">
        <f>AVERAGE('22.07 RUBAGA-KABUSU'!K30,'23.07 RUBAGA-KABUSU'!K30,'24.07 RUBAGA-KABUSU'!K30,'25.07 RUBAGA-KABUSU'!K30,'26.07 RUBAGA-KABUSU-24h'!K30,'27.07 RUBAGA-KABUSU-24h'!K30,'28.07 RUBAGA-KABUSU'!K30)</f>
        <v>0.2857142857142857</v>
      </c>
      <c r="L30" s="49">
        <f>AVERAGE('22.07 RUBAGA-KABUSU'!L30,'23.07 RUBAGA-KABUSU'!L30,'24.07 RUBAGA-KABUSU'!L30,'25.07 RUBAGA-KABUSU'!L30,'26.07 RUBAGA-KABUSU-24h'!L30,'27.07 RUBAGA-KABUSU-24h'!L30,'28.07 RUBAGA-KABUSU'!L30)</f>
        <v>0.5714285714285714</v>
      </c>
      <c r="M30" s="49">
        <f>AVERAGE('22.07 RUBAGA-KABUSU'!M30,'23.07 RUBAGA-KABUSU'!M30,'24.07 RUBAGA-KABUSU'!M30,'25.07 RUBAGA-KABUSU'!M30,'26.07 RUBAGA-KABUSU-24h'!M30,'27.07 RUBAGA-KABUSU-24h'!M30,'28.07 RUBAGA-KABUSU'!M30)</f>
        <v>120</v>
      </c>
      <c r="N30" s="49">
        <f>AVERAGE('22.07 RUBAGA-KABUSU'!N30,'23.07 RUBAGA-KABUSU'!N30,'24.07 RUBAGA-KABUSU'!N30,'25.07 RUBAGA-KABUSU'!N30,'26.07 RUBAGA-KABUSU-24h'!N30,'27.07 RUBAGA-KABUSU-24h'!N30,'28.07 RUBAGA-KABUSU'!N30)</f>
        <v>0</v>
      </c>
      <c r="O30" s="15">
        <f t="shared" si="0"/>
        <v>58.428571428571423</v>
      </c>
      <c r="P30" s="15">
        <f t="shared" si="1"/>
        <v>178.42857142857142</v>
      </c>
      <c r="R30" s="1" t="s">
        <v>154</v>
      </c>
      <c r="S30" s="34">
        <f>SUM(C90:C93)</f>
        <v>93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86.5</v>
      </c>
      <c r="AD30" s="34">
        <f t="shared" si="22"/>
        <v>0</v>
      </c>
      <c r="AE30" s="31">
        <f t="shared" si="22"/>
        <v>99</v>
      </c>
      <c r="AF30" s="31">
        <f t="shared" si="22"/>
        <v>185.5</v>
      </c>
    </row>
    <row r="31" spans="2:32" ht="23.1" customHeight="1" x14ac:dyDescent="0.25">
      <c r="B31" s="24" t="s">
        <v>58</v>
      </c>
      <c r="C31" s="49">
        <f>AVERAGE('22.07 RUBAGA-KABUSU'!C31,'23.07 RUBAGA-KABUSU'!C31,'24.07 RUBAGA-KABUSU'!C31,'25.07 RUBAGA-KABUSU'!C31,'26.07 RUBAGA-KABUSU-24h'!C31,'27.07 RUBAGA-KABUSU-24h'!C31,'28.07 RUBAGA-KABUSU'!C31)</f>
        <v>29.428571428571427</v>
      </c>
      <c r="D31" s="49">
        <f>AVERAGE('22.07 RUBAGA-KABUSU'!D31,'23.07 RUBAGA-KABUSU'!D31,'24.07 RUBAGA-KABUSU'!D31,'25.07 RUBAGA-KABUSU'!D31,'26.07 RUBAGA-KABUSU-24h'!D31,'27.07 RUBAGA-KABUSU-24h'!D31,'28.07 RUBAGA-KABUSU'!D31)</f>
        <v>6.8571428571428568</v>
      </c>
      <c r="E31" s="49">
        <f>AVERAGE('22.07 RUBAGA-KABUSU'!E31,'23.07 RUBAGA-KABUSU'!E31,'24.07 RUBAGA-KABUSU'!E31,'25.07 RUBAGA-KABUSU'!E31,'26.07 RUBAGA-KABUSU-24h'!E31,'27.07 RUBAGA-KABUSU-24h'!E31,'28.07 RUBAGA-KABUSU'!E31)</f>
        <v>3.7142857142857144</v>
      </c>
      <c r="F31" s="49">
        <f>AVERAGE('22.07 RUBAGA-KABUSU'!F31,'23.07 RUBAGA-KABUSU'!F31,'24.07 RUBAGA-KABUSU'!F31,'25.07 RUBAGA-KABUSU'!F31,'26.07 RUBAGA-KABUSU-24h'!F31,'27.07 RUBAGA-KABUSU-24h'!F31,'28.07 RUBAGA-KABUSU'!F31)</f>
        <v>13.714285714285714</v>
      </c>
      <c r="G31" s="49">
        <f>AVERAGE('22.07 RUBAGA-KABUSU'!G31,'23.07 RUBAGA-KABUSU'!G31,'24.07 RUBAGA-KABUSU'!G31,'25.07 RUBAGA-KABUSU'!G31,'26.07 RUBAGA-KABUSU-24h'!G31,'27.07 RUBAGA-KABUSU-24h'!G31,'28.07 RUBAGA-KABUSU'!G31)</f>
        <v>0.5714285714285714</v>
      </c>
      <c r="H31" s="49">
        <f>AVERAGE('22.07 RUBAGA-KABUSU'!H31,'23.07 RUBAGA-KABUSU'!H31,'24.07 RUBAGA-KABUSU'!H31,'25.07 RUBAGA-KABUSU'!H31,'26.07 RUBAGA-KABUSU-24h'!H31,'27.07 RUBAGA-KABUSU-24h'!H31,'28.07 RUBAGA-KABUSU'!H31)</f>
        <v>0.2857142857142857</v>
      </c>
      <c r="I31" s="49">
        <f>AVERAGE('22.07 RUBAGA-KABUSU'!I31,'23.07 RUBAGA-KABUSU'!I31,'24.07 RUBAGA-KABUSU'!I31,'25.07 RUBAGA-KABUSU'!I31,'26.07 RUBAGA-KABUSU-24h'!I31,'27.07 RUBAGA-KABUSU-24h'!I31,'28.07 RUBAGA-KABUSU'!I31)</f>
        <v>4.1428571428571432</v>
      </c>
      <c r="J31" s="49">
        <f>AVERAGE('22.07 RUBAGA-KABUSU'!J31,'23.07 RUBAGA-KABUSU'!J31,'24.07 RUBAGA-KABUSU'!J31,'25.07 RUBAGA-KABUSU'!J31,'26.07 RUBAGA-KABUSU-24h'!J31,'27.07 RUBAGA-KABUSU-24h'!J31,'28.07 RUBAGA-KABUSU'!J31)</f>
        <v>3.8571428571428572</v>
      </c>
      <c r="K31" s="49">
        <f>AVERAGE('22.07 RUBAGA-KABUSU'!K31,'23.07 RUBAGA-KABUSU'!K31,'24.07 RUBAGA-KABUSU'!K31,'25.07 RUBAGA-KABUSU'!K31,'26.07 RUBAGA-KABUSU-24h'!K31,'27.07 RUBAGA-KABUSU-24h'!K31,'28.07 RUBAGA-KABUSU'!K31)</f>
        <v>1.2857142857142858</v>
      </c>
      <c r="L31" s="49">
        <f>AVERAGE('22.07 RUBAGA-KABUSU'!L31,'23.07 RUBAGA-KABUSU'!L31,'24.07 RUBAGA-KABUSU'!L31,'25.07 RUBAGA-KABUSU'!L31,'26.07 RUBAGA-KABUSU-24h'!L31,'27.07 RUBAGA-KABUSU-24h'!L31,'28.07 RUBAGA-KABUSU'!L31)</f>
        <v>0.42857142857142855</v>
      </c>
      <c r="M31" s="49">
        <f>AVERAGE('22.07 RUBAGA-KABUSU'!M31,'23.07 RUBAGA-KABUSU'!M31,'24.07 RUBAGA-KABUSU'!M31,'25.07 RUBAGA-KABUSU'!M31,'26.07 RUBAGA-KABUSU-24h'!M31,'27.07 RUBAGA-KABUSU-24h'!M31,'28.07 RUBAGA-KABUSU'!M31)</f>
        <v>128.71428571428572</v>
      </c>
      <c r="N31" s="49">
        <f>AVERAGE('22.07 RUBAGA-KABUSU'!N31,'23.07 RUBAGA-KABUSU'!N31,'24.07 RUBAGA-KABUSU'!N31,'25.07 RUBAGA-KABUSU'!N31,'26.07 RUBAGA-KABUSU-24h'!N31,'27.07 RUBAGA-KABUSU-24h'!N31,'28.07 RUBAGA-KABUSU'!N31)</f>
        <v>0</v>
      </c>
      <c r="O31" s="15">
        <f t="shared" si="0"/>
        <v>64.285714285714278</v>
      </c>
      <c r="P31" s="15">
        <f t="shared" si="1"/>
        <v>193</v>
      </c>
      <c r="R31" s="1" t="s">
        <v>155</v>
      </c>
      <c r="S31" s="34">
        <f>SUM(C94:C97)</f>
        <v>33</v>
      </c>
      <c r="T31" s="34">
        <f t="shared" ref="T31:AF31" si="23">SUM(D94:D97)</f>
        <v>2.5</v>
      </c>
      <c r="U31" s="34">
        <f t="shared" si="23"/>
        <v>1</v>
      </c>
      <c r="V31" s="34">
        <f t="shared" si="23"/>
        <v>4.5</v>
      </c>
      <c r="W31" s="34">
        <f t="shared" si="23"/>
        <v>0</v>
      </c>
      <c r="X31" s="34">
        <f t="shared" si="23"/>
        <v>0.5</v>
      </c>
      <c r="Y31" s="34">
        <f t="shared" si="23"/>
        <v>3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93</v>
      </c>
      <c r="AD31" s="34">
        <f t="shared" si="23"/>
        <v>0</v>
      </c>
      <c r="AE31" s="31">
        <f t="shared" si="23"/>
        <v>45</v>
      </c>
      <c r="AF31" s="31">
        <f t="shared" si="23"/>
        <v>138</v>
      </c>
    </row>
    <row r="32" spans="2:32" ht="23.1" customHeight="1" x14ac:dyDescent="0.25">
      <c r="B32" s="24" t="s">
        <v>59</v>
      </c>
      <c r="C32" s="49">
        <f>AVERAGE('22.07 RUBAGA-KABUSU'!C32,'23.07 RUBAGA-KABUSU'!C32,'24.07 RUBAGA-KABUSU'!C32,'25.07 RUBAGA-KABUSU'!C32,'26.07 RUBAGA-KABUSU-24h'!C32,'27.07 RUBAGA-KABUSU-24h'!C32,'28.07 RUBAGA-KABUSU'!C32)</f>
        <v>29.428571428571427</v>
      </c>
      <c r="D32" s="49">
        <f>AVERAGE('22.07 RUBAGA-KABUSU'!D32,'23.07 RUBAGA-KABUSU'!D32,'24.07 RUBAGA-KABUSU'!D32,'25.07 RUBAGA-KABUSU'!D32,'26.07 RUBAGA-KABUSU-24h'!D32,'27.07 RUBAGA-KABUSU-24h'!D32,'28.07 RUBAGA-KABUSU'!D32)</f>
        <v>6.8571428571428568</v>
      </c>
      <c r="E32" s="49">
        <f>AVERAGE('22.07 RUBAGA-KABUSU'!E32,'23.07 RUBAGA-KABUSU'!E32,'24.07 RUBAGA-KABUSU'!E32,'25.07 RUBAGA-KABUSU'!E32,'26.07 RUBAGA-KABUSU-24h'!E32,'27.07 RUBAGA-KABUSU-24h'!E32,'28.07 RUBAGA-KABUSU'!E32)</f>
        <v>3.7142857142857144</v>
      </c>
      <c r="F32" s="49">
        <f>AVERAGE('22.07 RUBAGA-KABUSU'!F32,'23.07 RUBAGA-KABUSU'!F32,'24.07 RUBAGA-KABUSU'!F32,'25.07 RUBAGA-KABUSU'!F32,'26.07 RUBAGA-KABUSU-24h'!F32,'27.07 RUBAGA-KABUSU-24h'!F32,'28.07 RUBAGA-KABUSU'!F32)</f>
        <v>12.571428571428571</v>
      </c>
      <c r="G32" s="49">
        <f>AVERAGE('22.07 RUBAGA-KABUSU'!G32,'23.07 RUBAGA-KABUSU'!G32,'24.07 RUBAGA-KABUSU'!G32,'25.07 RUBAGA-KABUSU'!G32,'26.07 RUBAGA-KABUSU-24h'!G32,'27.07 RUBAGA-KABUSU-24h'!G32,'28.07 RUBAGA-KABUSU'!G32)</f>
        <v>0.2857142857142857</v>
      </c>
      <c r="H32" s="49">
        <f>AVERAGE('22.07 RUBAGA-KABUSU'!H32,'23.07 RUBAGA-KABUSU'!H32,'24.07 RUBAGA-KABUSU'!H32,'25.07 RUBAGA-KABUSU'!H32,'26.07 RUBAGA-KABUSU-24h'!H32,'27.07 RUBAGA-KABUSU-24h'!H32,'28.07 RUBAGA-KABUSU'!H32)</f>
        <v>0.42857142857142855</v>
      </c>
      <c r="I32" s="49">
        <f>AVERAGE('22.07 RUBAGA-KABUSU'!I32,'23.07 RUBAGA-KABUSU'!I32,'24.07 RUBAGA-KABUSU'!I32,'25.07 RUBAGA-KABUSU'!I32,'26.07 RUBAGA-KABUSU-24h'!I32,'27.07 RUBAGA-KABUSU-24h'!I32,'28.07 RUBAGA-KABUSU'!I32)</f>
        <v>3.8571428571428572</v>
      </c>
      <c r="J32" s="49">
        <f>AVERAGE('22.07 RUBAGA-KABUSU'!J32,'23.07 RUBAGA-KABUSU'!J32,'24.07 RUBAGA-KABUSU'!J32,'25.07 RUBAGA-KABUSU'!J32,'26.07 RUBAGA-KABUSU-24h'!J32,'27.07 RUBAGA-KABUSU-24h'!J32,'28.07 RUBAGA-KABUSU'!J32)</f>
        <v>1.8571428571428572</v>
      </c>
      <c r="K32" s="49">
        <f>AVERAGE('22.07 RUBAGA-KABUSU'!K32,'23.07 RUBAGA-KABUSU'!K32,'24.07 RUBAGA-KABUSU'!K32,'25.07 RUBAGA-KABUSU'!K32,'26.07 RUBAGA-KABUSU-24h'!K32,'27.07 RUBAGA-KABUSU-24h'!K32,'28.07 RUBAGA-KABUSU'!K32)</f>
        <v>0.5714285714285714</v>
      </c>
      <c r="L32" s="49">
        <f>AVERAGE('22.07 RUBAGA-KABUSU'!L32,'23.07 RUBAGA-KABUSU'!L32,'24.07 RUBAGA-KABUSU'!L32,'25.07 RUBAGA-KABUSU'!L32,'26.07 RUBAGA-KABUSU-24h'!L32,'27.07 RUBAGA-KABUSU-24h'!L32,'28.07 RUBAGA-KABUSU'!L32)</f>
        <v>0.5714285714285714</v>
      </c>
      <c r="M32" s="49">
        <f>AVERAGE('22.07 RUBAGA-KABUSU'!M32,'23.07 RUBAGA-KABUSU'!M32,'24.07 RUBAGA-KABUSU'!M32,'25.07 RUBAGA-KABUSU'!M32,'26.07 RUBAGA-KABUSU-24h'!M32,'27.07 RUBAGA-KABUSU-24h'!M32,'28.07 RUBAGA-KABUSU'!M32)</f>
        <v>109.28571428571429</v>
      </c>
      <c r="N32" s="49">
        <f>AVERAGE('22.07 RUBAGA-KABUSU'!N32,'23.07 RUBAGA-KABUSU'!N32,'24.07 RUBAGA-KABUSU'!N32,'25.07 RUBAGA-KABUSU'!N32,'26.07 RUBAGA-KABUSU-24h'!N32,'27.07 RUBAGA-KABUSU-24h'!N32,'28.07 RUBAGA-KABUSU'!N32)</f>
        <v>0</v>
      </c>
      <c r="O32" s="15">
        <f t="shared" si="0"/>
        <v>60.142857142857132</v>
      </c>
      <c r="P32" s="15">
        <f t="shared" si="1"/>
        <v>169.42857142857142</v>
      </c>
      <c r="R32" s="1" t="s">
        <v>156</v>
      </c>
      <c r="S32" s="34">
        <f>SUM(C98:C101)</f>
        <v>39.5</v>
      </c>
      <c r="T32" s="34">
        <f t="shared" ref="T32:AF32" si="24">SUM(D98:D101)</f>
        <v>8.5</v>
      </c>
      <c r="U32" s="34">
        <f t="shared" si="24"/>
        <v>2.5</v>
      </c>
      <c r="V32" s="34">
        <f t="shared" si="24"/>
        <v>21</v>
      </c>
      <c r="W32" s="34">
        <f t="shared" si="24"/>
        <v>0</v>
      </c>
      <c r="X32" s="34">
        <f t="shared" si="24"/>
        <v>1</v>
      </c>
      <c r="Y32" s="34">
        <f t="shared" si="24"/>
        <v>1.5</v>
      </c>
      <c r="Z32" s="34">
        <f t="shared" si="24"/>
        <v>3.5</v>
      </c>
      <c r="AA32" s="34">
        <f t="shared" si="24"/>
        <v>4</v>
      </c>
      <c r="AB32" s="34">
        <f t="shared" si="24"/>
        <v>2.5</v>
      </c>
      <c r="AC32" s="34">
        <f t="shared" si="24"/>
        <v>88</v>
      </c>
      <c r="AD32" s="34">
        <f t="shared" si="24"/>
        <v>0</v>
      </c>
      <c r="AE32" s="31">
        <f t="shared" si="24"/>
        <v>84</v>
      </c>
      <c r="AF32" s="31">
        <f t="shared" si="24"/>
        <v>172</v>
      </c>
    </row>
    <row r="33" spans="2:32" ht="23.1" customHeight="1" x14ac:dyDescent="0.25">
      <c r="B33" s="23" t="s">
        <v>60</v>
      </c>
      <c r="C33" s="49">
        <f>AVERAGE('22.07 RUBAGA-KABUSU'!C33,'23.07 RUBAGA-KABUSU'!C33,'24.07 RUBAGA-KABUSU'!C33,'25.07 RUBAGA-KABUSU'!C33,'26.07 RUBAGA-KABUSU-24h'!C33,'27.07 RUBAGA-KABUSU-24h'!C33,'28.07 RUBAGA-KABUSU'!C33)</f>
        <v>30.428571428571427</v>
      </c>
      <c r="D33" s="49">
        <f>AVERAGE('22.07 RUBAGA-KABUSU'!D33,'23.07 RUBAGA-KABUSU'!D33,'24.07 RUBAGA-KABUSU'!D33,'25.07 RUBAGA-KABUSU'!D33,'26.07 RUBAGA-KABUSU-24h'!D33,'27.07 RUBAGA-KABUSU-24h'!D33,'28.07 RUBAGA-KABUSU'!D33)</f>
        <v>4.2857142857142856</v>
      </c>
      <c r="E33" s="49">
        <f>AVERAGE('22.07 RUBAGA-KABUSU'!E33,'23.07 RUBAGA-KABUSU'!E33,'24.07 RUBAGA-KABUSU'!E33,'25.07 RUBAGA-KABUSU'!E33,'26.07 RUBAGA-KABUSU-24h'!E33,'27.07 RUBAGA-KABUSU-24h'!E33,'28.07 RUBAGA-KABUSU'!E33)</f>
        <v>2.8571428571428572</v>
      </c>
      <c r="F33" s="49">
        <f>AVERAGE('22.07 RUBAGA-KABUSU'!F33,'23.07 RUBAGA-KABUSU'!F33,'24.07 RUBAGA-KABUSU'!F33,'25.07 RUBAGA-KABUSU'!F33,'26.07 RUBAGA-KABUSU-24h'!F33,'27.07 RUBAGA-KABUSU-24h'!F33,'28.07 RUBAGA-KABUSU'!F33)</f>
        <v>11.571428571428571</v>
      </c>
      <c r="G33" s="49">
        <f>AVERAGE('22.07 RUBAGA-KABUSU'!G33,'23.07 RUBAGA-KABUSU'!G33,'24.07 RUBAGA-KABUSU'!G33,'25.07 RUBAGA-KABUSU'!G33,'26.07 RUBAGA-KABUSU-24h'!G33,'27.07 RUBAGA-KABUSU-24h'!G33,'28.07 RUBAGA-KABUSU'!G33)</f>
        <v>0.5714285714285714</v>
      </c>
      <c r="H33" s="49">
        <f>AVERAGE('22.07 RUBAGA-KABUSU'!H33,'23.07 RUBAGA-KABUSU'!H33,'24.07 RUBAGA-KABUSU'!H33,'25.07 RUBAGA-KABUSU'!H33,'26.07 RUBAGA-KABUSU-24h'!H33,'27.07 RUBAGA-KABUSU-24h'!H33,'28.07 RUBAGA-KABUSU'!H33)</f>
        <v>0.5714285714285714</v>
      </c>
      <c r="I33" s="49">
        <f>AVERAGE('22.07 RUBAGA-KABUSU'!I33,'23.07 RUBAGA-KABUSU'!I33,'24.07 RUBAGA-KABUSU'!I33,'25.07 RUBAGA-KABUSU'!I33,'26.07 RUBAGA-KABUSU-24h'!I33,'27.07 RUBAGA-KABUSU-24h'!I33,'28.07 RUBAGA-KABUSU'!I33)</f>
        <v>3.4285714285714284</v>
      </c>
      <c r="J33" s="49">
        <f>AVERAGE('22.07 RUBAGA-KABUSU'!J33,'23.07 RUBAGA-KABUSU'!J33,'24.07 RUBAGA-KABUSU'!J33,'25.07 RUBAGA-KABUSU'!J33,'26.07 RUBAGA-KABUSU-24h'!J33,'27.07 RUBAGA-KABUSU-24h'!J33,'28.07 RUBAGA-KABUSU'!J33)</f>
        <v>2.2857142857142856</v>
      </c>
      <c r="K33" s="49">
        <f>AVERAGE('22.07 RUBAGA-KABUSU'!K33,'23.07 RUBAGA-KABUSU'!K33,'24.07 RUBAGA-KABUSU'!K33,'25.07 RUBAGA-KABUSU'!K33,'26.07 RUBAGA-KABUSU-24h'!K33,'27.07 RUBAGA-KABUSU-24h'!K33,'28.07 RUBAGA-KABUSU'!K33)</f>
        <v>1.1428571428571428</v>
      </c>
      <c r="L33" s="49">
        <f>AVERAGE('22.07 RUBAGA-KABUSU'!L33,'23.07 RUBAGA-KABUSU'!L33,'24.07 RUBAGA-KABUSU'!L33,'25.07 RUBAGA-KABUSU'!L33,'26.07 RUBAGA-KABUSU-24h'!L33,'27.07 RUBAGA-KABUSU-24h'!L33,'28.07 RUBAGA-KABUSU'!L33)</f>
        <v>0.2857142857142857</v>
      </c>
      <c r="M33" s="49">
        <f>AVERAGE('22.07 RUBAGA-KABUSU'!M33,'23.07 RUBAGA-KABUSU'!M33,'24.07 RUBAGA-KABUSU'!M33,'25.07 RUBAGA-KABUSU'!M33,'26.07 RUBAGA-KABUSU-24h'!M33,'27.07 RUBAGA-KABUSU-24h'!M33,'28.07 RUBAGA-KABUSU'!M33)</f>
        <v>110.57142857142857</v>
      </c>
      <c r="N33" s="49">
        <f>AVERAGE('22.07 RUBAGA-KABUSU'!N33,'23.07 RUBAGA-KABUSU'!N33,'24.07 RUBAGA-KABUSU'!N33,'25.07 RUBAGA-KABUSU'!N33,'26.07 RUBAGA-KABUSU-24h'!N33,'27.07 RUBAGA-KABUSU-24h'!N33,'28.07 RUBAGA-KABUSU'!N33)</f>
        <v>0</v>
      </c>
      <c r="O33" s="15">
        <f t="shared" si="0"/>
        <v>57.428571428571423</v>
      </c>
      <c r="P33" s="15">
        <f t="shared" si="1"/>
        <v>168</v>
      </c>
      <c r="R33" s="1" t="s">
        <v>157</v>
      </c>
      <c r="S33" s="34">
        <f>SUM(C102:C105)</f>
        <v>46</v>
      </c>
      <c r="T33" s="34">
        <f t="shared" ref="T33:AF33" si="25">SUM(D102:D105)</f>
        <v>3.5</v>
      </c>
      <c r="U33" s="34">
        <f t="shared" si="25"/>
        <v>1.5</v>
      </c>
      <c r="V33" s="34">
        <f t="shared" si="25"/>
        <v>55</v>
      </c>
      <c r="W33" s="34">
        <f t="shared" si="25"/>
        <v>5</v>
      </c>
      <c r="X33" s="34">
        <f t="shared" si="25"/>
        <v>3.5</v>
      </c>
      <c r="Y33" s="34">
        <f t="shared" si="25"/>
        <v>7.5</v>
      </c>
      <c r="Z33" s="34">
        <f t="shared" si="25"/>
        <v>5</v>
      </c>
      <c r="AA33" s="34">
        <f t="shared" si="25"/>
        <v>2.5</v>
      </c>
      <c r="AB33" s="34">
        <f t="shared" si="25"/>
        <v>2</v>
      </c>
      <c r="AC33" s="34">
        <f t="shared" si="25"/>
        <v>145</v>
      </c>
      <c r="AD33" s="34">
        <f t="shared" si="25"/>
        <v>0</v>
      </c>
      <c r="AE33" s="31">
        <f t="shared" si="25"/>
        <v>131.5</v>
      </c>
      <c r="AF33" s="31">
        <f t="shared" si="25"/>
        <v>276.5</v>
      </c>
    </row>
    <row r="34" spans="2:32" ht="23.1" customHeight="1" x14ac:dyDescent="0.25">
      <c r="B34" s="24" t="s">
        <v>61</v>
      </c>
      <c r="C34" s="49">
        <f>AVERAGE('22.07 RUBAGA-KABUSU'!C34,'23.07 RUBAGA-KABUSU'!C34,'24.07 RUBAGA-KABUSU'!C34,'25.07 RUBAGA-KABUSU'!C34,'26.07 RUBAGA-KABUSU-24h'!C34,'27.07 RUBAGA-KABUSU-24h'!C34,'28.07 RUBAGA-KABUSU'!C34)</f>
        <v>32</v>
      </c>
      <c r="D34" s="49">
        <f>AVERAGE('22.07 RUBAGA-KABUSU'!D34,'23.07 RUBAGA-KABUSU'!D34,'24.07 RUBAGA-KABUSU'!D34,'25.07 RUBAGA-KABUSU'!D34,'26.07 RUBAGA-KABUSU-24h'!D34,'27.07 RUBAGA-KABUSU-24h'!D34,'28.07 RUBAGA-KABUSU'!D34)</f>
        <v>4.8571428571428568</v>
      </c>
      <c r="E34" s="49">
        <f>AVERAGE('22.07 RUBAGA-KABUSU'!E34,'23.07 RUBAGA-KABUSU'!E34,'24.07 RUBAGA-KABUSU'!E34,'25.07 RUBAGA-KABUSU'!E34,'26.07 RUBAGA-KABUSU-24h'!E34,'27.07 RUBAGA-KABUSU-24h'!E34,'28.07 RUBAGA-KABUSU'!E34)</f>
        <v>3</v>
      </c>
      <c r="F34" s="49">
        <f>AVERAGE('22.07 RUBAGA-KABUSU'!F34,'23.07 RUBAGA-KABUSU'!F34,'24.07 RUBAGA-KABUSU'!F34,'25.07 RUBAGA-KABUSU'!F34,'26.07 RUBAGA-KABUSU-24h'!F34,'27.07 RUBAGA-KABUSU-24h'!F34,'28.07 RUBAGA-KABUSU'!F34)</f>
        <v>15</v>
      </c>
      <c r="G34" s="49">
        <f>AVERAGE('22.07 RUBAGA-KABUSU'!G34,'23.07 RUBAGA-KABUSU'!G34,'24.07 RUBAGA-KABUSU'!G34,'25.07 RUBAGA-KABUSU'!G34,'26.07 RUBAGA-KABUSU-24h'!G34,'27.07 RUBAGA-KABUSU-24h'!G34,'28.07 RUBAGA-KABUSU'!G34)</f>
        <v>0.14285714285714285</v>
      </c>
      <c r="H34" s="49">
        <f>AVERAGE('22.07 RUBAGA-KABUSU'!H34,'23.07 RUBAGA-KABUSU'!H34,'24.07 RUBAGA-KABUSU'!H34,'25.07 RUBAGA-KABUSU'!H34,'26.07 RUBAGA-KABUSU-24h'!H34,'27.07 RUBAGA-KABUSU-24h'!H34,'28.07 RUBAGA-KABUSU'!H34)</f>
        <v>0.2857142857142857</v>
      </c>
      <c r="I34" s="49">
        <f>AVERAGE('22.07 RUBAGA-KABUSU'!I34,'23.07 RUBAGA-KABUSU'!I34,'24.07 RUBAGA-KABUSU'!I34,'25.07 RUBAGA-KABUSU'!I34,'26.07 RUBAGA-KABUSU-24h'!I34,'27.07 RUBAGA-KABUSU-24h'!I34,'28.07 RUBAGA-KABUSU'!I34)</f>
        <v>3.7142857142857144</v>
      </c>
      <c r="J34" s="49">
        <f>AVERAGE('22.07 RUBAGA-KABUSU'!J34,'23.07 RUBAGA-KABUSU'!J34,'24.07 RUBAGA-KABUSU'!J34,'25.07 RUBAGA-KABUSU'!J34,'26.07 RUBAGA-KABUSU-24h'!J34,'27.07 RUBAGA-KABUSU-24h'!J34,'28.07 RUBAGA-KABUSU'!J34)</f>
        <v>3.7142857142857144</v>
      </c>
      <c r="K34" s="49">
        <f>AVERAGE('22.07 RUBAGA-KABUSU'!K34,'23.07 RUBAGA-KABUSU'!K34,'24.07 RUBAGA-KABUSU'!K34,'25.07 RUBAGA-KABUSU'!K34,'26.07 RUBAGA-KABUSU-24h'!K34,'27.07 RUBAGA-KABUSU-24h'!K34,'28.07 RUBAGA-KABUSU'!K34)</f>
        <v>1</v>
      </c>
      <c r="L34" s="49">
        <f>AVERAGE('22.07 RUBAGA-KABUSU'!L34,'23.07 RUBAGA-KABUSU'!L34,'24.07 RUBAGA-KABUSU'!L34,'25.07 RUBAGA-KABUSU'!L34,'26.07 RUBAGA-KABUSU-24h'!L34,'27.07 RUBAGA-KABUSU-24h'!L34,'28.07 RUBAGA-KABUSU'!L34)</f>
        <v>0.42857142857142855</v>
      </c>
      <c r="M34" s="49">
        <f>AVERAGE('22.07 RUBAGA-KABUSU'!M34,'23.07 RUBAGA-KABUSU'!M34,'24.07 RUBAGA-KABUSU'!M34,'25.07 RUBAGA-KABUSU'!M34,'26.07 RUBAGA-KABUSU-24h'!M34,'27.07 RUBAGA-KABUSU-24h'!M34,'28.07 RUBAGA-KABUSU'!M34)</f>
        <v>104.28571428571429</v>
      </c>
      <c r="N34" s="49">
        <f>AVERAGE('22.07 RUBAGA-KABUSU'!N34,'23.07 RUBAGA-KABUSU'!N34,'24.07 RUBAGA-KABUSU'!N34,'25.07 RUBAGA-KABUSU'!N34,'26.07 RUBAGA-KABUSU-24h'!N34,'27.07 RUBAGA-KABUSU-24h'!N34,'28.07 RUBAGA-KABUSU'!N34)</f>
        <v>0</v>
      </c>
      <c r="O34" s="15">
        <f t="shared" si="0"/>
        <v>64.142857142857139</v>
      </c>
      <c r="P34" s="15">
        <f t="shared" si="1"/>
        <v>168.42857142857144</v>
      </c>
      <c r="R34" s="38" t="s">
        <v>90</v>
      </c>
      <c r="S34" s="39">
        <f t="shared" ref="S34:AF34" si="26">MAX(S10:S12)</f>
        <v>105.71428571428571</v>
      </c>
      <c r="T34" s="39">
        <f t="shared" si="26"/>
        <v>17</v>
      </c>
      <c r="U34" s="39">
        <f t="shared" si="26"/>
        <v>11.142857142857142</v>
      </c>
      <c r="V34" s="39">
        <f t="shared" si="26"/>
        <v>84.428571428571416</v>
      </c>
      <c r="W34" s="39">
        <f t="shared" si="26"/>
        <v>2.8571428571428568</v>
      </c>
      <c r="X34" s="39">
        <f t="shared" si="26"/>
        <v>2.714285714285714</v>
      </c>
      <c r="Y34" s="39">
        <f t="shared" si="26"/>
        <v>11.285714285714285</v>
      </c>
      <c r="Z34" s="39">
        <f t="shared" si="26"/>
        <v>11</v>
      </c>
      <c r="AA34" s="39">
        <f t="shared" si="26"/>
        <v>1.2857142857142856</v>
      </c>
      <c r="AB34" s="39">
        <f t="shared" si="26"/>
        <v>25</v>
      </c>
      <c r="AC34" s="39">
        <f t="shared" si="26"/>
        <v>699.71428571428578</v>
      </c>
      <c r="AD34" s="39">
        <f t="shared" si="26"/>
        <v>0</v>
      </c>
      <c r="AE34" s="40">
        <f t="shared" si="26"/>
        <v>241</v>
      </c>
      <c r="AF34" s="40">
        <f t="shared" si="26"/>
        <v>911</v>
      </c>
    </row>
    <row r="35" spans="2:32" ht="23.1" customHeight="1" x14ac:dyDescent="0.25">
      <c r="B35" s="24" t="s">
        <v>62</v>
      </c>
      <c r="C35" s="49">
        <f>AVERAGE('22.07 RUBAGA-KABUSU'!C35,'23.07 RUBAGA-KABUSU'!C35,'24.07 RUBAGA-KABUSU'!C35,'25.07 RUBAGA-KABUSU'!C35,'26.07 RUBAGA-KABUSU-24h'!C35,'27.07 RUBAGA-KABUSU-24h'!C35,'28.07 RUBAGA-KABUSU'!C35)</f>
        <v>31.285714285714285</v>
      </c>
      <c r="D35" s="49">
        <f>AVERAGE('22.07 RUBAGA-KABUSU'!D35,'23.07 RUBAGA-KABUSU'!D35,'24.07 RUBAGA-KABUSU'!D35,'25.07 RUBAGA-KABUSU'!D35,'26.07 RUBAGA-KABUSU-24h'!D35,'27.07 RUBAGA-KABUSU-24h'!D35,'28.07 RUBAGA-KABUSU'!D35)</f>
        <v>5.2857142857142856</v>
      </c>
      <c r="E35" s="49">
        <f>AVERAGE('22.07 RUBAGA-KABUSU'!E35,'23.07 RUBAGA-KABUSU'!E35,'24.07 RUBAGA-KABUSU'!E35,'25.07 RUBAGA-KABUSU'!E35,'26.07 RUBAGA-KABUSU-24h'!E35,'27.07 RUBAGA-KABUSU-24h'!E35,'28.07 RUBAGA-KABUSU'!E35)</f>
        <v>2.1428571428571428</v>
      </c>
      <c r="F35" s="49">
        <f>AVERAGE('22.07 RUBAGA-KABUSU'!F35,'23.07 RUBAGA-KABUSU'!F35,'24.07 RUBAGA-KABUSU'!F35,'25.07 RUBAGA-KABUSU'!F35,'26.07 RUBAGA-KABUSU-24h'!F35,'27.07 RUBAGA-KABUSU-24h'!F35,'28.07 RUBAGA-KABUSU'!F35)</f>
        <v>14.714285714285714</v>
      </c>
      <c r="G35" s="49">
        <f>AVERAGE('22.07 RUBAGA-KABUSU'!G35,'23.07 RUBAGA-KABUSU'!G35,'24.07 RUBAGA-KABUSU'!G35,'25.07 RUBAGA-KABUSU'!G35,'26.07 RUBAGA-KABUSU-24h'!G35,'27.07 RUBAGA-KABUSU-24h'!G35,'28.07 RUBAGA-KABUSU'!G35)</f>
        <v>0</v>
      </c>
      <c r="H35" s="49">
        <f>AVERAGE('22.07 RUBAGA-KABUSU'!H35,'23.07 RUBAGA-KABUSU'!H35,'24.07 RUBAGA-KABUSU'!H35,'25.07 RUBAGA-KABUSU'!H35,'26.07 RUBAGA-KABUSU-24h'!H35,'27.07 RUBAGA-KABUSU-24h'!H35,'28.07 RUBAGA-KABUSU'!H35)</f>
        <v>0.8571428571428571</v>
      </c>
      <c r="I35" s="49">
        <f>AVERAGE('22.07 RUBAGA-KABUSU'!I35,'23.07 RUBAGA-KABUSU'!I35,'24.07 RUBAGA-KABUSU'!I35,'25.07 RUBAGA-KABUSU'!I35,'26.07 RUBAGA-KABUSU-24h'!I35,'27.07 RUBAGA-KABUSU-24h'!I35,'28.07 RUBAGA-KABUSU'!I35)</f>
        <v>2</v>
      </c>
      <c r="J35" s="49">
        <f>AVERAGE('22.07 RUBAGA-KABUSU'!J35,'23.07 RUBAGA-KABUSU'!J35,'24.07 RUBAGA-KABUSU'!J35,'25.07 RUBAGA-KABUSU'!J35,'26.07 RUBAGA-KABUSU-24h'!J35,'27.07 RUBAGA-KABUSU-24h'!J35,'28.07 RUBAGA-KABUSU'!J35)</f>
        <v>1.8571428571428572</v>
      </c>
      <c r="K35" s="49">
        <f>AVERAGE('22.07 RUBAGA-KABUSU'!K35,'23.07 RUBAGA-KABUSU'!K35,'24.07 RUBAGA-KABUSU'!K35,'25.07 RUBAGA-KABUSU'!K35,'26.07 RUBAGA-KABUSU-24h'!K35,'27.07 RUBAGA-KABUSU-24h'!K35,'28.07 RUBAGA-KABUSU'!K35)</f>
        <v>0.7142857142857143</v>
      </c>
      <c r="L35" s="49">
        <f>AVERAGE('22.07 RUBAGA-KABUSU'!L35,'23.07 RUBAGA-KABUSU'!L35,'24.07 RUBAGA-KABUSU'!L35,'25.07 RUBAGA-KABUSU'!L35,'26.07 RUBAGA-KABUSU-24h'!L35,'27.07 RUBAGA-KABUSU-24h'!L35,'28.07 RUBAGA-KABUSU'!L35)</f>
        <v>0.2857142857142857</v>
      </c>
      <c r="M35" s="49">
        <f>AVERAGE('22.07 RUBAGA-KABUSU'!M35,'23.07 RUBAGA-KABUSU'!M35,'24.07 RUBAGA-KABUSU'!M35,'25.07 RUBAGA-KABUSU'!M35,'26.07 RUBAGA-KABUSU-24h'!M35,'27.07 RUBAGA-KABUSU-24h'!M35,'28.07 RUBAGA-KABUSU'!M35)</f>
        <v>120.71428571428571</v>
      </c>
      <c r="N35" s="49">
        <f>AVERAGE('22.07 RUBAGA-KABUSU'!N35,'23.07 RUBAGA-KABUSU'!N35,'24.07 RUBAGA-KABUSU'!N35,'25.07 RUBAGA-KABUSU'!N35,'26.07 RUBAGA-KABUSU-24h'!N35,'27.07 RUBAGA-KABUSU-24h'!N35,'28.07 RUBAGA-KABUSU'!N35)</f>
        <v>0</v>
      </c>
      <c r="O35" s="15">
        <f t="shared" si="0"/>
        <v>59.142857142857139</v>
      </c>
      <c r="P35" s="15">
        <f t="shared" si="1"/>
        <v>179.85714285714283</v>
      </c>
      <c r="R35" s="38" t="s">
        <v>91</v>
      </c>
      <c r="S35" s="39">
        <f t="shared" ref="S35:AF35" si="27">MAX(S13:S18)</f>
        <v>158.28571428571428</v>
      </c>
      <c r="T35" s="39">
        <f t="shared" si="27"/>
        <v>28</v>
      </c>
      <c r="U35" s="39">
        <f t="shared" si="27"/>
        <v>15.285714285714288</v>
      </c>
      <c r="V35" s="39">
        <f t="shared" si="27"/>
        <v>62.714285714285715</v>
      </c>
      <c r="W35" s="39">
        <f t="shared" si="27"/>
        <v>1.8571428571428572</v>
      </c>
      <c r="X35" s="39">
        <f t="shared" si="27"/>
        <v>1.7142857142857142</v>
      </c>
      <c r="Y35" s="39">
        <f t="shared" si="27"/>
        <v>15.142857142857144</v>
      </c>
      <c r="Z35" s="39">
        <f t="shared" si="27"/>
        <v>11.428571428571429</v>
      </c>
      <c r="AA35" s="39">
        <f t="shared" si="27"/>
        <v>3.7142857142857144</v>
      </c>
      <c r="AB35" s="39">
        <f t="shared" si="27"/>
        <v>1.9999999999999998</v>
      </c>
      <c r="AC35" s="39">
        <f t="shared" si="27"/>
        <v>558.57142857142856</v>
      </c>
      <c r="AD35" s="39">
        <f t="shared" si="27"/>
        <v>0</v>
      </c>
      <c r="AE35" s="40">
        <f t="shared" si="27"/>
        <v>279.57142857142856</v>
      </c>
      <c r="AF35" s="40">
        <f t="shared" si="27"/>
        <v>790.28571428571433</v>
      </c>
    </row>
    <row r="36" spans="2:32" ht="23.1" customHeight="1" x14ac:dyDescent="0.25">
      <c r="B36" s="24" t="s">
        <v>63</v>
      </c>
      <c r="C36" s="49">
        <f>AVERAGE('22.07 RUBAGA-KABUSU'!C36,'23.07 RUBAGA-KABUSU'!C36,'24.07 RUBAGA-KABUSU'!C36,'25.07 RUBAGA-KABUSU'!C36,'26.07 RUBAGA-KABUSU-24h'!C36,'27.07 RUBAGA-KABUSU-24h'!C36,'28.07 RUBAGA-KABUSU'!C36)</f>
        <v>31.142857142857142</v>
      </c>
      <c r="D36" s="49">
        <f>AVERAGE('22.07 RUBAGA-KABUSU'!D36,'23.07 RUBAGA-KABUSU'!D36,'24.07 RUBAGA-KABUSU'!D36,'25.07 RUBAGA-KABUSU'!D36,'26.07 RUBAGA-KABUSU-24h'!D36,'27.07 RUBAGA-KABUSU-24h'!D36,'28.07 RUBAGA-KABUSU'!D36)</f>
        <v>5.7142857142857144</v>
      </c>
      <c r="E36" s="49">
        <f>AVERAGE('22.07 RUBAGA-KABUSU'!E36,'23.07 RUBAGA-KABUSU'!E36,'24.07 RUBAGA-KABUSU'!E36,'25.07 RUBAGA-KABUSU'!E36,'26.07 RUBAGA-KABUSU-24h'!E36,'27.07 RUBAGA-KABUSU-24h'!E36,'28.07 RUBAGA-KABUSU'!E36)</f>
        <v>3.8571428571428572</v>
      </c>
      <c r="F36" s="49">
        <f>AVERAGE('22.07 RUBAGA-KABUSU'!F36,'23.07 RUBAGA-KABUSU'!F36,'24.07 RUBAGA-KABUSU'!F36,'25.07 RUBAGA-KABUSU'!F36,'26.07 RUBAGA-KABUSU-24h'!F36,'27.07 RUBAGA-KABUSU-24h'!F36,'28.07 RUBAGA-KABUSU'!F36)</f>
        <v>12.571428571428571</v>
      </c>
      <c r="G36" s="49">
        <f>AVERAGE('22.07 RUBAGA-KABUSU'!G36,'23.07 RUBAGA-KABUSU'!G36,'24.07 RUBAGA-KABUSU'!G36,'25.07 RUBAGA-KABUSU'!G36,'26.07 RUBAGA-KABUSU-24h'!G36,'27.07 RUBAGA-KABUSU-24h'!G36,'28.07 RUBAGA-KABUSU'!G36)</f>
        <v>0.5714285714285714</v>
      </c>
      <c r="H36" s="49">
        <f>AVERAGE('22.07 RUBAGA-KABUSU'!H36,'23.07 RUBAGA-KABUSU'!H36,'24.07 RUBAGA-KABUSU'!H36,'25.07 RUBAGA-KABUSU'!H36,'26.07 RUBAGA-KABUSU-24h'!H36,'27.07 RUBAGA-KABUSU-24h'!H36,'28.07 RUBAGA-KABUSU'!H36)</f>
        <v>0</v>
      </c>
      <c r="I36" s="49">
        <f>AVERAGE('22.07 RUBAGA-KABUSU'!I36,'23.07 RUBAGA-KABUSU'!I36,'24.07 RUBAGA-KABUSU'!I36,'25.07 RUBAGA-KABUSU'!I36,'26.07 RUBAGA-KABUSU-24h'!I36,'27.07 RUBAGA-KABUSU-24h'!I36,'28.07 RUBAGA-KABUSU'!I36)</f>
        <v>1.8571428571428572</v>
      </c>
      <c r="J36" s="49">
        <f>AVERAGE('22.07 RUBAGA-KABUSU'!J36,'23.07 RUBAGA-KABUSU'!J36,'24.07 RUBAGA-KABUSU'!J36,'25.07 RUBAGA-KABUSU'!J36,'26.07 RUBAGA-KABUSU-24h'!J36,'27.07 RUBAGA-KABUSU-24h'!J36,'28.07 RUBAGA-KABUSU'!J36)</f>
        <v>2.4285714285714284</v>
      </c>
      <c r="K36" s="49">
        <f>AVERAGE('22.07 RUBAGA-KABUSU'!K36,'23.07 RUBAGA-KABUSU'!K36,'24.07 RUBAGA-KABUSU'!K36,'25.07 RUBAGA-KABUSU'!K36,'26.07 RUBAGA-KABUSU-24h'!K36,'27.07 RUBAGA-KABUSU-24h'!K36,'28.07 RUBAGA-KABUSU'!K36)</f>
        <v>0.7142857142857143</v>
      </c>
      <c r="L36" s="49">
        <f>AVERAGE('22.07 RUBAGA-KABUSU'!L36,'23.07 RUBAGA-KABUSU'!L36,'24.07 RUBAGA-KABUSU'!L36,'25.07 RUBAGA-KABUSU'!L36,'26.07 RUBAGA-KABUSU-24h'!L36,'27.07 RUBAGA-KABUSU-24h'!L36,'28.07 RUBAGA-KABUSU'!L36)</f>
        <v>0</v>
      </c>
      <c r="M36" s="49">
        <f>AVERAGE('22.07 RUBAGA-KABUSU'!M36,'23.07 RUBAGA-KABUSU'!M36,'24.07 RUBAGA-KABUSU'!M36,'25.07 RUBAGA-KABUSU'!M36,'26.07 RUBAGA-KABUSU-24h'!M36,'27.07 RUBAGA-KABUSU-24h'!M36,'28.07 RUBAGA-KABUSU'!M36)</f>
        <v>101.57142857142857</v>
      </c>
      <c r="N36" s="49">
        <f>AVERAGE('22.07 RUBAGA-KABUSU'!N36,'23.07 RUBAGA-KABUSU'!N36,'24.07 RUBAGA-KABUSU'!N36,'25.07 RUBAGA-KABUSU'!N36,'26.07 RUBAGA-KABUSU-24h'!N36,'27.07 RUBAGA-KABUSU-24h'!N36,'28.07 RUBAGA-KABUSU'!N36)</f>
        <v>0</v>
      </c>
      <c r="O36" s="15">
        <f t="shared" si="0"/>
        <v>58.857142857142847</v>
      </c>
      <c r="P36" s="15">
        <f t="shared" si="1"/>
        <v>160.42857142857142</v>
      </c>
      <c r="R36" s="38" t="s">
        <v>92</v>
      </c>
      <c r="S36" s="39">
        <f t="shared" ref="S36:AF36" si="28">MAX(S19:S21)</f>
        <v>258</v>
      </c>
      <c r="T36" s="39">
        <f t="shared" si="28"/>
        <v>52.857142857142861</v>
      </c>
      <c r="U36" s="39">
        <f t="shared" si="28"/>
        <v>18</v>
      </c>
      <c r="V36" s="39">
        <f t="shared" si="28"/>
        <v>49.857142857142861</v>
      </c>
      <c r="W36" s="39">
        <f t="shared" si="28"/>
        <v>2.4285714285714284</v>
      </c>
      <c r="X36" s="39">
        <f t="shared" si="28"/>
        <v>2</v>
      </c>
      <c r="Y36" s="39">
        <f t="shared" si="28"/>
        <v>14.428571428571429</v>
      </c>
      <c r="Z36" s="39">
        <f t="shared" si="28"/>
        <v>11</v>
      </c>
      <c r="AA36" s="39">
        <f t="shared" si="28"/>
        <v>3</v>
      </c>
      <c r="AB36" s="39">
        <f t="shared" si="28"/>
        <v>1.857142857142857</v>
      </c>
      <c r="AC36" s="39">
        <f t="shared" si="28"/>
        <v>515.28571428571422</v>
      </c>
      <c r="AD36" s="39">
        <f t="shared" si="28"/>
        <v>0.42857142857142855</v>
      </c>
      <c r="AE36" s="40">
        <f t="shared" si="28"/>
        <v>388.57142857142856</v>
      </c>
      <c r="AF36" s="40">
        <f t="shared" si="28"/>
        <v>822.71428571428567</v>
      </c>
    </row>
    <row r="37" spans="2:32" ht="23.1" customHeight="1" x14ac:dyDescent="0.25">
      <c r="B37" s="23" t="s">
        <v>64</v>
      </c>
      <c r="C37" s="49">
        <f>AVERAGE('22.07 RUBAGA-KABUSU'!C37,'23.07 RUBAGA-KABUSU'!C37,'24.07 RUBAGA-KABUSU'!C37,'25.07 RUBAGA-KABUSU'!C37,'26.07 RUBAGA-KABUSU-24h'!C37,'27.07 RUBAGA-KABUSU-24h'!C37,'28.07 RUBAGA-KABUSU'!C37)</f>
        <v>34.571428571428569</v>
      </c>
      <c r="D37" s="49">
        <f>AVERAGE('22.07 RUBAGA-KABUSU'!D37,'23.07 RUBAGA-KABUSU'!D37,'24.07 RUBAGA-KABUSU'!D37,'25.07 RUBAGA-KABUSU'!D37,'26.07 RUBAGA-KABUSU-24h'!D37,'27.07 RUBAGA-KABUSU-24h'!D37,'28.07 RUBAGA-KABUSU'!D37)</f>
        <v>5.8571428571428568</v>
      </c>
      <c r="E37" s="49">
        <f>AVERAGE('22.07 RUBAGA-KABUSU'!E37,'23.07 RUBAGA-KABUSU'!E37,'24.07 RUBAGA-KABUSU'!E37,'25.07 RUBAGA-KABUSU'!E37,'26.07 RUBAGA-KABUSU-24h'!E37,'27.07 RUBAGA-KABUSU-24h'!E37,'28.07 RUBAGA-KABUSU'!E37)</f>
        <v>3.5714285714285716</v>
      </c>
      <c r="F37" s="49">
        <f>AVERAGE('22.07 RUBAGA-KABUSU'!F37,'23.07 RUBAGA-KABUSU'!F37,'24.07 RUBAGA-KABUSU'!F37,'25.07 RUBAGA-KABUSU'!F37,'26.07 RUBAGA-KABUSU-24h'!F37,'27.07 RUBAGA-KABUSU-24h'!F37,'28.07 RUBAGA-KABUSU'!F37)</f>
        <v>12.142857142857142</v>
      </c>
      <c r="G37" s="49">
        <f>AVERAGE('22.07 RUBAGA-KABUSU'!G37,'23.07 RUBAGA-KABUSU'!G37,'24.07 RUBAGA-KABUSU'!G37,'25.07 RUBAGA-KABUSU'!G37,'26.07 RUBAGA-KABUSU-24h'!G37,'27.07 RUBAGA-KABUSU-24h'!G37,'28.07 RUBAGA-KABUSU'!G37)</f>
        <v>0.42857142857142855</v>
      </c>
      <c r="H37" s="49">
        <f>AVERAGE('22.07 RUBAGA-KABUSU'!H37,'23.07 RUBAGA-KABUSU'!H37,'24.07 RUBAGA-KABUSU'!H37,'25.07 RUBAGA-KABUSU'!H37,'26.07 RUBAGA-KABUSU-24h'!H37,'27.07 RUBAGA-KABUSU-24h'!H37,'28.07 RUBAGA-KABUSU'!H37)</f>
        <v>0.5714285714285714</v>
      </c>
      <c r="I37" s="49">
        <f>AVERAGE('22.07 RUBAGA-KABUSU'!I37,'23.07 RUBAGA-KABUSU'!I37,'24.07 RUBAGA-KABUSU'!I37,'25.07 RUBAGA-KABUSU'!I37,'26.07 RUBAGA-KABUSU-24h'!I37,'27.07 RUBAGA-KABUSU-24h'!I37,'28.07 RUBAGA-KABUSU'!I37)</f>
        <v>4</v>
      </c>
      <c r="J37" s="49">
        <f>AVERAGE('22.07 RUBAGA-KABUSU'!J37,'23.07 RUBAGA-KABUSU'!J37,'24.07 RUBAGA-KABUSU'!J37,'25.07 RUBAGA-KABUSU'!J37,'26.07 RUBAGA-KABUSU-24h'!J37,'27.07 RUBAGA-KABUSU-24h'!J37,'28.07 RUBAGA-KABUSU'!J37)</f>
        <v>3.4285714285714284</v>
      </c>
      <c r="K37" s="49">
        <f>AVERAGE('22.07 RUBAGA-KABUSU'!K37,'23.07 RUBAGA-KABUSU'!K37,'24.07 RUBAGA-KABUSU'!K37,'25.07 RUBAGA-KABUSU'!K37,'26.07 RUBAGA-KABUSU-24h'!K37,'27.07 RUBAGA-KABUSU-24h'!K37,'28.07 RUBAGA-KABUSU'!K37)</f>
        <v>1</v>
      </c>
      <c r="L37" s="49">
        <f>AVERAGE('22.07 RUBAGA-KABUSU'!L37,'23.07 RUBAGA-KABUSU'!L37,'24.07 RUBAGA-KABUSU'!L37,'25.07 RUBAGA-KABUSU'!L37,'26.07 RUBAGA-KABUSU-24h'!L37,'27.07 RUBAGA-KABUSU-24h'!L37,'28.07 RUBAGA-KABUSU'!L37)</f>
        <v>0.5714285714285714</v>
      </c>
      <c r="M37" s="49">
        <f>AVERAGE('22.07 RUBAGA-KABUSU'!M37,'23.07 RUBAGA-KABUSU'!M37,'24.07 RUBAGA-KABUSU'!M37,'25.07 RUBAGA-KABUSU'!M37,'26.07 RUBAGA-KABUSU-24h'!M37,'27.07 RUBAGA-KABUSU-24h'!M37,'28.07 RUBAGA-KABUSU'!M37)</f>
        <v>105</v>
      </c>
      <c r="N37" s="49">
        <f>AVERAGE('22.07 RUBAGA-KABUSU'!N37,'23.07 RUBAGA-KABUSU'!N37,'24.07 RUBAGA-KABUSU'!N37,'25.07 RUBAGA-KABUSU'!N37,'26.07 RUBAGA-KABUSU-24h'!N37,'27.07 RUBAGA-KABUSU-24h'!N37,'28.07 RUBAGA-KABUSU'!N37)</f>
        <v>0</v>
      </c>
      <c r="O37" s="15">
        <f t="shared" si="0"/>
        <v>66.142857142857139</v>
      </c>
      <c r="P37" s="15">
        <f t="shared" si="1"/>
        <v>171.14285714285714</v>
      </c>
      <c r="R37" s="37" t="s">
        <v>85</v>
      </c>
      <c r="S37" s="35">
        <f t="shared" ref="S37:AF37" si="29">SUM(S10:S12)</f>
        <v>267.57142857142856</v>
      </c>
      <c r="T37" s="16">
        <f t="shared" si="29"/>
        <v>47.857142857142854</v>
      </c>
      <c r="U37" s="16">
        <f t="shared" si="29"/>
        <v>27.571428571428573</v>
      </c>
      <c r="V37" s="16">
        <f t="shared" si="29"/>
        <v>247.42857142857139</v>
      </c>
      <c r="W37" s="16">
        <f t="shared" si="29"/>
        <v>7.5714285714285712</v>
      </c>
      <c r="X37" s="16">
        <f t="shared" si="29"/>
        <v>5.9999999999999991</v>
      </c>
      <c r="Y37" s="16">
        <f t="shared" si="29"/>
        <v>26</v>
      </c>
      <c r="Z37" s="16">
        <f t="shared" si="29"/>
        <v>21.428571428571427</v>
      </c>
      <c r="AA37" s="16">
        <f t="shared" si="29"/>
        <v>2.714285714285714</v>
      </c>
      <c r="AB37" s="16">
        <f t="shared" si="29"/>
        <v>27.142857142857142</v>
      </c>
      <c r="AC37" s="16">
        <f t="shared" si="29"/>
        <v>1704</v>
      </c>
      <c r="AD37" s="16">
        <f t="shared" si="29"/>
        <v>0</v>
      </c>
      <c r="AE37" s="32">
        <f t="shared" si="29"/>
        <v>681.28571428571433</v>
      </c>
      <c r="AF37" s="32">
        <f t="shared" si="29"/>
        <v>2385.2857142857142</v>
      </c>
    </row>
    <row r="38" spans="2:32" ht="23.1" customHeight="1" x14ac:dyDescent="0.25">
      <c r="B38" s="24" t="s">
        <v>65</v>
      </c>
      <c r="C38" s="49">
        <f>AVERAGE('22.07 RUBAGA-KABUSU'!C38,'23.07 RUBAGA-KABUSU'!C38,'24.07 RUBAGA-KABUSU'!C38,'25.07 RUBAGA-KABUSU'!C38,'26.07 RUBAGA-KABUSU-24h'!C38,'27.07 RUBAGA-KABUSU-24h'!C38,'28.07 RUBAGA-KABUSU'!C38)</f>
        <v>29.857142857142858</v>
      </c>
      <c r="D38" s="49">
        <f>AVERAGE('22.07 RUBAGA-KABUSU'!D38,'23.07 RUBAGA-KABUSU'!D38,'24.07 RUBAGA-KABUSU'!D38,'25.07 RUBAGA-KABUSU'!D38,'26.07 RUBAGA-KABUSU-24h'!D38,'27.07 RUBAGA-KABUSU-24h'!D38,'28.07 RUBAGA-KABUSU'!D38)</f>
        <v>4.4285714285714288</v>
      </c>
      <c r="E38" s="49">
        <f>AVERAGE('22.07 RUBAGA-KABUSU'!E38,'23.07 RUBAGA-KABUSU'!E38,'24.07 RUBAGA-KABUSU'!E38,'25.07 RUBAGA-KABUSU'!E38,'26.07 RUBAGA-KABUSU-24h'!E38,'27.07 RUBAGA-KABUSU-24h'!E38,'28.07 RUBAGA-KABUSU'!E38)</f>
        <v>4.1428571428571432</v>
      </c>
      <c r="F38" s="49">
        <f>AVERAGE('22.07 RUBAGA-KABUSU'!F38,'23.07 RUBAGA-KABUSU'!F38,'24.07 RUBAGA-KABUSU'!F38,'25.07 RUBAGA-KABUSU'!F38,'26.07 RUBAGA-KABUSU-24h'!F38,'27.07 RUBAGA-KABUSU-24h'!F38,'28.07 RUBAGA-KABUSU'!F38)</f>
        <v>12.714285714285714</v>
      </c>
      <c r="G38" s="49">
        <f>AVERAGE('22.07 RUBAGA-KABUSU'!G38,'23.07 RUBAGA-KABUSU'!G38,'24.07 RUBAGA-KABUSU'!G38,'25.07 RUBAGA-KABUSU'!G38,'26.07 RUBAGA-KABUSU-24h'!G38,'27.07 RUBAGA-KABUSU-24h'!G38,'28.07 RUBAGA-KABUSU'!G38)</f>
        <v>0</v>
      </c>
      <c r="H38" s="49">
        <f>AVERAGE('22.07 RUBAGA-KABUSU'!H38,'23.07 RUBAGA-KABUSU'!H38,'24.07 RUBAGA-KABUSU'!H38,'25.07 RUBAGA-KABUSU'!H38,'26.07 RUBAGA-KABUSU-24h'!H38,'27.07 RUBAGA-KABUSU-24h'!H38,'28.07 RUBAGA-KABUSU'!H38)</f>
        <v>0.14285714285714285</v>
      </c>
      <c r="I38" s="49">
        <f>AVERAGE('22.07 RUBAGA-KABUSU'!I38,'23.07 RUBAGA-KABUSU'!I38,'24.07 RUBAGA-KABUSU'!I38,'25.07 RUBAGA-KABUSU'!I38,'26.07 RUBAGA-KABUSU-24h'!I38,'27.07 RUBAGA-KABUSU-24h'!I38,'28.07 RUBAGA-KABUSU'!I38)</f>
        <v>2.2857142857142856</v>
      </c>
      <c r="J38" s="49">
        <f>AVERAGE('22.07 RUBAGA-KABUSU'!J38,'23.07 RUBAGA-KABUSU'!J38,'24.07 RUBAGA-KABUSU'!J38,'25.07 RUBAGA-KABUSU'!J38,'26.07 RUBAGA-KABUSU-24h'!J38,'27.07 RUBAGA-KABUSU-24h'!J38,'28.07 RUBAGA-KABUSU'!J38)</f>
        <v>1.7142857142857142</v>
      </c>
      <c r="K38" s="49">
        <f>AVERAGE('22.07 RUBAGA-KABUSU'!K38,'23.07 RUBAGA-KABUSU'!K38,'24.07 RUBAGA-KABUSU'!K38,'25.07 RUBAGA-KABUSU'!K38,'26.07 RUBAGA-KABUSU-24h'!K38,'27.07 RUBAGA-KABUSU-24h'!K38,'28.07 RUBAGA-KABUSU'!K38)</f>
        <v>0.5714285714285714</v>
      </c>
      <c r="L38" s="49">
        <f>AVERAGE('22.07 RUBAGA-KABUSU'!L38,'23.07 RUBAGA-KABUSU'!L38,'24.07 RUBAGA-KABUSU'!L38,'25.07 RUBAGA-KABUSU'!L38,'26.07 RUBAGA-KABUSU-24h'!L38,'27.07 RUBAGA-KABUSU-24h'!L38,'28.07 RUBAGA-KABUSU'!L38)</f>
        <v>0.14285714285714285</v>
      </c>
      <c r="M38" s="49">
        <f>AVERAGE('22.07 RUBAGA-KABUSU'!M38,'23.07 RUBAGA-KABUSU'!M38,'24.07 RUBAGA-KABUSU'!M38,'25.07 RUBAGA-KABUSU'!M38,'26.07 RUBAGA-KABUSU-24h'!M38,'27.07 RUBAGA-KABUSU-24h'!M38,'28.07 RUBAGA-KABUSU'!M38)</f>
        <v>111.42857142857143</v>
      </c>
      <c r="N38" s="49">
        <f>AVERAGE('22.07 RUBAGA-KABUSU'!N38,'23.07 RUBAGA-KABUSU'!N38,'24.07 RUBAGA-KABUSU'!N38,'25.07 RUBAGA-KABUSU'!N38,'26.07 RUBAGA-KABUSU-24h'!N38,'27.07 RUBAGA-KABUSU-24h'!N38,'28.07 RUBAGA-KABUSU'!N38)</f>
        <v>0</v>
      </c>
      <c r="O38" s="15">
        <f t="shared" si="0"/>
        <v>56.000000000000007</v>
      </c>
      <c r="P38" s="15">
        <f t="shared" si="1"/>
        <v>167.42857142857144</v>
      </c>
      <c r="R38" s="28" t="s">
        <v>86</v>
      </c>
      <c r="S38" s="16">
        <f t="shared" ref="S38:AF38" si="30">SUM(S13:S18)</f>
        <v>744.28571428571422</v>
      </c>
      <c r="T38" s="16">
        <f t="shared" si="30"/>
        <v>137.28571428571428</v>
      </c>
      <c r="U38" s="16">
        <f t="shared" si="30"/>
        <v>82.142857142857139</v>
      </c>
      <c r="V38" s="16">
        <f t="shared" si="30"/>
        <v>323.85714285714283</v>
      </c>
      <c r="W38" s="16">
        <f t="shared" si="30"/>
        <v>8</v>
      </c>
      <c r="X38" s="16">
        <f t="shared" si="30"/>
        <v>6.4285714285714279</v>
      </c>
      <c r="Y38" s="16">
        <f t="shared" si="30"/>
        <v>78.571428571428584</v>
      </c>
      <c r="Z38" s="16">
        <f t="shared" si="30"/>
        <v>64</v>
      </c>
      <c r="AA38" s="16">
        <f t="shared" si="30"/>
        <v>18</v>
      </c>
      <c r="AB38" s="16">
        <f t="shared" si="30"/>
        <v>7.7142857142857135</v>
      </c>
      <c r="AC38" s="16">
        <f t="shared" si="30"/>
        <v>2879.4285714285711</v>
      </c>
      <c r="AD38" s="16">
        <f t="shared" si="30"/>
        <v>0</v>
      </c>
      <c r="AE38" s="32">
        <f t="shared" si="30"/>
        <v>1470.2857142857142</v>
      </c>
      <c r="AF38" s="32">
        <f t="shared" si="30"/>
        <v>4349.7142857142853</v>
      </c>
    </row>
    <row r="39" spans="2:32" ht="23.1" customHeight="1" x14ac:dyDescent="0.25">
      <c r="B39" s="24" t="s">
        <v>66</v>
      </c>
      <c r="C39" s="49">
        <f>AVERAGE('22.07 RUBAGA-KABUSU'!C39,'23.07 RUBAGA-KABUSU'!C39,'24.07 RUBAGA-KABUSU'!C39,'25.07 RUBAGA-KABUSU'!C39,'26.07 RUBAGA-KABUSU-24h'!C39,'27.07 RUBAGA-KABUSU-24h'!C39,'28.07 RUBAGA-KABUSU'!C39)</f>
        <v>36.285714285714285</v>
      </c>
      <c r="D39" s="49">
        <f>AVERAGE('22.07 RUBAGA-KABUSU'!D39,'23.07 RUBAGA-KABUSU'!D39,'24.07 RUBAGA-KABUSU'!D39,'25.07 RUBAGA-KABUSU'!D39,'26.07 RUBAGA-KABUSU-24h'!D39,'27.07 RUBAGA-KABUSU-24h'!D39,'28.07 RUBAGA-KABUSU'!D39)</f>
        <v>5.8571428571428568</v>
      </c>
      <c r="E39" s="49">
        <f>AVERAGE('22.07 RUBAGA-KABUSU'!E39,'23.07 RUBAGA-KABUSU'!E39,'24.07 RUBAGA-KABUSU'!E39,'25.07 RUBAGA-KABUSU'!E39,'26.07 RUBAGA-KABUSU-24h'!E39,'27.07 RUBAGA-KABUSU-24h'!E39,'28.07 RUBAGA-KABUSU'!E39)</f>
        <v>2.7142857142857144</v>
      </c>
      <c r="F39" s="49">
        <f>AVERAGE('22.07 RUBAGA-KABUSU'!F39,'23.07 RUBAGA-KABUSU'!F39,'24.07 RUBAGA-KABUSU'!F39,'25.07 RUBAGA-KABUSU'!F39,'26.07 RUBAGA-KABUSU-24h'!F39,'27.07 RUBAGA-KABUSU-24h'!F39,'28.07 RUBAGA-KABUSU'!F39)</f>
        <v>10</v>
      </c>
      <c r="G39" s="49">
        <f>AVERAGE('22.07 RUBAGA-KABUSU'!G39,'23.07 RUBAGA-KABUSU'!G39,'24.07 RUBAGA-KABUSU'!G39,'25.07 RUBAGA-KABUSU'!G39,'26.07 RUBAGA-KABUSU-24h'!G39,'27.07 RUBAGA-KABUSU-24h'!G39,'28.07 RUBAGA-KABUSU'!G39)</f>
        <v>0.7142857142857143</v>
      </c>
      <c r="H39" s="49">
        <f>AVERAGE('22.07 RUBAGA-KABUSU'!H39,'23.07 RUBAGA-KABUSU'!H39,'24.07 RUBAGA-KABUSU'!H39,'25.07 RUBAGA-KABUSU'!H39,'26.07 RUBAGA-KABUSU-24h'!H39,'27.07 RUBAGA-KABUSU-24h'!H39,'28.07 RUBAGA-KABUSU'!H39)</f>
        <v>0</v>
      </c>
      <c r="I39" s="49">
        <f>AVERAGE('22.07 RUBAGA-KABUSU'!I39,'23.07 RUBAGA-KABUSU'!I39,'24.07 RUBAGA-KABUSU'!I39,'25.07 RUBAGA-KABUSU'!I39,'26.07 RUBAGA-KABUSU-24h'!I39,'27.07 RUBAGA-KABUSU-24h'!I39,'28.07 RUBAGA-KABUSU'!I39)</f>
        <v>3.1428571428571428</v>
      </c>
      <c r="J39" s="49">
        <f>AVERAGE('22.07 RUBAGA-KABUSU'!J39,'23.07 RUBAGA-KABUSU'!J39,'24.07 RUBAGA-KABUSU'!J39,'25.07 RUBAGA-KABUSU'!J39,'26.07 RUBAGA-KABUSU-24h'!J39,'27.07 RUBAGA-KABUSU-24h'!J39,'28.07 RUBAGA-KABUSU'!J39)</f>
        <v>2.5714285714285716</v>
      </c>
      <c r="K39" s="49">
        <f>AVERAGE('22.07 RUBAGA-KABUSU'!K39,'23.07 RUBAGA-KABUSU'!K39,'24.07 RUBAGA-KABUSU'!K39,'25.07 RUBAGA-KABUSU'!K39,'26.07 RUBAGA-KABUSU-24h'!K39,'27.07 RUBAGA-KABUSU-24h'!K39,'28.07 RUBAGA-KABUSU'!K39)</f>
        <v>0.5714285714285714</v>
      </c>
      <c r="L39" s="49">
        <f>AVERAGE('22.07 RUBAGA-KABUSU'!L39,'23.07 RUBAGA-KABUSU'!L39,'24.07 RUBAGA-KABUSU'!L39,'25.07 RUBAGA-KABUSU'!L39,'26.07 RUBAGA-KABUSU-24h'!L39,'27.07 RUBAGA-KABUSU-24h'!L39,'28.07 RUBAGA-KABUSU'!L39)</f>
        <v>1.1428571428571428</v>
      </c>
      <c r="M39" s="49">
        <f>AVERAGE('22.07 RUBAGA-KABUSU'!M39,'23.07 RUBAGA-KABUSU'!M39,'24.07 RUBAGA-KABUSU'!M39,'25.07 RUBAGA-KABUSU'!M39,'26.07 RUBAGA-KABUSU-24h'!M39,'27.07 RUBAGA-KABUSU-24h'!M39,'28.07 RUBAGA-KABUSU'!M39)</f>
        <v>104</v>
      </c>
      <c r="N39" s="49">
        <f>AVERAGE('22.07 RUBAGA-KABUSU'!N39,'23.07 RUBAGA-KABUSU'!N39,'24.07 RUBAGA-KABUSU'!N39,'25.07 RUBAGA-KABUSU'!N39,'26.07 RUBAGA-KABUSU-24h'!N39,'27.07 RUBAGA-KABUSU-24h'!N39,'28.07 RUBAGA-KABUSU'!N39)</f>
        <v>0</v>
      </c>
      <c r="O39" s="15">
        <f t="shared" si="0"/>
        <v>63</v>
      </c>
      <c r="P39" s="15">
        <f t="shared" si="1"/>
        <v>167</v>
      </c>
      <c r="R39" s="29" t="s">
        <v>87</v>
      </c>
      <c r="S39" s="16">
        <f t="shared" ref="S39:AF39" si="31">SUM(S19:S21)</f>
        <v>664.42857142857144</v>
      </c>
      <c r="T39" s="16">
        <f t="shared" si="31"/>
        <v>124.57142857142858</v>
      </c>
      <c r="U39" s="16">
        <f t="shared" si="31"/>
        <v>51.428571428571431</v>
      </c>
      <c r="V39" s="16">
        <f t="shared" si="31"/>
        <v>121.28571428571429</v>
      </c>
      <c r="W39" s="16">
        <f t="shared" si="31"/>
        <v>4.2857142857142856</v>
      </c>
      <c r="X39" s="16">
        <f t="shared" si="31"/>
        <v>2.8571428571428568</v>
      </c>
      <c r="Y39" s="16">
        <f t="shared" si="31"/>
        <v>39.285714285714285</v>
      </c>
      <c r="Z39" s="16">
        <f t="shared" si="31"/>
        <v>28.285714285714285</v>
      </c>
      <c r="AA39" s="16">
        <f t="shared" si="31"/>
        <v>7.8571428571428568</v>
      </c>
      <c r="AB39" s="16">
        <f t="shared" si="31"/>
        <v>4.7142857142857135</v>
      </c>
      <c r="AC39" s="16">
        <f t="shared" si="31"/>
        <v>1365.5714285714284</v>
      </c>
      <c r="AD39" s="16">
        <f t="shared" si="31"/>
        <v>0.5714285714285714</v>
      </c>
      <c r="AE39" s="32">
        <f t="shared" si="31"/>
        <v>1049.5714285714284</v>
      </c>
      <c r="AF39" s="32">
        <f t="shared" si="31"/>
        <v>2415.1428571428569</v>
      </c>
    </row>
    <row r="40" spans="2:32" ht="23.1" customHeight="1" x14ac:dyDescent="0.25">
      <c r="B40" s="24" t="s">
        <v>67</v>
      </c>
      <c r="C40" s="49">
        <f>AVERAGE('22.07 RUBAGA-KABUSU'!C40,'23.07 RUBAGA-KABUSU'!C40,'24.07 RUBAGA-KABUSU'!C40,'25.07 RUBAGA-KABUSU'!C40,'26.07 RUBAGA-KABUSU-24h'!C40,'27.07 RUBAGA-KABUSU-24h'!C40,'28.07 RUBAGA-KABUSU'!C40)</f>
        <v>33.571428571428569</v>
      </c>
      <c r="D40" s="49">
        <f>AVERAGE('22.07 RUBAGA-KABUSU'!D40,'23.07 RUBAGA-KABUSU'!D40,'24.07 RUBAGA-KABUSU'!D40,'25.07 RUBAGA-KABUSU'!D40,'26.07 RUBAGA-KABUSU-24h'!D40,'27.07 RUBAGA-KABUSU-24h'!D40,'28.07 RUBAGA-KABUSU'!D40)</f>
        <v>5.5714285714285712</v>
      </c>
      <c r="E40" s="49">
        <f>AVERAGE('22.07 RUBAGA-KABUSU'!E40,'23.07 RUBAGA-KABUSU'!E40,'24.07 RUBAGA-KABUSU'!E40,'25.07 RUBAGA-KABUSU'!E40,'26.07 RUBAGA-KABUSU-24h'!E40,'27.07 RUBAGA-KABUSU-24h'!E40,'28.07 RUBAGA-KABUSU'!E40)</f>
        <v>4.7142857142857144</v>
      </c>
      <c r="F40" s="49">
        <f>AVERAGE('22.07 RUBAGA-KABUSU'!F40,'23.07 RUBAGA-KABUSU'!F40,'24.07 RUBAGA-KABUSU'!F40,'25.07 RUBAGA-KABUSU'!F40,'26.07 RUBAGA-KABUSU-24h'!F40,'27.07 RUBAGA-KABUSU-24h'!F40,'28.07 RUBAGA-KABUSU'!F40)</f>
        <v>11.428571428571429</v>
      </c>
      <c r="G40" s="49">
        <f>AVERAGE('22.07 RUBAGA-KABUSU'!G40,'23.07 RUBAGA-KABUSU'!G40,'24.07 RUBAGA-KABUSU'!G40,'25.07 RUBAGA-KABUSU'!G40,'26.07 RUBAGA-KABUSU-24h'!G40,'27.07 RUBAGA-KABUSU-24h'!G40,'28.07 RUBAGA-KABUSU'!G40)</f>
        <v>0.42857142857142855</v>
      </c>
      <c r="H40" s="49">
        <f>AVERAGE('22.07 RUBAGA-KABUSU'!H40,'23.07 RUBAGA-KABUSU'!H40,'24.07 RUBAGA-KABUSU'!H40,'25.07 RUBAGA-KABUSU'!H40,'26.07 RUBAGA-KABUSU-24h'!H40,'27.07 RUBAGA-KABUSU-24h'!H40,'28.07 RUBAGA-KABUSU'!H40)</f>
        <v>0.14285714285714285</v>
      </c>
      <c r="I40" s="49">
        <f>AVERAGE('22.07 RUBAGA-KABUSU'!I40,'23.07 RUBAGA-KABUSU'!I40,'24.07 RUBAGA-KABUSU'!I40,'25.07 RUBAGA-KABUSU'!I40,'26.07 RUBAGA-KABUSU-24h'!I40,'27.07 RUBAGA-KABUSU-24h'!I40,'28.07 RUBAGA-KABUSU'!I40)</f>
        <v>3.7142857142857144</v>
      </c>
      <c r="J40" s="49">
        <f>AVERAGE('22.07 RUBAGA-KABUSU'!J40,'23.07 RUBAGA-KABUSU'!J40,'24.07 RUBAGA-KABUSU'!J40,'25.07 RUBAGA-KABUSU'!J40,'26.07 RUBAGA-KABUSU-24h'!J40,'27.07 RUBAGA-KABUSU-24h'!J40,'28.07 RUBAGA-KABUSU'!J40)</f>
        <v>2.4285714285714284</v>
      </c>
      <c r="K40" s="49">
        <f>AVERAGE('22.07 RUBAGA-KABUSU'!K40,'23.07 RUBAGA-KABUSU'!K40,'24.07 RUBAGA-KABUSU'!K40,'25.07 RUBAGA-KABUSU'!K40,'26.07 RUBAGA-KABUSU-24h'!K40,'27.07 RUBAGA-KABUSU-24h'!K40,'28.07 RUBAGA-KABUSU'!K40)</f>
        <v>0.8571428571428571</v>
      </c>
      <c r="L40" s="49">
        <f>AVERAGE('22.07 RUBAGA-KABUSU'!L40,'23.07 RUBAGA-KABUSU'!L40,'24.07 RUBAGA-KABUSU'!L40,'25.07 RUBAGA-KABUSU'!L40,'26.07 RUBAGA-KABUSU-24h'!L40,'27.07 RUBAGA-KABUSU-24h'!L40,'28.07 RUBAGA-KABUSU'!L40)</f>
        <v>0.14285714285714285</v>
      </c>
      <c r="M40" s="49">
        <f>AVERAGE('22.07 RUBAGA-KABUSU'!M40,'23.07 RUBAGA-KABUSU'!M40,'24.07 RUBAGA-KABUSU'!M40,'25.07 RUBAGA-KABUSU'!M40,'26.07 RUBAGA-KABUSU-24h'!M40,'27.07 RUBAGA-KABUSU-24h'!M40,'28.07 RUBAGA-KABUSU'!M40)</f>
        <v>129.71428571428572</v>
      </c>
      <c r="N40" s="49">
        <f>AVERAGE('22.07 RUBAGA-KABUSU'!N40,'23.07 RUBAGA-KABUSU'!N40,'24.07 RUBAGA-KABUSU'!N40,'25.07 RUBAGA-KABUSU'!N40,'26.07 RUBAGA-KABUSU-24h'!N40,'27.07 RUBAGA-KABUSU-24h'!N40,'28.07 RUBAGA-KABUSU'!N40)</f>
        <v>0</v>
      </c>
      <c r="O40" s="15">
        <f t="shared" si="0"/>
        <v>63.000000000000007</v>
      </c>
      <c r="P40" s="15">
        <f t="shared" si="1"/>
        <v>192.71428571428572</v>
      </c>
      <c r="R40" s="5" t="s">
        <v>17</v>
      </c>
      <c r="S40" s="16">
        <f t="shared" ref="S40:AF40" si="32">SUM(S10:S21)</f>
        <v>1676.2857142857144</v>
      </c>
      <c r="T40" s="16">
        <f t="shared" si="32"/>
        <v>309.71428571428578</v>
      </c>
      <c r="U40" s="16">
        <f t="shared" si="32"/>
        <v>161.14285714285717</v>
      </c>
      <c r="V40" s="16">
        <f t="shared" si="32"/>
        <v>692.57142857142856</v>
      </c>
      <c r="W40" s="16">
        <f t="shared" si="32"/>
        <v>19.857142857142854</v>
      </c>
      <c r="X40" s="16">
        <f t="shared" si="32"/>
        <v>15.285714285714283</v>
      </c>
      <c r="Y40" s="16">
        <f t="shared" si="32"/>
        <v>143.85714285714286</v>
      </c>
      <c r="Z40" s="16">
        <f t="shared" si="32"/>
        <v>113.71428571428568</v>
      </c>
      <c r="AA40" s="16">
        <f t="shared" si="32"/>
        <v>28.571428571428569</v>
      </c>
      <c r="AB40" s="16">
        <f t="shared" si="32"/>
        <v>39.571428571428562</v>
      </c>
      <c r="AC40" s="16">
        <f t="shared" si="32"/>
        <v>5948.9999999999991</v>
      </c>
      <c r="AD40" s="16">
        <f t="shared" si="32"/>
        <v>0.5714285714285714</v>
      </c>
      <c r="AE40" s="32">
        <f t="shared" si="32"/>
        <v>3201.1428571428569</v>
      </c>
      <c r="AF40" s="32">
        <f t="shared" si="32"/>
        <v>9150.1428571428551</v>
      </c>
    </row>
    <row r="41" spans="2:32" ht="23.1" customHeight="1" x14ac:dyDescent="0.25">
      <c r="B41" s="23" t="s">
        <v>68</v>
      </c>
      <c r="C41" s="49">
        <f>AVERAGE('22.07 RUBAGA-KABUSU'!C41,'23.07 RUBAGA-KABUSU'!C41,'24.07 RUBAGA-KABUSU'!C41,'25.07 RUBAGA-KABUSU'!C41,'26.07 RUBAGA-KABUSU-24h'!C41,'27.07 RUBAGA-KABUSU-24h'!C41,'28.07 RUBAGA-KABUSU'!C41)</f>
        <v>38.142857142857146</v>
      </c>
      <c r="D41" s="49">
        <f>AVERAGE('22.07 RUBAGA-KABUSU'!D41,'23.07 RUBAGA-KABUSU'!D41,'24.07 RUBAGA-KABUSU'!D41,'25.07 RUBAGA-KABUSU'!D41,'26.07 RUBAGA-KABUSU-24h'!D41,'27.07 RUBAGA-KABUSU-24h'!D41,'28.07 RUBAGA-KABUSU'!D41)</f>
        <v>7.7142857142857144</v>
      </c>
      <c r="E41" s="49">
        <f>AVERAGE('22.07 RUBAGA-KABUSU'!E41,'23.07 RUBAGA-KABUSU'!E41,'24.07 RUBAGA-KABUSU'!E41,'25.07 RUBAGA-KABUSU'!E41,'26.07 RUBAGA-KABUSU-24h'!E41,'27.07 RUBAGA-KABUSU-24h'!E41,'28.07 RUBAGA-KABUSU'!E41)</f>
        <v>3.7142857142857144</v>
      </c>
      <c r="F41" s="49">
        <f>AVERAGE('22.07 RUBAGA-KABUSU'!F41,'23.07 RUBAGA-KABUSU'!F41,'24.07 RUBAGA-KABUSU'!F41,'25.07 RUBAGA-KABUSU'!F41,'26.07 RUBAGA-KABUSU-24h'!F41,'27.07 RUBAGA-KABUSU-24h'!F41,'28.07 RUBAGA-KABUSU'!F41)</f>
        <v>12.142857142857142</v>
      </c>
      <c r="G41" s="49">
        <f>AVERAGE('22.07 RUBAGA-KABUSU'!G41,'23.07 RUBAGA-KABUSU'!G41,'24.07 RUBAGA-KABUSU'!G41,'25.07 RUBAGA-KABUSU'!G41,'26.07 RUBAGA-KABUSU-24h'!G41,'27.07 RUBAGA-KABUSU-24h'!G41,'28.07 RUBAGA-KABUSU'!G41)</f>
        <v>0.2857142857142857</v>
      </c>
      <c r="H41" s="49">
        <f>AVERAGE('22.07 RUBAGA-KABUSU'!H41,'23.07 RUBAGA-KABUSU'!H41,'24.07 RUBAGA-KABUSU'!H41,'25.07 RUBAGA-KABUSU'!H41,'26.07 RUBAGA-KABUSU-24h'!H41,'27.07 RUBAGA-KABUSU-24h'!H41,'28.07 RUBAGA-KABUSU'!H41)</f>
        <v>0.2857142857142857</v>
      </c>
      <c r="I41" s="49">
        <f>AVERAGE('22.07 RUBAGA-KABUSU'!I41,'23.07 RUBAGA-KABUSU'!I41,'24.07 RUBAGA-KABUSU'!I41,'25.07 RUBAGA-KABUSU'!I41,'26.07 RUBAGA-KABUSU-24h'!I41,'27.07 RUBAGA-KABUSU-24h'!I41,'28.07 RUBAGA-KABUSU'!I41)</f>
        <v>3.4285714285714284</v>
      </c>
      <c r="J41" s="49">
        <f>AVERAGE('22.07 RUBAGA-KABUSU'!J41,'23.07 RUBAGA-KABUSU'!J41,'24.07 RUBAGA-KABUSU'!J41,'25.07 RUBAGA-KABUSU'!J41,'26.07 RUBAGA-KABUSU-24h'!J41,'27.07 RUBAGA-KABUSU-24h'!J41,'28.07 RUBAGA-KABUSU'!J41)</f>
        <v>2.5714285714285716</v>
      </c>
      <c r="K41" s="49">
        <f>AVERAGE('22.07 RUBAGA-KABUSU'!K41,'23.07 RUBAGA-KABUSU'!K41,'24.07 RUBAGA-KABUSU'!K41,'25.07 RUBAGA-KABUSU'!K41,'26.07 RUBAGA-KABUSU-24h'!K41,'27.07 RUBAGA-KABUSU-24h'!K41,'28.07 RUBAGA-KABUSU'!K41)</f>
        <v>0.7142857142857143</v>
      </c>
      <c r="L41" s="49">
        <f>AVERAGE('22.07 RUBAGA-KABUSU'!L41,'23.07 RUBAGA-KABUSU'!L41,'24.07 RUBAGA-KABUSU'!L41,'25.07 RUBAGA-KABUSU'!L41,'26.07 RUBAGA-KABUSU-24h'!L41,'27.07 RUBAGA-KABUSU-24h'!L41,'28.07 RUBAGA-KABUSU'!L41)</f>
        <v>0.5714285714285714</v>
      </c>
      <c r="M41" s="49">
        <f>AVERAGE('22.07 RUBAGA-KABUSU'!M41,'23.07 RUBAGA-KABUSU'!M41,'24.07 RUBAGA-KABUSU'!M41,'25.07 RUBAGA-KABUSU'!M41,'26.07 RUBAGA-KABUSU-24h'!M41,'27.07 RUBAGA-KABUSU-24h'!M41,'28.07 RUBAGA-KABUSU'!M41)</f>
        <v>124.57142857142857</v>
      </c>
      <c r="N41" s="49">
        <f>AVERAGE('22.07 RUBAGA-KABUSU'!N41,'23.07 RUBAGA-KABUSU'!N41,'24.07 RUBAGA-KABUSU'!N41,'25.07 RUBAGA-KABUSU'!N41,'26.07 RUBAGA-KABUSU-24h'!N41,'27.07 RUBAGA-KABUSU-24h'!N41,'28.07 RUBAGA-KABUSU'!N41)</f>
        <v>0</v>
      </c>
      <c r="O41" s="15">
        <f t="shared" si="0"/>
        <v>69.571428571428569</v>
      </c>
      <c r="P41" s="15">
        <f t="shared" si="1"/>
        <v>194.14285714285714</v>
      </c>
      <c r="R41" s="5" t="s">
        <v>178</v>
      </c>
      <c r="S41" s="51">
        <f>SUM(S10:S33)</f>
        <v>2600.2857142857147</v>
      </c>
      <c r="T41" s="51">
        <f t="shared" ref="T41:AF41" si="33">SUM(T10:T33)</f>
        <v>426.71428571428578</v>
      </c>
      <c r="U41" s="51">
        <f t="shared" si="33"/>
        <v>211.64285714285717</v>
      </c>
      <c r="V41" s="51">
        <f t="shared" si="33"/>
        <v>902.57142857142856</v>
      </c>
      <c r="W41" s="51">
        <f t="shared" si="33"/>
        <v>38.357142857142854</v>
      </c>
      <c r="X41" s="51">
        <f t="shared" si="33"/>
        <v>27.785714285714285</v>
      </c>
      <c r="Y41" s="51">
        <f t="shared" si="33"/>
        <v>194.85714285714286</v>
      </c>
      <c r="Z41" s="51">
        <f t="shared" si="33"/>
        <v>143.71428571428567</v>
      </c>
      <c r="AA41" s="51">
        <f t="shared" si="33"/>
        <v>47.571428571428569</v>
      </c>
      <c r="AB41" s="51">
        <f t="shared" si="33"/>
        <v>46.571428571428562</v>
      </c>
      <c r="AC41" s="51">
        <f t="shared" si="33"/>
        <v>7878.9999999999991</v>
      </c>
      <c r="AD41" s="51">
        <f t="shared" si="33"/>
        <v>2.5714285714285712</v>
      </c>
      <c r="AE41" s="52">
        <f t="shared" si="33"/>
        <v>4642.6428571428569</v>
      </c>
      <c r="AF41" s="52">
        <f t="shared" si="33"/>
        <v>12521.642857142855</v>
      </c>
    </row>
    <row r="42" spans="2:32" ht="23.1" customHeight="1" x14ac:dyDescent="0.25">
      <c r="B42" s="24" t="s">
        <v>69</v>
      </c>
      <c r="C42" s="49">
        <f>AVERAGE('22.07 RUBAGA-KABUSU'!C42,'23.07 RUBAGA-KABUSU'!C42,'24.07 RUBAGA-KABUSU'!C42,'25.07 RUBAGA-KABUSU'!C42,'26.07 RUBAGA-KABUSU-24h'!C42,'27.07 RUBAGA-KABUSU-24h'!C42,'28.07 RUBAGA-KABUSU'!C42)</f>
        <v>40.285714285714285</v>
      </c>
      <c r="D42" s="49">
        <f>AVERAGE('22.07 RUBAGA-KABUSU'!D42,'23.07 RUBAGA-KABUSU'!D42,'24.07 RUBAGA-KABUSU'!D42,'25.07 RUBAGA-KABUSU'!D42,'26.07 RUBAGA-KABUSU-24h'!D42,'27.07 RUBAGA-KABUSU-24h'!D42,'28.07 RUBAGA-KABUSU'!D42)</f>
        <v>9.1428571428571423</v>
      </c>
      <c r="E42" s="49">
        <f>AVERAGE('22.07 RUBAGA-KABUSU'!E42,'23.07 RUBAGA-KABUSU'!E42,'24.07 RUBAGA-KABUSU'!E42,'25.07 RUBAGA-KABUSU'!E42,'26.07 RUBAGA-KABUSU-24h'!E42,'27.07 RUBAGA-KABUSU-24h'!E42,'28.07 RUBAGA-KABUSU'!E42)</f>
        <v>4.1428571428571432</v>
      </c>
      <c r="F42" s="49">
        <f>AVERAGE('22.07 RUBAGA-KABUSU'!F42,'23.07 RUBAGA-KABUSU'!F42,'24.07 RUBAGA-KABUSU'!F42,'25.07 RUBAGA-KABUSU'!F42,'26.07 RUBAGA-KABUSU-24h'!F42,'27.07 RUBAGA-KABUSU-24h'!F42,'28.07 RUBAGA-KABUSU'!F42)</f>
        <v>11.714285714285714</v>
      </c>
      <c r="G42" s="49">
        <f>AVERAGE('22.07 RUBAGA-KABUSU'!G42,'23.07 RUBAGA-KABUSU'!G42,'24.07 RUBAGA-KABUSU'!G42,'25.07 RUBAGA-KABUSU'!G42,'26.07 RUBAGA-KABUSU-24h'!G42,'27.07 RUBAGA-KABUSU-24h'!G42,'28.07 RUBAGA-KABUSU'!G42)</f>
        <v>0.2857142857142857</v>
      </c>
      <c r="H42" s="49">
        <f>AVERAGE('22.07 RUBAGA-KABUSU'!H42,'23.07 RUBAGA-KABUSU'!H42,'24.07 RUBAGA-KABUSU'!H42,'25.07 RUBAGA-KABUSU'!H42,'26.07 RUBAGA-KABUSU-24h'!H42,'27.07 RUBAGA-KABUSU-24h'!H42,'28.07 RUBAGA-KABUSU'!H42)</f>
        <v>0</v>
      </c>
      <c r="I42" s="49">
        <f>AVERAGE('22.07 RUBAGA-KABUSU'!I42,'23.07 RUBAGA-KABUSU'!I42,'24.07 RUBAGA-KABUSU'!I42,'25.07 RUBAGA-KABUSU'!I42,'26.07 RUBAGA-KABUSU-24h'!I42,'27.07 RUBAGA-KABUSU-24h'!I42,'28.07 RUBAGA-KABUSU'!I42)</f>
        <v>3</v>
      </c>
      <c r="J42" s="49">
        <f>AVERAGE('22.07 RUBAGA-KABUSU'!J42,'23.07 RUBAGA-KABUSU'!J42,'24.07 RUBAGA-KABUSU'!J42,'25.07 RUBAGA-KABUSU'!J42,'26.07 RUBAGA-KABUSU-24h'!J42,'27.07 RUBAGA-KABUSU-24h'!J42,'28.07 RUBAGA-KABUSU'!J42)</f>
        <v>2.1428571428571428</v>
      </c>
      <c r="K42" s="49">
        <f>AVERAGE('22.07 RUBAGA-KABUSU'!K42,'23.07 RUBAGA-KABUSU'!K42,'24.07 RUBAGA-KABUSU'!K42,'25.07 RUBAGA-KABUSU'!K42,'26.07 RUBAGA-KABUSU-24h'!K42,'27.07 RUBAGA-KABUSU-24h'!K42,'28.07 RUBAGA-KABUSU'!K42)</f>
        <v>0.7142857142857143</v>
      </c>
      <c r="L42" s="49">
        <f>AVERAGE('22.07 RUBAGA-KABUSU'!L42,'23.07 RUBAGA-KABUSU'!L42,'24.07 RUBAGA-KABUSU'!L42,'25.07 RUBAGA-KABUSU'!L42,'26.07 RUBAGA-KABUSU-24h'!L42,'27.07 RUBAGA-KABUSU-24h'!L42,'28.07 RUBAGA-KABUSU'!L42)</f>
        <v>0.14285714285714285</v>
      </c>
      <c r="M42" s="49">
        <f>AVERAGE('22.07 RUBAGA-KABUSU'!M42,'23.07 RUBAGA-KABUSU'!M42,'24.07 RUBAGA-KABUSU'!M42,'25.07 RUBAGA-KABUSU'!M42,'26.07 RUBAGA-KABUSU-24h'!M42,'27.07 RUBAGA-KABUSU-24h'!M42,'28.07 RUBAGA-KABUSU'!M42)</f>
        <v>87.571428571428569</v>
      </c>
      <c r="N42" s="49">
        <f>AVERAGE('22.07 RUBAGA-KABUSU'!N42,'23.07 RUBAGA-KABUSU'!N42,'24.07 RUBAGA-KABUSU'!N42,'25.07 RUBAGA-KABUSU'!N42,'26.07 RUBAGA-KABUSU-24h'!N42,'27.07 RUBAGA-KABUSU-24h'!N42,'28.07 RUBAGA-KABUSU'!N42)</f>
        <v>0</v>
      </c>
      <c r="O42" s="15">
        <f t="shared" si="0"/>
        <v>71.571428571428569</v>
      </c>
      <c r="P42" s="15">
        <f t="shared" si="1"/>
        <v>159.14285714285714</v>
      </c>
      <c r="R42" s="5" t="s">
        <v>160</v>
      </c>
      <c r="S42" s="48">
        <f>S41/S40</f>
        <v>1.5512186807567752</v>
      </c>
      <c r="T42" s="48">
        <f t="shared" ref="T42:AF42" si="34">T41/T40</f>
        <v>1.3777675276752768</v>
      </c>
      <c r="U42" s="48">
        <f t="shared" si="34"/>
        <v>1.313386524822695</v>
      </c>
      <c r="V42" s="48">
        <f t="shared" si="34"/>
        <v>1.3032178217821782</v>
      </c>
      <c r="W42" s="48">
        <f t="shared" si="34"/>
        <v>1.931654676258993</v>
      </c>
      <c r="X42" s="48">
        <f t="shared" si="34"/>
        <v>1.8177570093457946</v>
      </c>
      <c r="Y42" s="48">
        <f t="shared" si="34"/>
        <v>1.3545183714001987</v>
      </c>
      <c r="Z42" s="48">
        <f t="shared" si="34"/>
        <v>1.2638190954773869</v>
      </c>
      <c r="AA42" s="48">
        <f t="shared" si="34"/>
        <v>1.665</v>
      </c>
      <c r="AB42" s="48">
        <f t="shared" si="34"/>
        <v>1.1768953068592058</v>
      </c>
      <c r="AC42" s="48">
        <f t="shared" si="34"/>
        <v>1.3244242729870568</v>
      </c>
      <c r="AD42" s="48">
        <f t="shared" si="34"/>
        <v>4.5</v>
      </c>
      <c r="AE42" s="53">
        <f t="shared" si="34"/>
        <v>1.4503079257408069</v>
      </c>
      <c r="AF42" s="53">
        <f t="shared" si="34"/>
        <v>1.3684641925965246</v>
      </c>
    </row>
    <row r="43" spans="2:32" ht="23.1" customHeight="1" x14ac:dyDescent="0.25">
      <c r="B43" s="23" t="s">
        <v>70</v>
      </c>
      <c r="C43" s="49">
        <f>AVERAGE('22.07 RUBAGA-KABUSU'!C43,'23.07 RUBAGA-KABUSU'!C43,'24.07 RUBAGA-KABUSU'!C43,'25.07 RUBAGA-KABUSU'!C43,'26.07 RUBAGA-KABUSU-24h'!C43,'27.07 RUBAGA-KABUSU-24h'!C43,'28.07 RUBAGA-KABUSU'!C43)</f>
        <v>42.285714285714285</v>
      </c>
      <c r="D43" s="49">
        <f>AVERAGE('22.07 RUBAGA-KABUSU'!D43,'23.07 RUBAGA-KABUSU'!D43,'24.07 RUBAGA-KABUSU'!D43,'25.07 RUBAGA-KABUSU'!D43,'26.07 RUBAGA-KABUSU-24h'!D43,'27.07 RUBAGA-KABUSU-24h'!D43,'28.07 RUBAGA-KABUSU'!D43)</f>
        <v>6.5714285714285712</v>
      </c>
      <c r="E43" s="49">
        <f>AVERAGE('22.07 RUBAGA-KABUSU'!E43,'23.07 RUBAGA-KABUSU'!E43,'24.07 RUBAGA-KABUSU'!E43,'25.07 RUBAGA-KABUSU'!E43,'26.07 RUBAGA-KABUSU-24h'!E43,'27.07 RUBAGA-KABUSU-24h'!E43,'28.07 RUBAGA-KABUSU'!E43)</f>
        <v>3.7142857142857144</v>
      </c>
      <c r="F43" s="49">
        <f>AVERAGE('22.07 RUBAGA-KABUSU'!F43,'23.07 RUBAGA-KABUSU'!F43,'24.07 RUBAGA-KABUSU'!F43,'25.07 RUBAGA-KABUSU'!F43,'26.07 RUBAGA-KABUSU-24h'!F43,'27.07 RUBAGA-KABUSU-24h'!F43,'28.07 RUBAGA-KABUSU'!F43)</f>
        <v>11.571428571428571</v>
      </c>
      <c r="G43" s="49">
        <f>AVERAGE('22.07 RUBAGA-KABUSU'!G43,'23.07 RUBAGA-KABUSU'!G43,'24.07 RUBAGA-KABUSU'!G43,'25.07 RUBAGA-KABUSU'!G43,'26.07 RUBAGA-KABUSU-24h'!G43,'27.07 RUBAGA-KABUSU-24h'!G43,'28.07 RUBAGA-KABUSU'!G43)</f>
        <v>0.14285714285714285</v>
      </c>
      <c r="H43" s="49">
        <f>AVERAGE('22.07 RUBAGA-KABUSU'!H43,'23.07 RUBAGA-KABUSU'!H43,'24.07 RUBAGA-KABUSU'!H43,'25.07 RUBAGA-KABUSU'!H43,'26.07 RUBAGA-KABUSU-24h'!H43,'27.07 RUBAGA-KABUSU-24h'!H43,'28.07 RUBAGA-KABUSU'!H43)</f>
        <v>0.42857142857142855</v>
      </c>
      <c r="I43" s="49">
        <f>AVERAGE('22.07 RUBAGA-KABUSU'!I43,'23.07 RUBAGA-KABUSU'!I43,'24.07 RUBAGA-KABUSU'!I43,'25.07 RUBAGA-KABUSU'!I43,'26.07 RUBAGA-KABUSU-24h'!I43,'27.07 RUBAGA-KABUSU-24h'!I43,'28.07 RUBAGA-KABUSU'!I43)</f>
        <v>3.4285714285714284</v>
      </c>
      <c r="J43" s="49">
        <f>AVERAGE('22.07 RUBAGA-KABUSU'!J43,'23.07 RUBAGA-KABUSU'!J43,'24.07 RUBAGA-KABUSU'!J43,'25.07 RUBAGA-KABUSU'!J43,'26.07 RUBAGA-KABUSU-24h'!J43,'27.07 RUBAGA-KABUSU-24h'!J43,'28.07 RUBAGA-KABUSU'!J43)</f>
        <v>1.5714285714285714</v>
      </c>
      <c r="K43" s="49">
        <f>AVERAGE('22.07 RUBAGA-KABUSU'!K43,'23.07 RUBAGA-KABUSU'!K43,'24.07 RUBAGA-KABUSU'!K43,'25.07 RUBAGA-KABUSU'!K43,'26.07 RUBAGA-KABUSU-24h'!K43,'27.07 RUBAGA-KABUSU-24h'!K43,'28.07 RUBAGA-KABUSU'!K43)</f>
        <v>1.1428571428571428</v>
      </c>
      <c r="L43" s="49">
        <f>AVERAGE('22.07 RUBAGA-KABUSU'!L43,'23.07 RUBAGA-KABUSU'!L43,'24.07 RUBAGA-KABUSU'!L43,'25.07 RUBAGA-KABUSU'!L43,'26.07 RUBAGA-KABUSU-24h'!L43,'27.07 RUBAGA-KABUSU-24h'!L43,'28.07 RUBAGA-KABUSU'!L43)</f>
        <v>0</v>
      </c>
      <c r="M43" s="49">
        <f>AVERAGE('22.07 RUBAGA-KABUSU'!M43,'23.07 RUBAGA-KABUSU'!M43,'24.07 RUBAGA-KABUSU'!M43,'25.07 RUBAGA-KABUSU'!M43,'26.07 RUBAGA-KABUSU-24h'!M43,'27.07 RUBAGA-KABUSU-24h'!M43,'28.07 RUBAGA-KABUSU'!M43)</f>
        <v>108.71428571428571</v>
      </c>
      <c r="N43" s="49">
        <f>AVERAGE('22.07 RUBAGA-KABUSU'!N43,'23.07 RUBAGA-KABUSU'!N43,'24.07 RUBAGA-KABUSU'!N43,'25.07 RUBAGA-KABUSU'!N43,'26.07 RUBAGA-KABUSU-24h'!N43,'27.07 RUBAGA-KABUSU-24h'!N43,'28.07 RUBAGA-KABUSU'!N43)</f>
        <v>0</v>
      </c>
      <c r="O43" s="15">
        <f t="shared" si="0"/>
        <v>70.857142857142847</v>
      </c>
      <c r="P43" s="15">
        <f t="shared" si="1"/>
        <v>179.57142857142856</v>
      </c>
    </row>
    <row r="44" spans="2:32" ht="23.1" customHeight="1" x14ac:dyDescent="0.25">
      <c r="B44" s="25" t="s">
        <v>71</v>
      </c>
      <c r="C44" s="49">
        <f>AVERAGE('22.07 RUBAGA-KABUSU'!C44,'23.07 RUBAGA-KABUSU'!C44,'24.07 RUBAGA-KABUSU'!C44,'25.07 RUBAGA-KABUSU'!C44,'26.07 RUBAGA-KABUSU-24h'!C44,'27.07 RUBAGA-KABUSU-24h'!C44,'28.07 RUBAGA-KABUSU'!C44)</f>
        <v>39</v>
      </c>
      <c r="D44" s="49">
        <f>AVERAGE('22.07 RUBAGA-KABUSU'!D44,'23.07 RUBAGA-KABUSU'!D44,'24.07 RUBAGA-KABUSU'!D44,'25.07 RUBAGA-KABUSU'!D44,'26.07 RUBAGA-KABUSU-24h'!D44,'27.07 RUBAGA-KABUSU-24h'!D44,'28.07 RUBAGA-KABUSU'!D44)</f>
        <v>5.7142857142857144</v>
      </c>
      <c r="E44" s="49">
        <f>AVERAGE('22.07 RUBAGA-KABUSU'!E44,'23.07 RUBAGA-KABUSU'!E44,'24.07 RUBAGA-KABUSU'!E44,'25.07 RUBAGA-KABUSU'!E44,'26.07 RUBAGA-KABUSU-24h'!E44,'27.07 RUBAGA-KABUSU-24h'!E44,'28.07 RUBAGA-KABUSU'!E44)</f>
        <v>3.2857142857142856</v>
      </c>
      <c r="F44" s="49">
        <f>AVERAGE('22.07 RUBAGA-KABUSU'!F44,'23.07 RUBAGA-KABUSU'!F44,'24.07 RUBAGA-KABUSU'!F44,'25.07 RUBAGA-KABUSU'!F44,'26.07 RUBAGA-KABUSU-24h'!F44,'27.07 RUBAGA-KABUSU-24h'!F44,'28.07 RUBAGA-KABUSU'!F44)</f>
        <v>11.571428571428571</v>
      </c>
      <c r="G44" s="49">
        <f>AVERAGE('22.07 RUBAGA-KABUSU'!G44,'23.07 RUBAGA-KABUSU'!G44,'24.07 RUBAGA-KABUSU'!G44,'25.07 RUBAGA-KABUSU'!G44,'26.07 RUBAGA-KABUSU-24h'!G44,'27.07 RUBAGA-KABUSU-24h'!G44,'28.07 RUBAGA-KABUSU'!G44)</f>
        <v>0.14285714285714285</v>
      </c>
      <c r="H44" s="49">
        <f>AVERAGE('22.07 RUBAGA-KABUSU'!H44,'23.07 RUBAGA-KABUSU'!H44,'24.07 RUBAGA-KABUSU'!H44,'25.07 RUBAGA-KABUSU'!H44,'26.07 RUBAGA-KABUSU-24h'!H44,'27.07 RUBAGA-KABUSU-24h'!H44,'28.07 RUBAGA-KABUSU'!H44)</f>
        <v>0.2857142857142857</v>
      </c>
      <c r="I44" s="49">
        <f>AVERAGE('22.07 RUBAGA-KABUSU'!I44,'23.07 RUBAGA-KABUSU'!I44,'24.07 RUBAGA-KABUSU'!I44,'25.07 RUBAGA-KABUSU'!I44,'26.07 RUBAGA-KABUSU-24h'!I44,'27.07 RUBAGA-KABUSU-24h'!I44,'28.07 RUBAGA-KABUSU'!I44)</f>
        <v>4</v>
      </c>
      <c r="J44" s="49">
        <f>AVERAGE('22.07 RUBAGA-KABUSU'!J44,'23.07 RUBAGA-KABUSU'!J44,'24.07 RUBAGA-KABUSU'!J44,'25.07 RUBAGA-KABUSU'!J44,'26.07 RUBAGA-KABUSU-24h'!J44,'27.07 RUBAGA-KABUSU-24h'!J44,'28.07 RUBAGA-KABUSU'!J44)</f>
        <v>3.8571428571428572</v>
      </c>
      <c r="K44" s="49">
        <f>AVERAGE('22.07 RUBAGA-KABUSU'!K44,'23.07 RUBAGA-KABUSU'!K44,'24.07 RUBAGA-KABUSU'!K44,'25.07 RUBAGA-KABUSU'!K44,'26.07 RUBAGA-KABUSU-24h'!K44,'27.07 RUBAGA-KABUSU-24h'!K44,'28.07 RUBAGA-KABUSU'!K44)</f>
        <v>0.5714285714285714</v>
      </c>
      <c r="L44" s="49">
        <f>AVERAGE('22.07 RUBAGA-KABUSU'!L44,'23.07 RUBAGA-KABUSU'!L44,'24.07 RUBAGA-KABUSU'!L44,'25.07 RUBAGA-KABUSU'!L44,'26.07 RUBAGA-KABUSU-24h'!L44,'27.07 RUBAGA-KABUSU-24h'!L44,'28.07 RUBAGA-KABUSU'!L44)</f>
        <v>0.5714285714285714</v>
      </c>
      <c r="M44" s="49">
        <f>AVERAGE('22.07 RUBAGA-KABUSU'!M44,'23.07 RUBAGA-KABUSU'!M44,'24.07 RUBAGA-KABUSU'!M44,'25.07 RUBAGA-KABUSU'!M44,'26.07 RUBAGA-KABUSU-24h'!M44,'27.07 RUBAGA-KABUSU-24h'!M44,'28.07 RUBAGA-KABUSU'!M44)</f>
        <v>99</v>
      </c>
      <c r="N44" s="49">
        <f>AVERAGE('22.07 RUBAGA-KABUSU'!N44,'23.07 RUBAGA-KABUSU'!N44,'24.07 RUBAGA-KABUSU'!N44,'25.07 RUBAGA-KABUSU'!N44,'26.07 RUBAGA-KABUSU-24h'!N44,'27.07 RUBAGA-KABUSU-24h'!N44,'28.07 RUBAGA-KABUSU'!N44)</f>
        <v>0</v>
      </c>
      <c r="O44" s="15">
        <f t="shared" si="0"/>
        <v>69</v>
      </c>
      <c r="P44" s="15">
        <f t="shared" si="1"/>
        <v>168</v>
      </c>
    </row>
    <row r="45" spans="2:32" ht="23.1" customHeight="1" x14ac:dyDescent="0.25">
      <c r="B45" s="23" t="s">
        <v>72</v>
      </c>
      <c r="C45" s="49">
        <f>AVERAGE('22.07 RUBAGA-KABUSU'!C45,'23.07 RUBAGA-KABUSU'!C45,'24.07 RUBAGA-KABUSU'!C45,'25.07 RUBAGA-KABUSU'!C45,'26.07 RUBAGA-KABUSU-24h'!C45,'27.07 RUBAGA-KABUSU-24h'!C45,'28.07 RUBAGA-KABUSU'!C45)</f>
        <v>36.714285714285715</v>
      </c>
      <c r="D45" s="49">
        <f>AVERAGE('22.07 RUBAGA-KABUSU'!D45,'23.07 RUBAGA-KABUSU'!D45,'24.07 RUBAGA-KABUSU'!D45,'25.07 RUBAGA-KABUSU'!D45,'26.07 RUBAGA-KABUSU-24h'!D45,'27.07 RUBAGA-KABUSU-24h'!D45,'28.07 RUBAGA-KABUSU'!D45)</f>
        <v>6.5714285714285712</v>
      </c>
      <c r="E45" s="49">
        <f>AVERAGE('22.07 RUBAGA-KABUSU'!E45,'23.07 RUBAGA-KABUSU'!E45,'24.07 RUBAGA-KABUSU'!E45,'25.07 RUBAGA-KABUSU'!E45,'26.07 RUBAGA-KABUSU-24h'!E45,'27.07 RUBAGA-KABUSU-24h'!E45,'28.07 RUBAGA-KABUSU'!E45)</f>
        <v>3.5714285714285716</v>
      </c>
      <c r="F45" s="49">
        <f>AVERAGE('22.07 RUBAGA-KABUSU'!F45,'23.07 RUBAGA-KABUSU'!F45,'24.07 RUBAGA-KABUSU'!F45,'25.07 RUBAGA-KABUSU'!F45,'26.07 RUBAGA-KABUSU-24h'!F45,'27.07 RUBAGA-KABUSU-24h'!F45,'28.07 RUBAGA-KABUSU'!F45)</f>
        <v>13.714285714285714</v>
      </c>
      <c r="G45" s="49">
        <f>AVERAGE('22.07 RUBAGA-KABUSU'!G45,'23.07 RUBAGA-KABUSU'!G45,'24.07 RUBAGA-KABUSU'!G45,'25.07 RUBAGA-KABUSU'!G45,'26.07 RUBAGA-KABUSU-24h'!G45,'27.07 RUBAGA-KABUSU-24h'!G45,'28.07 RUBAGA-KABUSU'!G45)</f>
        <v>0.14285714285714285</v>
      </c>
      <c r="H45" s="49">
        <f>AVERAGE('22.07 RUBAGA-KABUSU'!H45,'23.07 RUBAGA-KABUSU'!H45,'24.07 RUBAGA-KABUSU'!H45,'25.07 RUBAGA-KABUSU'!H45,'26.07 RUBAGA-KABUSU-24h'!H45,'27.07 RUBAGA-KABUSU-24h'!H45,'28.07 RUBAGA-KABUSU'!H45)</f>
        <v>0.14285714285714285</v>
      </c>
      <c r="I45" s="49">
        <f>AVERAGE('22.07 RUBAGA-KABUSU'!I45,'23.07 RUBAGA-KABUSU'!I45,'24.07 RUBAGA-KABUSU'!I45,'25.07 RUBAGA-KABUSU'!I45,'26.07 RUBAGA-KABUSU-24h'!I45,'27.07 RUBAGA-KABUSU-24h'!I45,'28.07 RUBAGA-KABUSU'!I45)</f>
        <v>3.4285714285714284</v>
      </c>
      <c r="J45" s="49">
        <f>AVERAGE('22.07 RUBAGA-KABUSU'!J45,'23.07 RUBAGA-KABUSU'!J45,'24.07 RUBAGA-KABUSU'!J45,'25.07 RUBAGA-KABUSU'!J45,'26.07 RUBAGA-KABUSU-24h'!J45,'27.07 RUBAGA-KABUSU-24h'!J45,'28.07 RUBAGA-KABUSU'!J45)</f>
        <v>3.1428571428571428</v>
      </c>
      <c r="K45" s="49">
        <f>AVERAGE('22.07 RUBAGA-KABUSU'!K45,'23.07 RUBAGA-KABUSU'!K45,'24.07 RUBAGA-KABUSU'!K45,'25.07 RUBAGA-KABUSU'!K45,'26.07 RUBAGA-KABUSU-24h'!K45,'27.07 RUBAGA-KABUSU-24h'!K45,'28.07 RUBAGA-KABUSU'!K45)</f>
        <v>0.5714285714285714</v>
      </c>
      <c r="L45" s="49">
        <f>AVERAGE('22.07 RUBAGA-KABUSU'!L45,'23.07 RUBAGA-KABUSU'!L45,'24.07 RUBAGA-KABUSU'!L45,'25.07 RUBAGA-KABUSU'!L45,'26.07 RUBAGA-KABUSU-24h'!L45,'27.07 RUBAGA-KABUSU-24h'!L45,'28.07 RUBAGA-KABUSU'!L45)</f>
        <v>0.14285714285714285</v>
      </c>
      <c r="M45" s="49">
        <f>AVERAGE('22.07 RUBAGA-KABUSU'!M45,'23.07 RUBAGA-KABUSU'!M45,'24.07 RUBAGA-KABUSU'!M45,'25.07 RUBAGA-KABUSU'!M45,'26.07 RUBAGA-KABUSU-24h'!M45,'27.07 RUBAGA-KABUSU-24h'!M45,'28.07 RUBAGA-KABUSU'!M45)</f>
        <v>110.28571428571429</v>
      </c>
      <c r="N45" s="49">
        <f>AVERAGE('22.07 RUBAGA-KABUSU'!N45,'23.07 RUBAGA-KABUSU'!N45,'24.07 RUBAGA-KABUSU'!N45,'25.07 RUBAGA-KABUSU'!N45,'26.07 RUBAGA-KABUSU-24h'!N45,'27.07 RUBAGA-KABUSU-24h'!N45,'28.07 RUBAGA-KABUSU'!N45)</f>
        <v>0</v>
      </c>
      <c r="O45" s="15">
        <f t="shared" si="0"/>
        <v>68.142857142857139</v>
      </c>
      <c r="P45" s="15">
        <f t="shared" si="1"/>
        <v>178.42857142857144</v>
      </c>
    </row>
    <row r="46" spans="2:32" ht="23.1" customHeight="1" x14ac:dyDescent="0.25">
      <c r="B46" s="24" t="s">
        <v>73</v>
      </c>
      <c r="C46" s="49">
        <f>AVERAGE('22.07 RUBAGA-KABUSU'!C46,'23.07 RUBAGA-KABUSU'!C46,'24.07 RUBAGA-KABUSU'!C46,'25.07 RUBAGA-KABUSU'!C46,'26.07 RUBAGA-KABUSU-24h'!C46,'27.07 RUBAGA-KABUSU-24h'!C46,'28.07 RUBAGA-KABUSU'!C46)</f>
        <v>46.857142857142854</v>
      </c>
      <c r="D46" s="49">
        <f>AVERAGE('22.07 RUBAGA-KABUSU'!D46,'23.07 RUBAGA-KABUSU'!D46,'24.07 RUBAGA-KABUSU'!D46,'25.07 RUBAGA-KABUSU'!D46,'26.07 RUBAGA-KABUSU-24h'!D46,'27.07 RUBAGA-KABUSU-24h'!D46,'28.07 RUBAGA-KABUSU'!D46)</f>
        <v>6.4285714285714288</v>
      </c>
      <c r="E46" s="49">
        <f>AVERAGE('22.07 RUBAGA-KABUSU'!E46,'23.07 RUBAGA-KABUSU'!E46,'24.07 RUBAGA-KABUSU'!E46,'25.07 RUBAGA-KABUSU'!E46,'26.07 RUBAGA-KABUSU-24h'!E46,'27.07 RUBAGA-KABUSU-24h'!E46,'28.07 RUBAGA-KABUSU'!E46)</f>
        <v>3.8571428571428572</v>
      </c>
      <c r="F46" s="49">
        <f>AVERAGE('22.07 RUBAGA-KABUSU'!F46,'23.07 RUBAGA-KABUSU'!F46,'24.07 RUBAGA-KABUSU'!F46,'25.07 RUBAGA-KABUSU'!F46,'26.07 RUBAGA-KABUSU-24h'!F46,'27.07 RUBAGA-KABUSU-24h'!F46,'28.07 RUBAGA-KABUSU'!F46)</f>
        <v>10.428571428571429</v>
      </c>
      <c r="G46" s="49">
        <f>AVERAGE('22.07 RUBAGA-KABUSU'!G46,'23.07 RUBAGA-KABUSU'!G46,'24.07 RUBAGA-KABUSU'!G46,'25.07 RUBAGA-KABUSU'!G46,'26.07 RUBAGA-KABUSU-24h'!G46,'27.07 RUBAGA-KABUSU-24h'!G46,'28.07 RUBAGA-KABUSU'!G46)</f>
        <v>0.14285714285714285</v>
      </c>
      <c r="H46" s="49">
        <f>AVERAGE('22.07 RUBAGA-KABUSU'!H46,'23.07 RUBAGA-KABUSU'!H46,'24.07 RUBAGA-KABUSU'!H46,'25.07 RUBAGA-KABUSU'!H46,'26.07 RUBAGA-KABUSU-24h'!H46,'27.07 RUBAGA-KABUSU-24h'!H46,'28.07 RUBAGA-KABUSU'!H46)</f>
        <v>0.42857142857142855</v>
      </c>
      <c r="I46" s="49">
        <f>AVERAGE('22.07 RUBAGA-KABUSU'!I46,'23.07 RUBAGA-KABUSU'!I46,'24.07 RUBAGA-KABUSU'!I46,'25.07 RUBAGA-KABUSU'!I46,'26.07 RUBAGA-KABUSU-24h'!I46,'27.07 RUBAGA-KABUSU-24h'!I46,'28.07 RUBAGA-KABUSU'!I46)</f>
        <v>3.7142857142857144</v>
      </c>
      <c r="J46" s="49">
        <f>AVERAGE('22.07 RUBAGA-KABUSU'!J46,'23.07 RUBAGA-KABUSU'!J46,'24.07 RUBAGA-KABUSU'!J46,'25.07 RUBAGA-KABUSU'!J46,'26.07 RUBAGA-KABUSU-24h'!J46,'27.07 RUBAGA-KABUSU-24h'!J46,'28.07 RUBAGA-KABUSU'!J46)</f>
        <v>1.5714285714285714</v>
      </c>
      <c r="K46" s="49">
        <f>AVERAGE('22.07 RUBAGA-KABUSU'!K46,'23.07 RUBAGA-KABUSU'!K46,'24.07 RUBAGA-KABUSU'!K46,'25.07 RUBAGA-KABUSU'!K46,'26.07 RUBAGA-KABUSU-24h'!K46,'27.07 RUBAGA-KABUSU-24h'!K46,'28.07 RUBAGA-KABUSU'!K46)</f>
        <v>0.7142857142857143</v>
      </c>
      <c r="L46" s="49">
        <f>AVERAGE('22.07 RUBAGA-KABUSU'!L46,'23.07 RUBAGA-KABUSU'!L46,'24.07 RUBAGA-KABUSU'!L46,'25.07 RUBAGA-KABUSU'!L46,'26.07 RUBAGA-KABUSU-24h'!L46,'27.07 RUBAGA-KABUSU-24h'!L46,'28.07 RUBAGA-KABUSU'!L46)</f>
        <v>0.2857142857142857</v>
      </c>
      <c r="M46" s="49">
        <f>AVERAGE('22.07 RUBAGA-KABUSU'!M46,'23.07 RUBAGA-KABUSU'!M46,'24.07 RUBAGA-KABUSU'!M46,'25.07 RUBAGA-KABUSU'!M46,'26.07 RUBAGA-KABUSU-24h'!M46,'27.07 RUBAGA-KABUSU-24h'!M46,'28.07 RUBAGA-KABUSU'!M46)</f>
        <v>120.28571428571429</v>
      </c>
      <c r="N46" s="49">
        <f>AVERAGE('22.07 RUBAGA-KABUSU'!N46,'23.07 RUBAGA-KABUSU'!N46,'24.07 RUBAGA-KABUSU'!N46,'25.07 RUBAGA-KABUSU'!N46,'26.07 RUBAGA-KABUSU-24h'!N46,'27.07 RUBAGA-KABUSU-24h'!N46,'28.07 RUBAGA-KABUSU'!N46)</f>
        <v>0</v>
      </c>
      <c r="O46" s="15">
        <f t="shared" si="0"/>
        <v>74.428571428571416</v>
      </c>
      <c r="P46" s="15">
        <f t="shared" si="1"/>
        <v>194.71428571428572</v>
      </c>
      <c r="R46" s="8"/>
      <c r="T46"/>
    </row>
    <row r="47" spans="2:32" ht="23.1" customHeight="1" x14ac:dyDescent="0.25">
      <c r="B47" s="24" t="s">
        <v>74</v>
      </c>
      <c r="C47" s="49">
        <f>AVERAGE('22.07 RUBAGA-KABUSU'!C47,'23.07 RUBAGA-KABUSU'!C47,'24.07 RUBAGA-KABUSU'!C47,'25.07 RUBAGA-KABUSU'!C47,'26.07 RUBAGA-KABUSU-24h'!C47,'27.07 RUBAGA-KABUSU-24h'!C47,'28.07 RUBAGA-KABUSU'!C47)</f>
        <v>43.857142857142854</v>
      </c>
      <c r="D47" s="49">
        <f>AVERAGE('22.07 RUBAGA-KABUSU'!D47,'23.07 RUBAGA-KABUSU'!D47,'24.07 RUBAGA-KABUSU'!D47,'25.07 RUBAGA-KABUSU'!D47,'26.07 RUBAGA-KABUSU-24h'!D47,'27.07 RUBAGA-KABUSU-24h'!D47,'28.07 RUBAGA-KABUSU'!D47)</f>
        <v>7.8571428571428568</v>
      </c>
      <c r="E47" s="49">
        <f>AVERAGE('22.07 RUBAGA-KABUSU'!E47,'23.07 RUBAGA-KABUSU'!E47,'24.07 RUBAGA-KABUSU'!E47,'25.07 RUBAGA-KABUSU'!E47,'26.07 RUBAGA-KABUSU-24h'!E47,'27.07 RUBAGA-KABUSU-24h'!E47,'28.07 RUBAGA-KABUSU'!E47)</f>
        <v>5.1428571428571432</v>
      </c>
      <c r="F47" s="49">
        <f>AVERAGE('22.07 RUBAGA-KABUSU'!F47,'23.07 RUBAGA-KABUSU'!F47,'24.07 RUBAGA-KABUSU'!F47,'25.07 RUBAGA-KABUSU'!F47,'26.07 RUBAGA-KABUSU-24h'!F47,'27.07 RUBAGA-KABUSU-24h'!F47,'28.07 RUBAGA-KABUSU'!F47)</f>
        <v>15.428571428571429</v>
      </c>
      <c r="G47" s="49">
        <f>AVERAGE('22.07 RUBAGA-KABUSU'!G47,'23.07 RUBAGA-KABUSU'!G47,'24.07 RUBAGA-KABUSU'!G47,'25.07 RUBAGA-KABUSU'!G47,'26.07 RUBAGA-KABUSU-24h'!G47,'27.07 RUBAGA-KABUSU-24h'!G47,'28.07 RUBAGA-KABUSU'!G47)</f>
        <v>0.14285714285714285</v>
      </c>
      <c r="H47" s="49">
        <f>AVERAGE('22.07 RUBAGA-KABUSU'!H47,'23.07 RUBAGA-KABUSU'!H47,'24.07 RUBAGA-KABUSU'!H47,'25.07 RUBAGA-KABUSU'!H47,'26.07 RUBAGA-KABUSU-24h'!H47,'27.07 RUBAGA-KABUSU-24h'!H47,'28.07 RUBAGA-KABUSU'!H47)</f>
        <v>0.42857142857142855</v>
      </c>
      <c r="I47" s="49">
        <f>AVERAGE('22.07 RUBAGA-KABUSU'!I47,'23.07 RUBAGA-KABUSU'!I47,'24.07 RUBAGA-KABUSU'!I47,'25.07 RUBAGA-KABUSU'!I47,'26.07 RUBAGA-KABUSU-24h'!I47,'27.07 RUBAGA-KABUSU-24h'!I47,'28.07 RUBAGA-KABUSU'!I47)</f>
        <v>4.7142857142857144</v>
      </c>
      <c r="J47" s="49">
        <f>AVERAGE('22.07 RUBAGA-KABUSU'!J47,'23.07 RUBAGA-KABUSU'!J47,'24.07 RUBAGA-KABUSU'!J47,'25.07 RUBAGA-KABUSU'!J47,'26.07 RUBAGA-KABUSU-24h'!J47,'27.07 RUBAGA-KABUSU-24h'!J47,'28.07 RUBAGA-KABUSU'!J47)</f>
        <v>3</v>
      </c>
      <c r="K47" s="49">
        <f>AVERAGE('22.07 RUBAGA-KABUSU'!K47,'23.07 RUBAGA-KABUSU'!K47,'24.07 RUBAGA-KABUSU'!K47,'25.07 RUBAGA-KABUSU'!K47,'26.07 RUBAGA-KABUSU-24h'!K47,'27.07 RUBAGA-KABUSU-24h'!K47,'28.07 RUBAGA-KABUSU'!K47)</f>
        <v>0.2857142857142857</v>
      </c>
      <c r="L47" s="49">
        <f>AVERAGE('22.07 RUBAGA-KABUSU'!L47,'23.07 RUBAGA-KABUSU'!L47,'24.07 RUBAGA-KABUSU'!L47,'25.07 RUBAGA-KABUSU'!L47,'26.07 RUBAGA-KABUSU-24h'!L47,'27.07 RUBAGA-KABUSU-24h'!L47,'28.07 RUBAGA-KABUSU'!L47)</f>
        <v>0.42857142857142855</v>
      </c>
      <c r="M47" s="49">
        <f>AVERAGE('22.07 RUBAGA-KABUSU'!M47,'23.07 RUBAGA-KABUSU'!M47,'24.07 RUBAGA-KABUSU'!M47,'25.07 RUBAGA-KABUSU'!M47,'26.07 RUBAGA-KABUSU-24h'!M47,'27.07 RUBAGA-KABUSU-24h'!M47,'28.07 RUBAGA-KABUSU'!M47)</f>
        <v>129.28571428571428</v>
      </c>
      <c r="N47" s="49">
        <f>AVERAGE('22.07 RUBAGA-KABUSU'!N47,'23.07 RUBAGA-KABUSU'!N47,'24.07 RUBAGA-KABUSU'!N47,'25.07 RUBAGA-KABUSU'!N47,'26.07 RUBAGA-KABUSU-24h'!N47,'27.07 RUBAGA-KABUSU-24h'!N47,'28.07 RUBAGA-KABUSU'!N47)</f>
        <v>0</v>
      </c>
      <c r="O47" s="15">
        <f t="shared" si="0"/>
        <v>81.285714285714278</v>
      </c>
      <c r="P47" s="15">
        <f t="shared" si="1"/>
        <v>210.57142857142856</v>
      </c>
      <c r="R47" s="8"/>
      <c r="T47"/>
    </row>
    <row r="48" spans="2:32" ht="23.1" customHeight="1" x14ac:dyDescent="0.25">
      <c r="B48" s="24" t="s">
        <v>75</v>
      </c>
      <c r="C48" s="49">
        <f>AVERAGE('22.07 RUBAGA-KABUSU'!C48,'23.07 RUBAGA-KABUSU'!C48,'24.07 RUBAGA-KABUSU'!C48,'25.07 RUBAGA-KABUSU'!C48,'26.07 RUBAGA-KABUSU-24h'!C48,'27.07 RUBAGA-KABUSU-24h'!C48,'28.07 RUBAGA-KABUSU'!C48)</f>
        <v>46.571428571428569</v>
      </c>
      <c r="D48" s="49">
        <f>AVERAGE('22.07 RUBAGA-KABUSU'!D48,'23.07 RUBAGA-KABUSU'!D48,'24.07 RUBAGA-KABUSU'!D48,'25.07 RUBAGA-KABUSU'!D48,'26.07 RUBAGA-KABUSU-24h'!D48,'27.07 RUBAGA-KABUSU-24h'!D48,'28.07 RUBAGA-KABUSU'!D48)</f>
        <v>8.7142857142857135</v>
      </c>
      <c r="E48" s="49">
        <f>AVERAGE('22.07 RUBAGA-KABUSU'!E48,'23.07 RUBAGA-KABUSU'!E48,'24.07 RUBAGA-KABUSU'!E48,'25.07 RUBAGA-KABUSU'!E48,'26.07 RUBAGA-KABUSU-24h'!E48,'27.07 RUBAGA-KABUSU-24h'!E48,'28.07 RUBAGA-KABUSU'!E48)</f>
        <v>4</v>
      </c>
      <c r="F48" s="49">
        <f>AVERAGE('22.07 RUBAGA-KABUSU'!F48,'23.07 RUBAGA-KABUSU'!F48,'24.07 RUBAGA-KABUSU'!F48,'25.07 RUBAGA-KABUSU'!F48,'26.07 RUBAGA-KABUSU-24h'!F48,'27.07 RUBAGA-KABUSU-24h'!F48,'28.07 RUBAGA-KABUSU'!F48)</f>
        <v>12.571428571428571</v>
      </c>
      <c r="G48" s="49">
        <f>AVERAGE('22.07 RUBAGA-KABUSU'!G48,'23.07 RUBAGA-KABUSU'!G48,'24.07 RUBAGA-KABUSU'!G48,'25.07 RUBAGA-KABUSU'!G48,'26.07 RUBAGA-KABUSU-24h'!G48,'27.07 RUBAGA-KABUSU-24h'!G48,'28.07 RUBAGA-KABUSU'!G48)</f>
        <v>1</v>
      </c>
      <c r="H48" s="49">
        <f>AVERAGE('22.07 RUBAGA-KABUSU'!H48,'23.07 RUBAGA-KABUSU'!H48,'24.07 RUBAGA-KABUSU'!H48,'25.07 RUBAGA-KABUSU'!H48,'26.07 RUBAGA-KABUSU-24h'!H48,'27.07 RUBAGA-KABUSU-24h'!H48,'28.07 RUBAGA-KABUSU'!H48)</f>
        <v>1</v>
      </c>
      <c r="I48" s="49">
        <f>AVERAGE('22.07 RUBAGA-KABUSU'!I48,'23.07 RUBAGA-KABUSU'!I48,'24.07 RUBAGA-KABUSU'!I48,'25.07 RUBAGA-KABUSU'!I48,'26.07 RUBAGA-KABUSU-24h'!I48,'27.07 RUBAGA-KABUSU-24h'!I48,'28.07 RUBAGA-KABUSU'!I48)</f>
        <v>4</v>
      </c>
      <c r="J48" s="49">
        <f>AVERAGE('22.07 RUBAGA-KABUSU'!J48,'23.07 RUBAGA-KABUSU'!J48,'24.07 RUBAGA-KABUSU'!J48,'25.07 RUBAGA-KABUSU'!J48,'26.07 RUBAGA-KABUSU-24h'!J48,'27.07 RUBAGA-KABUSU-24h'!J48,'28.07 RUBAGA-KABUSU'!J48)</f>
        <v>2</v>
      </c>
      <c r="K48" s="49">
        <f>AVERAGE('22.07 RUBAGA-KABUSU'!K48,'23.07 RUBAGA-KABUSU'!K48,'24.07 RUBAGA-KABUSU'!K48,'25.07 RUBAGA-KABUSU'!K48,'26.07 RUBAGA-KABUSU-24h'!K48,'27.07 RUBAGA-KABUSU-24h'!K48,'28.07 RUBAGA-KABUSU'!K48)</f>
        <v>0.42857142857142855</v>
      </c>
      <c r="L48" s="49">
        <f>AVERAGE('22.07 RUBAGA-KABUSU'!L48,'23.07 RUBAGA-KABUSU'!L48,'24.07 RUBAGA-KABUSU'!L48,'25.07 RUBAGA-KABUSU'!L48,'26.07 RUBAGA-KABUSU-24h'!L48,'27.07 RUBAGA-KABUSU-24h'!L48,'28.07 RUBAGA-KABUSU'!L48)</f>
        <v>0.2857142857142857</v>
      </c>
      <c r="M48" s="49">
        <f>AVERAGE('22.07 RUBAGA-KABUSU'!M48,'23.07 RUBAGA-KABUSU'!M48,'24.07 RUBAGA-KABUSU'!M48,'25.07 RUBAGA-KABUSU'!M48,'26.07 RUBAGA-KABUSU-24h'!M48,'27.07 RUBAGA-KABUSU-24h'!M48,'28.07 RUBAGA-KABUSU'!M48)</f>
        <v>132.14285714285714</v>
      </c>
      <c r="N48" s="49">
        <f>AVERAGE('22.07 RUBAGA-KABUSU'!N48,'23.07 RUBAGA-KABUSU'!N48,'24.07 RUBAGA-KABUSU'!N48,'25.07 RUBAGA-KABUSU'!N48,'26.07 RUBAGA-KABUSU-24h'!N48,'27.07 RUBAGA-KABUSU-24h'!N48,'28.07 RUBAGA-KABUSU'!N48)</f>
        <v>0.14285714285714285</v>
      </c>
      <c r="O48" s="15">
        <f t="shared" si="0"/>
        <v>80.714285714285722</v>
      </c>
      <c r="P48" s="15">
        <f t="shared" si="1"/>
        <v>212.85714285714286</v>
      </c>
      <c r="R48" s="8"/>
      <c r="T48"/>
    </row>
    <row r="49" spans="2:20" ht="23.1" customHeight="1" x14ac:dyDescent="0.25">
      <c r="B49" s="23" t="s">
        <v>76</v>
      </c>
      <c r="C49" s="49">
        <f>AVERAGE('22.07 RUBAGA-KABUSU'!C49,'23.07 RUBAGA-KABUSU'!C49,'24.07 RUBAGA-KABUSU'!C49,'25.07 RUBAGA-KABUSU'!C49,'26.07 RUBAGA-KABUSU-24h'!C49,'27.07 RUBAGA-KABUSU-24h'!C49,'28.07 RUBAGA-KABUSU'!C49)</f>
        <v>42.285714285714285</v>
      </c>
      <c r="D49" s="49">
        <f>AVERAGE('22.07 RUBAGA-KABUSU'!D49,'23.07 RUBAGA-KABUSU'!D49,'24.07 RUBAGA-KABUSU'!D49,'25.07 RUBAGA-KABUSU'!D49,'26.07 RUBAGA-KABUSU-24h'!D49,'27.07 RUBAGA-KABUSU-24h'!D49,'28.07 RUBAGA-KABUSU'!D49)</f>
        <v>7.4285714285714288</v>
      </c>
      <c r="E49" s="49">
        <f>AVERAGE('22.07 RUBAGA-KABUSU'!E49,'23.07 RUBAGA-KABUSU'!E49,'24.07 RUBAGA-KABUSU'!E49,'25.07 RUBAGA-KABUSU'!E49,'26.07 RUBAGA-KABUSU-24h'!E49,'27.07 RUBAGA-KABUSU-24h'!E49,'28.07 RUBAGA-KABUSU'!E49)</f>
        <v>3.8571428571428572</v>
      </c>
      <c r="F49" s="49">
        <f>AVERAGE('22.07 RUBAGA-KABUSU'!F49,'23.07 RUBAGA-KABUSU'!F49,'24.07 RUBAGA-KABUSU'!F49,'25.07 RUBAGA-KABUSU'!F49,'26.07 RUBAGA-KABUSU-24h'!F49,'27.07 RUBAGA-KABUSU-24h'!F49,'28.07 RUBAGA-KABUSU'!F49)</f>
        <v>11.428571428571429</v>
      </c>
      <c r="G49" s="49">
        <f>AVERAGE('22.07 RUBAGA-KABUSU'!G49,'23.07 RUBAGA-KABUSU'!G49,'24.07 RUBAGA-KABUSU'!G49,'25.07 RUBAGA-KABUSU'!G49,'26.07 RUBAGA-KABUSU-24h'!G49,'27.07 RUBAGA-KABUSU-24h'!G49,'28.07 RUBAGA-KABUSU'!G49)</f>
        <v>0</v>
      </c>
      <c r="H49" s="49">
        <f>AVERAGE('22.07 RUBAGA-KABUSU'!H49,'23.07 RUBAGA-KABUSU'!H49,'24.07 RUBAGA-KABUSU'!H49,'25.07 RUBAGA-KABUSU'!H49,'26.07 RUBAGA-KABUSU-24h'!H49,'27.07 RUBAGA-KABUSU-24h'!H49,'28.07 RUBAGA-KABUSU'!H49)</f>
        <v>0.14285714285714285</v>
      </c>
      <c r="I49" s="49">
        <f>AVERAGE('22.07 RUBAGA-KABUSU'!I49,'23.07 RUBAGA-KABUSU'!I49,'24.07 RUBAGA-KABUSU'!I49,'25.07 RUBAGA-KABUSU'!I49,'26.07 RUBAGA-KABUSU-24h'!I49,'27.07 RUBAGA-KABUSU-24h'!I49,'28.07 RUBAGA-KABUSU'!I49)</f>
        <v>2</v>
      </c>
      <c r="J49" s="49">
        <f>AVERAGE('22.07 RUBAGA-KABUSU'!J49,'23.07 RUBAGA-KABUSU'!J49,'24.07 RUBAGA-KABUSU'!J49,'25.07 RUBAGA-KABUSU'!J49,'26.07 RUBAGA-KABUSU-24h'!J49,'27.07 RUBAGA-KABUSU-24h'!J49,'28.07 RUBAGA-KABUSU'!J49)</f>
        <v>2.5714285714285716</v>
      </c>
      <c r="K49" s="49">
        <f>AVERAGE('22.07 RUBAGA-KABUSU'!K49,'23.07 RUBAGA-KABUSU'!K49,'24.07 RUBAGA-KABUSU'!K49,'25.07 RUBAGA-KABUSU'!K49,'26.07 RUBAGA-KABUSU-24h'!K49,'27.07 RUBAGA-KABUSU-24h'!K49,'28.07 RUBAGA-KABUSU'!K49)</f>
        <v>0.8571428571428571</v>
      </c>
      <c r="L49" s="49">
        <f>AVERAGE('22.07 RUBAGA-KABUSU'!L49,'23.07 RUBAGA-KABUSU'!L49,'24.07 RUBAGA-KABUSU'!L49,'25.07 RUBAGA-KABUSU'!L49,'26.07 RUBAGA-KABUSU-24h'!L49,'27.07 RUBAGA-KABUSU-24h'!L49,'28.07 RUBAGA-KABUSU'!L49)</f>
        <v>0.42857142857142855</v>
      </c>
      <c r="M49" s="49">
        <f>AVERAGE('22.07 RUBAGA-KABUSU'!M49,'23.07 RUBAGA-KABUSU'!M49,'24.07 RUBAGA-KABUSU'!M49,'25.07 RUBAGA-KABUSU'!M49,'26.07 RUBAGA-KABUSU-24h'!M49,'27.07 RUBAGA-KABUSU-24h'!M49,'28.07 RUBAGA-KABUSU'!M49)</f>
        <v>133.57142857142858</v>
      </c>
      <c r="N49" s="49">
        <f>AVERAGE('22.07 RUBAGA-KABUSU'!N49,'23.07 RUBAGA-KABUSU'!N49,'24.07 RUBAGA-KABUSU'!N49,'25.07 RUBAGA-KABUSU'!N49,'26.07 RUBAGA-KABUSU-24h'!N49,'27.07 RUBAGA-KABUSU-24h'!N49,'28.07 RUBAGA-KABUSU'!N49)</f>
        <v>0</v>
      </c>
      <c r="O49" s="15">
        <f t="shared" si="0"/>
        <v>71</v>
      </c>
      <c r="P49" s="15">
        <f t="shared" si="1"/>
        <v>204.57142857142858</v>
      </c>
      <c r="R49" s="8"/>
      <c r="T49"/>
    </row>
    <row r="50" spans="2:20" ht="23.1" customHeight="1" x14ac:dyDescent="0.25">
      <c r="B50" s="24" t="s">
        <v>77</v>
      </c>
      <c r="C50" s="49">
        <f>AVERAGE('22.07 RUBAGA-KABUSU'!C50,'23.07 RUBAGA-KABUSU'!C50,'24.07 RUBAGA-KABUSU'!C50,'25.07 RUBAGA-KABUSU'!C50,'26.07 RUBAGA-KABUSU-24h'!C50,'27.07 RUBAGA-KABUSU-24h'!C50,'28.07 RUBAGA-KABUSU'!C50)</f>
        <v>58.142857142857146</v>
      </c>
      <c r="D50" s="49">
        <f>AVERAGE('22.07 RUBAGA-KABUSU'!D50,'23.07 RUBAGA-KABUSU'!D50,'24.07 RUBAGA-KABUSU'!D50,'25.07 RUBAGA-KABUSU'!D50,'26.07 RUBAGA-KABUSU-24h'!D50,'27.07 RUBAGA-KABUSU-24h'!D50,'28.07 RUBAGA-KABUSU'!D50)</f>
        <v>10.857142857142858</v>
      </c>
      <c r="E50" s="49">
        <f>AVERAGE('22.07 RUBAGA-KABUSU'!E50,'23.07 RUBAGA-KABUSU'!E50,'24.07 RUBAGA-KABUSU'!E50,'25.07 RUBAGA-KABUSU'!E50,'26.07 RUBAGA-KABUSU-24h'!E50,'27.07 RUBAGA-KABUSU-24h'!E50,'28.07 RUBAGA-KABUSU'!E50)</f>
        <v>4.2857142857142856</v>
      </c>
      <c r="F50" s="49">
        <f>AVERAGE('22.07 RUBAGA-KABUSU'!F50,'23.07 RUBAGA-KABUSU'!F50,'24.07 RUBAGA-KABUSU'!F50,'25.07 RUBAGA-KABUSU'!F50,'26.07 RUBAGA-KABUSU-24h'!F50,'27.07 RUBAGA-KABUSU-24h'!F50,'28.07 RUBAGA-KABUSU'!F50)</f>
        <v>10.428571428571429</v>
      </c>
      <c r="G50" s="49">
        <f>AVERAGE('22.07 RUBAGA-KABUSU'!G50,'23.07 RUBAGA-KABUSU'!G50,'24.07 RUBAGA-KABUSU'!G50,'25.07 RUBAGA-KABUSU'!G50,'26.07 RUBAGA-KABUSU-24h'!G50,'27.07 RUBAGA-KABUSU-24h'!G50,'28.07 RUBAGA-KABUSU'!G50)</f>
        <v>0.5714285714285714</v>
      </c>
      <c r="H50" s="49">
        <f>AVERAGE('22.07 RUBAGA-KABUSU'!H50,'23.07 RUBAGA-KABUSU'!H50,'24.07 RUBAGA-KABUSU'!H50,'25.07 RUBAGA-KABUSU'!H50,'26.07 RUBAGA-KABUSU-24h'!H50,'27.07 RUBAGA-KABUSU-24h'!H50,'28.07 RUBAGA-KABUSU'!H50)</f>
        <v>0.14285714285714285</v>
      </c>
      <c r="I50" s="49">
        <f>AVERAGE('22.07 RUBAGA-KABUSU'!I50,'23.07 RUBAGA-KABUSU'!I50,'24.07 RUBAGA-KABUSU'!I50,'25.07 RUBAGA-KABUSU'!I50,'26.07 RUBAGA-KABUSU-24h'!I50,'27.07 RUBAGA-KABUSU-24h'!I50,'28.07 RUBAGA-KABUSU'!I50)</f>
        <v>3.1428571428571428</v>
      </c>
      <c r="J50" s="49">
        <f>AVERAGE('22.07 RUBAGA-KABUSU'!J50,'23.07 RUBAGA-KABUSU'!J50,'24.07 RUBAGA-KABUSU'!J50,'25.07 RUBAGA-KABUSU'!J50,'26.07 RUBAGA-KABUSU-24h'!J50,'27.07 RUBAGA-KABUSU-24h'!J50,'28.07 RUBAGA-KABUSU'!J50)</f>
        <v>3.1428571428571428</v>
      </c>
      <c r="K50" s="49">
        <f>AVERAGE('22.07 RUBAGA-KABUSU'!K50,'23.07 RUBAGA-KABUSU'!K50,'24.07 RUBAGA-KABUSU'!K50,'25.07 RUBAGA-KABUSU'!K50,'26.07 RUBAGA-KABUSU-24h'!K50,'27.07 RUBAGA-KABUSU-24h'!K50,'28.07 RUBAGA-KABUSU'!K50)</f>
        <v>0.5714285714285714</v>
      </c>
      <c r="L50" s="49">
        <f>AVERAGE('22.07 RUBAGA-KABUSU'!L50,'23.07 RUBAGA-KABUSU'!L50,'24.07 RUBAGA-KABUSU'!L50,'25.07 RUBAGA-KABUSU'!L50,'26.07 RUBAGA-KABUSU-24h'!L50,'27.07 RUBAGA-KABUSU-24h'!L50,'28.07 RUBAGA-KABUSU'!L50)</f>
        <v>0.7142857142857143</v>
      </c>
      <c r="M50" s="49">
        <f>AVERAGE('22.07 RUBAGA-KABUSU'!M50,'23.07 RUBAGA-KABUSU'!M50,'24.07 RUBAGA-KABUSU'!M50,'25.07 RUBAGA-KABUSU'!M50,'26.07 RUBAGA-KABUSU-24h'!M50,'27.07 RUBAGA-KABUSU-24h'!M50,'28.07 RUBAGA-KABUSU'!M50)</f>
        <v>110.42857142857143</v>
      </c>
      <c r="N50" s="49">
        <f>AVERAGE('22.07 RUBAGA-KABUSU'!N50,'23.07 RUBAGA-KABUSU'!N50,'24.07 RUBAGA-KABUSU'!N50,'25.07 RUBAGA-KABUSU'!N50,'26.07 RUBAGA-KABUSU-24h'!N50,'27.07 RUBAGA-KABUSU-24h'!N50,'28.07 RUBAGA-KABUSU'!N50)</f>
        <v>0</v>
      </c>
      <c r="O50" s="15">
        <f t="shared" si="0"/>
        <v>91.999999999999986</v>
      </c>
      <c r="P50" s="15">
        <f t="shared" si="1"/>
        <v>202.42857142857142</v>
      </c>
      <c r="R50" s="8"/>
      <c r="T50"/>
    </row>
    <row r="51" spans="2:20" ht="23.1" customHeight="1" x14ac:dyDescent="0.25">
      <c r="B51" s="24" t="s">
        <v>78</v>
      </c>
      <c r="C51" s="49">
        <f>AVERAGE('22.07 RUBAGA-KABUSU'!C51,'23.07 RUBAGA-KABUSU'!C51,'24.07 RUBAGA-KABUSU'!C51,'25.07 RUBAGA-KABUSU'!C51,'26.07 RUBAGA-KABUSU-24h'!C51,'27.07 RUBAGA-KABUSU-24h'!C51,'28.07 RUBAGA-KABUSU'!C51)</f>
        <v>53.571428571428569</v>
      </c>
      <c r="D51" s="49">
        <f>AVERAGE('22.07 RUBAGA-KABUSU'!D51,'23.07 RUBAGA-KABUSU'!D51,'24.07 RUBAGA-KABUSU'!D51,'25.07 RUBAGA-KABUSU'!D51,'26.07 RUBAGA-KABUSU-24h'!D51,'27.07 RUBAGA-KABUSU-24h'!D51,'28.07 RUBAGA-KABUSU'!D51)</f>
        <v>9.4285714285714288</v>
      </c>
      <c r="E51" s="49">
        <f>AVERAGE('22.07 RUBAGA-KABUSU'!E51,'23.07 RUBAGA-KABUSU'!E51,'24.07 RUBAGA-KABUSU'!E51,'25.07 RUBAGA-KABUSU'!E51,'26.07 RUBAGA-KABUSU-24h'!E51,'27.07 RUBAGA-KABUSU-24h'!E51,'28.07 RUBAGA-KABUSU'!E51)</f>
        <v>2.7142857142857144</v>
      </c>
      <c r="F51" s="49">
        <f>AVERAGE('22.07 RUBAGA-KABUSU'!F51,'23.07 RUBAGA-KABUSU'!F51,'24.07 RUBAGA-KABUSU'!F51,'25.07 RUBAGA-KABUSU'!F51,'26.07 RUBAGA-KABUSU-24h'!F51,'27.07 RUBAGA-KABUSU-24h'!F51,'28.07 RUBAGA-KABUSU'!F51)</f>
        <v>9</v>
      </c>
      <c r="G51" s="49">
        <f>AVERAGE('22.07 RUBAGA-KABUSU'!G51,'23.07 RUBAGA-KABUSU'!G51,'24.07 RUBAGA-KABUSU'!G51,'25.07 RUBAGA-KABUSU'!G51,'26.07 RUBAGA-KABUSU-24h'!G51,'27.07 RUBAGA-KABUSU-24h'!G51,'28.07 RUBAGA-KABUSU'!G51)</f>
        <v>0</v>
      </c>
      <c r="H51" s="49">
        <f>AVERAGE('22.07 RUBAGA-KABUSU'!H51,'23.07 RUBAGA-KABUSU'!H51,'24.07 RUBAGA-KABUSU'!H51,'25.07 RUBAGA-KABUSU'!H51,'26.07 RUBAGA-KABUSU-24h'!H51,'27.07 RUBAGA-KABUSU-24h'!H51,'28.07 RUBAGA-KABUSU'!H51)</f>
        <v>0</v>
      </c>
      <c r="I51" s="49">
        <f>AVERAGE('22.07 RUBAGA-KABUSU'!I51,'23.07 RUBAGA-KABUSU'!I51,'24.07 RUBAGA-KABUSU'!I51,'25.07 RUBAGA-KABUSU'!I51,'26.07 RUBAGA-KABUSU-24h'!I51,'27.07 RUBAGA-KABUSU-24h'!I51,'28.07 RUBAGA-KABUSU'!I51)</f>
        <v>3.4285714285714284</v>
      </c>
      <c r="J51" s="49">
        <f>AVERAGE('22.07 RUBAGA-KABUSU'!J51,'23.07 RUBAGA-KABUSU'!J51,'24.07 RUBAGA-KABUSU'!J51,'25.07 RUBAGA-KABUSU'!J51,'26.07 RUBAGA-KABUSU-24h'!J51,'27.07 RUBAGA-KABUSU-24h'!J51,'28.07 RUBAGA-KABUSU'!J51)</f>
        <v>3.1428571428571428</v>
      </c>
      <c r="K51" s="49">
        <f>AVERAGE('22.07 RUBAGA-KABUSU'!K51,'23.07 RUBAGA-KABUSU'!K51,'24.07 RUBAGA-KABUSU'!K51,'25.07 RUBAGA-KABUSU'!K51,'26.07 RUBAGA-KABUSU-24h'!K51,'27.07 RUBAGA-KABUSU-24h'!K51,'28.07 RUBAGA-KABUSU'!K51)</f>
        <v>0.8571428571428571</v>
      </c>
      <c r="L51" s="49">
        <f>AVERAGE('22.07 RUBAGA-KABUSU'!L51,'23.07 RUBAGA-KABUSU'!L51,'24.07 RUBAGA-KABUSU'!L51,'25.07 RUBAGA-KABUSU'!L51,'26.07 RUBAGA-KABUSU-24h'!L51,'27.07 RUBAGA-KABUSU-24h'!L51,'28.07 RUBAGA-KABUSU'!L51)</f>
        <v>0</v>
      </c>
      <c r="M51" s="49">
        <f>AVERAGE('22.07 RUBAGA-KABUSU'!M51,'23.07 RUBAGA-KABUSU'!M51,'24.07 RUBAGA-KABUSU'!M51,'25.07 RUBAGA-KABUSU'!M51,'26.07 RUBAGA-KABUSU-24h'!M51,'27.07 RUBAGA-KABUSU-24h'!M51,'28.07 RUBAGA-KABUSU'!M51)</f>
        <v>118.57142857142857</v>
      </c>
      <c r="N51" s="49">
        <f>AVERAGE('22.07 RUBAGA-KABUSU'!N51,'23.07 RUBAGA-KABUSU'!N51,'24.07 RUBAGA-KABUSU'!N51,'25.07 RUBAGA-KABUSU'!N51,'26.07 RUBAGA-KABUSU-24h'!N51,'27.07 RUBAGA-KABUSU-24h'!N51,'28.07 RUBAGA-KABUSU'!N51)</f>
        <v>0</v>
      </c>
      <c r="O51" s="15">
        <f t="shared" si="0"/>
        <v>82.142857142857139</v>
      </c>
      <c r="P51" s="15">
        <f t="shared" si="1"/>
        <v>200.71428571428572</v>
      </c>
      <c r="R51" s="8"/>
      <c r="T51"/>
    </row>
    <row r="52" spans="2:20" ht="23.1" customHeight="1" x14ac:dyDescent="0.25">
      <c r="B52" s="24" t="s">
        <v>79</v>
      </c>
      <c r="C52" s="49">
        <f>AVERAGE('22.07 RUBAGA-KABUSU'!C52,'23.07 RUBAGA-KABUSU'!C52,'24.07 RUBAGA-KABUSU'!C52,'25.07 RUBAGA-KABUSU'!C52,'26.07 RUBAGA-KABUSU-24h'!C52,'27.07 RUBAGA-KABUSU-24h'!C52,'28.07 RUBAGA-KABUSU'!C52)</f>
        <v>60.857142857142854</v>
      </c>
      <c r="D52" s="49">
        <f>AVERAGE('22.07 RUBAGA-KABUSU'!D52,'23.07 RUBAGA-KABUSU'!D52,'24.07 RUBAGA-KABUSU'!D52,'25.07 RUBAGA-KABUSU'!D52,'26.07 RUBAGA-KABUSU-24h'!D52,'27.07 RUBAGA-KABUSU-24h'!D52,'28.07 RUBAGA-KABUSU'!D52)</f>
        <v>11.142857142857142</v>
      </c>
      <c r="E52" s="49">
        <f>AVERAGE('22.07 RUBAGA-KABUSU'!E52,'23.07 RUBAGA-KABUSU'!E52,'24.07 RUBAGA-KABUSU'!E52,'25.07 RUBAGA-KABUSU'!E52,'26.07 RUBAGA-KABUSU-24h'!E52,'27.07 RUBAGA-KABUSU-24h'!E52,'28.07 RUBAGA-KABUSU'!E52)</f>
        <v>4.8571428571428568</v>
      </c>
      <c r="F52" s="49">
        <f>AVERAGE('22.07 RUBAGA-KABUSU'!F52,'23.07 RUBAGA-KABUSU'!F52,'24.07 RUBAGA-KABUSU'!F52,'25.07 RUBAGA-KABUSU'!F52,'26.07 RUBAGA-KABUSU-24h'!F52,'27.07 RUBAGA-KABUSU-24h'!F52,'28.07 RUBAGA-KABUSU'!F52)</f>
        <v>10.857142857142858</v>
      </c>
      <c r="G52" s="49">
        <f>AVERAGE('22.07 RUBAGA-KABUSU'!G52,'23.07 RUBAGA-KABUSU'!G52,'24.07 RUBAGA-KABUSU'!G52,'25.07 RUBAGA-KABUSU'!G52,'26.07 RUBAGA-KABUSU-24h'!G52,'27.07 RUBAGA-KABUSU-24h'!G52,'28.07 RUBAGA-KABUSU'!G52)</f>
        <v>0</v>
      </c>
      <c r="H52" s="49">
        <f>AVERAGE('22.07 RUBAGA-KABUSU'!H52,'23.07 RUBAGA-KABUSU'!H52,'24.07 RUBAGA-KABUSU'!H52,'25.07 RUBAGA-KABUSU'!H52,'26.07 RUBAGA-KABUSU-24h'!H52,'27.07 RUBAGA-KABUSU-24h'!H52,'28.07 RUBAGA-KABUSU'!H52)</f>
        <v>0</v>
      </c>
      <c r="I52" s="49">
        <f>AVERAGE('22.07 RUBAGA-KABUSU'!I52,'23.07 RUBAGA-KABUSU'!I52,'24.07 RUBAGA-KABUSU'!I52,'25.07 RUBAGA-KABUSU'!I52,'26.07 RUBAGA-KABUSU-24h'!I52,'27.07 RUBAGA-KABUSU-24h'!I52,'28.07 RUBAGA-KABUSU'!I52)</f>
        <v>3.2857142857142856</v>
      </c>
      <c r="J52" s="49">
        <f>AVERAGE('22.07 RUBAGA-KABUSU'!J52,'23.07 RUBAGA-KABUSU'!J52,'24.07 RUBAGA-KABUSU'!J52,'25.07 RUBAGA-KABUSU'!J52,'26.07 RUBAGA-KABUSU-24h'!J52,'27.07 RUBAGA-KABUSU-24h'!J52,'28.07 RUBAGA-KABUSU'!J52)</f>
        <v>2.4285714285714284</v>
      </c>
      <c r="K52" s="49">
        <f>AVERAGE('22.07 RUBAGA-KABUSU'!K52,'23.07 RUBAGA-KABUSU'!K52,'24.07 RUBAGA-KABUSU'!K52,'25.07 RUBAGA-KABUSU'!K52,'26.07 RUBAGA-KABUSU-24h'!K52,'27.07 RUBAGA-KABUSU-24h'!K52,'28.07 RUBAGA-KABUSU'!K52)</f>
        <v>0.5714285714285714</v>
      </c>
      <c r="L52" s="49">
        <f>AVERAGE('22.07 RUBAGA-KABUSU'!L52,'23.07 RUBAGA-KABUSU'!L52,'24.07 RUBAGA-KABUSU'!L52,'25.07 RUBAGA-KABUSU'!L52,'26.07 RUBAGA-KABUSU-24h'!L52,'27.07 RUBAGA-KABUSU-24h'!L52,'28.07 RUBAGA-KABUSU'!L52)</f>
        <v>0.14285714285714285</v>
      </c>
      <c r="M52" s="49">
        <f>AVERAGE('22.07 RUBAGA-KABUSU'!M52,'23.07 RUBAGA-KABUSU'!M52,'24.07 RUBAGA-KABUSU'!M52,'25.07 RUBAGA-KABUSU'!M52,'26.07 RUBAGA-KABUSU-24h'!M52,'27.07 RUBAGA-KABUSU-24h'!M52,'28.07 RUBAGA-KABUSU'!M52)</f>
        <v>108.28571428571429</v>
      </c>
      <c r="N52" s="49">
        <f>AVERAGE('22.07 RUBAGA-KABUSU'!N52,'23.07 RUBAGA-KABUSU'!N52,'24.07 RUBAGA-KABUSU'!N52,'25.07 RUBAGA-KABUSU'!N52,'26.07 RUBAGA-KABUSU-24h'!N52,'27.07 RUBAGA-KABUSU-24h'!N52,'28.07 RUBAGA-KABUSU'!N52)</f>
        <v>0</v>
      </c>
      <c r="O52" s="15">
        <f t="shared" si="0"/>
        <v>94.142857142857153</v>
      </c>
      <c r="P52" s="15">
        <f t="shared" si="1"/>
        <v>202.42857142857144</v>
      </c>
      <c r="R52" s="8"/>
      <c r="T52"/>
    </row>
    <row r="53" spans="2:20" ht="23.1" customHeight="1" x14ac:dyDescent="0.25">
      <c r="B53" s="23" t="s">
        <v>80</v>
      </c>
      <c r="C53" s="49">
        <f>AVERAGE('22.07 RUBAGA-KABUSU'!C53,'23.07 RUBAGA-KABUSU'!C53,'24.07 RUBAGA-KABUSU'!C53,'25.07 RUBAGA-KABUSU'!C53,'26.07 RUBAGA-KABUSU-24h'!C53,'27.07 RUBAGA-KABUSU-24h'!C53,'28.07 RUBAGA-KABUSU'!C53)</f>
        <v>54.285714285714285</v>
      </c>
      <c r="D53" s="49">
        <f>AVERAGE('22.07 RUBAGA-KABUSU'!D53,'23.07 RUBAGA-KABUSU'!D53,'24.07 RUBAGA-KABUSU'!D53,'25.07 RUBAGA-KABUSU'!D53,'26.07 RUBAGA-KABUSU-24h'!D53,'27.07 RUBAGA-KABUSU-24h'!D53,'28.07 RUBAGA-KABUSU'!D53)</f>
        <v>9.8571428571428577</v>
      </c>
      <c r="E53" s="49">
        <f>AVERAGE('22.07 RUBAGA-KABUSU'!E53,'23.07 RUBAGA-KABUSU'!E53,'24.07 RUBAGA-KABUSU'!E53,'25.07 RUBAGA-KABUSU'!E53,'26.07 RUBAGA-KABUSU-24h'!E53,'27.07 RUBAGA-KABUSU-24h'!E53,'28.07 RUBAGA-KABUSU'!E53)</f>
        <v>4.7142857142857144</v>
      </c>
      <c r="F53" s="49">
        <f>AVERAGE('22.07 RUBAGA-KABUSU'!F53,'23.07 RUBAGA-KABUSU'!F53,'24.07 RUBAGA-KABUSU'!F53,'25.07 RUBAGA-KABUSU'!F53,'26.07 RUBAGA-KABUSU-24h'!F53,'27.07 RUBAGA-KABUSU-24h'!F53,'28.07 RUBAGA-KABUSU'!F53)</f>
        <v>10.714285714285714</v>
      </c>
      <c r="G53" s="49">
        <f>AVERAGE('22.07 RUBAGA-KABUSU'!G53,'23.07 RUBAGA-KABUSU'!G53,'24.07 RUBAGA-KABUSU'!G53,'25.07 RUBAGA-KABUSU'!G53,'26.07 RUBAGA-KABUSU-24h'!G53,'27.07 RUBAGA-KABUSU-24h'!G53,'28.07 RUBAGA-KABUSU'!G53)</f>
        <v>0</v>
      </c>
      <c r="H53" s="49">
        <f>AVERAGE('22.07 RUBAGA-KABUSU'!H53,'23.07 RUBAGA-KABUSU'!H53,'24.07 RUBAGA-KABUSU'!H53,'25.07 RUBAGA-KABUSU'!H53,'26.07 RUBAGA-KABUSU-24h'!H53,'27.07 RUBAGA-KABUSU-24h'!H53,'28.07 RUBAGA-KABUSU'!H53)</f>
        <v>0</v>
      </c>
      <c r="I53" s="49">
        <f>AVERAGE('22.07 RUBAGA-KABUSU'!I53,'23.07 RUBAGA-KABUSU'!I53,'24.07 RUBAGA-KABUSU'!I53,'25.07 RUBAGA-KABUSU'!I53,'26.07 RUBAGA-KABUSU-24h'!I53,'27.07 RUBAGA-KABUSU-24h'!I53,'28.07 RUBAGA-KABUSU'!I53)</f>
        <v>2.2857142857142856</v>
      </c>
      <c r="J53" s="49">
        <f>AVERAGE('22.07 RUBAGA-KABUSU'!J53,'23.07 RUBAGA-KABUSU'!J53,'24.07 RUBAGA-KABUSU'!J53,'25.07 RUBAGA-KABUSU'!J53,'26.07 RUBAGA-KABUSU-24h'!J53,'27.07 RUBAGA-KABUSU-24h'!J53,'28.07 RUBAGA-KABUSU'!J53)</f>
        <v>2.2857142857142856</v>
      </c>
      <c r="K53" s="49">
        <f>AVERAGE('22.07 RUBAGA-KABUSU'!K53,'23.07 RUBAGA-KABUSU'!K53,'24.07 RUBAGA-KABUSU'!K53,'25.07 RUBAGA-KABUSU'!K53,'26.07 RUBAGA-KABUSU-24h'!K53,'27.07 RUBAGA-KABUSU-24h'!K53,'28.07 RUBAGA-KABUSU'!K53)</f>
        <v>0.5714285714285714</v>
      </c>
      <c r="L53" s="49">
        <f>AVERAGE('22.07 RUBAGA-KABUSU'!L53,'23.07 RUBAGA-KABUSU'!L53,'24.07 RUBAGA-KABUSU'!L53,'25.07 RUBAGA-KABUSU'!L53,'26.07 RUBAGA-KABUSU-24h'!L53,'27.07 RUBAGA-KABUSU-24h'!L53,'28.07 RUBAGA-KABUSU'!L53)</f>
        <v>0.5714285714285714</v>
      </c>
      <c r="M53" s="49">
        <f>AVERAGE('22.07 RUBAGA-KABUSU'!M53,'23.07 RUBAGA-KABUSU'!M53,'24.07 RUBAGA-KABUSU'!M53,'25.07 RUBAGA-KABUSU'!M53,'26.07 RUBAGA-KABUSU-24h'!M53,'27.07 RUBAGA-KABUSU-24h'!M53,'28.07 RUBAGA-KABUSU'!M53)</f>
        <v>128</v>
      </c>
      <c r="N53" s="49">
        <f>AVERAGE('22.07 RUBAGA-KABUSU'!N53,'23.07 RUBAGA-KABUSU'!N53,'24.07 RUBAGA-KABUSU'!N53,'25.07 RUBAGA-KABUSU'!N53,'26.07 RUBAGA-KABUSU-24h'!N53,'27.07 RUBAGA-KABUSU-24h'!N53,'28.07 RUBAGA-KABUSU'!N53)</f>
        <v>0</v>
      </c>
      <c r="O53" s="15">
        <f t="shared" si="0"/>
        <v>85.285714285714278</v>
      </c>
      <c r="P53" s="15">
        <f t="shared" si="1"/>
        <v>213.28571428571428</v>
      </c>
      <c r="R53" s="8"/>
      <c r="T53"/>
    </row>
    <row r="54" spans="2:20" ht="23.1" customHeight="1" x14ac:dyDescent="0.25">
      <c r="B54" s="23" t="s">
        <v>81</v>
      </c>
      <c r="C54" s="49">
        <f>AVERAGE('22.07 RUBAGA-KABUSU'!C54,'23.07 RUBAGA-KABUSU'!C54,'24.07 RUBAGA-KABUSU'!C54,'25.07 RUBAGA-KABUSU'!C54,'26.07 RUBAGA-KABUSU-24h'!C54,'27.07 RUBAGA-KABUSU-24h'!C54,'28.07 RUBAGA-KABUSU'!C54)</f>
        <v>77.428571428571431</v>
      </c>
      <c r="D54" s="49">
        <f>AVERAGE('22.07 RUBAGA-KABUSU'!D54,'23.07 RUBAGA-KABUSU'!D54,'24.07 RUBAGA-KABUSU'!D54,'25.07 RUBAGA-KABUSU'!D54,'26.07 RUBAGA-KABUSU-24h'!D54,'27.07 RUBAGA-KABUSU-24h'!D54,'28.07 RUBAGA-KABUSU'!D54)</f>
        <v>17.571428571428573</v>
      </c>
      <c r="E54" s="49">
        <f>AVERAGE('22.07 RUBAGA-KABUSU'!E54,'23.07 RUBAGA-KABUSU'!E54,'24.07 RUBAGA-KABUSU'!E54,'25.07 RUBAGA-KABUSU'!E54,'26.07 RUBAGA-KABUSU-24h'!E54,'27.07 RUBAGA-KABUSU-24h'!E54,'28.07 RUBAGA-KABUSU'!E54)</f>
        <v>6.5714285714285712</v>
      </c>
      <c r="F54" s="49">
        <f>AVERAGE('22.07 RUBAGA-KABUSU'!F54,'23.07 RUBAGA-KABUSU'!F54,'24.07 RUBAGA-KABUSU'!F54,'25.07 RUBAGA-KABUSU'!F54,'26.07 RUBAGA-KABUSU-24h'!F54,'27.07 RUBAGA-KABUSU-24h'!F54,'28.07 RUBAGA-KABUSU'!F54)</f>
        <v>9.1428571428571423</v>
      </c>
      <c r="G54" s="49">
        <f>AVERAGE('22.07 RUBAGA-KABUSU'!G54,'23.07 RUBAGA-KABUSU'!G54,'24.07 RUBAGA-KABUSU'!G54,'25.07 RUBAGA-KABUSU'!G54,'26.07 RUBAGA-KABUSU-24h'!G54,'27.07 RUBAGA-KABUSU-24h'!G54,'28.07 RUBAGA-KABUSU'!G54)</f>
        <v>0.2857142857142857</v>
      </c>
      <c r="H54" s="49">
        <f>AVERAGE('22.07 RUBAGA-KABUSU'!H54,'23.07 RUBAGA-KABUSU'!H54,'24.07 RUBAGA-KABUSU'!H54,'25.07 RUBAGA-KABUSU'!H54,'26.07 RUBAGA-KABUSU-24h'!H54,'27.07 RUBAGA-KABUSU-24h'!H54,'28.07 RUBAGA-KABUSU'!H54)</f>
        <v>0.5714285714285714</v>
      </c>
      <c r="I54" s="49">
        <f>AVERAGE('22.07 RUBAGA-KABUSU'!I54,'23.07 RUBAGA-KABUSU'!I54,'24.07 RUBAGA-KABUSU'!I54,'25.07 RUBAGA-KABUSU'!I54,'26.07 RUBAGA-KABUSU-24h'!I54,'27.07 RUBAGA-KABUSU-24h'!I54,'28.07 RUBAGA-KABUSU'!I54)</f>
        <v>3.2857142857142856</v>
      </c>
      <c r="J54" s="49">
        <f>AVERAGE('22.07 RUBAGA-KABUSU'!J54,'23.07 RUBAGA-KABUSU'!J54,'24.07 RUBAGA-KABUSU'!J54,'25.07 RUBAGA-KABUSU'!J54,'26.07 RUBAGA-KABUSU-24h'!J54,'27.07 RUBAGA-KABUSU-24h'!J54,'28.07 RUBAGA-KABUSU'!J54)</f>
        <v>2.5714285714285716</v>
      </c>
      <c r="K54" s="49">
        <f>AVERAGE('22.07 RUBAGA-KABUSU'!K54,'23.07 RUBAGA-KABUSU'!K54,'24.07 RUBAGA-KABUSU'!K54,'25.07 RUBAGA-KABUSU'!K54,'26.07 RUBAGA-KABUSU-24h'!K54,'27.07 RUBAGA-KABUSU-24h'!K54,'28.07 RUBAGA-KABUSU'!K54)</f>
        <v>0.7142857142857143</v>
      </c>
      <c r="L54" s="49">
        <f>AVERAGE('22.07 RUBAGA-KABUSU'!L54,'23.07 RUBAGA-KABUSU'!L54,'24.07 RUBAGA-KABUSU'!L54,'25.07 RUBAGA-KABUSU'!L54,'26.07 RUBAGA-KABUSU-24h'!L54,'27.07 RUBAGA-KABUSU-24h'!L54,'28.07 RUBAGA-KABUSU'!L54)</f>
        <v>0.8571428571428571</v>
      </c>
      <c r="M54" s="49">
        <f>AVERAGE('22.07 RUBAGA-KABUSU'!M54,'23.07 RUBAGA-KABUSU'!M54,'24.07 RUBAGA-KABUSU'!M54,'25.07 RUBAGA-KABUSU'!M54,'26.07 RUBAGA-KABUSU-24h'!M54,'27.07 RUBAGA-KABUSU-24h'!M54,'28.07 RUBAGA-KABUSU'!M54)</f>
        <v>102.42857142857143</v>
      </c>
      <c r="N54" s="49">
        <f>AVERAGE('22.07 RUBAGA-KABUSU'!N54,'23.07 RUBAGA-KABUSU'!N54,'24.07 RUBAGA-KABUSU'!N54,'25.07 RUBAGA-KABUSU'!N54,'26.07 RUBAGA-KABUSU-24h'!N54,'27.07 RUBAGA-KABUSU-24h'!N54,'28.07 RUBAGA-KABUSU'!N54)</f>
        <v>0</v>
      </c>
      <c r="O54" s="15">
        <f t="shared" si="0"/>
        <v>119</v>
      </c>
      <c r="P54" s="15">
        <f t="shared" si="1"/>
        <v>221.42857142857144</v>
      </c>
      <c r="R54" s="8"/>
      <c r="T54"/>
    </row>
    <row r="55" spans="2:20" ht="23.1" customHeight="1" x14ac:dyDescent="0.25">
      <c r="B55" s="23" t="s">
        <v>82</v>
      </c>
      <c r="C55" s="49">
        <f>AVERAGE('22.07 RUBAGA-KABUSU'!C55,'23.07 RUBAGA-KABUSU'!C55,'24.07 RUBAGA-KABUSU'!C55,'25.07 RUBAGA-KABUSU'!C55,'26.07 RUBAGA-KABUSU-24h'!C55,'27.07 RUBAGA-KABUSU-24h'!C55,'28.07 RUBAGA-KABUSU'!C55)</f>
        <v>63.571428571428569</v>
      </c>
      <c r="D55" s="49">
        <f>AVERAGE('22.07 RUBAGA-KABUSU'!D55,'23.07 RUBAGA-KABUSU'!D55,'24.07 RUBAGA-KABUSU'!D55,'25.07 RUBAGA-KABUSU'!D55,'26.07 RUBAGA-KABUSU-24h'!D55,'27.07 RUBAGA-KABUSU-24h'!D55,'28.07 RUBAGA-KABUSU'!D55)</f>
        <v>12.285714285714286</v>
      </c>
      <c r="E55" s="49">
        <f>AVERAGE('22.07 RUBAGA-KABUSU'!E55,'23.07 RUBAGA-KABUSU'!E55,'24.07 RUBAGA-KABUSU'!E55,'25.07 RUBAGA-KABUSU'!E55,'26.07 RUBAGA-KABUSU-24h'!E55,'27.07 RUBAGA-KABUSU-24h'!E55,'28.07 RUBAGA-KABUSU'!E55)</f>
        <v>3.2857142857142856</v>
      </c>
      <c r="F55" s="49">
        <f>AVERAGE('22.07 RUBAGA-KABUSU'!F55,'23.07 RUBAGA-KABUSU'!F55,'24.07 RUBAGA-KABUSU'!F55,'25.07 RUBAGA-KABUSU'!F55,'26.07 RUBAGA-KABUSU-24h'!F55,'27.07 RUBAGA-KABUSU-24h'!F55,'28.07 RUBAGA-KABUSU'!F55)</f>
        <v>8.5714285714285712</v>
      </c>
      <c r="G55" s="49">
        <f>AVERAGE('22.07 RUBAGA-KABUSU'!G55,'23.07 RUBAGA-KABUSU'!G55,'24.07 RUBAGA-KABUSU'!G55,'25.07 RUBAGA-KABUSU'!G55,'26.07 RUBAGA-KABUSU-24h'!G55,'27.07 RUBAGA-KABUSU-24h'!G55,'28.07 RUBAGA-KABUSU'!G55)</f>
        <v>0</v>
      </c>
      <c r="H55" s="49">
        <f>AVERAGE('22.07 RUBAGA-KABUSU'!H55,'23.07 RUBAGA-KABUSU'!H55,'24.07 RUBAGA-KABUSU'!H55,'25.07 RUBAGA-KABUSU'!H55,'26.07 RUBAGA-KABUSU-24h'!H55,'27.07 RUBAGA-KABUSU-24h'!H55,'28.07 RUBAGA-KABUSU'!H55)</f>
        <v>0.14285714285714285</v>
      </c>
      <c r="I55" s="49">
        <f>AVERAGE('22.07 RUBAGA-KABUSU'!I55,'23.07 RUBAGA-KABUSU'!I55,'24.07 RUBAGA-KABUSU'!I55,'25.07 RUBAGA-KABUSU'!I55,'26.07 RUBAGA-KABUSU-24h'!I55,'27.07 RUBAGA-KABUSU-24h'!I55,'28.07 RUBAGA-KABUSU'!I55)</f>
        <v>2.8571428571428572</v>
      </c>
      <c r="J55" s="49">
        <f>AVERAGE('22.07 RUBAGA-KABUSU'!J55,'23.07 RUBAGA-KABUSU'!J55,'24.07 RUBAGA-KABUSU'!J55,'25.07 RUBAGA-KABUSU'!J55,'26.07 RUBAGA-KABUSU-24h'!J55,'27.07 RUBAGA-KABUSU-24h'!J55,'28.07 RUBAGA-KABUSU'!J55)</f>
        <v>2.1428571428571428</v>
      </c>
      <c r="K55" s="49">
        <f>AVERAGE('22.07 RUBAGA-KABUSU'!K55,'23.07 RUBAGA-KABUSU'!K55,'24.07 RUBAGA-KABUSU'!K55,'25.07 RUBAGA-KABUSU'!K55,'26.07 RUBAGA-KABUSU-24h'!K55,'27.07 RUBAGA-KABUSU-24h'!K55,'28.07 RUBAGA-KABUSU'!K55)</f>
        <v>0.5714285714285714</v>
      </c>
      <c r="L55" s="49">
        <f>AVERAGE('22.07 RUBAGA-KABUSU'!L55,'23.07 RUBAGA-KABUSU'!L55,'24.07 RUBAGA-KABUSU'!L55,'25.07 RUBAGA-KABUSU'!L55,'26.07 RUBAGA-KABUSU-24h'!L55,'27.07 RUBAGA-KABUSU-24h'!L55,'28.07 RUBAGA-KABUSU'!L55)</f>
        <v>0.42857142857142855</v>
      </c>
      <c r="M55" s="49">
        <f>AVERAGE('22.07 RUBAGA-KABUSU'!M55,'23.07 RUBAGA-KABUSU'!M55,'24.07 RUBAGA-KABUSU'!M55,'25.07 RUBAGA-KABUSU'!M55,'26.07 RUBAGA-KABUSU-24h'!M55,'27.07 RUBAGA-KABUSU-24h'!M55,'28.07 RUBAGA-KABUSU'!M55)</f>
        <v>86.428571428571431</v>
      </c>
      <c r="N55" s="49">
        <f>AVERAGE('22.07 RUBAGA-KABUSU'!N55,'23.07 RUBAGA-KABUSU'!N55,'24.07 RUBAGA-KABUSU'!N55,'25.07 RUBAGA-KABUSU'!N55,'26.07 RUBAGA-KABUSU-24h'!N55,'27.07 RUBAGA-KABUSU-24h'!N55,'28.07 RUBAGA-KABUSU'!N55)</f>
        <v>0</v>
      </c>
      <c r="O55" s="15">
        <f t="shared" si="0"/>
        <v>93.857142857142861</v>
      </c>
      <c r="P55" s="15">
        <f t="shared" si="1"/>
        <v>180.28571428571428</v>
      </c>
      <c r="R55" s="8"/>
      <c r="T55"/>
    </row>
    <row r="56" spans="2:20" ht="23.1" customHeight="1" x14ac:dyDescent="0.25">
      <c r="B56" s="23" t="s">
        <v>83</v>
      </c>
      <c r="C56" s="49">
        <f>AVERAGE('22.07 RUBAGA-KABUSU'!C56,'23.07 RUBAGA-KABUSU'!C56,'24.07 RUBAGA-KABUSU'!C56,'25.07 RUBAGA-KABUSU'!C56,'26.07 RUBAGA-KABUSU-24h'!C56,'27.07 RUBAGA-KABUSU-24h'!C56,'28.07 RUBAGA-KABUSU'!C56)</f>
        <v>57.571428571428569</v>
      </c>
      <c r="D56" s="49">
        <f>AVERAGE('22.07 RUBAGA-KABUSU'!D56,'23.07 RUBAGA-KABUSU'!D56,'24.07 RUBAGA-KABUSU'!D56,'25.07 RUBAGA-KABUSU'!D56,'26.07 RUBAGA-KABUSU-24h'!D56,'27.07 RUBAGA-KABUSU-24h'!D56,'28.07 RUBAGA-KABUSU'!D56)</f>
        <v>14.142857142857142</v>
      </c>
      <c r="E56" s="49">
        <f>AVERAGE('22.07 RUBAGA-KABUSU'!E56,'23.07 RUBAGA-KABUSU'!E56,'24.07 RUBAGA-KABUSU'!E56,'25.07 RUBAGA-KABUSU'!E56,'26.07 RUBAGA-KABUSU-24h'!E56,'27.07 RUBAGA-KABUSU-24h'!E56,'28.07 RUBAGA-KABUSU'!E56)</f>
        <v>3.4285714285714284</v>
      </c>
      <c r="F56" s="49">
        <f>AVERAGE('22.07 RUBAGA-KABUSU'!F56,'23.07 RUBAGA-KABUSU'!F56,'24.07 RUBAGA-KABUSU'!F56,'25.07 RUBAGA-KABUSU'!F56,'26.07 RUBAGA-KABUSU-24h'!F56,'27.07 RUBAGA-KABUSU-24h'!F56,'28.07 RUBAGA-KABUSU'!F56)</f>
        <v>5.5714285714285712</v>
      </c>
      <c r="G56" s="49">
        <f>AVERAGE('22.07 RUBAGA-KABUSU'!G56,'23.07 RUBAGA-KABUSU'!G56,'24.07 RUBAGA-KABUSU'!G56,'25.07 RUBAGA-KABUSU'!G56,'26.07 RUBAGA-KABUSU-24h'!G56,'27.07 RUBAGA-KABUSU-24h'!G56,'28.07 RUBAGA-KABUSU'!G56)</f>
        <v>2</v>
      </c>
      <c r="H56" s="49">
        <f>AVERAGE('22.07 RUBAGA-KABUSU'!H56,'23.07 RUBAGA-KABUSU'!H56,'24.07 RUBAGA-KABUSU'!H56,'25.07 RUBAGA-KABUSU'!H56,'26.07 RUBAGA-KABUSU-24h'!H56,'27.07 RUBAGA-KABUSU-24h'!H56,'28.07 RUBAGA-KABUSU'!H56)</f>
        <v>0</v>
      </c>
      <c r="I56" s="49">
        <f>AVERAGE('22.07 RUBAGA-KABUSU'!I56,'23.07 RUBAGA-KABUSU'!I56,'24.07 RUBAGA-KABUSU'!I56,'25.07 RUBAGA-KABUSU'!I56,'26.07 RUBAGA-KABUSU-24h'!I56,'27.07 RUBAGA-KABUSU-24h'!I56,'28.07 RUBAGA-KABUSU'!I56)</f>
        <v>2.5714285714285716</v>
      </c>
      <c r="J56" s="49">
        <f>AVERAGE('22.07 RUBAGA-KABUSU'!J56,'23.07 RUBAGA-KABUSU'!J56,'24.07 RUBAGA-KABUSU'!J56,'25.07 RUBAGA-KABUSU'!J56,'26.07 RUBAGA-KABUSU-24h'!J56,'27.07 RUBAGA-KABUSU-24h'!J56,'28.07 RUBAGA-KABUSU'!J56)</f>
        <v>2.1428571428571428</v>
      </c>
      <c r="K56" s="49">
        <f>AVERAGE('22.07 RUBAGA-KABUSU'!K56,'23.07 RUBAGA-KABUSU'!K56,'24.07 RUBAGA-KABUSU'!K56,'25.07 RUBAGA-KABUSU'!K56,'26.07 RUBAGA-KABUSU-24h'!K56,'27.07 RUBAGA-KABUSU-24h'!K56,'28.07 RUBAGA-KABUSU'!K56)</f>
        <v>0.42857142857142855</v>
      </c>
      <c r="L56" s="49">
        <f>AVERAGE('22.07 RUBAGA-KABUSU'!L56,'23.07 RUBAGA-KABUSU'!L56,'24.07 RUBAGA-KABUSU'!L56,'25.07 RUBAGA-KABUSU'!L56,'26.07 RUBAGA-KABUSU-24h'!L56,'27.07 RUBAGA-KABUSU-24h'!L56,'28.07 RUBAGA-KABUSU'!L56)</f>
        <v>0</v>
      </c>
      <c r="M56" s="49">
        <f>AVERAGE('22.07 RUBAGA-KABUSU'!M56,'23.07 RUBAGA-KABUSU'!M56,'24.07 RUBAGA-KABUSU'!M56,'25.07 RUBAGA-KABUSU'!M56,'26.07 RUBAGA-KABUSU-24h'!M56,'27.07 RUBAGA-KABUSU-24h'!M56,'28.07 RUBAGA-KABUSU'!M56)</f>
        <v>92.714285714285708</v>
      </c>
      <c r="N56" s="49">
        <f>AVERAGE('22.07 RUBAGA-KABUSU'!N56,'23.07 RUBAGA-KABUSU'!N56,'24.07 RUBAGA-KABUSU'!N56,'25.07 RUBAGA-KABUSU'!N56,'26.07 RUBAGA-KABUSU-24h'!N56,'27.07 RUBAGA-KABUSU-24h'!N56,'28.07 RUBAGA-KABUSU'!N56)</f>
        <v>0</v>
      </c>
      <c r="O56" s="15">
        <f t="shared" si="0"/>
        <v>87.857142857142847</v>
      </c>
      <c r="P56" s="15">
        <f t="shared" si="1"/>
        <v>180.57142857142856</v>
      </c>
      <c r="R56" s="8"/>
      <c r="T56"/>
    </row>
    <row r="57" spans="2:20" ht="23.1" customHeight="1" x14ac:dyDescent="0.25">
      <c r="B57" s="23" t="s">
        <v>84</v>
      </c>
      <c r="C57" s="49">
        <f>AVERAGE('22.07 RUBAGA-KABUSU'!C57,'23.07 RUBAGA-KABUSU'!C57,'24.07 RUBAGA-KABUSU'!C57,'25.07 RUBAGA-KABUSU'!C57,'26.07 RUBAGA-KABUSU-24h'!C57,'27.07 RUBAGA-KABUSU-24h'!C57,'28.07 RUBAGA-KABUSU'!C57)</f>
        <v>59.428571428571431</v>
      </c>
      <c r="D57" s="49">
        <f>AVERAGE('22.07 RUBAGA-KABUSU'!D57,'23.07 RUBAGA-KABUSU'!D57,'24.07 RUBAGA-KABUSU'!D57,'25.07 RUBAGA-KABUSU'!D57,'26.07 RUBAGA-KABUSU-24h'!D57,'27.07 RUBAGA-KABUSU-24h'!D57,'28.07 RUBAGA-KABUSU'!D57)</f>
        <v>8.8571428571428577</v>
      </c>
      <c r="E57" s="49">
        <f>AVERAGE('22.07 RUBAGA-KABUSU'!E57,'23.07 RUBAGA-KABUSU'!E57,'24.07 RUBAGA-KABUSU'!E57,'25.07 RUBAGA-KABUSU'!E57,'26.07 RUBAGA-KABUSU-24h'!E57,'27.07 RUBAGA-KABUSU-24h'!E57,'28.07 RUBAGA-KABUSU'!E57)</f>
        <v>4.7142857142857144</v>
      </c>
      <c r="F57" s="49">
        <f>AVERAGE('22.07 RUBAGA-KABUSU'!F57,'23.07 RUBAGA-KABUSU'!F57,'24.07 RUBAGA-KABUSU'!F57,'25.07 RUBAGA-KABUSU'!F57,'26.07 RUBAGA-KABUSU-24h'!F57,'27.07 RUBAGA-KABUSU-24h'!F57,'28.07 RUBAGA-KABUSU'!F57)</f>
        <v>7.1428571428571432</v>
      </c>
      <c r="G57" s="49">
        <f>AVERAGE('22.07 RUBAGA-KABUSU'!G57,'23.07 RUBAGA-KABUSU'!G57,'24.07 RUBAGA-KABUSU'!G57,'25.07 RUBAGA-KABUSU'!G57,'26.07 RUBAGA-KABUSU-24h'!G57,'27.07 RUBAGA-KABUSU-24h'!G57,'28.07 RUBAGA-KABUSU'!G57)</f>
        <v>0.14285714285714285</v>
      </c>
      <c r="H57" s="49">
        <f>AVERAGE('22.07 RUBAGA-KABUSU'!H57,'23.07 RUBAGA-KABUSU'!H57,'24.07 RUBAGA-KABUSU'!H57,'25.07 RUBAGA-KABUSU'!H57,'26.07 RUBAGA-KABUSU-24h'!H57,'27.07 RUBAGA-KABUSU-24h'!H57,'28.07 RUBAGA-KABUSU'!H57)</f>
        <v>0</v>
      </c>
      <c r="I57" s="49">
        <f>AVERAGE('22.07 RUBAGA-KABUSU'!I57,'23.07 RUBAGA-KABUSU'!I57,'24.07 RUBAGA-KABUSU'!I57,'25.07 RUBAGA-KABUSU'!I57,'26.07 RUBAGA-KABUSU-24h'!I57,'27.07 RUBAGA-KABUSU-24h'!I57,'28.07 RUBAGA-KABUSU'!I57)</f>
        <v>4</v>
      </c>
      <c r="J57" s="49">
        <f>AVERAGE('22.07 RUBAGA-KABUSU'!J57,'23.07 RUBAGA-KABUSU'!J57,'24.07 RUBAGA-KABUSU'!J57,'25.07 RUBAGA-KABUSU'!J57,'26.07 RUBAGA-KABUSU-24h'!J57,'27.07 RUBAGA-KABUSU-24h'!J57,'28.07 RUBAGA-KABUSU'!J57)</f>
        <v>1.2857142857142858</v>
      </c>
      <c r="K57" s="49">
        <f>AVERAGE('22.07 RUBAGA-KABUSU'!K57,'23.07 RUBAGA-KABUSU'!K57,'24.07 RUBAGA-KABUSU'!K57,'25.07 RUBAGA-KABUSU'!K57,'26.07 RUBAGA-KABUSU-24h'!K57,'27.07 RUBAGA-KABUSU-24h'!K57,'28.07 RUBAGA-KABUSU'!K57)</f>
        <v>1.2857142857142858</v>
      </c>
      <c r="L57" s="49">
        <f>AVERAGE('22.07 RUBAGA-KABUSU'!L57,'23.07 RUBAGA-KABUSU'!L57,'24.07 RUBAGA-KABUSU'!L57,'25.07 RUBAGA-KABUSU'!L57,'26.07 RUBAGA-KABUSU-24h'!L57,'27.07 RUBAGA-KABUSU-24h'!L57,'28.07 RUBAGA-KABUSU'!L57)</f>
        <v>0.5714285714285714</v>
      </c>
      <c r="M57" s="49">
        <f>AVERAGE('22.07 RUBAGA-KABUSU'!M57,'23.07 RUBAGA-KABUSU'!M57,'24.07 RUBAGA-KABUSU'!M57,'25.07 RUBAGA-KABUSU'!M57,'26.07 RUBAGA-KABUSU-24h'!M57,'27.07 RUBAGA-KABUSU-24h'!M57,'28.07 RUBAGA-KABUSU'!M57)</f>
        <v>103.42857142857143</v>
      </c>
      <c r="N57" s="49">
        <f>AVERAGE('22.07 RUBAGA-KABUSU'!N57,'23.07 RUBAGA-KABUSU'!N57,'24.07 RUBAGA-KABUSU'!N57,'25.07 RUBAGA-KABUSU'!N57,'26.07 RUBAGA-KABUSU-24h'!N57,'27.07 RUBAGA-KABUSU-24h'!N57,'28.07 RUBAGA-KABUSU'!N57)</f>
        <v>0.42857142857142855</v>
      </c>
      <c r="O57" s="15">
        <f t="shared" si="0"/>
        <v>87.857142857142861</v>
      </c>
      <c r="P57" s="15">
        <f t="shared" si="1"/>
        <v>191.28571428571428</v>
      </c>
      <c r="R57" s="8"/>
      <c r="T57"/>
    </row>
    <row r="58" spans="2:20" ht="23.1" customHeight="1" x14ac:dyDescent="0.25">
      <c r="B58" s="23" t="s">
        <v>99</v>
      </c>
      <c r="C58" s="49">
        <f>AVERAGE('26.07 RUBAGA-KABUSU-24h'!C58,'27.07 RUBAGA-KABUSU-24h'!C58)</f>
        <v>17</v>
      </c>
      <c r="D58" s="49">
        <f>AVERAGE('26.07 RUBAGA-KABUSU-24h'!D58,'27.07 RUBAGA-KABUSU-24h'!D58)</f>
        <v>5</v>
      </c>
      <c r="E58" s="49">
        <f>AVERAGE('26.07 RUBAGA-KABUSU-24h'!E58,'27.07 RUBAGA-KABUSU-24h'!E58)</f>
        <v>2.5</v>
      </c>
      <c r="F58" s="49">
        <f>AVERAGE('26.07 RUBAGA-KABUSU-24h'!F58,'27.07 RUBAGA-KABUSU-24h'!F58)</f>
        <v>5.5</v>
      </c>
      <c r="G58" s="49">
        <f>AVERAGE('26.07 RUBAGA-KABUSU-24h'!G58,'27.07 RUBAGA-KABUSU-24h'!G58)</f>
        <v>0</v>
      </c>
      <c r="H58" s="49">
        <f>AVERAGE('26.07 RUBAGA-KABUSU-24h'!H58,'27.07 RUBAGA-KABUSU-24h'!H58)</f>
        <v>0</v>
      </c>
      <c r="I58" s="49">
        <f>AVERAGE('26.07 RUBAGA-KABUSU-24h'!I58,'27.07 RUBAGA-KABUSU-24h'!I58)</f>
        <v>1.5</v>
      </c>
      <c r="J58" s="49">
        <f>AVERAGE('26.07 RUBAGA-KABUSU-24h'!J58,'27.07 RUBAGA-KABUSU-24h'!J58)</f>
        <v>0.5</v>
      </c>
      <c r="K58" s="49">
        <f>AVERAGE('26.07 RUBAGA-KABUSU-24h'!K58,'27.07 RUBAGA-KABUSU-24h'!K58)</f>
        <v>1</v>
      </c>
      <c r="L58" s="49">
        <f>AVERAGE('26.07 RUBAGA-KABUSU-24h'!L58,'27.07 RUBAGA-KABUSU-24h'!L58)</f>
        <v>0</v>
      </c>
      <c r="M58" s="49">
        <f>AVERAGE('26.07 RUBAGA-KABUSU-24h'!M58,'27.07 RUBAGA-KABUSU-24h'!M58)</f>
        <v>23.5</v>
      </c>
      <c r="N58" s="49">
        <f>AVERAGE('26.07 RUBAGA-KABUSU-24h'!N58,'27.07 RUBAGA-KABUSU-24h'!N58)</f>
        <v>0</v>
      </c>
      <c r="O58" s="49">
        <f>AVERAGE('26.07 RUBAGA-KABUSU-24h'!O58,'27.07 RUBAGA-KABUSU-24h'!O58)</f>
        <v>33</v>
      </c>
      <c r="P58" s="49">
        <f>AVERAGE('26.07 RUBAGA-KABUSU-24h'!P58,'27.07 RUBAGA-KABUSU-24h'!P58)</f>
        <v>56.5</v>
      </c>
      <c r="R58" s="8"/>
      <c r="T58"/>
    </row>
    <row r="59" spans="2:20" ht="23.1" customHeight="1" x14ac:dyDescent="0.25">
      <c r="B59" s="23" t="s">
        <v>100</v>
      </c>
      <c r="C59" s="49">
        <f>AVERAGE('26.07 RUBAGA-KABUSU-24h'!C59,'27.07 RUBAGA-KABUSU-24h'!C59)</f>
        <v>22</v>
      </c>
      <c r="D59" s="49">
        <f>AVERAGE('26.07 RUBAGA-KABUSU-24h'!D59,'27.07 RUBAGA-KABUSU-24h'!D59)</f>
        <v>1</v>
      </c>
      <c r="E59" s="49">
        <f>AVERAGE('26.07 RUBAGA-KABUSU-24h'!E59,'27.07 RUBAGA-KABUSU-24h'!E59)</f>
        <v>2.5</v>
      </c>
      <c r="F59" s="49">
        <f>AVERAGE('26.07 RUBAGA-KABUSU-24h'!F59,'27.07 RUBAGA-KABUSU-24h'!F59)</f>
        <v>2.5</v>
      </c>
      <c r="G59" s="49">
        <f>AVERAGE('26.07 RUBAGA-KABUSU-24h'!G59,'27.07 RUBAGA-KABUSU-24h'!G59)</f>
        <v>0.5</v>
      </c>
      <c r="H59" s="49">
        <f>AVERAGE('26.07 RUBAGA-KABUSU-24h'!H59,'27.07 RUBAGA-KABUSU-24h'!H59)</f>
        <v>0</v>
      </c>
      <c r="I59" s="49">
        <f>AVERAGE('26.07 RUBAGA-KABUSU-24h'!I59,'27.07 RUBAGA-KABUSU-24h'!I59)</f>
        <v>1.5</v>
      </c>
      <c r="J59" s="49">
        <f>AVERAGE('26.07 RUBAGA-KABUSU-24h'!J59,'27.07 RUBAGA-KABUSU-24h'!J59)</f>
        <v>0</v>
      </c>
      <c r="K59" s="49">
        <f>AVERAGE('26.07 RUBAGA-KABUSU-24h'!K59,'27.07 RUBAGA-KABUSU-24h'!K59)</f>
        <v>1.5</v>
      </c>
      <c r="L59" s="49">
        <f>AVERAGE('26.07 RUBAGA-KABUSU-24h'!L59,'27.07 RUBAGA-KABUSU-24h'!L59)</f>
        <v>0</v>
      </c>
      <c r="M59" s="49">
        <f>AVERAGE('26.07 RUBAGA-KABUSU-24h'!M59,'27.07 RUBAGA-KABUSU-24h'!M59)</f>
        <v>48.5</v>
      </c>
      <c r="N59" s="49">
        <f>AVERAGE('26.07 RUBAGA-KABUSU-24h'!N59,'27.07 RUBAGA-KABUSU-24h'!N59)</f>
        <v>0</v>
      </c>
      <c r="O59" s="49">
        <f>AVERAGE('26.07 RUBAGA-KABUSU-24h'!O59,'27.07 RUBAGA-KABUSU-24h'!O59)</f>
        <v>31.5</v>
      </c>
      <c r="P59" s="49">
        <f>AVERAGE('26.07 RUBAGA-KABUSU-24h'!P59,'27.07 RUBAGA-KABUSU-24h'!P59)</f>
        <v>80</v>
      </c>
      <c r="R59" s="8"/>
      <c r="T59"/>
    </row>
    <row r="60" spans="2:20" ht="23.1" customHeight="1" x14ac:dyDescent="0.25">
      <c r="B60" s="23" t="s">
        <v>101</v>
      </c>
      <c r="C60" s="49">
        <f>AVERAGE('26.07 RUBAGA-KABUSU-24h'!C60,'27.07 RUBAGA-KABUSU-24h'!C60)</f>
        <v>11.5</v>
      </c>
      <c r="D60" s="49">
        <f>AVERAGE('26.07 RUBAGA-KABUSU-24h'!D60,'27.07 RUBAGA-KABUSU-24h'!D60)</f>
        <v>7.5</v>
      </c>
      <c r="E60" s="49">
        <f>AVERAGE('26.07 RUBAGA-KABUSU-24h'!E60,'27.07 RUBAGA-KABUSU-24h'!E60)</f>
        <v>0</v>
      </c>
      <c r="F60" s="49">
        <f>AVERAGE('26.07 RUBAGA-KABUSU-24h'!F60,'27.07 RUBAGA-KABUSU-24h'!F60)</f>
        <v>2.5</v>
      </c>
      <c r="G60" s="49">
        <f>AVERAGE('26.07 RUBAGA-KABUSU-24h'!G60,'27.07 RUBAGA-KABUSU-24h'!G60)</f>
        <v>1</v>
      </c>
      <c r="H60" s="49">
        <f>AVERAGE('26.07 RUBAGA-KABUSU-24h'!H60,'27.07 RUBAGA-KABUSU-24h'!H60)</f>
        <v>0</v>
      </c>
      <c r="I60" s="49">
        <f>AVERAGE('26.07 RUBAGA-KABUSU-24h'!I60,'27.07 RUBAGA-KABUSU-24h'!I60)</f>
        <v>2</v>
      </c>
      <c r="J60" s="49">
        <f>AVERAGE('26.07 RUBAGA-KABUSU-24h'!J60,'27.07 RUBAGA-KABUSU-24h'!J60)</f>
        <v>0</v>
      </c>
      <c r="K60" s="49">
        <f>AVERAGE('26.07 RUBAGA-KABUSU-24h'!K60,'27.07 RUBAGA-KABUSU-24h'!K60)</f>
        <v>0</v>
      </c>
      <c r="L60" s="49">
        <f>AVERAGE('26.07 RUBAGA-KABUSU-24h'!L60,'27.07 RUBAGA-KABUSU-24h'!L60)</f>
        <v>0</v>
      </c>
      <c r="M60" s="49">
        <f>AVERAGE('26.07 RUBAGA-KABUSU-24h'!M60,'27.07 RUBAGA-KABUSU-24h'!M60)</f>
        <v>45</v>
      </c>
      <c r="N60" s="49">
        <f>AVERAGE('26.07 RUBAGA-KABUSU-24h'!N60,'27.07 RUBAGA-KABUSU-24h'!N60)</f>
        <v>0</v>
      </c>
      <c r="O60" s="49">
        <f>AVERAGE('26.07 RUBAGA-KABUSU-24h'!O60,'27.07 RUBAGA-KABUSU-24h'!O60)</f>
        <v>24.5</v>
      </c>
      <c r="P60" s="49">
        <f>AVERAGE('26.07 RUBAGA-KABUSU-24h'!P60,'27.07 RUBAGA-KABUSU-24h'!P60)</f>
        <v>69.5</v>
      </c>
      <c r="R60" s="8"/>
      <c r="T60"/>
    </row>
    <row r="61" spans="2:20" ht="23.1" customHeight="1" x14ac:dyDescent="0.25">
      <c r="B61" s="23" t="s">
        <v>102</v>
      </c>
      <c r="C61" s="49">
        <f>AVERAGE('26.07 RUBAGA-KABUSU-24h'!C61,'27.07 RUBAGA-KABUSU-24h'!C61)</f>
        <v>21.5</v>
      </c>
      <c r="D61" s="49">
        <f>AVERAGE('26.07 RUBAGA-KABUSU-24h'!D61,'27.07 RUBAGA-KABUSU-24h'!D61)</f>
        <v>4.5</v>
      </c>
      <c r="E61" s="49">
        <f>AVERAGE('26.07 RUBAGA-KABUSU-24h'!E61,'27.07 RUBAGA-KABUSU-24h'!E61)</f>
        <v>1</v>
      </c>
      <c r="F61" s="49">
        <f>AVERAGE('26.07 RUBAGA-KABUSU-24h'!F61,'27.07 RUBAGA-KABUSU-24h'!F61)</f>
        <v>5</v>
      </c>
      <c r="G61" s="49">
        <f>AVERAGE('26.07 RUBAGA-KABUSU-24h'!G61,'27.07 RUBAGA-KABUSU-24h'!G61)</f>
        <v>0</v>
      </c>
      <c r="H61" s="49">
        <f>AVERAGE('26.07 RUBAGA-KABUSU-24h'!H61,'27.07 RUBAGA-KABUSU-24h'!H61)</f>
        <v>0</v>
      </c>
      <c r="I61" s="49">
        <f>AVERAGE('26.07 RUBAGA-KABUSU-24h'!I61,'27.07 RUBAGA-KABUSU-24h'!I61)</f>
        <v>1</v>
      </c>
      <c r="J61" s="49">
        <f>AVERAGE('26.07 RUBAGA-KABUSU-24h'!J61,'27.07 RUBAGA-KABUSU-24h'!J61)</f>
        <v>1</v>
      </c>
      <c r="K61" s="49">
        <f>AVERAGE('26.07 RUBAGA-KABUSU-24h'!K61,'27.07 RUBAGA-KABUSU-24h'!K61)</f>
        <v>0</v>
      </c>
      <c r="L61" s="49">
        <f>AVERAGE('26.07 RUBAGA-KABUSU-24h'!L61,'27.07 RUBAGA-KABUSU-24h'!L61)</f>
        <v>0</v>
      </c>
      <c r="M61" s="49">
        <f>AVERAGE('26.07 RUBAGA-KABUSU-24h'!M61,'27.07 RUBAGA-KABUSU-24h'!M61)</f>
        <v>52.5</v>
      </c>
      <c r="N61" s="49">
        <f>AVERAGE('26.07 RUBAGA-KABUSU-24h'!N61,'27.07 RUBAGA-KABUSU-24h'!N61)</f>
        <v>0</v>
      </c>
      <c r="O61" s="49">
        <f>AVERAGE('26.07 RUBAGA-KABUSU-24h'!O61,'27.07 RUBAGA-KABUSU-24h'!O61)</f>
        <v>34</v>
      </c>
      <c r="P61" s="49">
        <f>AVERAGE('26.07 RUBAGA-KABUSU-24h'!P61,'27.07 RUBAGA-KABUSU-24h'!P61)</f>
        <v>86.5</v>
      </c>
      <c r="R61" s="8"/>
      <c r="T61"/>
    </row>
    <row r="62" spans="2:20" ht="23.1" customHeight="1" x14ac:dyDescent="0.25">
      <c r="B62" s="23" t="s">
        <v>107</v>
      </c>
      <c r="C62" s="49">
        <f>AVERAGE('26.07 RUBAGA-KABUSU-24h'!C62,'27.07 RUBAGA-KABUSU-24h'!C62)</f>
        <v>15.5</v>
      </c>
      <c r="D62" s="49">
        <f>AVERAGE('26.07 RUBAGA-KABUSU-24h'!D62,'27.07 RUBAGA-KABUSU-24h'!D62)</f>
        <v>3.5</v>
      </c>
      <c r="E62" s="49">
        <f>AVERAGE('26.07 RUBAGA-KABUSU-24h'!E62,'27.07 RUBAGA-KABUSU-24h'!E62)</f>
        <v>0.5</v>
      </c>
      <c r="F62" s="49">
        <f>AVERAGE('26.07 RUBAGA-KABUSU-24h'!F62,'27.07 RUBAGA-KABUSU-24h'!F62)</f>
        <v>6.5</v>
      </c>
      <c r="G62" s="49">
        <f>AVERAGE('26.07 RUBAGA-KABUSU-24h'!G62,'27.07 RUBAGA-KABUSU-24h'!G62)</f>
        <v>0</v>
      </c>
      <c r="H62" s="49">
        <f>AVERAGE('26.07 RUBAGA-KABUSU-24h'!H62,'27.07 RUBAGA-KABUSU-24h'!H62)</f>
        <v>0</v>
      </c>
      <c r="I62" s="49">
        <f>AVERAGE('26.07 RUBAGA-KABUSU-24h'!I62,'27.07 RUBAGA-KABUSU-24h'!I62)</f>
        <v>1.5</v>
      </c>
      <c r="J62" s="49">
        <f>AVERAGE('26.07 RUBAGA-KABUSU-24h'!J62,'27.07 RUBAGA-KABUSU-24h'!J62)</f>
        <v>1</v>
      </c>
      <c r="K62" s="49">
        <f>AVERAGE('26.07 RUBAGA-KABUSU-24h'!K62,'27.07 RUBAGA-KABUSU-24h'!K62)</f>
        <v>0</v>
      </c>
      <c r="L62" s="49">
        <f>AVERAGE('26.07 RUBAGA-KABUSU-24h'!L62,'27.07 RUBAGA-KABUSU-24h'!L62)</f>
        <v>0</v>
      </c>
      <c r="M62" s="49">
        <f>AVERAGE('26.07 RUBAGA-KABUSU-24h'!M62,'27.07 RUBAGA-KABUSU-24h'!M62)</f>
        <v>55</v>
      </c>
      <c r="N62" s="49">
        <f>AVERAGE('26.07 RUBAGA-KABUSU-24h'!N62,'27.07 RUBAGA-KABUSU-24h'!N62)</f>
        <v>0</v>
      </c>
      <c r="O62" s="49">
        <f>AVERAGE('26.07 RUBAGA-KABUSU-24h'!O62,'27.07 RUBAGA-KABUSU-24h'!O62)</f>
        <v>28.5</v>
      </c>
      <c r="P62" s="49">
        <f>AVERAGE('26.07 RUBAGA-KABUSU-24h'!P62,'27.07 RUBAGA-KABUSU-24h'!P62)</f>
        <v>83.5</v>
      </c>
      <c r="R62" s="8"/>
      <c r="T62"/>
    </row>
    <row r="63" spans="2:20" ht="23.1" customHeight="1" x14ac:dyDescent="0.25">
      <c r="B63" s="23" t="s">
        <v>108</v>
      </c>
      <c r="C63" s="49">
        <f>AVERAGE('26.07 RUBAGA-KABUSU-24h'!C63,'27.07 RUBAGA-KABUSU-24h'!C63)</f>
        <v>18</v>
      </c>
      <c r="D63" s="49">
        <f>AVERAGE('26.07 RUBAGA-KABUSU-24h'!D63,'27.07 RUBAGA-KABUSU-24h'!D63)</f>
        <v>4</v>
      </c>
      <c r="E63" s="49">
        <f>AVERAGE('26.07 RUBAGA-KABUSU-24h'!E63,'27.07 RUBAGA-KABUSU-24h'!E63)</f>
        <v>1.5</v>
      </c>
      <c r="F63" s="49">
        <f>AVERAGE('26.07 RUBAGA-KABUSU-24h'!F63,'27.07 RUBAGA-KABUSU-24h'!F63)</f>
        <v>3</v>
      </c>
      <c r="G63" s="49">
        <f>AVERAGE('26.07 RUBAGA-KABUSU-24h'!G63,'27.07 RUBAGA-KABUSU-24h'!G63)</f>
        <v>0</v>
      </c>
      <c r="H63" s="49">
        <f>AVERAGE('26.07 RUBAGA-KABUSU-24h'!H63,'27.07 RUBAGA-KABUSU-24h'!H63)</f>
        <v>0</v>
      </c>
      <c r="I63" s="49">
        <f>AVERAGE('26.07 RUBAGA-KABUSU-24h'!I63,'27.07 RUBAGA-KABUSU-24h'!I63)</f>
        <v>1</v>
      </c>
      <c r="J63" s="49">
        <f>AVERAGE('26.07 RUBAGA-KABUSU-24h'!J63,'27.07 RUBAGA-KABUSU-24h'!J63)</f>
        <v>1</v>
      </c>
      <c r="K63" s="49">
        <f>AVERAGE('26.07 RUBAGA-KABUSU-24h'!K63,'27.07 RUBAGA-KABUSU-24h'!K63)</f>
        <v>0.5</v>
      </c>
      <c r="L63" s="49">
        <f>AVERAGE('26.07 RUBAGA-KABUSU-24h'!L63,'27.07 RUBAGA-KABUSU-24h'!L63)</f>
        <v>0</v>
      </c>
      <c r="M63" s="49">
        <f>AVERAGE('26.07 RUBAGA-KABUSU-24h'!M63,'27.07 RUBAGA-KABUSU-24h'!M63)</f>
        <v>50.5</v>
      </c>
      <c r="N63" s="49">
        <f>AVERAGE('26.07 RUBAGA-KABUSU-24h'!N63,'27.07 RUBAGA-KABUSU-24h'!N63)</f>
        <v>0</v>
      </c>
      <c r="O63" s="49">
        <f>AVERAGE('26.07 RUBAGA-KABUSU-24h'!O63,'27.07 RUBAGA-KABUSU-24h'!O63)</f>
        <v>29</v>
      </c>
      <c r="P63" s="49">
        <f>AVERAGE('26.07 RUBAGA-KABUSU-24h'!P63,'27.07 RUBAGA-KABUSU-24h'!P63)</f>
        <v>79.5</v>
      </c>
      <c r="R63" s="8"/>
      <c r="T63"/>
    </row>
    <row r="64" spans="2:20" ht="23.1" customHeight="1" x14ac:dyDescent="0.25">
      <c r="B64" s="23" t="s">
        <v>109</v>
      </c>
      <c r="C64" s="49">
        <f>AVERAGE('26.07 RUBAGA-KABUSU-24h'!C64,'27.07 RUBAGA-KABUSU-24h'!C64)</f>
        <v>40</v>
      </c>
      <c r="D64" s="49">
        <f>AVERAGE('26.07 RUBAGA-KABUSU-24h'!D64,'27.07 RUBAGA-KABUSU-24h'!D64)</f>
        <v>6.5</v>
      </c>
      <c r="E64" s="49">
        <f>AVERAGE('26.07 RUBAGA-KABUSU-24h'!E64,'27.07 RUBAGA-KABUSU-24h'!E64)</f>
        <v>0</v>
      </c>
      <c r="F64" s="49">
        <f>AVERAGE('26.07 RUBAGA-KABUSU-24h'!F64,'27.07 RUBAGA-KABUSU-24h'!F64)</f>
        <v>6</v>
      </c>
      <c r="G64" s="49">
        <f>AVERAGE('26.07 RUBAGA-KABUSU-24h'!G64,'27.07 RUBAGA-KABUSU-24h'!G64)</f>
        <v>0.5</v>
      </c>
      <c r="H64" s="49">
        <f>AVERAGE('26.07 RUBAGA-KABUSU-24h'!H64,'27.07 RUBAGA-KABUSU-24h'!H64)</f>
        <v>0</v>
      </c>
      <c r="I64" s="49">
        <f>AVERAGE('26.07 RUBAGA-KABUSU-24h'!I64,'27.07 RUBAGA-KABUSU-24h'!I64)</f>
        <v>2</v>
      </c>
      <c r="J64" s="49">
        <f>AVERAGE('26.07 RUBAGA-KABUSU-24h'!J64,'27.07 RUBAGA-KABUSU-24h'!J64)</f>
        <v>1</v>
      </c>
      <c r="K64" s="49">
        <f>AVERAGE('26.07 RUBAGA-KABUSU-24h'!K64,'27.07 RUBAGA-KABUSU-24h'!K64)</f>
        <v>0</v>
      </c>
      <c r="L64" s="49">
        <f>AVERAGE('26.07 RUBAGA-KABUSU-24h'!L64,'27.07 RUBAGA-KABUSU-24h'!L64)</f>
        <v>0</v>
      </c>
      <c r="M64" s="49">
        <f>AVERAGE('26.07 RUBAGA-KABUSU-24h'!M64,'27.07 RUBAGA-KABUSU-24h'!M64)</f>
        <v>51</v>
      </c>
      <c r="N64" s="49">
        <f>AVERAGE('26.07 RUBAGA-KABUSU-24h'!N64,'27.07 RUBAGA-KABUSU-24h'!N64)</f>
        <v>0</v>
      </c>
      <c r="O64" s="49">
        <f>AVERAGE('26.07 RUBAGA-KABUSU-24h'!O64,'27.07 RUBAGA-KABUSU-24h'!O64)</f>
        <v>56</v>
      </c>
      <c r="P64" s="49">
        <f>AVERAGE('26.07 RUBAGA-KABUSU-24h'!P64,'27.07 RUBAGA-KABUSU-24h'!P64)</f>
        <v>107</v>
      </c>
      <c r="R64" s="8"/>
      <c r="T64"/>
    </row>
    <row r="65" spans="2:20" ht="23.1" customHeight="1" x14ac:dyDescent="0.25">
      <c r="B65" s="23" t="s">
        <v>158</v>
      </c>
      <c r="C65" s="49">
        <f>AVERAGE('26.07 RUBAGA-KABUSU-24h'!C65,'27.07 RUBAGA-KABUSU-24h'!C65)</f>
        <v>16</v>
      </c>
      <c r="D65" s="49">
        <f>AVERAGE('26.07 RUBAGA-KABUSU-24h'!D65,'27.07 RUBAGA-KABUSU-24h'!D65)</f>
        <v>5</v>
      </c>
      <c r="E65" s="49">
        <f>AVERAGE('26.07 RUBAGA-KABUSU-24h'!E65,'27.07 RUBAGA-KABUSU-24h'!E65)</f>
        <v>0.5</v>
      </c>
      <c r="F65" s="49">
        <f>AVERAGE('26.07 RUBAGA-KABUSU-24h'!F65,'27.07 RUBAGA-KABUSU-24h'!F65)</f>
        <v>9.5</v>
      </c>
      <c r="G65" s="49">
        <f>AVERAGE('26.07 RUBAGA-KABUSU-24h'!G65,'27.07 RUBAGA-KABUSU-24h'!G65)</f>
        <v>1</v>
      </c>
      <c r="H65" s="49">
        <f>AVERAGE('26.07 RUBAGA-KABUSU-24h'!H65,'27.07 RUBAGA-KABUSU-24h'!H65)</f>
        <v>0</v>
      </c>
      <c r="I65" s="49">
        <f>AVERAGE('26.07 RUBAGA-KABUSU-24h'!I65,'27.07 RUBAGA-KABUSU-24h'!I65)</f>
        <v>0</v>
      </c>
      <c r="J65" s="49">
        <f>AVERAGE('26.07 RUBAGA-KABUSU-24h'!J65,'27.07 RUBAGA-KABUSU-24h'!J65)</f>
        <v>0</v>
      </c>
      <c r="K65" s="49">
        <f>AVERAGE('26.07 RUBAGA-KABUSU-24h'!K65,'27.07 RUBAGA-KABUSU-24h'!K65)</f>
        <v>0.5</v>
      </c>
      <c r="L65" s="49">
        <f>AVERAGE('26.07 RUBAGA-KABUSU-24h'!L65,'27.07 RUBAGA-KABUSU-24h'!L65)</f>
        <v>0</v>
      </c>
      <c r="M65" s="49">
        <f>AVERAGE('26.07 RUBAGA-KABUSU-24h'!M65,'27.07 RUBAGA-KABUSU-24h'!M65)</f>
        <v>50</v>
      </c>
      <c r="N65" s="49">
        <f>AVERAGE('26.07 RUBAGA-KABUSU-24h'!N65,'27.07 RUBAGA-KABUSU-24h'!N65)</f>
        <v>0</v>
      </c>
      <c r="O65" s="49">
        <f>AVERAGE('26.07 RUBAGA-KABUSU-24h'!O65,'27.07 RUBAGA-KABUSU-24h'!O65)</f>
        <v>32.5</v>
      </c>
      <c r="P65" s="49">
        <f>AVERAGE('26.07 RUBAGA-KABUSU-24h'!P65,'27.07 RUBAGA-KABUSU-24h'!P65)</f>
        <v>82.5</v>
      </c>
      <c r="R65" s="8"/>
      <c r="T65"/>
    </row>
    <row r="66" spans="2:20" ht="23.1" customHeight="1" x14ac:dyDescent="0.25">
      <c r="B66" s="23" t="s">
        <v>103</v>
      </c>
      <c r="C66" s="49">
        <f>AVERAGE('26.07 RUBAGA-KABUSU-24h'!C66,'27.07 RUBAGA-KABUSU-24h'!C66)</f>
        <v>12</v>
      </c>
      <c r="D66" s="49">
        <f>AVERAGE('26.07 RUBAGA-KABUSU-24h'!D66,'27.07 RUBAGA-KABUSU-24h'!D66)</f>
        <v>2</v>
      </c>
      <c r="E66" s="49">
        <f>AVERAGE('26.07 RUBAGA-KABUSU-24h'!E66,'27.07 RUBAGA-KABUSU-24h'!E66)</f>
        <v>1</v>
      </c>
      <c r="F66" s="49">
        <f>AVERAGE('26.07 RUBAGA-KABUSU-24h'!F66,'27.07 RUBAGA-KABUSU-24h'!F66)</f>
        <v>4</v>
      </c>
      <c r="G66" s="49">
        <f>AVERAGE('26.07 RUBAGA-KABUSU-24h'!G66,'27.07 RUBAGA-KABUSU-24h'!G66)</f>
        <v>0.5</v>
      </c>
      <c r="H66" s="49">
        <f>AVERAGE('26.07 RUBAGA-KABUSU-24h'!H66,'27.07 RUBAGA-KABUSU-24h'!H66)</f>
        <v>0</v>
      </c>
      <c r="I66" s="49">
        <f>AVERAGE('26.07 RUBAGA-KABUSU-24h'!I66,'27.07 RUBAGA-KABUSU-24h'!I66)</f>
        <v>1</v>
      </c>
      <c r="J66" s="49">
        <f>AVERAGE('26.07 RUBAGA-KABUSU-24h'!J66,'27.07 RUBAGA-KABUSU-24h'!J66)</f>
        <v>1</v>
      </c>
      <c r="K66" s="49">
        <f>AVERAGE('26.07 RUBAGA-KABUSU-24h'!K66,'27.07 RUBAGA-KABUSU-24h'!K66)</f>
        <v>0.5</v>
      </c>
      <c r="L66" s="49">
        <f>AVERAGE('26.07 RUBAGA-KABUSU-24h'!L66,'27.07 RUBAGA-KABUSU-24h'!L66)</f>
        <v>0</v>
      </c>
      <c r="M66" s="49">
        <f>AVERAGE('26.07 RUBAGA-KABUSU-24h'!M66,'27.07 RUBAGA-KABUSU-24h'!M66)</f>
        <v>45</v>
      </c>
      <c r="N66" s="49">
        <f>AVERAGE('26.07 RUBAGA-KABUSU-24h'!N66,'27.07 RUBAGA-KABUSU-24h'!N66)</f>
        <v>0</v>
      </c>
      <c r="O66" s="49">
        <f>AVERAGE('26.07 RUBAGA-KABUSU-24h'!O66,'27.07 RUBAGA-KABUSU-24h'!O66)</f>
        <v>22</v>
      </c>
      <c r="P66" s="49">
        <f>AVERAGE('26.07 RUBAGA-KABUSU-24h'!P66,'27.07 RUBAGA-KABUSU-24h'!P66)</f>
        <v>67</v>
      </c>
      <c r="R66" s="8"/>
      <c r="T66"/>
    </row>
    <row r="67" spans="2:20" ht="23.1" customHeight="1" x14ac:dyDescent="0.25">
      <c r="B67" s="23" t="s">
        <v>104</v>
      </c>
      <c r="C67" s="49">
        <f>AVERAGE('26.07 RUBAGA-KABUSU-24h'!C67,'27.07 RUBAGA-KABUSU-24h'!C67)</f>
        <v>8.5</v>
      </c>
      <c r="D67" s="49">
        <f>AVERAGE('26.07 RUBAGA-KABUSU-24h'!D67,'27.07 RUBAGA-KABUSU-24h'!D67)</f>
        <v>0.5</v>
      </c>
      <c r="E67" s="49">
        <f>AVERAGE('26.07 RUBAGA-KABUSU-24h'!E67,'27.07 RUBAGA-KABUSU-24h'!E67)</f>
        <v>0.5</v>
      </c>
      <c r="F67" s="49">
        <f>AVERAGE('26.07 RUBAGA-KABUSU-24h'!F67,'27.07 RUBAGA-KABUSU-24h'!F67)</f>
        <v>2</v>
      </c>
      <c r="G67" s="49">
        <f>AVERAGE('26.07 RUBAGA-KABUSU-24h'!G67,'27.07 RUBAGA-KABUSU-24h'!G67)</f>
        <v>6</v>
      </c>
      <c r="H67" s="49">
        <f>AVERAGE('26.07 RUBAGA-KABUSU-24h'!H67,'27.07 RUBAGA-KABUSU-24h'!H67)</f>
        <v>0</v>
      </c>
      <c r="I67" s="49">
        <f>AVERAGE('26.07 RUBAGA-KABUSU-24h'!I67,'27.07 RUBAGA-KABUSU-24h'!I67)</f>
        <v>2</v>
      </c>
      <c r="J67" s="49">
        <f>AVERAGE('26.07 RUBAGA-KABUSU-24h'!J67,'27.07 RUBAGA-KABUSU-24h'!J67)</f>
        <v>1.5</v>
      </c>
      <c r="K67" s="49">
        <f>AVERAGE('26.07 RUBAGA-KABUSU-24h'!K67,'27.07 RUBAGA-KABUSU-24h'!K67)</f>
        <v>0</v>
      </c>
      <c r="L67" s="49">
        <f>AVERAGE('26.07 RUBAGA-KABUSU-24h'!L67,'27.07 RUBAGA-KABUSU-24h'!L67)</f>
        <v>0</v>
      </c>
      <c r="M67" s="49">
        <f>AVERAGE('26.07 RUBAGA-KABUSU-24h'!M67,'27.07 RUBAGA-KABUSU-24h'!M67)</f>
        <v>25</v>
      </c>
      <c r="N67" s="49">
        <f>AVERAGE('26.07 RUBAGA-KABUSU-24h'!N67,'27.07 RUBAGA-KABUSU-24h'!N67)</f>
        <v>0</v>
      </c>
      <c r="O67" s="49">
        <f>AVERAGE('26.07 RUBAGA-KABUSU-24h'!O67,'27.07 RUBAGA-KABUSU-24h'!O67)</f>
        <v>21</v>
      </c>
      <c r="P67" s="49">
        <f>AVERAGE('26.07 RUBAGA-KABUSU-24h'!P67,'27.07 RUBAGA-KABUSU-24h'!P67)</f>
        <v>46</v>
      </c>
      <c r="R67" s="8"/>
      <c r="T67"/>
    </row>
    <row r="68" spans="2:20" ht="23.1" customHeight="1" x14ac:dyDescent="0.25">
      <c r="B68" s="23" t="s">
        <v>105</v>
      </c>
      <c r="C68" s="49">
        <f>AVERAGE('26.07 RUBAGA-KABUSU-24h'!C68,'27.07 RUBAGA-KABUSU-24h'!C68)</f>
        <v>10</v>
      </c>
      <c r="D68" s="49">
        <f>AVERAGE('26.07 RUBAGA-KABUSU-24h'!D68,'27.07 RUBAGA-KABUSU-24h'!D68)</f>
        <v>0</v>
      </c>
      <c r="E68" s="49">
        <f>AVERAGE('26.07 RUBAGA-KABUSU-24h'!E68,'27.07 RUBAGA-KABUSU-24h'!E68)</f>
        <v>0.5</v>
      </c>
      <c r="F68" s="49">
        <f>AVERAGE('26.07 RUBAGA-KABUSU-24h'!F68,'27.07 RUBAGA-KABUSU-24h'!F68)</f>
        <v>2.5</v>
      </c>
      <c r="G68" s="49">
        <f>AVERAGE('26.07 RUBAGA-KABUSU-24h'!G68,'27.07 RUBAGA-KABUSU-24h'!G68)</f>
        <v>0</v>
      </c>
      <c r="H68" s="49">
        <f>AVERAGE('26.07 RUBAGA-KABUSU-24h'!H68,'27.07 RUBAGA-KABUSU-24h'!H68)</f>
        <v>0</v>
      </c>
      <c r="I68" s="49">
        <f>AVERAGE('26.07 RUBAGA-KABUSU-24h'!I68,'27.07 RUBAGA-KABUSU-24h'!I68)</f>
        <v>3</v>
      </c>
      <c r="J68" s="49">
        <f>AVERAGE('26.07 RUBAGA-KABUSU-24h'!J68,'27.07 RUBAGA-KABUSU-24h'!J68)</f>
        <v>1.5</v>
      </c>
      <c r="K68" s="49">
        <f>AVERAGE('26.07 RUBAGA-KABUSU-24h'!K68,'27.07 RUBAGA-KABUSU-24h'!K68)</f>
        <v>0</v>
      </c>
      <c r="L68" s="49">
        <f>AVERAGE('26.07 RUBAGA-KABUSU-24h'!L68,'27.07 RUBAGA-KABUSU-24h'!L68)</f>
        <v>0</v>
      </c>
      <c r="M68" s="49">
        <f>AVERAGE('26.07 RUBAGA-KABUSU-24h'!M68,'27.07 RUBAGA-KABUSU-24h'!M68)</f>
        <v>31</v>
      </c>
      <c r="N68" s="49">
        <f>AVERAGE('26.07 RUBAGA-KABUSU-24h'!N68,'27.07 RUBAGA-KABUSU-24h'!N68)</f>
        <v>0</v>
      </c>
      <c r="O68" s="49">
        <f>AVERAGE('26.07 RUBAGA-KABUSU-24h'!O68,'27.07 RUBAGA-KABUSU-24h'!O68)</f>
        <v>17.5</v>
      </c>
      <c r="P68" s="49">
        <f>AVERAGE('26.07 RUBAGA-KABUSU-24h'!P68,'27.07 RUBAGA-KABUSU-24h'!P68)</f>
        <v>48.5</v>
      </c>
      <c r="R68" s="8"/>
      <c r="T68"/>
    </row>
    <row r="69" spans="2:20" ht="23.1" customHeight="1" x14ac:dyDescent="0.25">
      <c r="B69" s="23" t="s">
        <v>106</v>
      </c>
      <c r="C69" s="49">
        <f>AVERAGE('26.07 RUBAGA-KABUSU-24h'!C69,'27.07 RUBAGA-KABUSU-24h'!C69)</f>
        <v>13.5</v>
      </c>
      <c r="D69" s="49">
        <f>AVERAGE('26.07 RUBAGA-KABUSU-24h'!D69,'27.07 RUBAGA-KABUSU-24h'!D69)</f>
        <v>0.5</v>
      </c>
      <c r="E69" s="49">
        <f>AVERAGE('26.07 RUBAGA-KABUSU-24h'!E69,'27.07 RUBAGA-KABUSU-24h'!E69)</f>
        <v>1.5</v>
      </c>
      <c r="F69" s="49">
        <f>AVERAGE('26.07 RUBAGA-KABUSU-24h'!F69,'27.07 RUBAGA-KABUSU-24h'!F69)</f>
        <v>0</v>
      </c>
      <c r="G69" s="49">
        <f>AVERAGE('26.07 RUBAGA-KABUSU-24h'!G69,'27.07 RUBAGA-KABUSU-24h'!G69)</f>
        <v>1.5</v>
      </c>
      <c r="H69" s="49">
        <f>AVERAGE('26.07 RUBAGA-KABUSU-24h'!H69,'27.07 RUBAGA-KABUSU-24h'!H69)</f>
        <v>0</v>
      </c>
      <c r="I69" s="49">
        <f>AVERAGE('26.07 RUBAGA-KABUSU-24h'!I69,'27.07 RUBAGA-KABUSU-24h'!I69)</f>
        <v>1</v>
      </c>
      <c r="J69" s="49">
        <f>AVERAGE('26.07 RUBAGA-KABUSU-24h'!J69,'27.07 RUBAGA-KABUSU-24h'!J69)</f>
        <v>3</v>
      </c>
      <c r="K69" s="49">
        <f>AVERAGE('26.07 RUBAGA-KABUSU-24h'!K69,'27.07 RUBAGA-KABUSU-24h'!K69)</f>
        <v>0</v>
      </c>
      <c r="L69" s="49">
        <f>AVERAGE('26.07 RUBAGA-KABUSU-24h'!L69,'27.07 RUBAGA-KABUSU-24h'!L69)</f>
        <v>0</v>
      </c>
      <c r="M69" s="49">
        <f>AVERAGE('26.07 RUBAGA-KABUSU-24h'!M69,'27.07 RUBAGA-KABUSU-24h'!M69)</f>
        <v>32.5</v>
      </c>
      <c r="N69" s="49">
        <f>AVERAGE('26.07 RUBAGA-KABUSU-24h'!N69,'27.07 RUBAGA-KABUSU-24h'!N69)</f>
        <v>0</v>
      </c>
      <c r="O69" s="49">
        <f>AVERAGE('26.07 RUBAGA-KABUSU-24h'!O69,'27.07 RUBAGA-KABUSU-24h'!O69)</f>
        <v>21</v>
      </c>
      <c r="P69" s="49">
        <f>AVERAGE('26.07 RUBAGA-KABUSU-24h'!P69,'27.07 RUBAGA-KABUSU-24h'!P69)</f>
        <v>53.5</v>
      </c>
      <c r="R69" s="8"/>
      <c r="T69"/>
    </row>
    <row r="70" spans="2:20" ht="23.1" customHeight="1" x14ac:dyDescent="0.25">
      <c r="B70" s="23" t="s">
        <v>110</v>
      </c>
      <c r="C70" s="49">
        <f>AVERAGE('26.07 RUBAGA-KABUSU-24h'!C70,'27.07 RUBAGA-KABUSU-24h'!C70)</f>
        <v>35.5</v>
      </c>
      <c r="D70" s="49">
        <f>AVERAGE('26.07 RUBAGA-KABUSU-24h'!D70,'27.07 RUBAGA-KABUSU-24h'!D70)</f>
        <v>9.5</v>
      </c>
      <c r="E70" s="49">
        <f>AVERAGE('26.07 RUBAGA-KABUSU-24h'!E70,'27.07 RUBAGA-KABUSU-24h'!E70)</f>
        <v>0.5</v>
      </c>
      <c r="F70" s="49">
        <f>AVERAGE('26.07 RUBAGA-KABUSU-24h'!F70,'27.07 RUBAGA-KABUSU-24h'!F70)</f>
        <v>10.5</v>
      </c>
      <c r="G70" s="49">
        <f>AVERAGE('26.07 RUBAGA-KABUSU-24h'!G70,'27.07 RUBAGA-KABUSU-24h'!G70)</f>
        <v>0</v>
      </c>
      <c r="H70" s="49">
        <f>AVERAGE('26.07 RUBAGA-KABUSU-24h'!H70,'27.07 RUBAGA-KABUSU-24h'!H70)</f>
        <v>0</v>
      </c>
      <c r="I70" s="49">
        <f>AVERAGE('26.07 RUBAGA-KABUSU-24h'!I70,'27.07 RUBAGA-KABUSU-24h'!I70)</f>
        <v>2</v>
      </c>
      <c r="J70" s="49">
        <f>AVERAGE('26.07 RUBAGA-KABUSU-24h'!J70,'27.07 RUBAGA-KABUSU-24h'!J70)</f>
        <v>0.5</v>
      </c>
      <c r="K70" s="49">
        <f>AVERAGE('26.07 RUBAGA-KABUSU-24h'!K70,'27.07 RUBAGA-KABUSU-24h'!K70)</f>
        <v>0.5</v>
      </c>
      <c r="L70" s="49">
        <f>AVERAGE('26.07 RUBAGA-KABUSU-24h'!L70,'27.07 RUBAGA-KABUSU-24h'!L70)</f>
        <v>0.5</v>
      </c>
      <c r="M70" s="49">
        <f>AVERAGE('26.07 RUBAGA-KABUSU-24h'!M70,'27.07 RUBAGA-KABUSU-24h'!M70)</f>
        <v>71.5</v>
      </c>
      <c r="N70" s="49">
        <f>AVERAGE('26.07 RUBAGA-KABUSU-24h'!N70,'27.07 RUBAGA-KABUSU-24h'!N70)</f>
        <v>0</v>
      </c>
      <c r="O70" s="49">
        <f>AVERAGE('26.07 RUBAGA-KABUSU-24h'!O70,'27.07 RUBAGA-KABUSU-24h'!O70)</f>
        <v>59.5</v>
      </c>
      <c r="P70" s="49">
        <f>AVERAGE('26.07 RUBAGA-KABUSU-24h'!P70,'27.07 RUBAGA-KABUSU-24h'!P70)</f>
        <v>131</v>
      </c>
      <c r="R70" s="8"/>
      <c r="T70"/>
    </row>
    <row r="71" spans="2:20" ht="23.1" customHeight="1" x14ac:dyDescent="0.25">
      <c r="B71" s="23" t="s">
        <v>111</v>
      </c>
      <c r="C71" s="49">
        <f>AVERAGE('26.07 RUBAGA-KABUSU-24h'!C71,'27.07 RUBAGA-KABUSU-24h'!C71)</f>
        <v>29</v>
      </c>
      <c r="D71" s="49">
        <f>AVERAGE('26.07 RUBAGA-KABUSU-24h'!D71,'27.07 RUBAGA-KABUSU-24h'!D71)</f>
        <v>8</v>
      </c>
      <c r="E71" s="49">
        <f>AVERAGE('26.07 RUBAGA-KABUSU-24h'!E71,'27.07 RUBAGA-KABUSU-24h'!E71)</f>
        <v>1</v>
      </c>
      <c r="F71" s="49">
        <f>AVERAGE('26.07 RUBAGA-KABUSU-24h'!F71,'27.07 RUBAGA-KABUSU-24h'!F71)</f>
        <v>6.5</v>
      </c>
      <c r="G71" s="49">
        <f>AVERAGE('26.07 RUBAGA-KABUSU-24h'!G71,'27.07 RUBAGA-KABUSU-24h'!G71)</f>
        <v>0</v>
      </c>
      <c r="H71" s="49">
        <f>AVERAGE('26.07 RUBAGA-KABUSU-24h'!H71,'27.07 RUBAGA-KABUSU-24h'!H71)</f>
        <v>0.5</v>
      </c>
      <c r="I71" s="49">
        <f>AVERAGE('26.07 RUBAGA-KABUSU-24h'!I71,'27.07 RUBAGA-KABUSU-24h'!I71)</f>
        <v>2</v>
      </c>
      <c r="J71" s="49">
        <f>AVERAGE('26.07 RUBAGA-KABUSU-24h'!J71,'27.07 RUBAGA-KABUSU-24h'!J71)</f>
        <v>0.5</v>
      </c>
      <c r="K71" s="49">
        <f>AVERAGE('26.07 RUBAGA-KABUSU-24h'!K71,'27.07 RUBAGA-KABUSU-24h'!K71)</f>
        <v>1</v>
      </c>
      <c r="L71" s="49">
        <f>AVERAGE('26.07 RUBAGA-KABUSU-24h'!L71,'27.07 RUBAGA-KABUSU-24h'!L71)</f>
        <v>0.5</v>
      </c>
      <c r="M71" s="49">
        <f>AVERAGE('26.07 RUBAGA-KABUSU-24h'!M71,'27.07 RUBAGA-KABUSU-24h'!M71)</f>
        <v>65.5</v>
      </c>
      <c r="N71" s="49">
        <f>AVERAGE('26.07 RUBAGA-KABUSU-24h'!N71,'27.07 RUBAGA-KABUSU-24h'!N71)</f>
        <v>0</v>
      </c>
      <c r="O71" s="49">
        <f>AVERAGE('26.07 RUBAGA-KABUSU-24h'!O71,'27.07 RUBAGA-KABUSU-24h'!O71)</f>
        <v>49</v>
      </c>
      <c r="P71" s="49">
        <f>AVERAGE('26.07 RUBAGA-KABUSU-24h'!P71,'27.07 RUBAGA-KABUSU-24h'!P71)</f>
        <v>114.5</v>
      </c>
      <c r="R71" s="8"/>
      <c r="T71"/>
    </row>
    <row r="72" spans="2:20" ht="23.1" customHeight="1" x14ac:dyDescent="0.25">
      <c r="B72" s="23" t="s">
        <v>112</v>
      </c>
      <c r="C72" s="49">
        <f>AVERAGE('26.07 RUBAGA-KABUSU-24h'!C72,'27.07 RUBAGA-KABUSU-24h'!C72)</f>
        <v>30.5</v>
      </c>
      <c r="D72" s="49">
        <f>AVERAGE('26.07 RUBAGA-KABUSU-24h'!D72,'27.07 RUBAGA-KABUSU-24h'!D72)</f>
        <v>6.5</v>
      </c>
      <c r="E72" s="49">
        <f>AVERAGE('26.07 RUBAGA-KABUSU-24h'!E72,'27.07 RUBAGA-KABUSU-24h'!E72)</f>
        <v>1.5</v>
      </c>
      <c r="F72" s="49">
        <f>AVERAGE('26.07 RUBAGA-KABUSU-24h'!F72,'27.07 RUBAGA-KABUSU-24h'!F72)</f>
        <v>6.5</v>
      </c>
      <c r="G72" s="49">
        <f>AVERAGE('26.07 RUBAGA-KABUSU-24h'!G72,'27.07 RUBAGA-KABUSU-24h'!G72)</f>
        <v>0</v>
      </c>
      <c r="H72" s="49">
        <f>AVERAGE('26.07 RUBAGA-KABUSU-24h'!H72,'27.07 RUBAGA-KABUSU-24h'!H72)</f>
        <v>0</v>
      </c>
      <c r="I72" s="49">
        <f>AVERAGE('26.07 RUBAGA-KABUSU-24h'!I72,'27.07 RUBAGA-KABUSU-24h'!I72)</f>
        <v>2.5</v>
      </c>
      <c r="J72" s="49">
        <f>AVERAGE('26.07 RUBAGA-KABUSU-24h'!J72,'27.07 RUBAGA-KABUSU-24h'!J72)</f>
        <v>0</v>
      </c>
      <c r="K72" s="49">
        <f>AVERAGE('26.07 RUBAGA-KABUSU-24h'!K72,'27.07 RUBAGA-KABUSU-24h'!K72)</f>
        <v>0</v>
      </c>
      <c r="L72" s="49">
        <f>AVERAGE('26.07 RUBAGA-KABUSU-24h'!L72,'27.07 RUBAGA-KABUSU-24h'!L72)</f>
        <v>0.5</v>
      </c>
      <c r="M72" s="49">
        <f>AVERAGE('26.07 RUBAGA-KABUSU-24h'!M72,'27.07 RUBAGA-KABUSU-24h'!M72)</f>
        <v>60</v>
      </c>
      <c r="N72" s="49">
        <f>AVERAGE('26.07 RUBAGA-KABUSU-24h'!N72,'27.07 RUBAGA-KABUSU-24h'!N72)</f>
        <v>0</v>
      </c>
      <c r="O72" s="49">
        <f>AVERAGE('26.07 RUBAGA-KABUSU-24h'!O72,'27.07 RUBAGA-KABUSU-24h'!O72)</f>
        <v>48</v>
      </c>
      <c r="P72" s="49">
        <f>AVERAGE('26.07 RUBAGA-KABUSU-24h'!P72,'27.07 RUBAGA-KABUSU-24h'!P72)</f>
        <v>108</v>
      </c>
      <c r="R72" s="8"/>
      <c r="T72"/>
    </row>
    <row r="73" spans="2:20" ht="23.1" customHeight="1" x14ac:dyDescent="0.25">
      <c r="B73" s="23" t="s">
        <v>113</v>
      </c>
      <c r="C73" s="49">
        <f>AVERAGE('26.07 RUBAGA-KABUSU-24h'!C73,'27.07 RUBAGA-KABUSU-24h'!C73)</f>
        <v>43.5</v>
      </c>
      <c r="D73" s="49">
        <f>AVERAGE('26.07 RUBAGA-KABUSU-24h'!D73,'27.07 RUBAGA-KABUSU-24h'!D73)</f>
        <v>3</v>
      </c>
      <c r="E73" s="49">
        <f>AVERAGE('26.07 RUBAGA-KABUSU-24h'!E73,'27.07 RUBAGA-KABUSU-24h'!E73)</f>
        <v>6</v>
      </c>
      <c r="F73" s="49">
        <f>AVERAGE('26.07 RUBAGA-KABUSU-24h'!F73,'27.07 RUBAGA-KABUSU-24h'!F73)</f>
        <v>13</v>
      </c>
      <c r="G73" s="49">
        <f>AVERAGE('26.07 RUBAGA-KABUSU-24h'!G73,'27.07 RUBAGA-KABUSU-24h'!G73)</f>
        <v>0</v>
      </c>
      <c r="H73" s="49">
        <f>AVERAGE('26.07 RUBAGA-KABUSU-24h'!H73,'27.07 RUBAGA-KABUSU-24h'!H73)</f>
        <v>0</v>
      </c>
      <c r="I73" s="49">
        <f>AVERAGE('26.07 RUBAGA-KABUSU-24h'!I73,'27.07 RUBAGA-KABUSU-24h'!I73)</f>
        <v>0.5</v>
      </c>
      <c r="J73" s="49">
        <f>AVERAGE('26.07 RUBAGA-KABUSU-24h'!J73,'27.07 RUBAGA-KABUSU-24h'!J73)</f>
        <v>0.5</v>
      </c>
      <c r="K73" s="49">
        <f>AVERAGE('26.07 RUBAGA-KABUSU-24h'!K73,'27.07 RUBAGA-KABUSU-24h'!K73)</f>
        <v>0</v>
      </c>
      <c r="L73" s="49">
        <f>AVERAGE('26.07 RUBAGA-KABUSU-24h'!L73,'27.07 RUBAGA-KABUSU-24h'!L73)</f>
        <v>0</v>
      </c>
      <c r="M73" s="49">
        <f>AVERAGE('26.07 RUBAGA-KABUSU-24h'!M73,'27.07 RUBAGA-KABUSU-24h'!M73)</f>
        <v>85.5</v>
      </c>
      <c r="N73" s="49">
        <f>AVERAGE('26.07 RUBAGA-KABUSU-24h'!N73,'27.07 RUBAGA-KABUSU-24h'!N73)</f>
        <v>0</v>
      </c>
      <c r="O73" s="49">
        <f>AVERAGE('26.07 RUBAGA-KABUSU-24h'!O73,'27.07 RUBAGA-KABUSU-24h'!O73)</f>
        <v>66.5</v>
      </c>
      <c r="P73" s="49">
        <f>AVERAGE('26.07 RUBAGA-KABUSU-24h'!P73,'27.07 RUBAGA-KABUSU-24h'!P73)</f>
        <v>152</v>
      </c>
      <c r="R73" s="8"/>
      <c r="T73"/>
    </row>
    <row r="74" spans="2:20" ht="23.1" customHeight="1" x14ac:dyDescent="0.25">
      <c r="B74" s="23" t="s">
        <v>114</v>
      </c>
      <c r="C74" s="49">
        <f>AVERAGE('26.07 RUBAGA-KABUSU-24h'!C74,'27.07 RUBAGA-KABUSU-24h'!C74)</f>
        <v>35</v>
      </c>
      <c r="D74" s="49">
        <f>AVERAGE('26.07 RUBAGA-KABUSU-24h'!D74,'27.07 RUBAGA-KABUSU-24h'!D74)</f>
        <v>4.5</v>
      </c>
      <c r="E74" s="49">
        <f>AVERAGE('26.07 RUBAGA-KABUSU-24h'!E74,'27.07 RUBAGA-KABUSU-24h'!E74)</f>
        <v>3.5</v>
      </c>
      <c r="F74" s="49">
        <f>AVERAGE('26.07 RUBAGA-KABUSU-24h'!F74,'27.07 RUBAGA-KABUSU-24h'!F74)</f>
        <v>10</v>
      </c>
      <c r="G74" s="49">
        <f>AVERAGE('26.07 RUBAGA-KABUSU-24h'!G74,'27.07 RUBAGA-KABUSU-24h'!G74)</f>
        <v>1.5</v>
      </c>
      <c r="H74" s="49">
        <f>AVERAGE('26.07 RUBAGA-KABUSU-24h'!H74,'27.07 RUBAGA-KABUSU-24h'!H74)</f>
        <v>1</v>
      </c>
      <c r="I74" s="49">
        <f>AVERAGE('26.07 RUBAGA-KABUSU-24h'!I74,'27.07 RUBAGA-KABUSU-24h'!I74)</f>
        <v>2</v>
      </c>
      <c r="J74" s="49">
        <f>AVERAGE('26.07 RUBAGA-KABUSU-24h'!J74,'27.07 RUBAGA-KABUSU-24h'!J74)</f>
        <v>0.5</v>
      </c>
      <c r="K74" s="49">
        <f>AVERAGE('26.07 RUBAGA-KABUSU-24h'!K74,'27.07 RUBAGA-KABUSU-24h'!K74)</f>
        <v>0.5</v>
      </c>
      <c r="L74" s="49">
        <f>AVERAGE('26.07 RUBAGA-KABUSU-24h'!L74,'27.07 RUBAGA-KABUSU-24h'!L74)</f>
        <v>1</v>
      </c>
      <c r="M74" s="49">
        <f>AVERAGE('26.07 RUBAGA-KABUSU-24h'!M74,'27.07 RUBAGA-KABUSU-24h'!M74)</f>
        <v>79</v>
      </c>
      <c r="N74" s="49">
        <f>AVERAGE('26.07 RUBAGA-KABUSU-24h'!N74,'27.07 RUBAGA-KABUSU-24h'!N74)</f>
        <v>0</v>
      </c>
      <c r="O74" s="49">
        <f>AVERAGE('26.07 RUBAGA-KABUSU-24h'!O74,'27.07 RUBAGA-KABUSU-24h'!O74)</f>
        <v>59.5</v>
      </c>
      <c r="P74" s="49">
        <f>AVERAGE('26.07 RUBAGA-KABUSU-24h'!P74,'27.07 RUBAGA-KABUSU-24h'!P74)</f>
        <v>138.5</v>
      </c>
      <c r="R74" s="8"/>
      <c r="T74"/>
    </row>
    <row r="75" spans="2:20" ht="23.1" customHeight="1" x14ac:dyDescent="0.25">
      <c r="B75" s="23" t="s">
        <v>115</v>
      </c>
      <c r="C75" s="49">
        <f>AVERAGE('26.07 RUBAGA-KABUSU-24h'!C75,'27.07 RUBAGA-KABUSU-24h'!C75)</f>
        <v>34</v>
      </c>
      <c r="D75" s="49">
        <f>AVERAGE('26.07 RUBAGA-KABUSU-24h'!D75,'27.07 RUBAGA-KABUSU-24h'!D75)</f>
        <v>4.5</v>
      </c>
      <c r="E75" s="49">
        <f>AVERAGE('26.07 RUBAGA-KABUSU-24h'!E75,'27.07 RUBAGA-KABUSU-24h'!E75)</f>
        <v>4.5</v>
      </c>
      <c r="F75" s="49">
        <f>AVERAGE('26.07 RUBAGA-KABUSU-24h'!F75,'27.07 RUBAGA-KABUSU-24h'!F75)</f>
        <v>5.5</v>
      </c>
      <c r="G75" s="49">
        <f>AVERAGE('26.07 RUBAGA-KABUSU-24h'!G75,'27.07 RUBAGA-KABUSU-24h'!G75)</f>
        <v>0.5</v>
      </c>
      <c r="H75" s="49">
        <f>AVERAGE('26.07 RUBAGA-KABUSU-24h'!H75,'27.07 RUBAGA-KABUSU-24h'!H75)</f>
        <v>2</v>
      </c>
      <c r="I75" s="49">
        <f>AVERAGE('26.07 RUBAGA-KABUSU-24h'!I75,'27.07 RUBAGA-KABUSU-24h'!I75)</f>
        <v>0.5</v>
      </c>
      <c r="J75" s="49">
        <f>AVERAGE('26.07 RUBAGA-KABUSU-24h'!J75,'27.07 RUBAGA-KABUSU-24h'!J75)</f>
        <v>0.5</v>
      </c>
      <c r="K75" s="49">
        <f>AVERAGE('26.07 RUBAGA-KABUSU-24h'!K75,'27.07 RUBAGA-KABUSU-24h'!K75)</f>
        <v>1</v>
      </c>
      <c r="L75" s="49">
        <f>AVERAGE('26.07 RUBAGA-KABUSU-24h'!L75,'27.07 RUBAGA-KABUSU-24h'!L75)</f>
        <v>0</v>
      </c>
      <c r="M75" s="49">
        <f>AVERAGE('26.07 RUBAGA-KABUSU-24h'!M75,'27.07 RUBAGA-KABUSU-24h'!M75)</f>
        <v>80</v>
      </c>
      <c r="N75" s="49">
        <f>AVERAGE('26.07 RUBAGA-KABUSU-24h'!N75,'27.07 RUBAGA-KABUSU-24h'!N75)</f>
        <v>0.5</v>
      </c>
      <c r="O75" s="49">
        <f>AVERAGE('26.07 RUBAGA-KABUSU-24h'!O75,'27.07 RUBAGA-KABUSU-24h'!O75)</f>
        <v>53.5</v>
      </c>
      <c r="P75" s="49">
        <f>AVERAGE('26.07 RUBAGA-KABUSU-24h'!P75,'27.07 RUBAGA-KABUSU-24h'!P75)</f>
        <v>133.5</v>
      </c>
      <c r="R75" s="8"/>
      <c r="T75"/>
    </row>
    <row r="76" spans="2:20" ht="23.1" customHeight="1" x14ac:dyDescent="0.25">
      <c r="B76" s="23" t="s">
        <v>116</v>
      </c>
      <c r="C76" s="49">
        <f>AVERAGE('26.07 RUBAGA-KABUSU-24h'!C76,'27.07 RUBAGA-KABUSU-24h'!C76)</f>
        <v>37.5</v>
      </c>
      <c r="D76" s="49">
        <f>AVERAGE('26.07 RUBAGA-KABUSU-24h'!D76,'27.07 RUBAGA-KABUSU-24h'!D76)</f>
        <v>4.5</v>
      </c>
      <c r="E76" s="49">
        <f>AVERAGE('26.07 RUBAGA-KABUSU-24h'!E76,'27.07 RUBAGA-KABUSU-24h'!E76)</f>
        <v>3</v>
      </c>
      <c r="F76" s="49">
        <f>AVERAGE('26.07 RUBAGA-KABUSU-24h'!F76,'27.07 RUBAGA-KABUSU-24h'!F76)</f>
        <v>5</v>
      </c>
      <c r="G76" s="49">
        <f>AVERAGE('26.07 RUBAGA-KABUSU-24h'!G76,'27.07 RUBAGA-KABUSU-24h'!G76)</f>
        <v>0</v>
      </c>
      <c r="H76" s="49">
        <f>AVERAGE('26.07 RUBAGA-KABUSU-24h'!H76,'27.07 RUBAGA-KABUSU-24h'!H76)</f>
        <v>1</v>
      </c>
      <c r="I76" s="49">
        <f>AVERAGE('26.07 RUBAGA-KABUSU-24h'!I76,'27.07 RUBAGA-KABUSU-24h'!I76)</f>
        <v>1</v>
      </c>
      <c r="J76" s="49">
        <f>AVERAGE('26.07 RUBAGA-KABUSU-24h'!J76,'27.07 RUBAGA-KABUSU-24h'!J76)</f>
        <v>1.5</v>
      </c>
      <c r="K76" s="49">
        <f>AVERAGE('26.07 RUBAGA-KABUSU-24h'!K76,'27.07 RUBAGA-KABUSU-24h'!K76)</f>
        <v>0</v>
      </c>
      <c r="L76" s="49">
        <f>AVERAGE('26.07 RUBAGA-KABUSU-24h'!L76,'27.07 RUBAGA-KABUSU-24h'!L76)</f>
        <v>0</v>
      </c>
      <c r="M76" s="49">
        <f>AVERAGE('26.07 RUBAGA-KABUSU-24h'!M76,'27.07 RUBAGA-KABUSU-24h'!M76)</f>
        <v>82.5</v>
      </c>
      <c r="N76" s="49">
        <f>AVERAGE('26.07 RUBAGA-KABUSU-24h'!N76,'27.07 RUBAGA-KABUSU-24h'!N76)</f>
        <v>0</v>
      </c>
      <c r="O76" s="49">
        <f>AVERAGE('26.07 RUBAGA-KABUSU-24h'!O76,'27.07 RUBAGA-KABUSU-24h'!O76)</f>
        <v>53.5</v>
      </c>
      <c r="P76" s="49">
        <f>AVERAGE('26.07 RUBAGA-KABUSU-24h'!P76,'27.07 RUBAGA-KABUSU-24h'!P76)</f>
        <v>136</v>
      </c>
      <c r="R76" s="8"/>
      <c r="T76"/>
    </row>
    <row r="77" spans="2:20" ht="23.1" customHeight="1" x14ac:dyDescent="0.25">
      <c r="B77" s="23" t="s">
        <v>117</v>
      </c>
      <c r="C77" s="49">
        <f>AVERAGE('26.07 RUBAGA-KABUSU-24h'!C77,'27.07 RUBAGA-KABUSU-24h'!C77)</f>
        <v>24</v>
      </c>
      <c r="D77" s="49">
        <f>AVERAGE('26.07 RUBAGA-KABUSU-24h'!D77,'27.07 RUBAGA-KABUSU-24h'!D77)</f>
        <v>3.5</v>
      </c>
      <c r="E77" s="49">
        <f>AVERAGE('26.07 RUBAGA-KABUSU-24h'!E77,'27.07 RUBAGA-KABUSU-24h'!E77)</f>
        <v>0</v>
      </c>
      <c r="F77" s="49">
        <f>AVERAGE('26.07 RUBAGA-KABUSU-24h'!F77,'27.07 RUBAGA-KABUSU-24h'!F77)</f>
        <v>3.5</v>
      </c>
      <c r="G77" s="49">
        <f>AVERAGE('26.07 RUBAGA-KABUSU-24h'!G77,'27.07 RUBAGA-KABUSU-24h'!G77)</f>
        <v>0</v>
      </c>
      <c r="H77" s="49">
        <f>AVERAGE('26.07 RUBAGA-KABUSU-24h'!H77,'27.07 RUBAGA-KABUSU-24h'!H77)</f>
        <v>0</v>
      </c>
      <c r="I77" s="49">
        <f>AVERAGE('26.07 RUBAGA-KABUSU-24h'!I77,'27.07 RUBAGA-KABUSU-24h'!I77)</f>
        <v>1</v>
      </c>
      <c r="J77" s="49">
        <f>AVERAGE('26.07 RUBAGA-KABUSU-24h'!J77,'27.07 RUBAGA-KABUSU-24h'!J77)</f>
        <v>0</v>
      </c>
      <c r="K77" s="49">
        <f>AVERAGE('26.07 RUBAGA-KABUSU-24h'!K77,'27.07 RUBAGA-KABUSU-24h'!K77)</f>
        <v>0</v>
      </c>
      <c r="L77" s="49">
        <f>AVERAGE('26.07 RUBAGA-KABUSU-24h'!L77,'27.07 RUBAGA-KABUSU-24h'!L77)</f>
        <v>0</v>
      </c>
      <c r="M77" s="49">
        <f>AVERAGE('26.07 RUBAGA-KABUSU-24h'!M77,'27.07 RUBAGA-KABUSU-24h'!M77)</f>
        <v>65.5</v>
      </c>
      <c r="N77" s="49">
        <f>AVERAGE('26.07 RUBAGA-KABUSU-24h'!N77,'27.07 RUBAGA-KABUSU-24h'!N77)</f>
        <v>0</v>
      </c>
      <c r="O77" s="49">
        <f>AVERAGE('26.07 RUBAGA-KABUSU-24h'!O77,'27.07 RUBAGA-KABUSU-24h'!O77)</f>
        <v>32</v>
      </c>
      <c r="P77" s="49">
        <f>AVERAGE('26.07 RUBAGA-KABUSU-24h'!P77,'27.07 RUBAGA-KABUSU-24h'!P77)</f>
        <v>97.5</v>
      </c>
      <c r="R77" s="8"/>
      <c r="T77"/>
    </row>
    <row r="78" spans="2:20" ht="23.1" customHeight="1" x14ac:dyDescent="0.25">
      <c r="B78" s="24" t="s">
        <v>118</v>
      </c>
      <c r="C78" s="49">
        <f>AVERAGE('26.07 RUBAGA-KABUSU-24h'!C78,'27.07 RUBAGA-KABUSU-24h'!C78)</f>
        <v>41.5</v>
      </c>
      <c r="D78" s="49">
        <f>AVERAGE('26.07 RUBAGA-KABUSU-24h'!D78,'27.07 RUBAGA-KABUSU-24h'!D78)</f>
        <v>2.5</v>
      </c>
      <c r="E78" s="49">
        <f>AVERAGE('26.07 RUBAGA-KABUSU-24h'!E78,'27.07 RUBAGA-KABUSU-24h'!E78)</f>
        <v>4</v>
      </c>
      <c r="F78" s="49">
        <f>AVERAGE('26.07 RUBAGA-KABUSU-24h'!F78,'27.07 RUBAGA-KABUSU-24h'!F78)</f>
        <v>4.5</v>
      </c>
      <c r="G78" s="49">
        <f>AVERAGE('26.07 RUBAGA-KABUSU-24h'!G78,'27.07 RUBAGA-KABUSU-24h'!G78)</f>
        <v>0.5</v>
      </c>
      <c r="H78" s="49">
        <f>AVERAGE('26.07 RUBAGA-KABUSU-24h'!H78,'27.07 RUBAGA-KABUSU-24h'!H78)</f>
        <v>0.5</v>
      </c>
      <c r="I78" s="49">
        <f>AVERAGE('26.07 RUBAGA-KABUSU-24h'!I78,'27.07 RUBAGA-KABUSU-24h'!I78)</f>
        <v>1.5</v>
      </c>
      <c r="J78" s="49">
        <f>AVERAGE('26.07 RUBAGA-KABUSU-24h'!J78,'27.07 RUBAGA-KABUSU-24h'!J78)</f>
        <v>0</v>
      </c>
      <c r="K78" s="49">
        <f>AVERAGE('26.07 RUBAGA-KABUSU-24h'!K78,'27.07 RUBAGA-KABUSU-24h'!K78)</f>
        <v>1.5</v>
      </c>
      <c r="L78" s="49">
        <f>AVERAGE('26.07 RUBAGA-KABUSU-24h'!L78,'27.07 RUBAGA-KABUSU-24h'!L78)</f>
        <v>0</v>
      </c>
      <c r="M78" s="49">
        <f>AVERAGE('26.07 RUBAGA-KABUSU-24h'!M78,'27.07 RUBAGA-KABUSU-24h'!M78)</f>
        <v>55</v>
      </c>
      <c r="N78" s="49">
        <f>AVERAGE('26.07 RUBAGA-KABUSU-24h'!N78,'27.07 RUBAGA-KABUSU-24h'!N78)</f>
        <v>0.5</v>
      </c>
      <c r="O78" s="49">
        <f>AVERAGE('26.07 RUBAGA-KABUSU-24h'!O78,'27.07 RUBAGA-KABUSU-24h'!O78)</f>
        <v>57</v>
      </c>
      <c r="P78" s="49">
        <f>AVERAGE('26.07 RUBAGA-KABUSU-24h'!P78,'27.07 RUBAGA-KABUSU-24h'!P78)</f>
        <v>112</v>
      </c>
      <c r="R78" s="8"/>
      <c r="T78"/>
    </row>
    <row r="79" spans="2:20" ht="23.1" customHeight="1" x14ac:dyDescent="0.25">
      <c r="B79" s="23" t="s">
        <v>119</v>
      </c>
      <c r="C79" s="49">
        <f>AVERAGE('26.07 RUBAGA-KABUSU-24h'!C79,'27.07 RUBAGA-KABUSU-24h'!C79)</f>
        <v>34.5</v>
      </c>
      <c r="D79" s="49">
        <f>AVERAGE('26.07 RUBAGA-KABUSU-24h'!D79,'27.07 RUBAGA-KABUSU-24h'!D79)</f>
        <v>1.5</v>
      </c>
      <c r="E79" s="49">
        <f>AVERAGE('26.07 RUBAGA-KABUSU-24h'!E79,'27.07 RUBAGA-KABUSU-24h'!E79)</f>
        <v>1.5</v>
      </c>
      <c r="F79" s="49">
        <f>AVERAGE('26.07 RUBAGA-KABUSU-24h'!F79,'27.07 RUBAGA-KABUSU-24h'!F79)</f>
        <v>3</v>
      </c>
      <c r="G79" s="49">
        <f>AVERAGE('26.07 RUBAGA-KABUSU-24h'!G79,'27.07 RUBAGA-KABUSU-24h'!G79)</f>
        <v>0</v>
      </c>
      <c r="H79" s="49">
        <f>AVERAGE('26.07 RUBAGA-KABUSU-24h'!H79,'27.07 RUBAGA-KABUSU-24h'!H79)</f>
        <v>0.5</v>
      </c>
      <c r="I79" s="49">
        <f>AVERAGE('26.07 RUBAGA-KABUSU-24h'!I79,'27.07 RUBAGA-KABUSU-24h'!I79)</f>
        <v>0.5</v>
      </c>
      <c r="J79" s="49">
        <f>AVERAGE('26.07 RUBAGA-KABUSU-24h'!J79,'27.07 RUBAGA-KABUSU-24h'!J79)</f>
        <v>0</v>
      </c>
      <c r="K79" s="49">
        <f>AVERAGE('26.07 RUBAGA-KABUSU-24h'!K79,'27.07 RUBAGA-KABUSU-24h'!K79)</f>
        <v>0</v>
      </c>
      <c r="L79" s="49">
        <f>AVERAGE('26.07 RUBAGA-KABUSU-24h'!L79,'27.07 RUBAGA-KABUSU-24h'!L79)</f>
        <v>0</v>
      </c>
      <c r="M79" s="49">
        <f>AVERAGE('26.07 RUBAGA-KABUSU-24h'!M79,'27.07 RUBAGA-KABUSU-24h'!M79)</f>
        <v>58</v>
      </c>
      <c r="N79" s="49">
        <f>AVERAGE('26.07 RUBAGA-KABUSU-24h'!N79,'27.07 RUBAGA-KABUSU-24h'!N79)</f>
        <v>0.5</v>
      </c>
      <c r="O79" s="49">
        <f>AVERAGE('26.07 RUBAGA-KABUSU-24h'!O79,'27.07 RUBAGA-KABUSU-24h'!O79)</f>
        <v>42</v>
      </c>
      <c r="P79" s="49">
        <f>AVERAGE('26.07 RUBAGA-KABUSU-24h'!P79,'27.07 RUBAGA-KABUSU-24h'!P79)</f>
        <v>100</v>
      </c>
      <c r="R79" s="8"/>
      <c r="T79"/>
    </row>
    <row r="80" spans="2:20" ht="23.1" customHeight="1" x14ac:dyDescent="0.25">
      <c r="B80" s="25" t="s">
        <v>120</v>
      </c>
      <c r="C80" s="49">
        <f>AVERAGE('26.07 RUBAGA-KABUSU-24h'!C80,'27.07 RUBAGA-KABUSU-24h'!C80)</f>
        <v>27.5</v>
      </c>
      <c r="D80" s="49">
        <f>AVERAGE('26.07 RUBAGA-KABUSU-24h'!D80,'27.07 RUBAGA-KABUSU-24h'!D80)</f>
        <v>1</v>
      </c>
      <c r="E80" s="49">
        <f>AVERAGE('26.07 RUBAGA-KABUSU-24h'!E80,'27.07 RUBAGA-KABUSU-24h'!E80)</f>
        <v>1</v>
      </c>
      <c r="F80" s="49">
        <f>AVERAGE('26.07 RUBAGA-KABUSU-24h'!F80,'27.07 RUBAGA-KABUSU-24h'!F80)</f>
        <v>3</v>
      </c>
      <c r="G80" s="49">
        <f>AVERAGE('26.07 RUBAGA-KABUSU-24h'!G80,'27.07 RUBAGA-KABUSU-24h'!G80)</f>
        <v>0</v>
      </c>
      <c r="H80" s="49">
        <f>AVERAGE('26.07 RUBAGA-KABUSU-24h'!H80,'27.07 RUBAGA-KABUSU-24h'!H80)</f>
        <v>0.5</v>
      </c>
      <c r="I80" s="49">
        <f>AVERAGE('26.07 RUBAGA-KABUSU-24h'!I80,'27.07 RUBAGA-KABUSU-24h'!I80)</f>
        <v>0.5</v>
      </c>
      <c r="J80" s="49">
        <f>AVERAGE('26.07 RUBAGA-KABUSU-24h'!J80,'27.07 RUBAGA-KABUSU-24h'!J80)</f>
        <v>1</v>
      </c>
      <c r="K80" s="49">
        <f>AVERAGE('26.07 RUBAGA-KABUSU-24h'!K80,'27.07 RUBAGA-KABUSU-24h'!K80)</f>
        <v>2</v>
      </c>
      <c r="L80" s="49">
        <f>AVERAGE('26.07 RUBAGA-KABUSU-24h'!L80,'27.07 RUBAGA-KABUSU-24h'!L80)</f>
        <v>0</v>
      </c>
      <c r="M80" s="49">
        <f>AVERAGE('26.07 RUBAGA-KABUSU-24h'!M80,'27.07 RUBAGA-KABUSU-24h'!M80)</f>
        <v>51</v>
      </c>
      <c r="N80" s="49">
        <f>AVERAGE('26.07 RUBAGA-KABUSU-24h'!N80,'27.07 RUBAGA-KABUSU-24h'!N80)</f>
        <v>0</v>
      </c>
      <c r="O80" s="49">
        <f>AVERAGE('26.07 RUBAGA-KABUSU-24h'!O80,'27.07 RUBAGA-KABUSU-24h'!O80)</f>
        <v>36.5</v>
      </c>
      <c r="P80" s="49">
        <f>AVERAGE('26.07 RUBAGA-KABUSU-24h'!P80,'27.07 RUBAGA-KABUSU-24h'!P80)</f>
        <v>87.5</v>
      </c>
      <c r="R80" s="8"/>
      <c r="T80"/>
    </row>
    <row r="81" spans="2:20" ht="23.1" customHeight="1" x14ac:dyDescent="0.25">
      <c r="B81" s="23" t="s">
        <v>121</v>
      </c>
      <c r="C81" s="49">
        <f>AVERAGE('26.07 RUBAGA-KABUSU-24h'!C81,'27.07 RUBAGA-KABUSU-24h'!C81)</f>
        <v>17.5</v>
      </c>
      <c r="D81" s="49">
        <f>AVERAGE('26.07 RUBAGA-KABUSU-24h'!D81,'27.07 RUBAGA-KABUSU-24h'!D81)</f>
        <v>2</v>
      </c>
      <c r="E81" s="49">
        <f>AVERAGE('26.07 RUBAGA-KABUSU-24h'!E81,'27.07 RUBAGA-KABUSU-24h'!E81)</f>
        <v>1.5</v>
      </c>
      <c r="F81" s="49">
        <f>AVERAGE('26.07 RUBAGA-KABUSU-24h'!F81,'27.07 RUBAGA-KABUSU-24h'!F81)</f>
        <v>3</v>
      </c>
      <c r="G81" s="49">
        <f>AVERAGE('26.07 RUBAGA-KABUSU-24h'!G81,'27.07 RUBAGA-KABUSU-24h'!G81)</f>
        <v>0</v>
      </c>
      <c r="H81" s="49">
        <f>AVERAGE('26.07 RUBAGA-KABUSU-24h'!H81,'27.07 RUBAGA-KABUSU-24h'!H81)</f>
        <v>0.5</v>
      </c>
      <c r="I81" s="49">
        <f>AVERAGE('26.07 RUBAGA-KABUSU-24h'!I81,'27.07 RUBAGA-KABUSU-24h'!I81)</f>
        <v>1.5</v>
      </c>
      <c r="J81" s="49">
        <f>AVERAGE('26.07 RUBAGA-KABUSU-24h'!J81,'27.07 RUBAGA-KABUSU-24h'!J81)</f>
        <v>0.5</v>
      </c>
      <c r="K81" s="49">
        <f>AVERAGE('26.07 RUBAGA-KABUSU-24h'!K81,'27.07 RUBAGA-KABUSU-24h'!K81)</f>
        <v>1.5</v>
      </c>
      <c r="L81" s="49">
        <f>AVERAGE('26.07 RUBAGA-KABUSU-24h'!L81,'27.07 RUBAGA-KABUSU-24h'!L81)</f>
        <v>0</v>
      </c>
      <c r="M81" s="49">
        <f>AVERAGE('26.07 RUBAGA-KABUSU-24h'!M81,'27.07 RUBAGA-KABUSU-24h'!M81)</f>
        <v>42</v>
      </c>
      <c r="N81" s="49">
        <f>AVERAGE('26.07 RUBAGA-KABUSU-24h'!N81,'27.07 RUBAGA-KABUSU-24h'!N81)</f>
        <v>0</v>
      </c>
      <c r="O81" s="49">
        <f>AVERAGE('26.07 RUBAGA-KABUSU-24h'!O81,'27.07 RUBAGA-KABUSU-24h'!O81)</f>
        <v>28</v>
      </c>
      <c r="P81" s="49">
        <f>AVERAGE('26.07 RUBAGA-KABUSU-24h'!P81,'27.07 RUBAGA-KABUSU-24h'!P81)</f>
        <v>70</v>
      </c>
      <c r="R81" s="8"/>
      <c r="T81"/>
    </row>
    <row r="82" spans="2:20" ht="23.1" customHeight="1" x14ac:dyDescent="0.25">
      <c r="B82" s="24" t="s">
        <v>122</v>
      </c>
      <c r="C82" s="49">
        <f>AVERAGE('26.07 RUBAGA-KABUSU-24h'!C82,'27.07 RUBAGA-KABUSU-24h'!C82)</f>
        <v>13.5</v>
      </c>
      <c r="D82" s="49">
        <f>AVERAGE('26.07 RUBAGA-KABUSU-24h'!D82,'27.07 RUBAGA-KABUSU-24h'!D82)</f>
        <v>2</v>
      </c>
      <c r="E82" s="49">
        <f>AVERAGE('26.07 RUBAGA-KABUSU-24h'!E82,'27.07 RUBAGA-KABUSU-24h'!E82)</f>
        <v>1</v>
      </c>
      <c r="F82" s="49">
        <f>AVERAGE('26.07 RUBAGA-KABUSU-24h'!F82,'27.07 RUBAGA-KABUSU-24h'!F82)</f>
        <v>0.5</v>
      </c>
      <c r="G82" s="49">
        <f>AVERAGE('26.07 RUBAGA-KABUSU-24h'!G82,'27.07 RUBAGA-KABUSU-24h'!G82)</f>
        <v>0</v>
      </c>
      <c r="H82" s="49">
        <f>AVERAGE('26.07 RUBAGA-KABUSU-24h'!H82,'27.07 RUBAGA-KABUSU-24h'!H82)</f>
        <v>0</v>
      </c>
      <c r="I82" s="49">
        <f>AVERAGE('26.07 RUBAGA-KABUSU-24h'!I82,'27.07 RUBAGA-KABUSU-24h'!I82)</f>
        <v>1</v>
      </c>
      <c r="J82" s="49">
        <f>AVERAGE('26.07 RUBAGA-KABUSU-24h'!J82,'27.07 RUBAGA-KABUSU-24h'!J82)</f>
        <v>0.5</v>
      </c>
      <c r="K82" s="49">
        <f>AVERAGE('26.07 RUBAGA-KABUSU-24h'!K82,'27.07 RUBAGA-KABUSU-24h'!K82)</f>
        <v>0</v>
      </c>
      <c r="L82" s="49">
        <f>AVERAGE('26.07 RUBAGA-KABUSU-24h'!L82,'27.07 RUBAGA-KABUSU-24h'!L82)</f>
        <v>0</v>
      </c>
      <c r="M82" s="49">
        <f>AVERAGE('26.07 RUBAGA-KABUSU-24h'!M82,'27.07 RUBAGA-KABUSU-24h'!M82)</f>
        <v>34.5</v>
      </c>
      <c r="N82" s="49">
        <f>AVERAGE('26.07 RUBAGA-KABUSU-24h'!N82,'27.07 RUBAGA-KABUSU-24h'!N82)</f>
        <v>0</v>
      </c>
      <c r="O82" s="49">
        <f>AVERAGE('26.07 RUBAGA-KABUSU-24h'!O82,'27.07 RUBAGA-KABUSU-24h'!O82)</f>
        <v>18.5</v>
      </c>
      <c r="P82" s="49">
        <f>AVERAGE('26.07 RUBAGA-KABUSU-24h'!P82,'27.07 RUBAGA-KABUSU-24h'!P82)</f>
        <v>53</v>
      </c>
      <c r="R82" s="8"/>
      <c r="T82"/>
    </row>
    <row r="83" spans="2:20" ht="23.1" customHeight="1" x14ac:dyDescent="0.25">
      <c r="B83" s="23" t="s">
        <v>123</v>
      </c>
      <c r="C83" s="49">
        <f>AVERAGE('26.07 RUBAGA-KABUSU-24h'!C83,'27.07 RUBAGA-KABUSU-24h'!C83)</f>
        <v>21</v>
      </c>
      <c r="D83" s="49">
        <f>AVERAGE('26.07 RUBAGA-KABUSU-24h'!D83,'27.07 RUBAGA-KABUSU-24h'!D83)</f>
        <v>0</v>
      </c>
      <c r="E83" s="49">
        <f>AVERAGE('26.07 RUBAGA-KABUSU-24h'!E83,'27.07 RUBAGA-KABUSU-24h'!E83)</f>
        <v>1</v>
      </c>
      <c r="F83" s="49">
        <f>AVERAGE('26.07 RUBAGA-KABUSU-24h'!F83,'27.07 RUBAGA-KABUSU-24h'!F83)</f>
        <v>0.5</v>
      </c>
      <c r="G83" s="49">
        <f>AVERAGE('26.07 RUBAGA-KABUSU-24h'!G83,'27.07 RUBAGA-KABUSU-24h'!G83)</f>
        <v>0</v>
      </c>
      <c r="H83" s="49">
        <f>AVERAGE('26.07 RUBAGA-KABUSU-24h'!H83,'27.07 RUBAGA-KABUSU-24h'!H83)</f>
        <v>0</v>
      </c>
      <c r="I83" s="49">
        <f>AVERAGE('26.07 RUBAGA-KABUSU-24h'!I83,'27.07 RUBAGA-KABUSU-24h'!I83)</f>
        <v>0</v>
      </c>
      <c r="J83" s="49">
        <f>AVERAGE('26.07 RUBAGA-KABUSU-24h'!J83,'27.07 RUBAGA-KABUSU-24h'!J83)</f>
        <v>0</v>
      </c>
      <c r="K83" s="49">
        <f>AVERAGE('26.07 RUBAGA-KABUSU-24h'!K83,'27.07 RUBAGA-KABUSU-24h'!K83)</f>
        <v>0</v>
      </c>
      <c r="L83" s="49">
        <f>AVERAGE('26.07 RUBAGA-KABUSU-24h'!L83,'27.07 RUBAGA-KABUSU-24h'!L83)</f>
        <v>0</v>
      </c>
      <c r="M83" s="49">
        <f>AVERAGE('26.07 RUBAGA-KABUSU-24h'!M83,'27.07 RUBAGA-KABUSU-24h'!M83)</f>
        <v>40</v>
      </c>
      <c r="N83" s="49">
        <f>AVERAGE('26.07 RUBAGA-KABUSU-24h'!N83,'27.07 RUBAGA-KABUSU-24h'!N83)</f>
        <v>0</v>
      </c>
      <c r="O83" s="49">
        <f>AVERAGE('26.07 RUBAGA-KABUSU-24h'!O83,'27.07 RUBAGA-KABUSU-24h'!O83)</f>
        <v>22.5</v>
      </c>
      <c r="P83" s="49">
        <f>AVERAGE('26.07 RUBAGA-KABUSU-24h'!P83,'27.07 RUBAGA-KABUSU-24h'!P83)</f>
        <v>62.5</v>
      </c>
      <c r="R83" s="8"/>
      <c r="T83"/>
    </row>
    <row r="84" spans="2:20" ht="23.1" customHeight="1" x14ac:dyDescent="0.25">
      <c r="B84" s="25" t="s">
        <v>124</v>
      </c>
      <c r="C84" s="49">
        <f>AVERAGE('26.07 RUBAGA-KABUSU-24h'!C84,'27.07 RUBAGA-KABUSU-24h'!C84)</f>
        <v>15.5</v>
      </c>
      <c r="D84" s="49">
        <f>AVERAGE('26.07 RUBAGA-KABUSU-24h'!D84,'27.07 RUBAGA-KABUSU-24h'!D84)</f>
        <v>0.5</v>
      </c>
      <c r="E84" s="49">
        <f>AVERAGE('26.07 RUBAGA-KABUSU-24h'!E84,'27.07 RUBAGA-KABUSU-24h'!E84)</f>
        <v>0.5</v>
      </c>
      <c r="F84" s="49">
        <f>AVERAGE('26.07 RUBAGA-KABUSU-24h'!F84,'27.07 RUBAGA-KABUSU-24h'!F84)</f>
        <v>0.5</v>
      </c>
      <c r="G84" s="49">
        <f>AVERAGE('26.07 RUBAGA-KABUSU-24h'!G84,'27.07 RUBAGA-KABUSU-24h'!G84)</f>
        <v>0</v>
      </c>
      <c r="H84" s="49">
        <f>AVERAGE('26.07 RUBAGA-KABUSU-24h'!H84,'27.07 RUBAGA-KABUSU-24h'!H84)</f>
        <v>0</v>
      </c>
      <c r="I84" s="49">
        <f>AVERAGE('26.07 RUBAGA-KABUSU-24h'!I84,'27.07 RUBAGA-KABUSU-24h'!I84)</f>
        <v>0.5</v>
      </c>
      <c r="J84" s="49">
        <f>AVERAGE('26.07 RUBAGA-KABUSU-24h'!J84,'27.07 RUBAGA-KABUSU-24h'!J84)</f>
        <v>0.5</v>
      </c>
      <c r="K84" s="49">
        <f>AVERAGE('26.07 RUBAGA-KABUSU-24h'!K84,'27.07 RUBAGA-KABUSU-24h'!K84)</f>
        <v>0</v>
      </c>
      <c r="L84" s="49">
        <f>AVERAGE('26.07 RUBAGA-KABUSU-24h'!L84,'27.07 RUBAGA-KABUSU-24h'!L84)</f>
        <v>0</v>
      </c>
      <c r="M84" s="49">
        <f>AVERAGE('26.07 RUBAGA-KABUSU-24h'!M84,'27.07 RUBAGA-KABUSU-24h'!M84)</f>
        <v>34</v>
      </c>
      <c r="N84" s="49">
        <f>AVERAGE('26.07 RUBAGA-KABUSU-24h'!N84,'27.07 RUBAGA-KABUSU-24h'!N84)</f>
        <v>0</v>
      </c>
      <c r="O84" s="49">
        <f>AVERAGE('26.07 RUBAGA-KABUSU-24h'!O84,'27.07 RUBAGA-KABUSU-24h'!O84)</f>
        <v>18</v>
      </c>
      <c r="P84" s="49">
        <f>AVERAGE('26.07 RUBAGA-KABUSU-24h'!P84,'27.07 RUBAGA-KABUSU-24h'!P84)</f>
        <v>52</v>
      </c>
      <c r="R84" s="8"/>
      <c r="T84"/>
    </row>
    <row r="85" spans="2:20" ht="23.1" customHeight="1" x14ac:dyDescent="0.25">
      <c r="B85" s="23" t="s">
        <v>125</v>
      </c>
      <c r="C85" s="49">
        <f>AVERAGE('26.07 RUBAGA-KABUSU-24h'!C85,'27.07 RUBAGA-KABUSU-24h'!C85)</f>
        <v>13</v>
      </c>
      <c r="D85" s="49">
        <f>AVERAGE('26.07 RUBAGA-KABUSU-24h'!D85,'27.07 RUBAGA-KABUSU-24h'!D85)</f>
        <v>0.5</v>
      </c>
      <c r="E85" s="49">
        <f>AVERAGE('26.07 RUBAGA-KABUSU-24h'!E85,'27.07 RUBAGA-KABUSU-24h'!E85)</f>
        <v>1</v>
      </c>
      <c r="F85" s="49">
        <f>AVERAGE('26.07 RUBAGA-KABUSU-24h'!F85,'27.07 RUBAGA-KABUSU-24h'!F85)</f>
        <v>0</v>
      </c>
      <c r="G85" s="49">
        <f>AVERAGE('26.07 RUBAGA-KABUSU-24h'!G85,'27.07 RUBAGA-KABUSU-24h'!G85)</f>
        <v>0</v>
      </c>
      <c r="H85" s="49">
        <f>AVERAGE('26.07 RUBAGA-KABUSU-24h'!H85,'27.07 RUBAGA-KABUSU-24h'!H85)</f>
        <v>0.5</v>
      </c>
      <c r="I85" s="49">
        <f>AVERAGE('26.07 RUBAGA-KABUSU-24h'!I85,'27.07 RUBAGA-KABUSU-24h'!I85)</f>
        <v>1</v>
      </c>
      <c r="J85" s="49">
        <f>AVERAGE('26.07 RUBAGA-KABUSU-24h'!J85,'27.07 RUBAGA-KABUSU-24h'!J85)</f>
        <v>0</v>
      </c>
      <c r="K85" s="49">
        <f>AVERAGE('26.07 RUBAGA-KABUSU-24h'!K85,'27.07 RUBAGA-KABUSU-24h'!K85)</f>
        <v>0</v>
      </c>
      <c r="L85" s="49">
        <f>AVERAGE('26.07 RUBAGA-KABUSU-24h'!L85,'27.07 RUBAGA-KABUSU-24h'!L85)</f>
        <v>0</v>
      </c>
      <c r="M85" s="49">
        <f>AVERAGE('26.07 RUBAGA-KABUSU-24h'!M85,'27.07 RUBAGA-KABUSU-24h'!M85)</f>
        <v>25.5</v>
      </c>
      <c r="N85" s="49">
        <f>AVERAGE('26.07 RUBAGA-KABUSU-24h'!N85,'27.07 RUBAGA-KABUSU-24h'!N85)</f>
        <v>0</v>
      </c>
      <c r="O85" s="49">
        <f>AVERAGE('26.07 RUBAGA-KABUSU-24h'!O85,'27.07 RUBAGA-KABUSU-24h'!O85)</f>
        <v>16</v>
      </c>
      <c r="P85" s="49">
        <f>AVERAGE('26.07 RUBAGA-KABUSU-24h'!P85,'27.07 RUBAGA-KABUSU-24h'!P85)</f>
        <v>41.5</v>
      </c>
      <c r="R85" s="8"/>
      <c r="T85"/>
    </row>
    <row r="86" spans="2:20" ht="23.1" customHeight="1" x14ac:dyDescent="0.25">
      <c r="B86" s="24" t="s">
        <v>126</v>
      </c>
      <c r="C86" s="49">
        <f>AVERAGE('26.07 RUBAGA-KABUSU-24h'!C86,'27.07 RUBAGA-KABUSU-24h'!C86)</f>
        <v>16.5</v>
      </c>
      <c r="D86" s="49">
        <f>AVERAGE('26.07 RUBAGA-KABUSU-24h'!D86,'27.07 RUBAGA-KABUSU-24h'!D86)</f>
        <v>0.5</v>
      </c>
      <c r="E86" s="49">
        <f>AVERAGE('26.07 RUBAGA-KABUSU-24h'!E86,'27.07 RUBAGA-KABUSU-24h'!E86)</f>
        <v>0.5</v>
      </c>
      <c r="F86" s="49">
        <f>AVERAGE('26.07 RUBAGA-KABUSU-24h'!F86,'27.07 RUBAGA-KABUSU-24h'!F86)</f>
        <v>0.5</v>
      </c>
      <c r="G86" s="49">
        <f>AVERAGE('26.07 RUBAGA-KABUSU-24h'!G86,'27.07 RUBAGA-KABUSU-24h'!G86)</f>
        <v>0</v>
      </c>
      <c r="H86" s="49">
        <f>AVERAGE('26.07 RUBAGA-KABUSU-24h'!H86,'27.07 RUBAGA-KABUSU-24h'!H86)</f>
        <v>0.5</v>
      </c>
      <c r="I86" s="49">
        <f>AVERAGE('26.07 RUBAGA-KABUSU-24h'!I86,'27.07 RUBAGA-KABUSU-24h'!I86)</f>
        <v>0.5</v>
      </c>
      <c r="J86" s="49">
        <f>AVERAGE('26.07 RUBAGA-KABUSU-24h'!J86,'27.07 RUBAGA-KABUSU-24h'!J86)</f>
        <v>1.5</v>
      </c>
      <c r="K86" s="49">
        <f>AVERAGE('26.07 RUBAGA-KABUSU-24h'!K86,'27.07 RUBAGA-KABUSU-24h'!K86)</f>
        <v>0</v>
      </c>
      <c r="L86" s="49">
        <f>AVERAGE('26.07 RUBAGA-KABUSU-24h'!L86,'27.07 RUBAGA-KABUSU-24h'!L86)</f>
        <v>0</v>
      </c>
      <c r="M86" s="49">
        <f>AVERAGE('26.07 RUBAGA-KABUSU-24h'!M86,'27.07 RUBAGA-KABUSU-24h'!M86)</f>
        <v>25.5</v>
      </c>
      <c r="N86" s="49">
        <f>AVERAGE('26.07 RUBAGA-KABUSU-24h'!N86,'27.07 RUBAGA-KABUSU-24h'!N86)</f>
        <v>0.5</v>
      </c>
      <c r="O86" s="49">
        <f>AVERAGE('26.07 RUBAGA-KABUSU-24h'!O86,'27.07 RUBAGA-KABUSU-24h'!O86)</f>
        <v>21</v>
      </c>
      <c r="P86" s="49">
        <f>AVERAGE('26.07 RUBAGA-KABUSU-24h'!P86,'27.07 RUBAGA-KABUSU-24h'!P86)</f>
        <v>46.5</v>
      </c>
      <c r="R86" s="8"/>
      <c r="T86"/>
    </row>
    <row r="87" spans="2:20" ht="23.1" customHeight="1" x14ac:dyDescent="0.25">
      <c r="B87" s="23" t="s">
        <v>127</v>
      </c>
      <c r="C87" s="49">
        <f>AVERAGE('26.07 RUBAGA-KABUSU-24h'!C87,'27.07 RUBAGA-KABUSU-24h'!C87)</f>
        <v>13</v>
      </c>
      <c r="D87" s="49">
        <f>AVERAGE('26.07 RUBAGA-KABUSU-24h'!D87,'27.07 RUBAGA-KABUSU-24h'!D87)</f>
        <v>2</v>
      </c>
      <c r="E87" s="49">
        <f>AVERAGE('26.07 RUBAGA-KABUSU-24h'!E87,'27.07 RUBAGA-KABUSU-24h'!E87)</f>
        <v>0.5</v>
      </c>
      <c r="F87" s="49">
        <f>AVERAGE('26.07 RUBAGA-KABUSU-24h'!F87,'27.07 RUBAGA-KABUSU-24h'!F87)</f>
        <v>0.5</v>
      </c>
      <c r="G87" s="49">
        <f>AVERAGE('26.07 RUBAGA-KABUSU-24h'!G87,'27.07 RUBAGA-KABUSU-24h'!G87)</f>
        <v>0</v>
      </c>
      <c r="H87" s="49">
        <f>AVERAGE('26.07 RUBAGA-KABUSU-24h'!H87,'27.07 RUBAGA-KABUSU-24h'!H87)</f>
        <v>0</v>
      </c>
      <c r="I87" s="49">
        <f>AVERAGE('26.07 RUBAGA-KABUSU-24h'!I87,'27.07 RUBAGA-KABUSU-24h'!I87)</f>
        <v>0</v>
      </c>
      <c r="J87" s="49">
        <f>AVERAGE('26.07 RUBAGA-KABUSU-24h'!J87,'27.07 RUBAGA-KABUSU-24h'!J87)</f>
        <v>0</v>
      </c>
      <c r="K87" s="49">
        <f>AVERAGE('26.07 RUBAGA-KABUSU-24h'!K87,'27.07 RUBAGA-KABUSU-24h'!K87)</f>
        <v>0</v>
      </c>
      <c r="L87" s="49">
        <f>AVERAGE('26.07 RUBAGA-KABUSU-24h'!L87,'27.07 RUBAGA-KABUSU-24h'!L87)</f>
        <v>0</v>
      </c>
      <c r="M87" s="49">
        <f>AVERAGE('26.07 RUBAGA-KABUSU-24h'!M87,'27.07 RUBAGA-KABUSU-24h'!M87)</f>
        <v>20</v>
      </c>
      <c r="N87" s="49">
        <f>AVERAGE('26.07 RUBAGA-KABUSU-24h'!N87,'27.07 RUBAGA-KABUSU-24h'!N87)</f>
        <v>0</v>
      </c>
      <c r="O87" s="49">
        <f>AVERAGE('26.07 RUBAGA-KABUSU-24h'!O87,'27.07 RUBAGA-KABUSU-24h'!O87)</f>
        <v>16</v>
      </c>
      <c r="P87" s="49">
        <f>AVERAGE('26.07 RUBAGA-KABUSU-24h'!P87,'27.07 RUBAGA-KABUSU-24h'!P87)</f>
        <v>36</v>
      </c>
      <c r="R87" s="8"/>
      <c r="T87"/>
    </row>
    <row r="88" spans="2:20" ht="23.1" customHeight="1" x14ac:dyDescent="0.25">
      <c r="B88" s="25" t="s">
        <v>128</v>
      </c>
      <c r="C88" s="49">
        <f>AVERAGE('26.07 RUBAGA-KABUSU-24h'!C88,'27.07 RUBAGA-KABUSU-24h'!C88)</f>
        <v>12</v>
      </c>
      <c r="D88" s="49">
        <f>AVERAGE('26.07 RUBAGA-KABUSU-24h'!D88,'27.07 RUBAGA-KABUSU-24h'!D88)</f>
        <v>2.5</v>
      </c>
      <c r="E88" s="49">
        <f>AVERAGE('26.07 RUBAGA-KABUSU-24h'!E88,'27.07 RUBAGA-KABUSU-24h'!E88)</f>
        <v>0.5</v>
      </c>
      <c r="F88" s="49">
        <f>AVERAGE('26.07 RUBAGA-KABUSU-24h'!F88,'27.07 RUBAGA-KABUSU-24h'!F88)</f>
        <v>1</v>
      </c>
      <c r="G88" s="49">
        <f>AVERAGE('26.07 RUBAGA-KABUSU-24h'!G88,'27.07 RUBAGA-KABUSU-24h'!G88)</f>
        <v>0</v>
      </c>
      <c r="H88" s="49">
        <f>AVERAGE('26.07 RUBAGA-KABUSU-24h'!H88,'27.07 RUBAGA-KABUSU-24h'!H88)</f>
        <v>0</v>
      </c>
      <c r="I88" s="49">
        <f>AVERAGE('26.07 RUBAGA-KABUSU-24h'!I88,'27.07 RUBAGA-KABUSU-24h'!I88)</f>
        <v>1</v>
      </c>
      <c r="J88" s="49">
        <f>AVERAGE('26.07 RUBAGA-KABUSU-24h'!J88,'27.07 RUBAGA-KABUSU-24h'!J88)</f>
        <v>0.5</v>
      </c>
      <c r="K88" s="49">
        <f>AVERAGE('26.07 RUBAGA-KABUSU-24h'!K88,'27.07 RUBAGA-KABUSU-24h'!K88)</f>
        <v>0</v>
      </c>
      <c r="L88" s="49">
        <f>AVERAGE('26.07 RUBAGA-KABUSU-24h'!L88,'27.07 RUBAGA-KABUSU-24h'!L88)</f>
        <v>0</v>
      </c>
      <c r="M88" s="49">
        <f>AVERAGE('26.07 RUBAGA-KABUSU-24h'!M88,'27.07 RUBAGA-KABUSU-24h'!M88)</f>
        <v>16.5</v>
      </c>
      <c r="N88" s="49">
        <f>AVERAGE('26.07 RUBAGA-KABUSU-24h'!N88,'27.07 RUBAGA-KABUSU-24h'!N88)</f>
        <v>0</v>
      </c>
      <c r="O88" s="49">
        <f>AVERAGE('26.07 RUBAGA-KABUSU-24h'!O88,'27.07 RUBAGA-KABUSU-24h'!O88)</f>
        <v>17.5</v>
      </c>
      <c r="P88" s="49">
        <f>AVERAGE('26.07 RUBAGA-KABUSU-24h'!P88,'27.07 RUBAGA-KABUSU-24h'!P88)</f>
        <v>34</v>
      </c>
      <c r="R88" s="8"/>
      <c r="T88"/>
    </row>
    <row r="89" spans="2:20" ht="23.1" customHeight="1" x14ac:dyDescent="0.25">
      <c r="B89" s="23" t="s">
        <v>129</v>
      </c>
      <c r="C89" s="49">
        <f>AVERAGE('26.07 RUBAGA-KABUSU-24h'!C89,'27.07 RUBAGA-KABUSU-24h'!C89)</f>
        <v>12.5</v>
      </c>
      <c r="D89" s="49">
        <f>AVERAGE('26.07 RUBAGA-KABUSU-24h'!D89,'27.07 RUBAGA-KABUSU-24h'!D89)</f>
        <v>2.5</v>
      </c>
      <c r="E89" s="49">
        <f>AVERAGE('26.07 RUBAGA-KABUSU-24h'!E89,'27.07 RUBAGA-KABUSU-24h'!E89)</f>
        <v>0.5</v>
      </c>
      <c r="F89" s="49">
        <f>AVERAGE('26.07 RUBAGA-KABUSU-24h'!F89,'27.07 RUBAGA-KABUSU-24h'!F89)</f>
        <v>0</v>
      </c>
      <c r="G89" s="49">
        <f>AVERAGE('26.07 RUBAGA-KABUSU-24h'!G89,'27.07 RUBAGA-KABUSU-24h'!G89)</f>
        <v>0</v>
      </c>
      <c r="H89" s="49">
        <f>AVERAGE('26.07 RUBAGA-KABUSU-24h'!H89,'27.07 RUBAGA-KABUSU-24h'!H89)</f>
        <v>0</v>
      </c>
      <c r="I89" s="49">
        <f>AVERAGE('26.07 RUBAGA-KABUSU-24h'!I89,'27.07 RUBAGA-KABUSU-24h'!I89)</f>
        <v>0.5</v>
      </c>
      <c r="J89" s="49">
        <f>AVERAGE('26.07 RUBAGA-KABUSU-24h'!J89,'27.07 RUBAGA-KABUSU-24h'!J89)</f>
        <v>0.5</v>
      </c>
      <c r="K89" s="49">
        <f>AVERAGE('26.07 RUBAGA-KABUSU-24h'!K89,'27.07 RUBAGA-KABUSU-24h'!K89)</f>
        <v>0.5</v>
      </c>
      <c r="L89" s="49">
        <f>AVERAGE('26.07 RUBAGA-KABUSU-24h'!L89,'27.07 RUBAGA-KABUSU-24h'!L89)</f>
        <v>0</v>
      </c>
      <c r="M89" s="49">
        <f>AVERAGE('26.07 RUBAGA-KABUSU-24h'!M89,'27.07 RUBAGA-KABUSU-24h'!M89)</f>
        <v>16.5</v>
      </c>
      <c r="N89" s="49">
        <f>AVERAGE('26.07 RUBAGA-KABUSU-24h'!N89,'27.07 RUBAGA-KABUSU-24h'!N89)</f>
        <v>0</v>
      </c>
      <c r="O89" s="49">
        <f>AVERAGE('26.07 RUBAGA-KABUSU-24h'!O89,'27.07 RUBAGA-KABUSU-24h'!O89)</f>
        <v>17</v>
      </c>
      <c r="P89" s="49">
        <f>AVERAGE('26.07 RUBAGA-KABUSU-24h'!P89,'27.07 RUBAGA-KABUSU-24h'!P89)</f>
        <v>33.5</v>
      </c>
      <c r="R89" s="8"/>
      <c r="T89"/>
    </row>
    <row r="90" spans="2:20" ht="23.1" customHeight="1" x14ac:dyDescent="0.25">
      <c r="B90" s="24" t="s">
        <v>130</v>
      </c>
      <c r="C90" s="49">
        <f>AVERAGE('26.07 RUBAGA-KABUSU-24h'!C90,'27.07 RUBAGA-KABUSU-24h'!C90)</f>
        <v>65</v>
      </c>
      <c r="D90" s="49">
        <f>AVERAGE('26.07 RUBAGA-KABUSU-24h'!D90,'27.07 RUBAGA-KABUSU-24h'!D90)</f>
        <v>0</v>
      </c>
      <c r="E90" s="49">
        <f>AVERAGE('26.07 RUBAGA-KABUSU-24h'!E90,'27.07 RUBAGA-KABUSU-24h'!E90)</f>
        <v>0</v>
      </c>
      <c r="F90" s="49">
        <f>AVERAGE('26.07 RUBAGA-KABUSU-24h'!F90,'27.07 RUBAGA-KABUSU-24h'!F90)</f>
        <v>0.5</v>
      </c>
      <c r="G90" s="49">
        <f>AVERAGE('26.07 RUBAGA-KABUSU-24h'!G90,'27.07 RUBAGA-KABUSU-24h'!G90)</f>
        <v>0</v>
      </c>
      <c r="H90" s="49">
        <f>AVERAGE('26.07 RUBAGA-KABUSU-24h'!H90,'27.07 RUBAGA-KABUSU-24h'!H90)</f>
        <v>0</v>
      </c>
      <c r="I90" s="49">
        <f>AVERAGE('26.07 RUBAGA-KABUSU-24h'!I90,'27.07 RUBAGA-KABUSU-24h'!I90)</f>
        <v>0.5</v>
      </c>
      <c r="J90" s="49">
        <f>AVERAGE('26.07 RUBAGA-KABUSU-24h'!J90,'27.07 RUBAGA-KABUSU-24h'!J90)</f>
        <v>0.5</v>
      </c>
      <c r="K90" s="49">
        <f>AVERAGE('26.07 RUBAGA-KABUSU-24h'!K90,'27.07 RUBAGA-KABUSU-24h'!K90)</f>
        <v>0</v>
      </c>
      <c r="L90" s="49">
        <f>AVERAGE('26.07 RUBAGA-KABUSU-24h'!L90,'27.07 RUBAGA-KABUSU-24h'!L90)</f>
        <v>0</v>
      </c>
      <c r="M90" s="49">
        <f>AVERAGE('26.07 RUBAGA-KABUSU-24h'!M90,'27.07 RUBAGA-KABUSU-24h'!M90)</f>
        <v>29</v>
      </c>
      <c r="N90" s="49">
        <f>AVERAGE('26.07 RUBAGA-KABUSU-24h'!N90,'27.07 RUBAGA-KABUSU-24h'!N90)</f>
        <v>0</v>
      </c>
      <c r="O90" s="49">
        <f>AVERAGE('26.07 RUBAGA-KABUSU-24h'!O90,'27.07 RUBAGA-KABUSU-24h'!O90)</f>
        <v>66.5</v>
      </c>
      <c r="P90" s="49">
        <f>AVERAGE('26.07 RUBAGA-KABUSU-24h'!P90,'27.07 RUBAGA-KABUSU-24h'!P90)</f>
        <v>95.5</v>
      </c>
      <c r="R90" s="8"/>
      <c r="T90"/>
    </row>
    <row r="91" spans="2:20" ht="23.1" customHeight="1" x14ac:dyDescent="0.25">
      <c r="B91" s="23" t="s">
        <v>131</v>
      </c>
      <c r="C91" s="49">
        <f>AVERAGE('26.07 RUBAGA-KABUSU-24h'!C91,'27.07 RUBAGA-KABUSU-24h'!C91)</f>
        <v>13.5</v>
      </c>
      <c r="D91" s="49">
        <f>AVERAGE('26.07 RUBAGA-KABUSU-24h'!D91,'27.07 RUBAGA-KABUSU-24h'!D91)</f>
        <v>0.5</v>
      </c>
      <c r="E91" s="49">
        <f>AVERAGE('26.07 RUBAGA-KABUSU-24h'!E91,'27.07 RUBAGA-KABUSU-24h'!E91)</f>
        <v>0</v>
      </c>
      <c r="F91" s="49">
        <f>AVERAGE('26.07 RUBAGA-KABUSU-24h'!F91,'27.07 RUBAGA-KABUSU-24h'!F91)</f>
        <v>0</v>
      </c>
      <c r="G91" s="49">
        <f>AVERAGE('26.07 RUBAGA-KABUSU-24h'!G91,'27.07 RUBAGA-KABUSU-24h'!G91)</f>
        <v>0</v>
      </c>
      <c r="H91" s="49">
        <f>AVERAGE('26.07 RUBAGA-KABUSU-24h'!H91,'27.07 RUBAGA-KABUSU-24h'!H91)</f>
        <v>0</v>
      </c>
      <c r="I91" s="49">
        <f>AVERAGE('26.07 RUBAGA-KABUSU-24h'!I91,'27.07 RUBAGA-KABUSU-24h'!I91)</f>
        <v>0.5</v>
      </c>
      <c r="J91" s="49">
        <f>AVERAGE('26.07 RUBAGA-KABUSU-24h'!J91,'27.07 RUBAGA-KABUSU-24h'!J91)</f>
        <v>0</v>
      </c>
      <c r="K91" s="49">
        <f>AVERAGE('26.07 RUBAGA-KABUSU-24h'!K91,'27.07 RUBAGA-KABUSU-24h'!K91)</f>
        <v>0</v>
      </c>
      <c r="L91" s="49">
        <f>AVERAGE('26.07 RUBAGA-KABUSU-24h'!L91,'27.07 RUBAGA-KABUSU-24h'!L91)</f>
        <v>0</v>
      </c>
      <c r="M91" s="49">
        <f>AVERAGE('26.07 RUBAGA-KABUSU-24h'!M91,'27.07 RUBAGA-KABUSU-24h'!M91)</f>
        <v>33.5</v>
      </c>
      <c r="N91" s="49">
        <f>AVERAGE('26.07 RUBAGA-KABUSU-24h'!N91,'27.07 RUBAGA-KABUSU-24h'!N91)</f>
        <v>0</v>
      </c>
      <c r="O91" s="49">
        <f>AVERAGE('26.07 RUBAGA-KABUSU-24h'!O91,'27.07 RUBAGA-KABUSU-24h'!O91)</f>
        <v>14.5</v>
      </c>
      <c r="P91" s="49">
        <f>AVERAGE('26.07 RUBAGA-KABUSU-24h'!P91,'27.07 RUBAGA-KABUSU-24h'!P91)</f>
        <v>48</v>
      </c>
      <c r="R91" s="8"/>
      <c r="T91"/>
    </row>
    <row r="92" spans="2:20" ht="23.1" customHeight="1" x14ac:dyDescent="0.25">
      <c r="B92" s="25" t="s">
        <v>132</v>
      </c>
      <c r="C92" s="49">
        <f>AVERAGE('26.07 RUBAGA-KABUSU-24h'!C92,'27.07 RUBAGA-KABUSU-24h'!C92)</f>
        <v>9</v>
      </c>
      <c r="D92" s="49">
        <f>AVERAGE('26.07 RUBAGA-KABUSU-24h'!D92,'27.07 RUBAGA-KABUSU-24h'!D92)</f>
        <v>0.5</v>
      </c>
      <c r="E92" s="49">
        <f>AVERAGE('26.07 RUBAGA-KABUSU-24h'!E92,'27.07 RUBAGA-KABUSU-24h'!E92)</f>
        <v>0</v>
      </c>
      <c r="F92" s="49">
        <f>AVERAGE('26.07 RUBAGA-KABUSU-24h'!F92,'27.07 RUBAGA-KABUSU-24h'!F92)</f>
        <v>1</v>
      </c>
      <c r="G92" s="49">
        <f>AVERAGE('26.07 RUBAGA-KABUSU-24h'!G92,'27.07 RUBAGA-KABUSU-24h'!G92)</f>
        <v>0</v>
      </c>
      <c r="H92" s="49">
        <f>AVERAGE('26.07 RUBAGA-KABUSU-24h'!H92,'27.07 RUBAGA-KABUSU-24h'!H92)</f>
        <v>0</v>
      </c>
      <c r="I92" s="49">
        <f>AVERAGE('26.07 RUBAGA-KABUSU-24h'!I92,'27.07 RUBAGA-KABUSU-24h'!I92)</f>
        <v>0.5</v>
      </c>
      <c r="J92" s="49">
        <f>AVERAGE('26.07 RUBAGA-KABUSU-24h'!J92,'27.07 RUBAGA-KABUSU-24h'!J92)</f>
        <v>0</v>
      </c>
      <c r="K92" s="49">
        <f>AVERAGE('26.07 RUBAGA-KABUSU-24h'!K92,'27.07 RUBAGA-KABUSU-24h'!K92)</f>
        <v>0</v>
      </c>
      <c r="L92" s="49">
        <f>AVERAGE('26.07 RUBAGA-KABUSU-24h'!L92,'27.07 RUBAGA-KABUSU-24h'!L92)</f>
        <v>0</v>
      </c>
      <c r="M92" s="49">
        <f>AVERAGE('26.07 RUBAGA-KABUSU-24h'!M92,'27.07 RUBAGA-KABUSU-24h'!M92)</f>
        <v>12</v>
      </c>
      <c r="N92" s="49">
        <f>AVERAGE('26.07 RUBAGA-KABUSU-24h'!N92,'27.07 RUBAGA-KABUSU-24h'!N92)</f>
        <v>0</v>
      </c>
      <c r="O92" s="49">
        <f>AVERAGE('26.07 RUBAGA-KABUSU-24h'!O92,'27.07 RUBAGA-KABUSU-24h'!O92)</f>
        <v>11</v>
      </c>
      <c r="P92" s="49">
        <f>AVERAGE('26.07 RUBAGA-KABUSU-24h'!P92,'27.07 RUBAGA-KABUSU-24h'!P92)</f>
        <v>23</v>
      </c>
      <c r="R92" s="8"/>
      <c r="T92"/>
    </row>
    <row r="93" spans="2:20" ht="23.1" customHeight="1" x14ac:dyDescent="0.25">
      <c r="B93" s="23" t="s">
        <v>133</v>
      </c>
      <c r="C93" s="49">
        <f>AVERAGE('26.07 RUBAGA-KABUSU-24h'!C93,'27.07 RUBAGA-KABUSU-24h'!C93)</f>
        <v>5.5</v>
      </c>
      <c r="D93" s="49">
        <f>AVERAGE('26.07 RUBAGA-KABUSU-24h'!D93,'27.07 RUBAGA-KABUSU-24h'!D93)</f>
        <v>0</v>
      </c>
      <c r="E93" s="49">
        <f>AVERAGE('26.07 RUBAGA-KABUSU-24h'!E93,'27.07 RUBAGA-KABUSU-24h'!E93)</f>
        <v>0</v>
      </c>
      <c r="F93" s="49">
        <f>AVERAGE('26.07 RUBAGA-KABUSU-24h'!F93,'27.07 RUBAGA-KABUSU-24h'!F93)</f>
        <v>1.5</v>
      </c>
      <c r="G93" s="49">
        <f>AVERAGE('26.07 RUBAGA-KABUSU-24h'!G93,'27.07 RUBAGA-KABUSU-24h'!G93)</f>
        <v>0</v>
      </c>
      <c r="H93" s="49">
        <f>AVERAGE('26.07 RUBAGA-KABUSU-24h'!H93,'27.07 RUBAGA-KABUSU-24h'!H93)</f>
        <v>0</v>
      </c>
      <c r="I93" s="49">
        <f>AVERAGE('26.07 RUBAGA-KABUSU-24h'!I93,'27.07 RUBAGA-KABUSU-24h'!I93)</f>
        <v>0</v>
      </c>
      <c r="J93" s="49">
        <f>AVERAGE('26.07 RUBAGA-KABUSU-24h'!J93,'27.07 RUBAGA-KABUSU-24h'!J93)</f>
        <v>0</v>
      </c>
      <c r="K93" s="49">
        <f>AVERAGE('26.07 RUBAGA-KABUSU-24h'!K93,'27.07 RUBAGA-KABUSU-24h'!K93)</f>
        <v>0</v>
      </c>
      <c r="L93" s="49">
        <f>AVERAGE('26.07 RUBAGA-KABUSU-24h'!L93,'27.07 RUBAGA-KABUSU-24h'!L93)</f>
        <v>0</v>
      </c>
      <c r="M93" s="49">
        <f>AVERAGE('26.07 RUBAGA-KABUSU-24h'!M93,'27.07 RUBAGA-KABUSU-24h'!M93)</f>
        <v>12</v>
      </c>
      <c r="N93" s="49">
        <f>AVERAGE('26.07 RUBAGA-KABUSU-24h'!N93,'27.07 RUBAGA-KABUSU-24h'!N93)</f>
        <v>0</v>
      </c>
      <c r="O93" s="49">
        <f>AVERAGE('26.07 RUBAGA-KABUSU-24h'!O93,'27.07 RUBAGA-KABUSU-24h'!O93)</f>
        <v>7</v>
      </c>
      <c r="P93" s="49">
        <f>AVERAGE('26.07 RUBAGA-KABUSU-24h'!P93,'27.07 RUBAGA-KABUSU-24h'!P93)</f>
        <v>19</v>
      </c>
      <c r="R93" s="8"/>
      <c r="T93"/>
    </row>
    <row r="94" spans="2:20" ht="23.1" customHeight="1" x14ac:dyDescent="0.25">
      <c r="B94" s="24" t="s">
        <v>134</v>
      </c>
      <c r="C94" s="49">
        <f>AVERAGE('26.07 RUBAGA-KABUSU-24h'!C94,'27.07 RUBAGA-KABUSU-24h'!C94)</f>
        <v>10</v>
      </c>
      <c r="D94" s="49">
        <f>AVERAGE('26.07 RUBAGA-KABUSU-24h'!D94,'27.07 RUBAGA-KABUSU-24h'!D94)</f>
        <v>0.5</v>
      </c>
      <c r="E94" s="49">
        <f>AVERAGE('26.07 RUBAGA-KABUSU-24h'!E94,'27.07 RUBAGA-KABUSU-24h'!E94)</f>
        <v>0.5</v>
      </c>
      <c r="F94" s="49">
        <f>AVERAGE('26.07 RUBAGA-KABUSU-24h'!F94,'27.07 RUBAGA-KABUSU-24h'!F94)</f>
        <v>0.5</v>
      </c>
      <c r="G94" s="49">
        <f>AVERAGE('26.07 RUBAGA-KABUSU-24h'!G94,'27.07 RUBAGA-KABUSU-24h'!G94)</f>
        <v>0</v>
      </c>
      <c r="H94" s="49">
        <f>AVERAGE('26.07 RUBAGA-KABUSU-24h'!H94,'27.07 RUBAGA-KABUSU-24h'!H94)</f>
        <v>0</v>
      </c>
      <c r="I94" s="49">
        <f>AVERAGE('26.07 RUBAGA-KABUSU-24h'!I94,'27.07 RUBAGA-KABUSU-24h'!I94)</f>
        <v>0</v>
      </c>
      <c r="J94" s="49">
        <f>AVERAGE('26.07 RUBAGA-KABUSU-24h'!J94,'27.07 RUBAGA-KABUSU-24h'!J94)</f>
        <v>0</v>
      </c>
      <c r="K94" s="49">
        <f>AVERAGE('26.07 RUBAGA-KABUSU-24h'!K94,'27.07 RUBAGA-KABUSU-24h'!K94)</f>
        <v>0</v>
      </c>
      <c r="L94" s="49">
        <f>AVERAGE('26.07 RUBAGA-KABUSU-24h'!L94,'27.07 RUBAGA-KABUSU-24h'!L94)</f>
        <v>0</v>
      </c>
      <c r="M94" s="49">
        <f>AVERAGE('26.07 RUBAGA-KABUSU-24h'!M94,'27.07 RUBAGA-KABUSU-24h'!M94)</f>
        <v>31.5</v>
      </c>
      <c r="N94" s="49">
        <f>AVERAGE('26.07 RUBAGA-KABUSU-24h'!N94,'27.07 RUBAGA-KABUSU-24h'!N94)</f>
        <v>0</v>
      </c>
      <c r="O94" s="49">
        <f>AVERAGE('26.07 RUBAGA-KABUSU-24h'!O94,'27.07 RUBAGA-KABUSU-24h'!O94)</f>
        <v>11.5</v>
      </c>
      <c r="P94" s="49">
        <f>AVERAGE('26.07 RUBAGA-KABUSU-24h'!P94,'27.07 RUBAGA-KABUSU-24h'!P94)</f>
        <v>43</v>
      </c>
      <c r="R94" s="8"/>
      <c r="T94"/>
    </row>
    <row r="95" spans="2:20" ht="23.1" customHeight="1" x14ac:dyDescent="0.25">
      <c r="B95" s="23" t="s">
        <v>135</v>
      </c>
      <c r="C95" s="49">
        <f>AVERAGE('26.07 RUBAGA-KABUSU-24h'!C95,'27.07 RUBAGA-KABUSU-24h'!C95)</f>
        <v>6.5</v>
      </c>
      <c r="D95" s="49">
        <f>AVERAGE('26.07 RUBAGA-KABUSU-24h'!D95,'27.07 RUBAGA-KABUSU-24h'!D95)</f>
        <v>1</v>
      </c>
      <c r="E95" s="49">
        <f>AVERAGE('26.07 RUBAGA-KABUSU-24h'!E95,'27.07 RUBAGA-KABUSU-24h'!E95)</f>
        <v>0</v>
      </c>
      <c r="F95" s="49">
        <f>AVERAGE('26.07 RUBAGA-KABUSU-24h'!F95,'27.07 RUBAGA-KABUSU-24h'!F95)</f>
        <v>0.5</v>
      </c>
      <c r="G95" s="49">
        <f>AVERAGE('26.07 RUBAGA-KABUSU-24h'!G95,'27.07 RUBAGA-KABUSU-24h'!G95)</f>
        <v>0</v>
      </c>
      <c r="H95" s="49">
        <f>AVERAGE('26.07 RUBAGA-KABUSU-24h'!H95,'27.07 RUBAGA-KABUSU-24h'!H95)</f>
        <v>0.5</v>
      </c>
      <c r="I95" s="49">
        <f>AVERAGE('26.07 RUBAGA-KABUSU-24h'!I95,'27.07 RUBAGA-KABUSU-24h'!I95)</f>
        <v>0.5</v>
      </c>
      <c r="J95" s="49">
        <f>AVERAGE('26.07 RUBAGA-KABUSU-24h'!J95,'27.07 RUBAGA-KABUSU-24h'!J95)</f>
        <v>0</v>
      </c>
      <c r="K95" s="49">
        <f>AVERAGE('26.07 RUBAGA-KABUSU-24h'!K95,'27.07 RUBAGA-KABUSU-24h'!K95)</f>
        <v>0</v>
      </c>
      <c r="L95" s="49">
        <f>AVERAGE('26.07 RUBAGA-KABUSU-24h'!L95,'27.07 RUBAGA-KABUSU-24h'!L95)</f>
        <v>0</v>
      </c>
      <c r="M95" s="49">
        <f>AVERAGE('26.07 RUBAGA-KABUSU-24h'!M95,'27.07 RUBAGA-KABUSU-24h'!M95)</f>
        <v>14</v>
      </c>
      <c r="N95" s="49">
        <f>AVERAGE('26.07 RUBAGA-KABUSU-24h'!N95,'27.07 RUBAGA-KABUSU-24h'!N95)</f>
        <v>0</v>
      </c>
      <c r="O95" s="49">
        <f>AVERAGE('26.07 RUBAGA-KABUSU-24h'!O95,'27.07 RUBAGA-KABUSU-24h'!O95)</f>
        <v>9</v>
      </c>
      <c r="P95" s="49">
        <f>AVERAGE('26.07 RUBAGA-KABUSU-24h'!P95,'27.07 RUBAGA-KABUSU-24h'!P95)</f>
        <v>23</v>
      </c>
      <c r="R95" s="8"/>
      <c r="T95"/>
    </row>
    <row r="96" spans="2:20" ht="23.1" customHeight="1" x14ac:dyDescent="0.25">
      <c r="B96" s="25" t="s">
        <v>136</v>
      </c>
      <c r="C96" s="49">
        <f>AVERAGE('26.07 RUBAGA-KABUSU-24h'!C96,'27.07 RUBAGA-KABUSU-24h'!C96)</f>
        <v>8.5</v>
      </c>
      <c r="D96" s="49">
        <f>AVERAGE('26.07 RUBAGA-KABUSU-24h'!D96,'27.07 RUBAGA-KABUSU-24h'!D96)</f>
        <v>0</v>
      </c>
      <c r="E96" s="49">
        <f>AVERAGE('26.07 RUBAGA-KABUSU-24h'!E96,'27.07 RUBAGA-KABUSU-24h'!E96)</f>
        <v>0.5</v>
      </c>
      <c r="F96" s="49">
        <f>AVERAGE('26.07 RUBAGA-KABUSU-24h'!F96,'27.07 RUBAGA-KABUSU-24h'!F96)</f>
        <v>2</v>
      </c>
      <c r="G96" s="49">
        <f>AVERAGE('26.07 RUBAGA-KABUSU-24h'!G96,'27.07 RUBAGA-KABUSU-24h'!G96)</f>
        <v>0</v>
      </c>
      <c r="H96" s="49">
        <f>AVERAGE('26.07 RUBAGA-KABUSU-24h'!H96,'27.07 RUBAGA-KABUSU-24h'!H96)</f>
        <v>0</v>
      </c>
      <c r="I96" s="49">
        <f>AVERAGE('26.07 RUBAGA-KABUSU-24h'!I96,'27.07 RUBAGA-KABUSU-24h'!I96)</f>
        <v>2</v>
      </c>
      <c r="J96" s="49">
        <f>AVERAGE('26.07 RUBAGA-KABUSU-24h'!J96,'27.07 RUBAGA-KABUSU-24h'!J96)</f>
        <v>0</v>
      </c>
      <c r="K96" s="49">
        <f>AVERAGE('26.07 RUBAGA-KABUSU-24h'!K96,'27.07 RUBAGA-KABUSU-24h'!K96)</f>
        <v>0</v>
      </c>
      <c r="L96" s="49">
        <f>AVERAGE('26.07 RUBAGA-KABUSU-24h'!L96,'27.07 RUBAGA-KABUSU-24h'!L96)</f>
        <v>0</v>
      </c>
      <c r="M96" s="49">
        <f>AVERAGE('26.07 RUBAGA-KABUSU-24h'!M96,'27.07 RUBAGA-KABUSU-24h'!M96)</f>
        <v>22</v>
      </c>
      <c r="N96" s="49">
        <f>AVERAGE('26.07 RUBAGA-KABUSU-24h'!N96,'27.07 RUBAGA-KABUSU-24h'!N96)</f>
        <v>0</v>
      </c>
      <c r="O96" s="49">
        <f>AVERAGE('26.07 RUBAGA-KABUSU-24h'!O96,'27.07 RUBAGA-KABUSU-24h'!O96)</f>
        <v>13</v>
      </c>
      <c r="P96" s="49">
        <f>AVERAGE('26.07 RUBAGA-KABUSU-24h'!P96,'27.07 RUBAGA-KABUSU-24h'!P96)</f>
        <v>35</v>
      </c>
      <c r="R96" s="8"/>
      <c r="T96"/>
    </row>
    <row r="97" spans="2:20" ht="23.1" customHeight="1" x14ac:dyDescent="0.25">
      <c r="B97" s="23" t="s">
        <v>137</v>
      </c>
      <c r="C97" s="49">
        <f>AVERAGE('26.07 RUBAGA-KABUSU-24h'!C97,'27.07 RUBAGA-KABUSU-24h'!C97)</f>
        <v>8</v>
      </c>
      <c r="D97" s="49">
        <f>AVERAGE('26.07 RUBAGA-KABUSU-24h'!D97,'27.07 RUBAGA-KABUSU-24h'!D97)</f>
        <v>1</v>
      </c>
      <c r="E97" s="49">
        <f>AVERAGE('26.07 RUBAGA-KABUSU-24h'!E97,'27.07 RUBAGA-KABUSU-24h'!E97)</f>
        <v>0</v>
      </c>
      <c r="F97" s="49">
        <f>AVERAGE('26.07 RUBAGA-KABUSU-24h'!F97,'27.07 RUBAGA-KABUSU-24h'!F97)</f>
        <v>1.5</v>
      </c>
      <c r="G97" s="49">
        <f>AVERAGE('26.07 RUBAGA-KABUSU-24h'!G97,'27.07 RUBAGA-KABUSU-24h'!G97)</f>
        <v>0</v>
      </c>
      <c r="H97" s="49">
        <f>AVERAGE('26.07 RUBAGA-KABUSU-24h'!H97,'27.07 RUBAGA-KABUSU-24h'!H97)</f>
        <v>0</v>
      </c>
      <c r="I97" s="49">
        <f>AVERAGE('26.07 RUBAGA-KABUSU-24h'!I97,'27.07 RUBAGA-KABUSU-24h'!I97)</f>
        <v>0.5</v>
      </c>
      <c r="J97" s="49">
        <f>AVERAGE('26.07 RUBAGA-KABUSU-24h'!J97,'27.07 RUBAGA-KABUSU-24h'!J97)</f>
        <v>0.5</v>
      </c>
      <c r="K97" s="49">
        <f>AVERAGE('26.07 RUBAGA-KABUSU-24h'!K97,'27.07 RUBAGA-KABUSU-24h'!K97)</f>
        <v>0</v>
      </c>
      <c r="L97" s="49">
        <f>AVERAGE('26.07 RUBAGA-KABUSU-24h'!L97,'27.07 RUBAGA-KABUSU-24h'!L97)</f>
        <v>0</v>
      </c>
      <c r="M97" s="49">
        <f>AVERAGE('26.07 RUBAGA-KABUSU-24h'!M97,'27.07 RUBAGA-KABUSU-24h'!M97)</f>
        <v>25.5</v>
      </c>
      <c r="N97" s="49">
        <f>AVERAGE('26.07 RUBAGA-KABUSU-24h'!N97,'27.07 RUBAGA-KABUSU-24h'!N97)</f>
        <v>0</v>
      </c>
      <c r="O97" s="49">
        <f>AVERAGE('26.07 RUBAGA-KABUSU-24h'!O97,'27.07 RUBAGA-KABUSU-24h'!O97)</f>
        <v>11.5</v>
      </c>
      <c r="P97" s="49">
        <f>AVERAGE('26.07 RUBAGA-KABUSU-24h'!P97,'27.07 RUBAGA-KABUSU-24h'!P97)</f>
        <v>37</v>
      </c>
      <c r="R97" s="8"/>
      <c r="T97"/>
    </row>
    <row r="98" spans="2:20" ht="23.1" customHeight="1" x14ac:dyDescent="0.25">
      <c r="B98" s="24" t="s">
        <v>138</v>
      </c>
      <c r="C98" s="49">
        <f>AVERAGE('26.07 RUBAGA-KABUSU-24h'!C98,'27.07 RUBAGA-KABUSU-24h'!C98)</f>
        <v>8</v>
      </c>
      <c r="D98" s="49">
        <f>AVERAGE('26.07 RUBAGA-KABUSU-24h'!D98,'27.07 RUBAGA-KABUSU-24h'!D98)</f>
        <v>1.5</v>
      </c>
      <c r="E98" s="49">
        <f>AVERAGE('26.07 RUBAGA-KABUSU-24h'!E98,'27.07 RUBAGA-KABUSU-24h'!E98)</f>
        <v>0</v>
      </c>
      <c r="F98" s="49">
        <f>AVERAGE('26.07 RUBAGA-KABUSU-24h'!F98,'27.07 RUBAGA-KABUSU-24h'!F98)</f>
        <v>3</v>
      </c>
      <c r="G98" s="49">
        <f>AVERAGE('26.07 RUBAGA-KABUSU-24h'!G98,'27.07 RUBAGA-KABUSU-24h'!G98)</f>
        <v>0</v>
      </c>
      <c r="H98" s="49">
        <f>AVERAGE('26.07 RUBAGA-KABUSU-24h'!H98,'27.07 RUBAGA-KABUSU-24h'!H98)</f>
        <v>0.5</v>
      </c>
      <c r="I98" s="49">
        <f>AVERAGE('26.07 RUBAGA-KABUSU-24h'!I98,'27.07 RUBAGA-KABUSU-24h'!I98)</f>
        <v>0.5</v>
      </c>
      <c r="J98" s="49">
        <f>AVERAGE('26.07 RUBAGA-KABUSU-24h'!J98,'27.07 RUBAGA-KABUSU-24h'!J98)</f>
        <v>2</v>
      </c>
      <c r="K98" s="49">
        <f>AVERAGE('26.07 RUBAGA-KABUSU-24h'!K98,'27.07 RUBAGA-KABUSU-24h'!K98)</f>
        <v>0.5</v>
      </c>
      <c r="L98" s="49">
        <f>AVERAGE('26.07 RUBAGA-KABUSU-24h'!L98,'27.07 RUBAGA-KABUSU-24h'!L98)</f>
        <v>0</v>
      </c>
      <c r="M98" s="49">
        <f>AVERAGE('26.07 RUBAGA-KABUSU-24h'!M98,'27.07 RUBAGA-KABUSU-24h'!M98)</f>
        <v>14</v>
      </c>
      <c r="N98" s="49">
        <f>AVERAGE('26.07 RUBAGA-KABUSU-24h'!N98,'27.07 RUBAGA-KABUSU-24h'!N98)</f>
        <v>0</v>
      </c>
      <c r="O98" s="49">
        <f>AVERAGE('26.07 RUBAGA-KABUSU-24h'!O98,'27.07 RUBAGA-KABUSU-24h'!O98)</f>
        <v>16</v>
      </c>
      <c r="P98" s="49">
        <f>AVERAGE('26.07 RUBAGA-KABUSU-24h'!P98,'27.07 RUBAGA-KABUSU-24h'!P98)</f>
        <v>30</v>
      </c>
      <c r="R98" s="8"/>
      <c r="T98"/>
    </row>
    <row r="99" spans="2:20" ht="23.1" customHeight="1" x14ac:dyDescent="0.25">
      <c r="B99" s="23" t="s">
        <v>139</v>
      </c>
      <c r="C99" s="49">
        <f>AVERAGE('26.07 RUBAGA-KABUSU-24h'!C99,'27.07 RUBAGA-KABUSU-24h'!C99)</f>
        <v>11.5</v>
      </c>
      <c r="D99" s="49">
        <f>AVERAGE('26.07 RUBAGA-KABUSU-24h'!D99,'27.07 RUBAGA-KABUSU-24h'!D99)</f>
        <v>0</v>
      </c>
      <c r="E99" s="49">
        <f>AVERAGE('26.07 RUBAGA-KABUSU-24h'!E99,'27.07 RUBAGA-KABUSU-24h'!E99)</f>
        <v>0.5</v>
      </c>
      <c r="F99" s="49">
        <f>AVERAGE('26.07 RUBAGA-KABUSU-24h'!F99,'27.07 RUBAGA-KABUSU-24h'!F99)</f>
        <v>6.5</v>
      </c>
      <c r="G99" s="49">
        <f>AVERAGE('26.07 RUBAGA-KABUSU-24h'!G99,'27.07 RUBAGA-KABUSU-24h'!G99)</f>
        <v>0</v>
      </c>
      <c r="H99" s="49">
        <f>AVERAGE('26.07 RUBAGA-KABUSU-24h'!H99,'27.07 RUBAGA-KABUSU-24h'!H99)</f>
        <v>0</v>
      </c>
      <c r="I99" s="49">
        <f>AVERAGE('26.07 RUBAGA-KABUSU-24h'!I99,'27.07 RUBAGA-KABUSU-24h'!I99)</f>
        <v>0</v>
      </c>
      <c r="J99" s="49">
        <f>AVERAGE('26.07 RUBAGA-KABUSU-24h'!J99,'27.07 RUBAGA-KABUSU-24h'!J99)</f>
        <v>0</v>
      </c>
      <c r="K99" s="49">
        <f>AVERAGE('26.07 RUBAGA-KABUSU-24h'!K99,'27.07 RUBAGA-KABUSU-24h'!K99)</f>
        <v>0.5</v>
      </c>
      <c r="L99" s="49">
        <f>AVERAGE('26.07 RUBAGA-KABUSU-24h'!L99,'27.07 RUBAGA-KABUSU-24h'!L99)</f>
        <v>1</v>
      </c>
      <c r="M99" s="49">
        <f>AVERAGE('26.07 RUBAGA-KABUSU-24h'!M99,'27.07 RUBAGA-KABUSU-24h'!M99)</f>
        <v>15</v>
      </c>
      <c r="N99" s="49">
        <f>AVERAGE('26.07 RUBAGA-KABUSU-24h'!N99,'27.07 RUBAGA-KABUSU-24h'!N99)</f>
        <v>0</v>
      </c>
      <c r="O99" s="49">
        <f>AVERAGE('26.07 RUBAGA-KABUSU-24h'!O99,'27.07 RUBAGA-KABUSU-24h'!O99)</f>
        <v>20</v>
      </c>
      <c r="P99" s="49">
        <f>AVERAGE('26.07 RUBAGA-KABUSU-24h'!P99,'27.07 RUBAGA-KABUSU-24h'!P99)</f>
        <v>35</v>
      </c>
      <c r="R99" s="8"/>
      <c r="T99"/>
    </row>
    <row r="100" spans="2:20" ht="23.1" customHeight="1" x14ac:dyDescent="0.25">
      <c r="B100" s="25" t="s">
        <v>140</v>
      </c>
      <c r="C100" s="49">
        <f>AVERAGE('26.07 RUBAGA-KABUSU-24h'!C100,'27.07 RUBAGA-KABUSU-24h'!C100)</f>
        <v>11</v>
      </c>
      <c r="D100" s="49">
        <f>AVERAGE('26.07 RUBAGA-KABUSU-24h'!D100,'27.07 RUBAGA-KABUSU-24h'!D100)</f>
        <v>2</v>
      </c>
      <c r="E100" s="49">
        <f>AVERAGE('26.07 RUBAGA-KABUSU-24h'!E100,'27.07 RUBAGA-KABUSU-24h'!E100)</f>
        <v>1</v>
      </c>
      <c r="F100" s="49">
        <f>AVERAGE('26.07 RUBAGA-KABUSU-24h'!F100,'27.07 RUBAGA-KABUSU-24h'!F100)</f>
        <v>8</v>
      </c>
      <c r="G100" s="49">
        <f>AVERAGE('26.07 RUBAGA-KABUSU-24h'!G100,'27.07 RUBAGA-KABUSU-24h'!G100)</f>
        <v>0</v>
      </c>
      <c r="H100" s="49">
        <f>AVERAGE('26.07 RUBAGA-KABUSU-24h'!H100,'27.07 RUBAGA-KABUSU-24h'!H100)</f>
        <v>0</v>
      </c>
      <c r="I100" s="49">
        <f>AVERAGE('26.07 RUBAGA-KABUSU-24h'!I100,'27.07 RUBAGA-KABUSU-24h'!I100)</f>
        <v>1</v>
      </c>
      <c r="J100" s="49">
        <f>AVERAGE('26.07 RUBAGA-KABUSU-24h'!J100,'27.07 RUBAGA-KABUSU-24h'!J100)</f>
        <v>0.5</v>
      </c>
      <c r="K100" s="49">
        <f>AVERAGE('26.07 RUBAGA-KABUSU-24h'!K100,'27.07 RUBAGA-KABUSU-24h'!K100)</f>
        <v>0.5</v>
      </c>
      <c r="L100" s="49">
        <f>AVERAGE('26.07 RUBAGA-KABUSU-24h'!L100,'27.07 RUBAGA-KABUSU-24h'!L100)</f>
        <v>0.5</v>
      </c>
      <c r="M100" s="49">
        <f>AVERAGE('26.07 RUBAGA-KABUSU-24h'!M100,'27.07 RUBAGA-KABUSU-24h'!M100)</f>
        <v>31.5</v>
      </c>
      <c r="N100" s="49">
        <f>AVERAGE('26.07 RUBAGA-KABUSU-24h'!N100,'27.07 RUBAGA-KABUSU-24h'!N100)</f>
        <v>0</v>
      </c>
      <c r="O100" s="49">
        <f>AVERAGE('26.07 RUBAGA-KABUSU-24h'!O100,'27.07 RUBAGA-KABUSU-24h'!O100)</f>
        <v>24.5</v>
      </c>
      <c r="P100" s="49">
        <f>AVERAGE('26.07 RUBAGA-KABUSU-24h'!P100,'27.07 RUBAGA-KABUSU-24h'!P100)</f>
        <v>56</v>
      </c>
      <c r="R100" s="8"/>
      <c r="T100"/>
    </row>
    <row r="101" spans="2:20" ht="23.1" customHeight="1" x14ac:dyDescent="0.25">
      <c r="B101" s="23" t="s">
        <v>141</v>
      </c>
      <c r="C101" s="49">
        <f>AVERAGE('26.07 RUBAGA-KABUSU-24h'!C101,'27.07 RUBAGA-KABUSU-24h'!C101)</f>
        <v>9</v>
      </c>
      <c r="D101" s="49">
        <f>AVERAGE('26.07 RUBAGA-KABUSU-24h'!D101,'27.07 RUBAGA-KABUSU-24h'!D101)</f>
        <v>5</v>
      </c>
      <c r="E101" s="49">
        <f>AVERAGE('26.07 RUBAGA-KABUSU-24h'!E101,'27.07 RUBAGA-KABUSU-24h'!E101)</f>
        <v>1</v>
      </c>
      <c r="F101" s="49">
        <f>AVERAGE('26.07 RUBAGA-KABUSU-24h'!F101,'27.07 RUBAGA-KABUSU-24h'!F101)</f>
        <v>3.5</v>
      </c>
      <c r="G101" s="49">
        <f>AVERAGE('26.07 RUBAGA-KABUSU-24h'!G101,'27.07 RUBAGA-KABUSU-24h'!G101)</f>
        <v>0</v>
      </c>
      <c r="H101" s="49">
        <f>AVERAGE('26.07 RUBAGA-KABUSU-24h'!H101,'27.07 RUBAGA-KABUSU-24h'!H101)</f>
        <v>0.5</v>
      </c>
      <c r="I101" s="49">
        <f>AVERAGE('26.07 RUBAGA-KABUSU-24h'!I101,'27.07 RUBAGA-KABUSU-24h'!I101)</f>
        <v>0</v>
      </c>
      <c r="J101" s="49">
        <f>AVERAGE('26.07 RUBAGA-KABUSU-24h'!J101,'27.07 RUBAGA-KABUSU-24h'!J101)</f>
        <v>1</v>
      </c>
      <c r="K101" s="49">
        <f>AVERAGE('26.07 RUBAGA-KABUSU-24h'!K101,'27.07 RUBAGA-KABUSU-24h'!K101)</f>
        <v>2.5</v>
      </c>
      <c r="L101" s="49">
        <f>AVERAGE('26.07 RUBAGA-KABUSU-24h'!L101,'27.07 RUBAGA-KABUSU-24h'!L101)</f>
        <v>1</v>
      </c>
      <c r="M101" s="49">
        <f>AVERAGE('26.07 RUBAGA-KABUSU-24h'!M101,'27.07 RUBAGA-KABUSU-24h'!M101)</f>
        <v>27.5</v>
      </c>
      <c r="N101" s="49">
        <f>AVERAGE('26.07 RUBAGA-KABUSU-24h'!N101,'27.07 RUBAGA-KABUSU-24h'!N101)</f>
        <v>0</v>
      </c>
      <c r="O101" s="49">
        <f>AVERAGE('26.07 RUBAGA-KABUSU-24h'!O101,'27.07 RUBAGA-KABUSU-24h'!O101)</f>
        <v>23.5</v>
      </c>
      <c r="P101" s="49">
        <f>AVERAGE('26.07 RUBAGA-KABUSU-24h'!P101,'27.07 RUBAGA-KABUSU-24h'!P101)</f>
        <v>51</v>
      </c>
      <c r="R101" s="8"/>
      <c r="T101"/>
    </row>
    <row r="102" spans="2:20" ht="23.1" customHeight="1" x14ac:dyDescent="0.25">
      <c r="B102" s="24" t="s">
        <v>142</v>
      </c>
      <c r="C102" s="49">
        <f>AVERAGE('26.07 RUBAGA-KABUSU-24h'!C102,'27.07 RUBAGA-KABUSU-24h'!C102)</f>
        <v>9.5</v>
      </c>
      <c r="D102" s="49">
        <f>AVERAGE('26.07 RUBAGA-KABUSU-24h'!D102,'27.07 RUBAGA-KABUSU-24h'!D102)</f>
        <v>0</v>
      </c>
      <c r="E102" s="49">
        <f>AVERAGE('26.07 RUBAGA-KABUSU-24h'!E102,'27.07 RUBAGA-KABUSU-24h'!E102)</f>
        <v>0.5</v>
      </c>
      <c r="F102" s="49">
        <f>AVERAGE('26.07 RUBAGA-KABUSU-24h'!F102,'27.07 RUBAGA-KABUSU-24h'!F102)</f>
        <v>14</v>
      </c>
      <c r="G102" s="49">
        <f>AVERAGE('26.07 RUBAGA-KABUSU-24h'!G102,'27.07 RUBAGA-KABUSU-24h'!G102)</f>
        <v>0.5</v>
      </c>
      <c r="H102" s="49">
        <f>AVERAGE('26.07 RUBAGA-KABUSU-24h'!H102,'27.07 RUBAGA-KABUSU-24h'!H102)</f>
        <v>1.5</v>
      </c>
      <c r="I102" s="49">
        <f>AVERAGE('26.07 RUBAGA-KABUSU-24h'!I102,'27.07 RUBAGA-KABUSU-24h'!I102)</f>
        <v>1</v>
      </c>
      <c r="J102" s="49">
        <f>AVERAGE('26.07 RUBAGA-KABUSU-24h'!J102,'27.07 RUBAGA-KABUSU-24h'!J102)</f>
        <v>1.5</v>
      </c>
      <c r="K102" s="49">
        <f>AVERAGE('26.07 RUBAGA-KABUSU-24h'!K102,'27.07 RUBAGA-KABUSU-24h'!K102)</f>
        <v>1</v>
      </c>
      <c r="L102" s="49">
        <f>AVERAGE('26.07 RUBAGA-KABUSU-24h'!L102,'27.07 RUBAGA-KABUSU-24h'!L102)</f>
        <v>1</v>
      </c>
      <c r="M102" s="49">
        <f>AVERAGE('26.07 RUBAGA-KABUSU-24h'!M102,'27.07 RUBAGA-KABUSU-24h'!M102)</f>
        <v>39.5</v>
      </c>
      <c r="N102" s="49">
        <f>AVERAGE('26.07 RUBAGA-KABUSU-24h'!N102,'27.07 RUBAGA-KABUSU-24h'!N102)</f>
        <v>0</v>
      </c>
      <c r="O102" s="49">
        <f>AVERAGE('26.07 RUBAGA-KABUSU-24h'!O102,'27.07 RUBAGA-KABUSU-24h'!O102)</f>
        <v>30.5</v>
      </c>
      <c r="P102" s="49">
        <f>AVERAGE('26.07 RUBAGA-KABUSU-24h'!P102,'27.07 RUBAGA-KABUSU-24h'!P102)</f>
        <v>70</v>
      </c>
      <c r="R102" s="8"/>
      <c r="T102"/>
    </row>
    <row r="103" spans="2:20" ht="23.1" customHeight="1" x14ac:dyDescent="0.25">
      <c r="B103" s="23" t="s">
        <v>143</v>
      </c>
      <c r="C103" s="49">
        <f>AVERAGE('26.07 RUBAGA-KABUSU-24h'!C103,'27.07 RUBAGA-KABUSU-24h'!C103)</f>
        <v>13</v>
      </c>
      <c r="D103" s="49">
        <f>AVERAGE('26.07 RUBAGA-KABUSU-24h'!D103,'27.07 RUBAGA-KABUSU-24h'!D103)</f>
        <v>1.5</v>
      </c>
      <c r="E103" s="49">
        <f>AVERAGE('26.07 RUBAGA-KABUSU-24h'!E103,'27.07 RUBAGA-KABUSU-24h'!E103)</f>
        <v>0</v>
      </c>
      <c r="F103" s="49">
        <f>AVERAGE('26.07 RUBAGA-KABUSU-24h'!F103,'27.07 RUBAGA-KABUSU-24h'!F103)</f>
        <v>16</v>
      </c>
      <c r="G103" s="49">
        <f>AVERAGE('26.07 RUBAGA-KABUSU-24h'!G103,'27.07 RUBAGA-KABUSU-24h'!G103)</f>
        <v>1</v>
      </c>
      <c r="H103" s="49">
        <f>AVERAGE('26.07 RUBAGA-KABUSU-24h'!H103,'27.07 RUBAGA-KABUSU-24h'!H103)</f>
        <v>1</v>
      </c>
      <c r="I103" s="49">
        <f>AVERAGE('26.07 RUBAGA-KABUSU-24h'!I103,'27.07 RUBAGA-KABUSU-24h'!I103)</f>
        <v>2</v>
      </c>
      <c r="J103" s="49">
        <f>AVERAGE('26.07 RUBAGA-KABUSU-24h'!J103,'27.07 RUBAGA-KABUSU-24h'!J103)</f>
        <v>1</v>
      </c>
      <c r="K103" s="49">
        <f>AVERAGE('26.07 RUBAGA-KABUSU-24h'!K103,'27.07 RUBAGA-KABUSU-24h'!K103)</f>
        <v>0</v>
      </c>
      <c r="L103" s="49">
        <f>AVERAGE('26.07 RUBAGA-KABUSU-24h'!L103,'27.07 RUBAGA-KABUSU-24h'!L103)</f>
        <v>0.5</v>
      </c>
      <c r="M103" s="49">
        <f>AVERAGE('26.07 RUBAGA-KABUSU-24h'!M103,'27.07 RUBAGA-KABUSU-24h'!M103)</f>
        <v>42.5</v>
      </c>
      <c r="N103" s="49">
        <f>AVERAGE('26.07 RUBAGA-KABUSU-24h'!N103,'27.07 RUBAGA-KABUSU-24h'!N103)</f>
        <v>0</v>
      </c>
      <c r="O103" s="49">
        <f>AVERAGE('26.07 RUBAGA-KABUSU-24h'!O103,'27.07 RUBAGA-KABUSU-24h'!O103)</f>
        <v>36</v>
      </c>
      <c r="P103" s="49">
        <f>AVERAGE('26.07 RUBAGA-KABUSU-24h'!P103,'27.07 RUBAGA-KABUSU-24h'!P103)</f>
        <v>78.5</v>
      </c>
      <c r="R103" s="8"/>
      <c r="T103"/>
    </row>
    <row r="104" spans="2:20" ht="23.1" customHeight="1" x14ac:dyDescent="0.25">
      <c r="B104" s="25" t="s">
        <v>144</v>
      </c>
      <c r="C104" s="49">
        <f>AVERAGE('26.07 RUBAGA-KABUSU-24h'!C104,'27.07 RUBAGA-KABUSU-24h'!C104)</f>
        <v>9.5</v>
      </c>
      <c r="D104" s="49">
        <f>AVERAGE('26.07 RUBAGA-KABUSU-24h'!D104,'27.07 RUBAGA-KABUSU-24h'!D104)</f>
        <v>0.5</v>
      </c>
      <c r="E104" s="49">
        <f>AVERAGE('26.07 RUBAGA-KABUSU-24h'!E104,'27.07 RUBAGA-KABUSU-24h'!E104)</f>
        <v>0</v>
      </c>
      <c r="F104" s="49">
        <f>AVERAGE('26.07 RUBAGA-KABUSU-24h'!F104,'27.07 RUBAGA-KABUSU-24h'!F104)</f>
        <v>13.5</v>
      </c>
      <c r="G104" s="49">
        <f>AVERAGE('26.07 RUBAGA-KABUSU-24h'!G104,'27.07 RUBAGA-KABUSU-24h'!G104)</f>
        <v>0.5</v>
      </c>
      <c r="H104" s="49">
        <f>AVERAGE('26.07 RUBAGA-KABUSU-24h'!H104,'27.07 RUBAGA-KABUSU-24h'!H104)</f>
        <v>0.5</v>
      </c>
      <c r="I104" s="49">
        <f>AVERAGE('26.07 RUBAGA-KABUSU-24h'!I104,'27.07 RUBAGA-KABUSU-24h'!I104)</f>
        <v>0</v>
      </c>
      <c r="J104" s="49">
        <f>AVERAGE('26.07 RUBAGA-KABUSU-24h'!J104,'27.07 RUBAGA-KABUSU-24h'!J104)</f>
        <v>1.5</v>
      </c>
      <c r="K104" s="49">
        <f>AVERAGE('26.07 RUBAGA-KABUSU-24h'!K104,'27.07 RUBAGA-KABUSU-24h'!K104)</f>
        <v>1.5</v>
      </c>
      <c r="L104" s="49">
        <f>AVERAGE('26.07 RUBAGA-KABUSU-24h'!L104,'27.07 RUBAGA-KABUSU-24h'!L104)</f>
        <v>0.5</v>
      </c>
      <c r="M104" s="49">
        <f>AVERAGE('26.07 RUBAGA-KABUSU-24h'!M104,'27.07 RUBAGA-KABUSU-24h'!M104)</f>
        <v>24.5</v>
      </c>
      <c r="N104" s="49">
        <f>AVERAGE('26.07 RUBAGA-KABUSU-24h'!N104,'27.07 RUBAGA-KABUSU-24h'!N104)</f>
        <v>0</v>
      </c>
      <c r="O104" s="49">
        <f>AVERAGE('26.07 RUBAGA-KABUSU-24h'!O104,'27.07 RUBAGA-KABUSU-24h'!O104)</f>
        <v>28</v>
      </c>
      <c r="P104" s="49">
        <f>AVERAGE('26.07 RUBAGA-KABUSU-24h'!P104,'27.07 RUBAGA-KABUSU-24h'!P104)</f>
        <v>52.5</v>
      </c>
      <c r="R104" s="8"/>
      <c r="T104"/>
    </row>
    <row r="105" spans="2:20" ht="23.1" customHeight="1" x14ac:dyDescent="0.25">
      <c r="B105" s="23" t="s">
        <v>145</v>
      </c>
      <c r="C105" s="49">
        <f>AVERAGE('26.07 RUBAGA-KABUSU-24h'!C105,'27.07 RUBAGA-KABUSU-24h'!C105)</f>
        <v>14</v>
      </c>
      <c r="D105" s="49">
        <f>AVERAGE('26.07 RUBAGA-KABUSU-24h'!D105,'27.07 RUBAGA-KABUSU-24h'!D105)</f>
        <v>1.5</v>
      </c>
      <c r="E105" s="49">
        <f>AVERAGE('26.07 RUBAGA-KABUSU-24h'!E105,'27.07 RUBAGA-KABUSU-24h'!E105)</f>
        <v>1</v>
      </c>
      <c r="F105" s="49">
        <f>AVERAGE('26.07 RUBAGA-KABUSU-24h'!F105,'27.07 RUBAGA-KABUSU-24h'!F105)</f>
        <v>11.5</v>
      </c>
      <c r="G105" s="49">
        <f>AVERAGE('26.07 RUBAGA-KABUSU-24h'!G105,'27.07 RUBAGA-KABUSU-24h'!G105)</f>
        <v>3</v>
      </c>
      <c r="H105" s="49">
        <f>AVERAGE('26.07 RUBAGA-KABUSU-24h'!H105,'27.07 RUBAGA-KABUSU-24h'!H105)</f>
        <v>0.5</v>
      </c>
      <c r="I105" s="49">
        <f>AVERAGE('26.07 RUBAGA-KABUSU-24h'!I105,'27.07 RUBAGA-KABUSU-24h'!I105)</f>
        <v>4.5</v>
      </c>
      <c r="J105" s="49">
        <f>AVERAGE('26.07 RUBAGA-KABUSU-24h'!J105,'27.07 RUBAGA-KABUSU-24h'!J105)</f>
        <v>1</v>
      </c>
      <c r="K105" s="49">
        <f>AVERAGE('26.07 RUBAGA-KABUSU-24h'!K105,'27.07 RUBAGA-KABUSU-24h'!K105)</f>
        <v>0</v>
      </c>
      <c r="L105" s="49">
        <f>AVERAGE('26.07 RUBAGA-KABUSU-24h'!L105,'27.07 RUBAGA-KABUSU-24h'!L105)</f>
        <v>0</v>
      </c>
      <c r="M105" s="49">
        <f>AVERAGE('26.07 RUBAGA-KABUSU-24h'!M105,'27.07 RUBAGA-KABUSU-24h'!M105)</f>
        <v>38.5</v>
      </c>
      <c r="N105" s="49">
        <f>AVERAGE('26.07 RUBAGA-KABUSU-24h'!N105,'27.07 RUBAGA-KABUSU-24h'!N105)</f>
        <v>0</v>
      </c>
      <c r="O105" s="49">
        <f>AVERAGE('26.07 RUBAGA-KABUSU-24h'!O105,'27.07 RUBAGA-KABUSU-24h'!O105)</f>
        <v>37</v>
      </c>
      <c r="P105" s="49">
        <f>AVERAGE('26.07 RUBAGA-KABUSU-24h'!P105,'27.07 RUBAGA-KABUSU-24h'!P105)</f>
        <v>75.5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5">SUM(C10:C57)</f>
        <v>1676.2857142857144</v>
      </c>
      <c r="D106" s="16">
        <f t="shared" si="35"/>
        <v>309.71428571428572</v>
      </c>
      <c r="E106" s="16">
        <f t="shared" si="35"/>
        <v>161.14285714285714</v>
      </c>
      <c r="F106" s="16">
        <f t="shared" si="35"/>
        <v>692.57142857142844</v>
      </c>
      <c r="G106" s="16">
        <f t="shared" si="35"/>
        <v>19.857142857142854</v>
      </c>
      <c r="H106" s="16">
        <f t="shared" si="35"/>
        <v>15.285714285714286</v>
      </c>
      <c r="I106" s="16">
        <f t="shared" si="35"/>
        <v>143.85714285714283</v>
      </c>
      <c r="J106" s="16">
        <f t="shared" si="35"/>
        <v>113.71428571428568</v>
      </c>
      <c r="K106" s="16">
        <f t="shared" si="35"/>
        <v>28.57142857142858</v>
      </c>
      <c r="L106" s="16">
        <f t="shared" si="35"/>
        <v>39.571428571428577</v>
      </c>
      <c r="M106" s="16">
        <f t="shared" si="35"/>
        <v>5949.0000000000009</v>
      </c>
      <c r="N106" s="16">
        <f t="shared" si="35"/>
        <v>0.5714285714285714</v>
      </c>
      <c r="O106" s="16">
        <f t="shared" si="35"/>
        <v>3201.1428571428573</v>
      </c>
      <c r="P106" s="16">
        <f t="shared" si="35"/>
        <v>9150.1428571428551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0.18319776428158818</v>
      </c>
      <c r="D107" s="43">
        <f t="shared" si="36"/>
        <v>3.3848027353202928E-2</v>
      </c>
      <c r="E107" s="43">
        <f t="shared" si="36"/>
        <v>1.7610966261260561E-2</v>
      </c>
      <c r="F107" s="43">
        <f t="shared" si="36"/>
        <v>7.5689684782438996E-2</v>
      </c>
      <c r="G107" s="43">
        <f t="shared" si="36"/>
        <v>2.1701456651730656E-3</v>
      </c>
      <c r="H107" s="43">
        <f t="shared" si="36"/>
        <v>1.670543785420993E-3</v>
      </c>
      <c r="I107" s="43">
        <f t="shared" si="36"/>
        <v>1.5721846653448033E-2</v>
      </c>
      <c r="J107" s="43">
        <f t="shared" si="36"/>
        <v>1.2427596758832805E-2</v>
      </c>
      <c r="K107" s="43">
        <f t="shared" si="36"/>
        <v>3.1225117484504554E-3</v>
      </c>
      <c r="L107" s="43">
        <f t="shared" si="36"/>
        <v>4.32467877160388E-3</v>
      </c>
      <c r="M107" s="43">
        <f t="shared" si="36"/>
        <v>0.65015378370361143</v>
      </c>
      <c r="N107" s="43">
        <f t="shared" si="36"/>
        <v>6.245023496900908E-5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0.52365226704748302</v>
      </c>
      <c r="D108" s="44">
        <f t="shared" ref="D108:N108" si="37">D106/$O$106</f>
        <v>9.6751160299892891E-2</v>
      </c>
      <c r="E108" s="44">
        <f t="shared" si="37"/>
        <v>5.0339164584077112E-2</v>
      </c>
      <c r="F108" s="44">
        <f t="shared" si="37"/>
        <v>0.21635130310603351</v>
      </c>
      <c r="G108" s="44">
        <f t="shared" si="37"/>
        <v>6.2031417350946081E-3</v>
      </c>
      <c r="H108" s="44">
        <f t="shared" si="37"/>
        <v>4.7750803284541234E-3</v>
      </c>
      <c r="I108" s="44">
        <f t="shared" si="37"/>
        <v>4.4939307390217766E-2</v>
      </c>
      <c r="J108" s="44">
        <f t="shared" si="37"/>
        <v>3.5523027490182067E-2</v>
      </c>
      <c r="K108" s="44">
        <f t="shared" si="37"/>
        <v>8.925383791503037E-3</v>
      </c>
      <c r="L108" s="44">
        <f t="shared" si="37"/>
        <v>1.2361656551231703E-2</v>
      </c>
      <c r="M108" s="44"/>
      <c r="N108" s="44">
        <f t="shared" si="37"/>
        <v>1.7850767583006067E-4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M43" zoomScale="60" workbookViewId="0">
      <selection activeCell="Y77" sqref="Y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169</v>
      </c>
      <c r="E5" s="66"/>
      <c r="F5" s="41" t="s">
        <v>1</v>
      </c>
      <c r="G5" s="63" t="str">
        <f>'28.07 KABUSU-RUBAGA'!G5:H5</f>
        <v>CHAD SUPERMARKET</v>
      </c>
      <c r="H5" s="64"/>
      <c r="I5" s="14"/>
      <c r="J5" s="2" t="s">
        <v>5</v>
      </c>
      <c r="K5" s="63" t="str">
        <f>'28.07 KABUSU-RUBAGA'!K5:L5</f>
        <v>MBERE IVAN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'28.07 KABUSU-RUBAGA'!D6:E6</f>
        <v>KABUSU</v>
      </c>
      <c r="E6" s="64"/>
      <c r="F6" s="2" t="s">
        <v>2</v>
      </c>
      <c r="G6" s="63" t="str">
        <f>'28.07 KABUSU-RUBAGA'!G6:H6</f>
        <v>RUBAGA</v>
      </c>
      <c r="H6" s="64"/>
      <c r="J6" s="2" t="s">
        <v>21</v>
      </c>
      <c r="K6" s="63" t="str">
        <f>'28.07 KABUSU-RUBAGA'!K6:L6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KABUSU-RUBAGA'!C10,'23.07 KABUSU-RUBAGA'!C10,'24.07 KABUSU-RUBAGA'!C10,'25.07 KABUSU-RUBAGA'!C10,'26.07 KABUSU-RUBAGA-24h'!C10,'27.07 KABUSU-RUBAGA-24h'!C10,'28.07 KABUSU-RUBAGA'!C10)</f>
        <v>47.857142857142854</v>
      </c>
      <c r="D10" s="49">
        <f>AVERAGE('22.07 KABUSU-RUBAGA'!D10,'23.07 KABUSU-RUBAGA'!D10,'24.07 KABUSU-RUBAGA'!D10,'25.07 KABUSU-RUBAGA'!D10,'26.07 KABUSU-RUBAGA-24h'!D10,'27.07 KABUSU-RUBAGA-24h'!D10,'28.07 KABUSU-RUBAGA'!D10)</f>
        <v>41.857142857142854</v>
      </c>
      <c r="E10" s="49">
        <f>AVERAGE('22.07 KABUSU-RUBAGA'!E10,'23.07 KABUSU-RUBAGA'!E10,'24.07 KABUSU-RUBAGA'!E10,'25.07 KABUSU-RUBAGA'!E10,'26.07 KABUSU-RUBAGA-24h'!E10,'27.07 KABUSU-RUBAGA-24h'!E10,'28.07 KABUSU-RUBAGA'!E10)</f>
        <v>6.1428571428571432</v>
      </c>
      <c r="F10" s="49">
        <f>AVERAGE('22.07 KABUSU-RUBAGA'!F10,'23.07 KABUSU-RUBAGA'!F10,'24.07 KABUSU-RUBAGA'!F10,'25.07 KABUSU-RUBAGA'!F10,'26.07 KABUSU-RUBAGA-24h'!F10,'27.07 KABUSU-RUBAGA-24h'!F10,'28.07 KABUSU-RUBAGA'!F10)</f>
        <v>34.285714285714285</v>
      </c>
      <c r="G10" s="49">
        <f>AVERAGE('22.07 KABUSU-RUBAGA'!G10,'23.07 KABUSU-RUBAGA'!G10,'24.07 KABUSU-RUBAGA'!G10,'25.07 KABUSU-RUBAGA'!G10,'26.07 KABUSU-RUBAGA-24h'!G10,'27.07 KABUSU-RUBAGA-24h'!G10,'28.07 KABUSU-RUBAGA'!G10)</f>
        <v>0.14285714285714285</v>
      </c>
      <c r="H10" s="49">
        <f>AVERAGE('22.07 KABUSU-RUBAGA'!H10,'23.07 KABUSU-RUBAGA'!H10,'24.07 KABUSU-RUBAGA'!H10,'25.07 KABUSU-RUBAGA'!H10,'26.07 KABUSU-RUBAGA-24h'!H10,'27.07 KABUSU-RUBAGA-24h'!H10,'28.07 KABUSU-RUBAGA'!H10)</f>
        <v>0.42857142857142855</v>
      </c>
      <c r="I10" s="49">
        <f>AVERAGE('22.07 KABUSU-RUBAGA'!I10,'23.07 KABUSU-RUBAGA'!I10,'24.07 KABUSU-RUBAGA'!I10,'25.07 KABUSU-RUBAGA'!I10,'26.07 KABUSU-RUBAGA-24h'!I10,'27.07 KABUSU-RUBAGA-24h'!I10,'28.07 KABUSU-RUBAGA'!I10)</f>
        <v>3.4285714285714284</v>
      </c>
      <c r="J10" s="49">
        <f>AVERAGE('22.07 KABUSU-RUBAGA'!J10,'23.07 KABUSU-RUBAGA'!J10,'24.07 KABUSU-RUBAGA'!J10,'25.07 KABUSU-RUBAGA'!J10,'26.07 KABUSU-RUBAGA-24h'!J10,'27.07 KABUSU-RUBAGA-24h'!J10,'28.07 KABUSU-RUBAGA'!J10)</f>
        <v>1.2857142857142858</v>
      </c>
      <c r="K10" s="49">
        <f>AVERAGE('22.07 KABUSU-RUBAGA'!K10,'23.07 KABUSU-RUBAGA'!K10,'24.07 KABUSU-RUBAGA'!K10,'25.07 KABUSU-RUBAGA'!K10,'26.07 KABUSU-RUBAGA-24h'!K10,'27.07 KABUSU-RUBAGA-24h'!K10,'28.07 KABUSU-RUBAGA'!K10)</f>
        <v>0.42857142857142855</v>
      </c>
      <c r="L10" s="49">
        <f>AVERAGE('22.07 KABUSU-RUBAGA'!L10,'23.07 KABUSU-RUBAGA'!L10,'24.07 KABUSU-RUBAGA'!L10,'25.07 KABUSU-RUBAGA'!L10,'26.07 KABUSU-RUBAGA-24h'!L10,'27.07 KABUSU-RUBAGA-24h'!L10,'28.07 KABUSU-RUBAGA'!L10)</f>
        <v>0.42857142857142855</v>
      </c>
      <c r="M10" s="49">
        <f>AVERAGE('22.07 KABUSU-RUBAGA'!M10,'23.07 KABUSU-RUBAGA'!M10,'24.07 KABUSU-RUBAGA'!M10,'25.07 KABUSU-RUBAGA'!M10,'26.07 KABUSU-RUBAGA-24h'!M10,'27.07 KABUSU-RUBAGA-24h'!M10,'28.07 KABUSU-RUBAGA'!M10)</f>
        <v>180.85714285714286</v>
      </c>
      <c r="N10" s="49">
        <f>AVERAGE('22.07 KABUSU-RUBAGA'!N10,'23.07 KABUSU-RUBAGA'!N10,'24.07 KABUSU-RUBAGA'!N10,'25.07 KABUSU-RUBAGA'!N10,'26.07 KABUSU-RUBAGA-24h'!N10,'27.07 KABUSU-RUBAGA-24h'!N10,'28.07 KABUSU-RUBAGA'!N10)</f>
        <v>0</v>
      </c>
      <c r="O10" s="15">
        <f t="shared" ref="O10:O57" si="0">SUM(C10:L10,N10)</f>
        <v>136.28571428571422</v>
      </c>
      <c r="P10" s="15">
        <f t="shared" ref="P10:P57" si="1">SUM(C10:N10)</f>
        <v>317.14285714285711</v>
      </c>
      <c r="R10" s="1" t="s">
        <v>6</v>
      </c>
      <c r="S10" s="17">
        <f t="shared" ref="S10:AF10" si="2">SUM(C10:C13)</f>
        <v>197.42857142857139</v>
      </c>
      <c r="T10" s="17">
        <f t="shared" si="2"/>
        <v>160.42857142857144</v>
      </c>
      <c r="U10" s="17">
        <f t="shared" si="2"/>
        <v>19.285714285714285</v>
      </c>
      <c r="V10" s="17">
        <f t="shared" si="2"/>
        <v>170.23809523809524</v>
      </c>
      <c r="W10" s="17">
        <f t="shared" si="2"/>
        <v>0.8571428571428571</v>
      </c>
      <c r="X10" s="17">
        <f t="shared" si="2"/>
        <v>1.4285714285714284</v>
      </c>
      <c r="Y10" s="17">
        <f t="shared" si="2"/>
        <v>14.285714285714285</v>
      </c>
      <c r="Z10" s="17">
        <f t="shared" si="2"/>
        <v>4.4285714285714288</v>
      </c>
      <c r="AA10" s="17">
        <f t="shared" si="2"/>
        <v>1.7142857142857142</v>
      </c>
      <c r="AB10" s="17">
        <f t="shared" si="2"/>
        <v>1</v>
      </c>
      <c r="AC10" s="17">
        <f t="shared" si="2"/>
        <v>925.42857142857144</v>
      </c>
      <c r="AD10" s="17">
        <f t="shared" si="2"/>
        <v>0</v>
      </c>
      <c r="AE10" s="31">
        <f t="shared" si="2"/>
        <v>571.09523809523796</v>
      </c>
      <c r="AF10" s="31">
        <f t="shared" si="2"/>
        <v>1496.5238095238094</v>
      </c>
    </row>
    <row r="11" spans="2:32" s="6" customFormat="1" ht="23.1" customHeight="1" x14ac:dyDescent="0.25">
      <c r="B11" s="23" t="s">
        <v>38</v>
      </c>
      <c r="C11" s="49">
        <f>AVERAGE('22.07 KABUSU-RUBAGA'!C11,'23.07 KABUSU-RUBAGA'!C11,'24.07 KABUSU-RUBAGA'!C11,'25.07 KABUSU-RUBAGA'!C11,'26.07 KABUSU-RUBAGA-24h'!C11,'27.07 KABUSU-RUBAGA-24h'!C11,'28.07 KABUSU-RUBAGA'!C11)</f>
        <v>44.428571428571431</v>
      </c>
      <c r="D11" s="49">
        <f>AVERAGE('22.07 KABUSU-RUBAGA'!D11,'23.07 KABUSU-RUBAGA'!D11,'24.07 KABUSU-RUBAGA'!D11,'25.07 KABUSU-RUBAGA'!D11,'26.07 KABUSU-RUBAGA-24h'!D11,'27.07 KABUSU-RUBAGA-24h'!D11,'28.07 KABUSU-RUBAGA'!D11)</f>
        <v>34.714285714285715</v>
      </c>
      <c r="E11" s="49">
        <f>AVERAGE('22.07 KABUSU-RUBAGA'!E11,'23.07 KABUSU-RUBAGA'!E11,'24.07 KABUSU-RUBAGA'!E11,'25.07 KABUSU-RUBAGA'!E11,'26.07 KABUSU-RUBAGA-24h'!E11,'27.07 KABUSU-RUBAGA-24h'!E11,'28.07 KABUSU-RUBAGA'!E11)</f>
        <v>3.8571428571428572</v>
      </c>
      <c r="F11" s="49">
        <f>AVERAGE('22.07 KABUSU-RUBAGA'!F11,'23.07 KABUSU-RUBAGA'!F11,'24.07 KABUSU-RUBAGA'!F11,'25.07 KABUSU-RUBAGA'!F11,'26.07 KABUSU-RUBAGA-24h'!F11,'27.07 KABUSU-RUBAGA-24h'!F11,'28.07 KABUSU-RUBAGA'!F11)</f>
        <v>35.571428571428569</v>
      </c>
      <c r="G11" s="49">
        <f>AVERAGE('22.07 KABUSU-RUBAGA'!G11,'23.07 KABUSU-RUBAGA'!G11,'24.07 KABUSU-RUBAGA'!G11,'25.07 KABUSU-RUBAGA'!G11,'26.07 KABUSU-RUBAGA-24h'!G11,'27.07 KABUSU-RUBAGA-24h'!G11,'28.07 KABUSU-RUBAGA'!G11)</f>
        <v>0.14285714285714285</v>
      </c>
      <c r="H11" s="49">
        <f>AVERAGE('22.07 KABUSU-RUBAGA'!H11,'23.07 KABUSU-RUBAGA'!H11,'24.07 KABUSU-RUBAGA'!H11,'25.07 KABUSU-RUBAGA'!H11,'26.07 KABUSU-RUBAGA-24h'!H11,'27.07 KABUSU-RUBAGA-24h'!H11,'28.07 KABUSU-RUBAGA'!H11)</f>
        <v>0.14285714285714285</v>
      </c>
      <c r="I11" s="49">
        <f>AVERAGE('22.07 KABUSU-RUBAGA'!I11,'23.07 KABUSU-RUBAGA'!I11,'24.07 KABUSU-RUBAGA'!I11,'25.07 KABUSU-RUBAGA'!I11,'26.07 KABUSU-RUBAGA-24h'!I11,'27.07 KABUSU-RUBAGA-24h'!I11,'28.07 KABUSU-RUBAGA'!I11)</f>
        <v>3</v>
      </c>
      <c r="J11" s="49">
        <f>AVERAGE('22.07 KABUSU-RUBAGA'!J11,'23.07 KABUSU-RUBAGA'!J11,'24.07 KABUSU-RUBAGA'!J11,'25.07 KABUSU-RUBAGA'!J11,'26.07 KABUSU-RUBAGA-24h'!J11,'27.07 KABUSU-RUBAGA-24h'!J11,'28.07 KABUSU-RUBAGA'!J11)</f>
        <v>0.5714285714285714</v>
      </c>
      <c r="K11" s="49">
        <f>AVERAGE('22.07 KABUSU-RUBAGA'!K11,'23.07 KABUSU-RUBAGA'!K11,'24.07 KABUSU-RUBAGA'!K11,'25.07 KABUSU-RUBAGA'!K11,'26.07 KABUSU-RUBAGA-24h'!K11,'27.07 KABUSU-RUBAGA-24h'!K11,'28.07 KABUSU-RUBAGA'!K11)</f>
        <v>0.2857142857142857</v>
      </c>
      <c r="L11" s="49">
        <f>AVERAGE('22.07 KABUSU-RUBAGA'!L11,'23.07 KABUSU-RUBAGA'!L11,'24.07 KABUSU-RUBAGA'!L11,'25.07 KABUSU-RUBAGA'!L11,'26.07 KABUSU-RUBAGA-24h'!L11,'27.07 KABUSU-RUBAGA-24h'!L11,'28.07 KABUSU-RUBAGA'!L11)</f>
        <v>0.42857142857142855</v>
      </c>
      <c r="M11" s="49">
        <f>AVERAGE('22.07 KABUSU-RUBAGA'!M11,'23.07 KABUSU-RUBAGA'!M11,'24.07 KABUSU-RUBAGA'!M11,'25.07 KABUSU-RUBAGA'!M11,'26.07 KABUSU-RUBAGA-24h'!M11,'27.07 KABUSU-RUBAGA-24h'!M11,'28.07 KABUSU-RUBAGA'!M11)</f>
        <v>210.14285714285714</v>
      </c>
      <c r="N11" s="49">
        <f>AVERAGE('22.07 KABUSU-RUBAGA'!N11,'23.07 KABUSU-RUBAGA'!N11,'24.07 KABUSU-RUBAGA'!N11,'25.07 KABUSU-RUBAGA'!N11,'26.07 KABUSU-RUBAGA-24h'!N11,'27.07 KABUSU-RUBAGA-24h'!N11,'28.07 KABUSU-RUBAGA'!N11)</f>
        <v>0</v>
      </c>
      <c r="O11" s="15">
        <f t="shared" si="0"/>
        <v>123.14285714285714</v>
      </c>
      <c r="P11" s="15">
        <f t="shared" si="1"/>
        <v>333.28571428571428</v>
      </c>
      <c r="R11" s="1" t="s">
        <v>7</v>
      </c>
      <c r="S11" s="17">
        <f t="shared" ref="S11:AF11" si="3">SUM(C14:C17)</f>
        <v>170.85714285714283</v>
      </c>
      <c r="T11" s="17">
        <f t="shared" si="3"/>
        <v>143.57142857142858</v>
      </c>
      <c r="U11" s="17">
        <f t="shared" si="3"/>
        <v>23.285714285714285</v>
      </c>
      <c r="V11" s="17">
        <f t="shared" si="3"/>
        <v>133</v>
      </c>
      <c r="W11" s="17">
        <f t="shared" si="3"/>
        <v>0.5714285714285714</v>
      </c>
      <c r="X11" s="17">
        <f t="shared" si="3"/>
        <v>0.5714285714285714</v>
      </c>
      <c r="Y11" s="17">
        <f t="shared" si="3"/>
        <v>15</v>
      </c>
      <c r="Z11" s="17">
        <f t="shared" si="3"/>
        <v>5.5714285714285721</v>
      </c>
      <c r="AA11" s="17">
        <f t="shared" si="3"/>
        <v>1.7142857142857142</v>
      </c>
      <c r="AB11" s="17">
        <f t="shared" si="3"/>
        <v>0.8571428571428571</v>
      </c>
      <c r="AC11" s="17">
        <f t="shared" si="3"/>
        <v>1061.7142857142856</v>
      </c>
      <c r="AD11" s="17">
        <f t="shared" si="3"/>
        <v>0</v>
      </c>
      <c r="AE11" s="31">
        <f t="shared" si="3"/>
        <v>495</v>
      </c>
      <c r="AF11" s="31">
        <f t="shared" si="3"/>
        <v>1556.7142857142858</v>
      </c>
    </row>
    <row r="12" spans="2:32" ht="23.1" customHeight="1" x14ac:dyDescent="0.25">
      <c r="B12" s="23" t="s">
        <v>39</v>
      </c>
      <c r="C12" s="49">
        <f>AVERAGE('22.07 KABUSU-RUBAGA'!C12,'23.07 KABUSU-RUBAGA'!C12,'24.07 KABUSU-RUBAGA'!C12,'25.07 KABUSU-RUBAGA'!C12,'26.07 KABUSU-RUBAGA-24h'!C12,'27.07 KABUSU-RUBAGA-24h'!C12,'28.07 KABUSU-RUBAGA'!C12)</f>
        <v>53.571428571428569</v>
      </c>
      <c r="D12" s="49">
        <f>AVERAGE('22.07 KABUSU-RUBAGA'!D12,'23.07 KABUSU-RUBAGA'!D12,'24.07 KABUSU-RUBAGA'!D12,'25.07 KABUSU-RUBAGA'!D12,'26.07 KABUSU-RUBAGA-24h'!D12,'27.07 KABUSU-RUBAGA-24h'!D12,'28.07 KABUSU-RUBAGA'!D12)</f>
        <v>38.142857142857146</v>
      </c>
      <c r="E12" s="49">
        <f>AVERAGE('22.07 KABUSU-RUBAGA'!E12,'23.07 KABUSU-RUBAGA'!E12,'24.07 KABUSU-RUBAGA'!E12,'25.07 KABUSU-RUBAGA'!E12,'26.07 KABUSU-RUBAGA-24h'!E12,'27.07 KABUSU-RUBAGA-24h'!E12,'28.07 KABUSU-RUBAGA'!E12)</f>
        <v>4.2857142857142856</v>
      </c>
      <c r="F12" s="49">
        <f>AVERAGE('22.07 KABUSU-RUBAGA'!F12,'23.07 KABUSU-RUBAGA'!F12,'24.07 KABUSU-RUBAGA'!F12,'25.07 KABUSU-RUBAGA'!F12,'26.07 KABUSU-RUBAGA-24h'!F12,'27.07 KABUSU-RUBAGA-24h'!F12,'28.07 KABUSU-RUBAGA'!F12)</f>
        <v>59.666666666666664</v>
      </c>
      <c r="G12" s="49">
        <f>AVERAGE('22.07 KABUSU-RUBAGA'!G12,'23.07 KABUSU-RUBAGA'!G12,'24.07 KABUSU-RUBAGA'!G12,'25.07 KABUSU-RUBAGA'!G12,'26.07 KABUSU-RUBAGA-24h'!G12,'27.07 KABUSU-RUBAGA-24h'!G12,'28.07 KABUSU-RUBAGA'!G12)</f>
        <v>0.2857142857142857</v>
      </c>
      <c r="H12" s="49">
        <f>AVERAGE('22.07 KABUSU-RUBAGA'!H12,'23.07 KABUSU-RUBAGA'!H12,'24.07 KABUSU-RUBAGA'!H12,'25.07 KABUSU-RUBAGA'!H12,'26.07 KABUSU-RUBAGA-24h'!H12,'27.07 KABUSU-RUBAGA-24h'!H12,'28.07 KABUSU-RUBAGA'!H12)</f>
        <v>0.5714285714285714</v>
      </c>
      <c r="I12" s="49">
        <f>AVERAGE('22.07 KABUSU-RUBAGA'!I12,'23.07 KABUSU-RUBAGA'!I12,'24.07 KABUSU-RUBAGA'!I12,'25.07 KABUSU-RUBAGA'!I12,'26.07 KABUSU-RUBAGA-24h'!I12,'27.07 KABUSU-RUBAGA-24h'!I12,'28.07 KABUSU-RUBAGA'!I12)</f>
        <v>2.7142857142857144</v>
      </c>
      <c r="J12" s="49">
        <f>AVERAGE('22.07 KABUSU-RUBAGA'!J12,'23.07 KABUSU-RUBAGA'!J12,'24.07 KABUSU-RUBAGA'!J12,'25.07 KABUSU-RUBAGA'!J12,'26.07 KABUSU-RUBAGA-24h'!J12,'27.07 KABUSU-RUBAGA-24h'!J12,'28.07 KABUSU-RUBAGA'!J12)</f>
        <v>1</v>
      </c>
      <c r="K12" s="49">
        <f>AVERAGE('22.07 KABUSU-RUBAGA'!K12,'23.07 KABUSU-RUBAGA'!K12,'24.07 KABUSU-RUBAGA'!K12,'25.07 KABUSU-RUBAGA'!K12,'26.07 KABUSU-RUBAGA-24h'!K12,'27.07 KABUSU-RUBAGA-24h'!K12,'28.07 KABUSU-RUBAGA'!K12)</f>
        <v>0.5714285714285714</v>
      </c>
      <c r="L12" s="49">
        <f>AVERAGE('22.07 KABUSU-RUBAGA'!L12,'23.07 KABUSU-RUBAGA'!L12,'24.07 KABUSU-RUBAGA'!L12,'25.07 KABUSU-RUBAGA'!L12,'26.07 KABUSU-RUBAGA-24h'!L12,'27.07 KABUSU-RUBAGA-24h'!L12,'28.07 KABUSU-RUBAGA'!L12)</f>
        <v>0.14285714285714285</v>
      </c>
      <c r="M12" s="49">
        <f>AVERAGE('22.07 KABUSU-RUBAGA'!M12,'23.07 KABUSU-RUBAGA'!M12,'24.07 KABUSU-RUBAGA'!M12,'25.07 KABUSU-RUBAGA'!M12,'26.07 KABUSU-RUBAGA-24h'!M12,'27.07 KABUSU-RUBAGA-24h'!M12,'28.07 KABUSU-RUBAGA'!M12)</f>
        <v>256</v>
      </c>
      <c r="N12" s="49">
        <f>AVERAGE('22.07 KABUSU-RUBAGA'!N12,'23.07 KABUSU-RUBAGA'!N12,'24.07 KABUSU-RUBAGA'!N12,'25.07 KABUSU-RUBAGA'!N12,'26.07 KABUSU-RUBAGA-24h'!N12,'27.07 KABUSU-RUBAGA-24h'!N12,'28.07 KABUSU-RUBAGA'!N12)</f>
        <v>0</v>
      </c>
      <c r="O12" s="15">
        <f t="shared" si="0"/>
        <v>160.95238095238099</v>
      </c>
      <c r="P12" s="15">
        <f t="shared" si="1"/>
        <v>416.95238095238096</v>
      </c>
      <c r="R12" s="1" t="s">
        <v>8</v>
      </c>
      <c r="S12" s="17">
        <f t="shared" ref="S12:AF12" si="4">SUM(C18:C21)</f>
        <v>155.71428571428572</v>
      </c>
      <c r="T12" s="17">
        <f t="shared" si="4"/>
        <v>125.85714285714286</v>
      </c>
      <c r="U12" s="17">
        <f t="shared" si="4"/>
        <v>26.571428571428569</v>
      </c>
      <c r="V12" s="17">
        <f t="shared" si="4"/>
        <v>116.14285714285714</v>
      </c>
      <c r="W12" s="17">
        <f t="shared" si="4"/>
        <v>0.71428571428571419</v>
      </c>
      <c r="X12" s="17">
        <f t="shared" si="4"/>
        <v>1.1428571428571428</v>
      </c>
      <c r="Y12" s="17">
        <f t="shared" si="4"/>
        <v>17.571428571428569</v>
      </c>
      <c r="Z12" s="17">
        <f t="shared" si="4"/>
        <v>5.1428571428571423</v>
      </c>
      <c r="AA12" s="17">
        <f t="shared" si="4"/>
        <v>3.1428571428571428</v>
      </c>
      <c r="AB12" s="17">
        <f t="shared" si="4"/>
        <v>1.5714285714285714</v>
      </c>
      <c r="AC12" s="17">
        <f t="shared" si="4"/>
        <v>905.28571428571433</v>
      </c>
      <c r="AD12" s="17">
        <f t="shared" si="4"/>
        <v>0</v>
      </c>
      <c r="AE12" s="31">
        <f t="shared" si="4"/>
        <v>453.57142857142861</v>
      </c>
      <c r="AF12" s="31">
        <f t="shared" si="4"/>
        <v>1358.8571428571429</v>
      </c>
    </row>
    <row r="13" spans="2:32" ht="23.1" customHeight="1" x14ac:dyDescent="0.25">
      <c r="B13" s="23" t="s">
        <v>40</v>
      </c>
      <c r="C13" s="49">
        <f>AVERAGE('22.07 KABUSU-RUBAGA'!C13,'23.07 KABUSU-RUBAGA'!C13,'24.07 KABUSU-RUBAGA'!C13,'25.07 KABUSU-RUBAGA'!C13,'26.07 KABUSU-RUBAGA-24h'!C13,'27.07 KABUSU-RUBAGA-24h'!C13,'28.07 KABUSU-RUBAGA'!C13)</f>
        <v>51.571428571428569</v>
      </c>
      <c r="D13" s="49">
        <f>AVERAGE('22.07 KABUSU-RUBAGA'!D13,'23.07 KABUSU-RUBAGA'!D13,'24.07 KABUSU-RUBAGA'!D13,'25.07 KABUSU-RUBAGA'!D13,'26.07 KABUSU-RUBAGA-24h'!D13,'27.07 KABUSU-RUBAGA-24h'!D13,'28.07 KABUSU-RUBAGA'!D13)</f>
        <v>45.714285714285715</v>
      </c>
      <c r="E13" s="49">
        <f>AVERAGE('22.07 KABUSU-RUBAGA'!E13,'23.07 KABUSU-RUBAGA'!E13,'24.07 KABUSU-RUBAGA'!E13,'25.07 KABUSU-RUBAGA'!E13,'26.07 KABUSU-RUBAGA-24h'!E13,'27.07 KABUSU-RUBAGA-24h'!E13,'28.07 KABUSU-RUBAGA'!E13)</f>
        <v>5</v>
      </c>
      <c r="F13" s="49">
        <f>AVERAGE('22.07 KABUSU-RUBAGA'!F13,'23.07 KABUSU-RUBAGA'!F13,'24.07 KABUSU-RUBAGA'!F13,'25.07 KABUSU-RUBAGA'!F13,'26.07 KABUSU-RUBAGA-24h'!F13,'27.07 KABUSU-RUBAGA-24h'!F13,'28.07 KABUSU-RUBAGA'!F13)</f>
        <v>40.714285714285715</v>
      </c>
      <c r="G13" s="49">
        <f>AVERAGE('22.07 KABUSU-RUBAGA'!G13,'23.07 KABUSU-RUBAGA'!G13,'24.07 KABUSU-RUBAGA'!G13,'25.07 KABUSU-RUBAGA'!G13,'26.07 KABUSU-RUBAGA-24h'!G13,'27.07 KABUSU-RUBAGA-24h'!G13,'28.07 KABUSU-RUBAGA'!G13)</f>
        <v>0.2857142857142857</v>
      </c>
      <c r="H13" s="49">
        <f>AVERAGE('22.07 KABUSU-RUBAGA'!H13,'23.07 KABUSU-RUBAGA'!H13,'24.07 KABUSU-RUBAGA'!H13,'25.07 KABUSU-RUBAGA'!H13,'26.07 KABUSU-RUBAGA-24h'!H13,'27.07 KABUSU-RUBAGA-24h'!H13,'28.07 KABUSU-RUBAGA'!H13)</f>
        <v>0.2857142857142857</v>
      </c>
      <c r="I13" s="49">
        <f>AVERAGE('22.07 KABUSU-RUBAGA'!I13,'23.07 KABUSU-RUBAGA'!I13,'24.07 KABUSU-RUBAGA'!I13,'25.07 KABUSU-RUBAGA'!I13,'26.07 KABUSU-RUBAGA-24h'!I13,'27.07 KABUSU-RUBAGA-24h'!I13,'28.07 KABUSU-RUBAGA'!I13)</f>
        <v>5.1428571428571432</v>
      </c>
      <c r="J13" s="49">
        <f>AVERAGE('22.07 KABUSU-RUBAGA'!J13,'23.07 KABUSU-RUBAGA'!J13,'24.07 KABUSU-RUBAGA'!J13,'25.07 KABUSU-RUBAGA'!J13,'26.07 KABUSU-RUBAGA-24h'!J13,'27.07 KABUSU-RUBAGA-24h'!J13,'28.07 KABUSU-RUBAGA'!J13)</f>
        <v>1.5714285714285714</v>
      </c>
      <c r="K13" s="49">
        <f>AVERAGE('22.07 KABUSU-RUBAGA'!K13,'23.07 KABUSU-RUBAGA'!K13,'24.07 KABUSU-RUBAGA'!K13,'25.07 KABUSU-RUBAGA'!K13,'26.07 KABUSU-RUBAGA-24h'!K13,'27.07 KABUSU-RUBAGA-24h'!K13,'28.07 KABUSU-RUBAGA'!K13)</f>
        <v>0.42857142857142855</v>
      </c>
      <c r="L13" s="49">
        <f>AVERAGE('22.07 KABUSU-RUBAGA'!L13,'23.07 KABUSU-RUBAGA'!L13,'24.07 KABUSU-RUBAGA'!L13,'25.07 KABUSU-RUBAGA'!L13,'26.07 KABUSU-RUBAGA-24h'!L13,'27.07 KABUSU-RUBAGA-24h'!L13,'28.07 KABUSU-RUBAGA'!L13)</f>
        <v>0</v>
      </c>
      <c r="M13" s="49">
        <f>AVERAGE('22.07 KABUSU-RUBAGA'!M13,'23.07 KABUSU-RUBAGA'!M13,'24.07 KABUSU-RUBAGA'!M13,'25.07 KABUSU-RUBAGA'!M13,'26.07 KABUSU-RUBAGA-24h'!M13,'27.07 KABUSU-RUBAGA-24h'!M13,'28.07 KABUSU-RUBAGA'!M13)</f>
        <v>278.42857142857144</v>
      </c>
      <c r="N13" s="49">
        <f>AVERAGE('22.07 KABUSU-RUBAGA'!N13,'23.07 KABUSU-RUBAGA'!N13,'24.07 KABUSU-RUBAGA'!N13,'25.07 KABUSU-RUBAGA'!N13,'26.07 KABUSU-RUBAGA-24h'!N13,'27.07 KABUSU-RUBAGA-24h'!N13,'28.07 KABUSU-RUBAGA'!N13)</f>
        <v>0</v>
      </c>
      <c r="O13" s="15">
        <f t="shared" si="0"/>
        <v>150.71428571428569</v>
      </c>
      <c r="P13" s="15">
        <f t="shared" si="1"/>
        <v>429.14285714285711</v>
      </c>
      <c r="R13" s="1" t="s">
        <v>9</v>
      </c>
      <c r="S13" s="17">
        <f t="shared" ref="S13:AF13" si="5">SUM(C22:C25)</f>
        <v>130.42857142857144</v>
      </c>
      <c r="T13" s="17">
        <f t="shared" si="5"/>
        <v>107.71428571428572</v>
      </c>
      <c r="U13" s="17">
        <f t="shared" si="5"/>
        <v>27.285714285714285</v>
      </c>
      <c r="V13" s="17">
        <f t="shared" si="5"/>
        <v>107.28571428571431</v>
      </c>
      <c r="W13" s="17">
        <f t="shared" si="5"/>
        <v>1.1428571428571428</v>
      </c>
      <c r="X13" s="17">
        <f t="shared" si="5"/>
        <v>0.71428571428571419</v>
      </c>
      <c r="Y13" s="17">
        <f t="shared" si="5"/>
        <v>16.857142857142858</v>
      </c>
      <c r="Z13" s="17">
        <f t="shared" si="5"/>
        <v>7.8571428571428577</v>
      </c>
      <c r="AA13" s="17">
        <f t="shared" si="5"/>
        <v>3.2857142857142856</v>
      </c>
      <c r="AB13" s="17">
        <f t="shared" si="5"/>
        <v>2.8571428571428568</v>
      </c>
      <c r="AC13" s="17">
        <f t="shared" si="5"/>
        <v>741.42857142857144</v>
      </c>
      <c r="AD13" s="17">
        <f t="shared" si="5"/>
        <v>0</v>
      </c>
      <c r="AE13" s="31">
        <f t="shared" si="5"/>
        <v>405.42857142857144</v>
      </c>
      <c r="AF13" s="31">
        <f t="shared" si="5"/>
        <v>1146.8571428571427</v>
      </c>
    </row>
    <row r="14" spans="2:32" ht="23.1" customHeight="1" x14ac:dyDescent="0.25">
      <c r="B14" s="23" t="s">
        <v>41</v>
      </c>
      <c r="C14" s="49">
        <f>AVERAGE('22.07 KABUSU-RUBAGA'!C14,'23.07 KABUSU-RUBAGA'!C14,'24.07 KABUSU-RUBAGA'!C14,'25.07 KABUSU-RUBAGA'!C14,'26.07 KABUSU-RUBAGA-24h'!C14,'27.07 KABUSU-RUBAGA-24h'!C14,'28.07 KABUSU-RUBAGA'!C14)</f>
        <v>44.285714285714285</v>
      </c>
      <c r="D14" s="49">
        <f>AVERAGE('22.07 KABUSU-RUBAGA'!D14,'23.07 KABUSU-RUBAGA'!D14,'24.07 KABUSU-RUBAGA'!D14,'25.07 KABUSU-RUBAGA'!D14,'26.07 KABUSU-RUBAGA-24h'!D14,'27.07 KABUSU-RUBAGA-24h'!D14,'28.07 KABUSU-RUBAGA'!D14)</f>
        <v>41.142857142857146</v>
      </c>
      <c r="E14" s="49">
        <f>AVERAGE('22.07 KABUSU-RUBAGA'!E14,'23.07 KABUSU-RUBAGA'!E14,'24.07 KABUSU-RUBAGA'!E14,'25.07 KABUSU-RUBAGA'!E14,'26.07 KABUSU-RUBAGA-24h'!E14,'27.07 KABUSU-RUBAGA-24h'!E14,'28.07 KABUSU-RUBAGA'!E14)</f>
        <v>7.2857142857142856</v>
      </c>
      <c r="F14" s="49">
        <f>AVERAGE('22.07 KABUSU-RUBAGA'!F14,'23.07 KABUSU-RUBAGA'!F14,'24.07 KABUSU-RUBAGA'!F14,'25.07 KABUSU-RUBAGA'!F14,'26.07 KABUSU-RUBAGA-24h'!F14,'27.07 KABUSU-RUBAGA-24h'!F14,'28.07 KABUSU-RUBAGA'!F14)</f>
        <v>33</v>
      </c>
      <c r="G14" s="49">
        <f>AVERAGE('22.07 KABUSU-RUBAGA'!G14,'23.07 KABUSU-RUBAGA'!G14,'24.07 KABUSU-RUBAGA'!G14,'25.07 KABUSU-RUBAGA'!G14,'26.07 KABUSU-RUBAGA-24h'!G14,'27.07 KABUSU-RUBAGA-24h'!G14,'28.07 KABUSU-RUBAGA'!G14)</f>
        <v>0.14285714285714285</v>
      </c>
      <c r="H14" s="49">
        <f>AVERAGE('22.07 KABUSU-RUBAGA'!H14,'23.07 KABUSU-RUBAGA'!H14,'24.07 KABUSU-RUBAGA'!H14,'25.07 KABUSU-RUBAGA'!H14,'26.07 KABUSU-RUBAGA-24h'!H14,'27.07 KABUSU-RUBAGA-24h'!H14,'28.07 KABUSU-RUBAGA'!H14)</f>
        <v>0</v>
      </c>
      <c r="I14" s="49">
        <f>AVERAGE('22.07 KABUSU-RUBAGA'!I14,'23.07 KABUSU-RUBAGA'!I14,'24.07 KABUSU-RUBAGA'!I14,'25.07 KABUSU-RUBAGA'!I14,'26.07 KABUSU-RUBAGA-24h'!I14,'27.07 KABUSU-RUBAGA-24h'!I14,'28.07 KABUSU-RUBAGA'!I14)</f>
        <v>3.5714285714285716</v>
      </c>
      <c r="J14" s="49">
        <f>AVERAGE('22.07 KABUSU-RUBAGA'!J14,'23.07 KABUSU-RUBAGA'!J14,'24.07 KABUSU-RUBAGA'!J14,'25.07 KABUSU-RUBAGA'!J14,'26.07 KABUSU-RUBAGA-24h'!J14,'27.07 KABUSU-RUBAGA-24h'!J14,'28.07 KABUSU-RUBAGA'!J14)</f>
        <v>1.8571428571428572</v>
      </c>
      <c r="K14" s="49">
        <f>AVERAGE('22.07 KABUSU-RUBAGA'!K14,'23.07 KABUSU-RUBAGA'!K14,'24.07 KABUSU-RUBAGA'!K14,'25.07 KABUSU-RUBAGA'!K14,'26.07 KABUSU-RUBAGA-24h'!K14,'27.07 KABUSU-RUBAGA-24h'!K14,'28.07 KABUSU-RUBAGA'!K14)</f>
        <v>0.2857142857142857</v>
      </c>
      <c r="L14" s="49">
        <f>AVERAGE('22.07 KABUSU-RUBAGA'!L14,'23.07 KABUSU-RUBAGA'!L14,'24.07 KABUSU-RUBAGA'!L14,'25.07 KABUSU-RUBAGA'!L14,'26.07 KABUSU-RUBAGA-24h'!L14,'27.07 KABUSU-RUBAGA-24h'!L14,'28.07 KABUSU-RUBAGA'!L14)</f>
        <v>0</v>
      </c>
      <c r="M14" s="49">
        <f>AVERAGE('22.07 KABUSU-RUBAGA'!M14,'23.07 KABUSU-RUBAGA'!M14,'24.07 KABUSU-RUBAGA'!M14,'25.07 KABUSU-RUBAGA'!M14,'26.07 KABUSU-RUBAGA-24h'!M14,'27.07 KABUSU-RUBAGA-24h'!M14,'28.07 KABUSU-RUBAGA'!M14)</f>
        <v>263.71428571428572</v>
      </c>
      <c r="N14" s="49">
        <f>AVERAGE('22.07 KABUSU-RUBAGA'!N14,'23.07 KABUSU-RUBAGA'!N14,'24.07 KABUSU-RUBAGA'!N14,'25.07 KABUSU-RUBAGA'!N14,'26.07 KABUSU-RUBAGA-24h'!N14,'27.07 KABUSU-RUBAGA-24h'!N14,'28.07 KABUSU-RUBAGA'!N14)</f>
        <v>0</v>
      </c>
      <c r="O14" s="15">
        <f t="shared" si="0"/>
        <v>131.57142857142858</v>
      </c>
      <c r="P14" s="15">
        <f t="shared" si="1"/>
        <v>395.28571428571433</v>
      </c>
      <c r="R14" s="1" t="s">
        <v>10</v>
      </c>
      <c r="S14" s="17">
        <f t="shared" ref="S14:AF14" si="6">SUM(C26:C29)</f>
        <v>107.42857142857143</v>
      </c>
      <c r="T14" s="17">
        <f t="shared" si="6"/>
        <v>98.285714285714278</v>
      </c>
      <c r="U14" s="17">
        <f t="shared" si="6"/>
        <v>20.714285714285715</v>
      </c>
      <c r="V14" s="17">
        <f t="shared" si="6"/>
        <v>107.42857142857142</v>
      </c>
      <c r="W14" s="17">
        <f t="shared" si="6"/>
        <v>0.8571428571428571</v>
      </c>
      <c r="X14" s="17">
        <f t="shared" si="6"/>
        <v>0.8571428571428571</v>
      </c>
      <c r="Y14" s="17">
        <f t="shared" si="6"/>
        <v>19</v>
      </c>
      <c r="Z14" s="17">
        <f t="shared" si="6"/>
        <v>9.1428571428571423</v>
      </c>
      <c r="AA14" s="17">
        <f t="shared" si="6"/>
        <v>4.1428571428571423</v>
      </c>
      <c r="AB14" s="17">
        <f t="shared" si="6"/>
        <v>2.4285714285714284</v>
      </c>
      <c r="AC14" s="17">
        <f t="shared" si="6"/>
        <v>707</v>
      </c>
      <c r="AD14" s="17">
        <f t="shared" si="6"/>
        <v>0</v>
      </c>
      <c r="AE14" s="31">
        <f t="shared" si="6"/>
        <v>370.28571428571433</v>
      </c>
      <c r="AF14" s="31">
        <f t="shared" si="6"/>
        <v>1077.2857142857142</v>
      </c>
    </row>
    <row r="15" spans="2:32" ht="23.1" customHeight="1" x14ac:dyDescent="0.25">
      <c r="B15" s="23" t="s">
        <v>42</v>
      </c>
      <c r="C15" s="49">
        <f>AVERAGE('22.07 KABUSU-RUBAGA'!C15,'23.07 KABUSU-RUBAGA'!C15,'24.07 KABUSU-RUBAGA'!C15,'25.07 KABUSU-RUBAGA'!C15,'26.07 KABUSU-RUBAGA-24h'!C15,'27.07 KABUSU-RUBAGA-24h'!C15,'28.07 KABUSU-RUBAGA'!C15)</f>
        <v>43.142857142857146</v>
      </c>
      <c r="D15" s="49">
        <f>AVERAGE('22.07 KABUSU-RUBAGA'!D15,'23.07 KABUSU-RUBAGA'!D15,'24.07 KABUSU-RUBAGA'!D15,'25.07 KABUSU-RUBAGA'!D15,'26.07 KABUSU-RUBAGA-24h'!D15,'27.07 KABUSU-RUBAGA-24h'!D15,'28.07 KABUSU-RUBAGA'!D15)</f>
        <v>34.142857142857146</v>
      </c>
      <c r="E15" s="49">
        <f>AVERAGE('22.07 KABUSU-RUBAGA'!E15,'23.07 KABUSU-RUBAGA'!E15,'24.07 KABUSU-RUBAGA'!E15,'25.07 KABUSU-RUBAGA'!E15,'26.07 KABUSU-RUBAGA-24h'!E15,'27.07 KABUSU-RUBAGA-24h'!E15,'28.07 KABUSU-RUBAGA'!E15)</f>
        <v>3.8571428571428572</v>
      </c>
      <c r="F15" s="49">
        <f>AVERAGE('22.07 KABUSU-RUBAGA'!F15,'23.07 KABUSU-RUBAGA'!F15,'24.07 KABUSU-RUBAGA'!F15,'25.07 KABUSU-RUBAGA'!F15,'26.07 KABUSU-RUBAGA-24h'!F15,'27.07 KABUSU-RUBAGA-24h'!F15,'28.07 KABUSU-RUBAGA'!F15)</f>
        <v>34.714285714285715</v>
      </c>
      <c r="G15" s="49">
        <f>AVERAGE('22.07 KABUSU-RUBAGA'!G15,'23.07 KABUSU-RUBAGA'!G15,'24.07 KABUSU-RUBAGA'!G15,'25.07 KABUSU-RUBAGA'!G15,'26.07 KABUSU-RUBAGA-24h'!G15,'27.07 KABUSU-RUBAGA-24h'!G15,'28.07 KABUSU-RUBAGA'!G15)</f>
        <v>0.2857142857142857</v>
      </c>
      <c r="H15" s="49">
        <f>AVERAGE('22.07 KABUSU-RUBAGA'!H15,'23.07 KABUSU-RUBAGA'!H15,'24.07 KABUSU-RUBAGA'!H15,'25.07 KABUSU-RUBAGA'!H15,'26.07 KABUSU-RUBAGA-24h'!H15,'27.07 KABUSU-RUBAGA-24h'!H15,'28.07 KABUSU-RUBAGA'!H15)</f>
        <v>0.42857142857142855</v>
      </c>
      <c r="I15" s="49">
        <f>AVERAGE('22.07 KABUSU-RUBAGA'!I15,'23.07 KABUSU-RUBAGA'!I15,'24.07 KABUSU-RUBAGA'!I15,'25.07 KABUSU-RUBAGA'!I15,'26.07 KABUSU-RUBAGA-24h'!I15,'27.07 KABUSU-RUBAGA-24h'!I15,'28.07 KABUSU-RUBAGA'!I15)</f>
        <v>4.1428571428571432</v>
      </c>
      <c r="J15" s="49">
        <f>AVERAGE('22.07 KABUSU-RUBAGA'!J15,'23.07 KABUSU-RUBAGA'!J15,'24.07 KABUSU-RUBAGA'!J15,'25.07 KABUSU-RUBAGA'!J15,'26.07 KABUSU-RUBAGA-24h'!J15,'27.07 KABUSU-RUBAGA-24h'!J15,'28.07 KABUSU-RUBAGA'!J15)</f>
        <v>1.2857142857142858</v>
      </c>
      <c r="K15" s="49">
        <f>AVERAGE('22.07 KABUSU-RUBAGA'!K15,'23.07 KABUSU-RUBAGA'!K15,'24.07 KABUSU-RUBAGA'!K15,'25.07 KABUSU-RUBAGA'!K15,'26.07 KABUSU-RUBAGA-24h'!K15,'27.07 KABUSU-RUBAGA-24h'!K15,'28.07 KABUSU-RUBAGA'!K15)</f>
        <v>0.42857142857142855</v>
      </c>
      <c r="L15" s="49">
        <f>AVERAGE('22.07 KABUSU-RUBAGA'!L15,'23.07 KABUSU-RUBAGA'!L15,'24.07 KABUSU-RUBAGA'!L15,'25.07 KABUSU-RUBAGA'!L15,'26.07 KABUSU-RUBAGA-24h'!L15,'27.07 KABUSU-RUBAGA-24h'!L15,'28.07 KABUSU-RUBAGA'!L15)</f>
        <v>0</v>
      </c>
      <c r="M15" s="49">
        <f>AVERAGE('22.07 KABUSU-RUBAGA'!M15,'23.07 KABUSU-RUBAGA'!M15,'24.07 KABUSU-RUBAGA'!M15,'25.07 KABUSU-RUBAGA'!M15,'26.07 KABUSU-RUBAGA-24h'!M15,'27.07 KABUSU-RUBAGA-24h'!M15,'28.07 KABUSU-RUBAGA'!M15)</f>
        <v>257.57142857142856</v>
      </c>
      <c r="N15" s="49">
        <f>AVERAGE('22.07 KABUSU-RUBAGA'!N15,'23.07 KABUSU-RUBAGA'!N15,'24.07 KABUSU-RUBAGA'!N15,'25.07 KABUSU-RUBAGA'!N15,'26.07 KABUSU-RUBAGA-24h'!N15,'27.07 KABUSU-RUBAGA-24h'!N15,'28.07 KABUSU-RUBAGA'!N15)</f>
        <v>0</v>
      </c>
      <c r="O15" s="15">
        <f t="shared" si="0"/>
        <v>122.42857142857144</v>
      </c>
      <c r="P15" s="15">
        <f t="shared" si="1"/>
        <v>380</v>
      </c>
      <c r="R15" s="1" t="s">
        <v>11</v>
      </c>
      <c r="S15" s="17">
        <f t="shared" ref="S15:AF15" si="7">SUM(C30:C33)</f>
        <v>101.85714285714286</v>
      </c>
      <c r="T15" s="17">
        <f t="shared" si="7"/>
        <v>90.285714285714278</v>
      </c>
      <c r="U15" s="17">
        <f t="shared" si="7"/>
        <v>17.857142857142854</v>
      </c>
      <c r="V15" s="17">
        <f t="shared" si="7"/>
        <v>98.428571428571416</v>
      </c>
      <c r="W15" s="17">
        <f t="shared" si="7"/>
        <v>0.71428571428571419</v>
      </c>
      <c r="X15" s="17">
        <f t="shared" si="7"/>
        <v>0.5714285714285714</v>
      </c>
      <c r="Y15" s="17">
        <f t="shared" si="7"/>
        <v>18.714285714285715</v>
      </c>
      <c r="Z15" s="17">
        <f t="shared" si="7"/>
        <v>9.7142857142857153</v>
      </c>
      <c r="AA15" s="17">
        <f t="shared" si="7"/>
        <v>4.1428571428571432</v>
      </c>
      <c r="AB15" s="17">
        <f t="shared" si="7"/>
        <v>2.1428571428571428</v>
      </c>
      <c r="AC15" s="17">
        <f t="shared" si="7"/>
        <v>725</v>
      </c>
      <c r="AD15" s="17">
        <f t="shared" si="7"/>
        <v>0</v>
      </c>
      <c r="AE15" s="31">
        <f t="shared" si="7"/>
        <v>344.42857142857144</v>
      </c>
      <c r="AF15" s="31">
        <f t="shared" si="7"/>
        <v>1069.4285714285716</v>
      </c>
    </row>
    <row r="16" spans="2:32" ht="23.1" customHeight="1" x14ac:dyDescent="0.25">
      <c r="B16" s="23" t="s">
        <v>43</v>
      </c>
      <c r="C16" s="49">
        <f>AVERAGE('22.07 KABUSU-RUBAGA'!C16,'23.07 KABUSU-RUBAGA'!C16,'24.07 KABUSU-RUBAGA'!C16,'25.07 KABUSU-RUBAGA'!C16,'26.07 KABUSU-RUBAGA-24h'!C16,'27.07 KABUSU-RUBAGA-24h'!C16,'28.07 KABUSU-RUBAGA'!C16)</f>
        <v>39.857142857142854</v>
      </c>
      <c r="D16" s="49">
        <f>AVERAGE('22.07 KABUSU-RUBAGA'!D16,'23.07 KABUSU-RUBAGA'!D16,'24.07 KABUSU-RUBAGA'!D16,'25.07 KABUSU-RUBAGA'!D16,'26.07 KABUSU-RUBAGA-24h'!D16,'27.07 KABUSU-RUBAGA-24h'!D16,'28.07 KABUSU-RUBAGA'!D16)</f>
        <v>36.714285714285715</v>
      </c>
      <c r="E16" s="49">
        <f>AVERAGE('22.07 KABUSU-RUBAGA'!E16,'23.07 KABUSU-RUBAGA'!E16,'24.07 KABUSU-RUBAGA'!E16,'25.07 KABUSU-RUBAGA'!E16,'26.07 KABUSU-RUBAGA-24h'!E16,'27.07 KABUSU-RUBAGA-24h'!E16,'28.07 KABUSU-RUBAGA'!E16)</f>
        <v>7</v>
      </c>
      <c r="F16" s="49">
        <f>AVERAGE('22.07 KABUSU-RUBAGA'!F16,'23.07 KABUSU-RUBAGA'!F16,'24.07 KABUSU-RUBAGA'!F16,'25.07 KABUSU-RUBAGA'!F16,'26.07 KABUSU-RUBAGA-24h'!F16,'27.07 KABUSU-RUBAGA-24h'!F16,'28.07 KABUSU-RUBAGA'!F16)</f>
        <v>34.571428571428569</v>
      </c>
      <c r="G16" s="49">
        <f>AVERAGE('22.07 KABUSU-RUBAGA'!G16,'23.07 KABUSU-RUBAGA'!G16,'24.07 KABUSU-RUBAGA'!G16,'25.07 KABUSU-RUBAGA'!G16,'26.07 KABUSU-RUBAGA-24h'!G16,'27.07 KABUSU-RUBAGA-24h'!G16,'28.07 KABUSU-RUBAGA'!G16)</f>
        <v>0.14285714285714285</v>
      </c>
      <c r="H16" s="49">
        <f>AVERAGE('22.07 KABUSU-RUBAGA'!H16,'23.07 KABUSU-RUBAGA'!H16,'24.07 KABUSU-RUBAGA'!H16,'25.07 KABUSU-RUBAGA'!H16,'26.07 KABUSU-RUBAGA-24h'!H16,'27.07 KABUSU-RUBAGA-24h'!H16,'28.07 KABUSU-RUBAGA'!H16)</f>
        <v>0.14285714285714285</v>
      </c>
      <c r="I16" s="49">
        <f>AVERAGE('22.07 KABUSU-RUBAGA'!I16,'23.07 KABUSU-RUBAGA'!I16,'24.07 KABUSU-RUBAGA'!I16,'25.07 KABUSU-RUBAGA'!I16,'26.07 KABUSU-RUBAGA-24h'!I16,'27.07 KABUSU-RUBAGA-24h'!I16,'28.07 KABUSU-RUBAGA'!I16)</f>
        <v>4.5714285714285712</v>
      </c>
      <c r="J16" s="49">
        <f>AVERAGE('22.07 KABUSU-RUBAGA'!J16,'23.07 KABUSU-RUBAGA'!J16,'24.07 KABUSU-RUBAGA'!J16,'25.07 KABUSU-RUBAGA'!J16,'26.07 KABUSU-RUBAGA-24h'!J16,'27.07 KABUSU-RUBAGA-24h'!J16,'28.07 KABUSU-RUBAGA'!J16)</f>
        <v>1.4285714285714286</v>
      </c>
      <c r="K16" s="49">
        <f>AVERAGE('22.07 KABUSU-RUBAGA'!K16,'23.07 KABUSU-RUBAGA'!K16,'24.07 KABUSU-RUBAGA'!K16,'25.07 KABUSU-RUBAGA'!K16,'26.07 KABUSU-RUBAGA-24h'!K16,'27.07 KABUSU-RUBAGA-24h'!K16,'28.07 KABUSU-RUBAGA'!K16)</f>
        <v>0.5714285714285714</v>
      </c>
      <c r="L16" s="49">
        <f>AVERAGE('22.07 KABUSU-RUBAGA'!L16,'23.07 KABUSU-RUBAGA'!L16,'24.07 KABUSU-RUBAGA'!L16,'25.07 KABUSU-RUBAGA'!L16,'26.07 KABUSU-RUBAGA-24h'!L16,'27.07 KABUSU-RUBAGA-24h'!L16,'28.07 KABUSU-RUBAGA'!L16)</f>
        <v>0.5714285714285714</v>
      </c>
      <c r="M16" s="49">
        <f>AVERAGE('22.07 KABUSU-RUBAGA'!M16,'23.07 KABUSU-RUBAGA'!M16,'24.07 KABUSU-RUBAGA'!M16,'25.07 KABUSU-RUBAGA'!M16,'26.07 KABUSU-RUBAGA-24h'!M16,'27.07 KABUSU-RUBAGA-24h'!M16,'28.07 KABUSU-RUBAGA'!M16)</f>
        <v>274.28571428571428</v>
      </c>
      <c r="N16" s="49">
        <f>AVERAGE('22.07 KABUSU-RUBAGA'!N16,'23.07 KABUSU-RUBAGA'!N16,'24.07 KABUSU-RUBAGA'!N16,'25.07 KABUSU-RUBAGA'!N16,'26.07 KABUSU-RUBAGA-24h'!N16,'27.07 KABUSU-RUBAGA-24h'!N16,'28.07 KABUSU-RUBAGA'!N16)</f>
        <v>0</v>
      </c>
      <c r="O16" s="15">
        <f t="shared" si="0"/>
        <v>125.57142857142856</v>
      </c>
      <c r="P16" s="15">
        <f t="shared" si="1"/>
        <v>399.85714285714283</v>
      </c>
      <c r="R16" s="1" t="s">
        <v>12</v>
      </c>
      <c r="S16" s="17">
        <f t="shared" ref="S16:AF16" si="8">SUM(C34:C37)</f>
        <v>103.42857142857142</v>
      </c>
      <c r="T16" s="17">
        <f t="shared" si="8"/>
        <v>86.285714285714278</v>
      </c>
      <c r="U16" s="17">
        <f t="shared" si="8"/>
        <v>16.857142857142858</v>
      </c>
      <c r="V16" s="17">
        <f t="shared" si="8"/>
        <v>91.857142857142861</v>
      </c>
      <c r="W16" s="17">
        <f t="shared" si="8"/>
        <v>1.1428571428571428</v>
      </c>
      <c r="X16" s="17">
        <f t="shared" si="8"/>
        <v>1.4285714285714286</v>
      </c>
      <c r="Y16" s="17">
        <f t="shared" si="8"/>
        <v>17.142857142857146</v>
      </c>
      <c r="Z16" s="17">
        <f t="shared" si="8"/>
        <v>7.5714285714285712</v>
      </c>
      <c r="AA16" s="17">
        <f t="shared" si="8"/>
        <v>3.5714285714285712</v>
      </c>
      <c r="AB16" s="17">
        <f t="shared" si="8"/>
        <v>3</v>
      </c>
      <c r="AC16" s="17">
        <f t="shared" si="8"/>
        <v>603.42857142857133</v>
      </c>
      <c r="AD16" s="17">
        <f t="shared" si="8"/>
        <v>0</v>
      </c>
      <c r="AE16" s="31">
        <f t="shared" si="8"/>
        <v>332.28571428571428</v>
      </c>
      <c r="AF16" s="31">
        <f t="shared" si="8"/>
        <v>935.71428571428555</v>
      </c>
    </row>
    <row r="17" spans="2:32" ht="23.1" customHeight="1" x14ac:dyDescent="0.25">
      <c r="B17" s="23" t="s">
        <v>44</v>
      </c>
      <c r="C17" s="49">
        <f>AVERAGE('22.07 KABUSU-RUBAGA'!C17,'23.07 KABUSU-RUBAGA'!C17,'24.07 KABUSU-RUBAGA'!C17,'25.07 KABUSU-RUBAGA'!C17,'26.07 KABUSU-RUBAGA-24h'!C17,'27.07 KABUSU-RUBAGA-24h'!C17,'28.07 KABUSU-RUBAGA'!C17)</f>
        <v>43.571428571428569</v>
      </c>
      <c r="D17" s="49">
        <f>AVERAGE('22.07 KABUSU-RUBAGA'!D17,'23.07 KABUSU-RUBAGA'!D17,'24.07 KABUSU-RUBAGA'!D17,'25.07 KABUSU-RUBAGA'!D17,'26.07 KABUSU-RUBAGA-24h'!D17,'27.07 KABUSU-RUBAGA-24h'!D17,'28.07 KABUSU-RUBAGA'!D17)</f>
        <v>31.571428571428573</v>
      </c>
      <c r="E17" s="49">
        <f>AVERAGE('22.07 KABUSU-RUBAGA'!E17,'23.07 KABUSU-RUBAGA'!E17,'24.07 KABUSU-RUBAGA'!E17,'25.07 KABUSU-RUBAGA'!E17,'26.07 KABUSU-RUBAGA-24h'!E17,'27.07 KABUSU-RUBAGA-24h'!E17,'28.07 KABUSU-RUBAGA'!E17)</f>
        <v>5.1428571428571432</v>
      </c>
      <c r="F17" s="49">
        <f>AVERAGE('22.07 KABUSU-RUBAGA'!F17,'23.07 KABUSU-RUBAGA'!F17,'24.07 KABUSU-RUBAGA'!F17,'25.07 KABUSU-RUBAGA'!F17,'26.07 KABUSU-RUBAGA-24h'!F17,'27.07 KABUSU-RUBAGA-24h'!F17,'28.07 KABUSU-RUBAGA'!F17)</f>
        <v>30.714285714285715</v>
      </c>
      <c r="G17" s="49">
        <f>AVERAGE('22.07 KABUSU-RUBAGA'!G17,'23.07 KABUSU-RUBAGA'!G17,'24.07 KABUSU-RUBAGA'!G17,'25.07 KABUSU-RUBAGA'!G17,'26.07 KABUSU-RUBAGA-24h'!G17,'27.07 KABUSU-RUBAGA-24h'!G17,'28.07 KABUSU-RUBAGA'!G17)</f>
        <v>0</v>
      </c>
      <c r="H17" s="49">
        <f>AVERAGE('22.07 KABUSU-RUBAGA'!H17,'23.07 KABUSU-RUBAGA'!H17,'24.07 KABUSU-RUBAGA'!H17,'25.07 KABUSU-RUBAGA'!H17,'26.07 KABUSU-RUBAGA-24h'!H17,'27.07 KABUSU-RUBAGA-24h'!H17,'28.07 KABUSU-RUBAGA'!H17)</f>
        <v>0</v>
      </c>
      <c r="I17" s="49">
        <f>AVERAGE('22.07 KABUSU-RUBAGA'!I17,'23.07 KABUSU-RUBAGA'!I17,'24.07 KABUSU-RUBAGA'!I17,'25.07 KABUSU-RUBAGA'!I17,'26.07 KABUSU-RUBAGA-24h'!I17,'27.07 KABUSU-RUBAGA-24h'!I17,'28.07 KABUSU-RUBAGA'!I17)</f>
        <v>2.7142857142857144</v>
      </c>
      <c r="J17" s="49">
        <f>AVERAGE('22.07 KABUSU-RUBAGA'!J17,'23.07 KABUSU-RUBAGA'!J17,'24.07 KABUSU-RUBAGA'!J17,'25.07 KABUSU-RUBAGA'!J17,'26.07 KABUSU-RUBAGA-24h'!J17,'27.07 KABUSU-RUBAGA-24h'!J17,'28.07 KABUSU-RUBAGA'!J17)</f>
        <v>1</v>
      </c>
      <c r="K17" s="49">
        <f>AVERAGE('22.07 KABUSU-RUBAGA'!K17,'23.07 KABUSU-RUBAGA'!K17,'24.07 KABUSU-RUBAGA'!K17,'25.07 KABUSU-RUBAGA'!K17,'26.07 KABUSU-RUBAGA-24h'!K17,'27.07 KABUSU-RUBAGA-24h'!K17,'28.07 KABUSU-RUBAGA'!K17)</f>
        <v>0.42857142857142855</v>
      </c>
      <c r="L17" s="49">
        <f>AVERAGE('22.07 KABUSU-RUBAGA'!L17,'23.07 KABUSU-RUBAGA'!L17,'24.07 KABUSU-RUBAGA'!L17,'25.07 KABUSU-RUBAGA'!L17,'26.07 KABUSU-RUBAGA-24h'!L17,'27.07 KABUSU-RUBAGA-24h'!L17,'28.07 KABUSU-RUBAGA'!L17)</f>
        <v>0.2857142857142857</v>
      </c>
      <c r="M17" s="49">
        <f>AVERAGE('22.07 KABUSU-RUBAGA'!M17,'23.07 KABUSU-RUBAGA'!M17,'24.07 KABUSU-RUBAGA'!M17,'25.07 KABUSU-RUBAGA'!M17,'26.07 KABUSU-RUBAGA-24h'!M17,'27.07 KABUSU-RUBAGA-24h'!M17,'28.07 KABUSU-RUBAGA'!M17)</f>
        <v>266.14285714285717</v>
      </c>
      <c r="N17" s="49">
        <f>AVERAGE('22.07 KABUSU-RUBAGA'!N17,'23.07 KABUSU-RUBAGA'!N17,'24.07 KABUSU-RUBAGA'!N17,'25.07 KABUSU-RUBAGA'!N17,'26.07 KABUSU-RUBAGA-24h'!N17,'27.07 KABUSU-RUBAGA-24h'!N17,'28.07 KABUSU-RUBAGA'!N17)</f>
        <v>0</v>
      </c>
      <c r="O17" s="15">
        <f t="shared" si="0"/>
        <v>115.42857142857143</v>
      </c>
      <c r="P17" s="15">
        <f t="shared" si="1"/>
        <v>381.57142857142861</v>
      </c>
      <c r="R17" s="1" t="s">
        <v>13</v>
      </c>
      <c r="S17" s="17">
        <f t="shared" ref="S17:AF17" si="9">SUM(C38:C41)</f>
        <v>94.428571428571416</v>
      </c>
      <c r="T17" s="17">
        <f t="shared" si="9"/>
        <v>69.714285714285722</v>
      </c>
      <c r="U17" s="17">
        <f t="shared" si="9"/>
        <v>15.428571428571427</v>
      </c>
      <c r="V17" s="17">
        <f t="shared" si="9"/>
        <v>78.571428571428569</v>
      </c>
      <c r="W17" s="17">
        <f t="shared" si="9"/>
        <v>1.2857142857142856</v>
      </c>
      <c r="X17" s="17">
        <f t="shared" si="9"/>
        <v>1.2857142857142856</v>
      </c>
      <c r="Y17" s="17">
        <f t="shared" si="9"/>
        <v>19.142857142857142</v>
      </c>
      <c r="Z17" s="17">
        <f t="shared" si="9"/>
        <v>9.2857142857142865</v>
      </c>
      <c r="AA17" s="17">
        <f t="shared" si="9"/>
        <v>3.714285714285714</v>
      </c>
      <c r="AB17" s="17">
        <f t="shared" si="9"/>
        <v>2.8571428571428572</v>
      </c>
      <c r="AC17" s="17">
        <f t="shared" si="9"/>
        <v>567.57142857142856</v>
      </c>
      <c r="AD17" s="17">
        <f t="shared" si="9"/>
        <v>0</v>
      </c>
      <c r="AE17" s="31">
        <f t="shared" si="9"/>
        <v>295.71428571428572</v>
      </c>
      <c r="AF17" s="31">
        <f t="shared" si="9"/>
        <v>863.28571428571433</v>
      </c>
    </row>
    <row r="18" spans="2:32" ht="23.1" customHeight="1" x14ac:dyDescent="0.25">
      <c r="B18" s="23" t="s">
        <v>45</v>
      </c>
      <c r="C18" s="49">
        <f>AVERAGE('22.07 KABUSU-RUBAGA'!C18,'23.07 KABUSU-RUBAGA'!C18,'24.07 KABUSU-RUBAGA'!C18,'25.07 KABUSU-RUBAGA'!C18,'26.07 KABUSU-RUBAGA-24h'!C18,'27.07 KABUSU-RUBAGA-24h'!C18,'28.07 KABUSU-RUBAGA'!C18)</f>
        <v>42.714285714285715</v>
      </c>
      <c r="D18" s="49">
        <f>AVERAGE('22.07 KABUSU-RUBAGA'!D18,'23.07 KABUSU-RUBAGA'!D18,'24.07 KABUSU-RUBAGA'!D18,'25.07 KABUSU-RUBAGA'!D18,'26.07 KABUSU-RUBAGA-24h'!D18,'27.07 KABUSU-RUBAGA-24h'!D18,'28.07 KABUSU-RUBAGA'!D18)</f>
        <v>33.142857142857146</v>
      </c>
      <c r="E18" s="49">
        <f>AVERAGE('22.07 KABUSU-RUBAGA'!E18,'23.07 KABUSU-RUBAGA'!E18,'24.07 KABUSU-RUBAGA'!E18,'25.07 KABUSU-RUBAGA'!E18,'26.07 KABUSU-RUBAGA-24h'!E18,'27.07 KABUSU-RUBAGA-24h'!E18,'28.07 KABUSU-RUBAGA'!E18)</f>
        <v>5.2857142857142856</v>
      </c>
      <c r="F18" s="49">
        <f>AVERAGE('22.07 KABUSU-RUBAGA'!F18,'23.07 KABUSU-RUBAGA'!F18,'24.07 KABUSU-RUBAGA'!F18,'25.07 KABUSU-RUBAGA'!F18,'26.07 KABUSU-RUBAGA-24h'!F18,'27.07 KABUSU-RUBAGA-24h'!F18,'28.07 KABUSU-RUBAGA'!F18)</f>
        <v>29.428571428571427</v>
      </c>
      <c r="G18" s="49">
        <f>AVERAGE('22.07 KABUSU-RUBAGA'!G18,'23.07 KABUSU-RUBAGA'!G18,'24.07 KABUSU-RUBAGA'!G18,'25.07 KABUSU-RUBAGA'!G18,'26.07 KABUSU-RUBAGA-24h'!G18,'27.07 KABUSU-RUBAGA-24h'!G18,'28.07 KABUSU-RUBAGA'!G18)</f>
        <v>0.14285714285714285</v>
      </c>
      <c r="H18" s="49">
        <f>AVERAGE('22.07 KABUSU-RUBAGA'!H18,'23.07 KABUSU-RUBAGA'!H18,'24.07 KABUSU-RUBAGA'!H18,'25.07 KABUSU-RUBAGA'!H18,'26.07 KABUSU-RUBAGA-24h'!H18,'27.07 KABUSU-RUBAGA-24h'!H18,'28.07 KABUSU-RUBAGA'!H18)</f>
        <v>0</v>
      </c>
      <c r="I18" s="49">
        <f>AVERAGE('22.07 KABUSU-RUBAGA'!I18,'23.07 KABUSU-RUBAGA'!I18,'24.07 KABUSU-RUBAGA'!I18,'25.07 KABUSU-RUBAGA'!I18,'26.07 KABUSU-RUBAGA-24h'!I18,'27.07 KABUSU-RUBAGA-24h'!I18,'28.07 KABUSU-RUBAGA'!I18)</f>
        <v>3.8571428571428572</v>
      </c>
      <c r="J18" s="49">
        <f>AVERAGE('22.07 KABUSU-RUBAGA'!J18,'23.07 KABUSU-RUBAGA'!J18,'24.07 KABUSU-RUBAGA'!J18,'25.07 KABUSU-RUBAGA'!J18,'26.07 KABUSU-RUBAGA-24h'!J18,'27.07 KABUSU-RUBAGA-24h'!J18,'28.07 KABUSU-RUBAGA'!J18)</f>
        <v>0.5714285714285714</v>
      </c>
      <c r="K18" s="49">
        <f>AVERAGE('22.07 KABUSU-RUBAGA'!K18,'23.07 KABUSU-RUBAGA'!K18,'24.07 KABUSU-RUBAGA'!K18,'25.07 KABUSU-RUBAGA'!K18,'26.07 KABUSU-RUBAGA-24h'!K18,'27.07 KABUSU-RUBAGA-24h'!K18,'28.07 KABUSU-RUBAGA'!K18)</f>
        <v>0.7142857142857143</v>
      </c>
      <c r="L18" s="49">
        <f>AVERAGE('22.07 KABUSU-RUBAGA'!L18,'23.07 KABUSU-RUBAGA'!L18,'24.07 KABUSU-RUBAGA'!L18,'25.07 KABUSU-RUBAGA'!L18,'26.07 KABUSU-RUBAGA-24h'!L18,'27.07 KABUSU-RUBAGA-24h'!L18,'28.07 KABUSU-RUBAGA'!L18)</f>
        <v>0.14285714285714285</v>
      </c>
      <c r="M18" s="49">
        <f>AVERAGE('22.07 KABUSU-RUBAGA'!M18,'23.07 KABUSU-RUBAGA'!M18,'24.07 KABUSU-RUBAGA'!M18,'25.07 KABUSU-RUBAGA'!M18,'26.07 KABUSU-RUBAGA-24h'!M18,'27.07 KABUSU-RUBAGA-24h'!M18,'28.07 KABUSU-RUBAGA'!M18)</f>
        <v>250</v>
      </c>
      <c r="N18" s="49">
        <f>AVERAGE('22.07 KABUSU-RUBAGA'!N18,'23.07 KABUSU-RUBAGA'!N18,'24.07 KABUSU-RUBAGA'!N18,'25.07 KABUSU-RUBAGA'!N18,'26.07 KABUSU-RUBAGA-24h'!N18,'27.07 KABUSU-RUBAGA-24h'!N18,'28.07 KABUSU-RUBAGA'!N18)</f>
        <v>0</v>
      </c>
      <c r="O18" s="15">
        <f t="shared" si="0"/>
        <v>116</v>
      </c>
      <c r="P18" s="15">
        <f t="shared" si="1"/>
        <v>366</v>
      </c>
      <c r="R18" s="1" t="s">
        <v>14</v>
      </c>
      <c r="S18" s="17">
        <f t="shared" ref="S18:AF18" si="10">SUM(C42:C45)</f>
        <v>99.714285714285722</v>
      </c>
      <c r="T18" s="17">
        <f t="shared" si="10"/>
        <v>83.285714285714278</v>
      </c>
      <c r="U18" s="17">
        <f t="shared" si="10"/>
        <v>19.857142857142858</v>
      </c>
      <c r="V18" s="17">
        <f t="shared" si="10"/>
        <v>85.571428571428584</v>
      </c>
      <c r="W18" s="17">
        <f t="shared" si="10"/>
        <v>1.5714285714285712</v>
      </c>
      <c r="X18" s="17">
        <f t="shared" si="10"/>
        <v>1.1428571428571428</v>
      </c>
      <c r="Y18" s="17">
        <f t="shared" si="10"/>
        <v>16</v>
      </c>
      <c r="Z18" s="17">
        <f t="shared" si="10"/>
        <v>8.1428571428571423</v>
      </c>
      <c r="AA18" s="17">
        <f t="shared" si="10"/>
        <v>2.2857142857142856</v>
      </c>
      <c r="AB18" s="17">
        <f t="shared" si="10"/>
        <v>1.4285714285714284</v>
      </c>
      <c r="AC18" s="17">
        <f t="shared" si="10"/>
        <v>525.14285714285711</v>
      </c>
      <c r="AD18" s="17">
        <f t="shared" si="10"/>
        <v>2</v>
      </c>
      <c r="AE18" s="31">
        <f t="shared" si="10"/>
        <v>321</v>
      </c>
      <c r="AF18" s="31">
        <f t="shared" si="10"/>
        <v>846.14285714285711</v>
      </c>
    </row>
    <row r="19" spans="2:32" ht="23.1" customHeight="1" x14ac:dyDescent="0.25">
      <c r="B19" s="23" t="s">
        <v>46</v>
      </c>
      <c r="C19" s="49">
        <f>AVERAGE('22.07 KABUSU-RUBAGA'!C19,'23.07 KABUSU-RUBAGA'!C19,'24.07 KABUSU-RUBAGA'!C19,'25.07 KABUSU-RUBAGA'!C19,'26.07 KABUSU-RUBAGA-24h'!C19,'27.07 KABUSU-RUBAGA-24h'!C19,'28.07 KABUSU-RUBAGA'!C19)</f>
        <v>37.714285714285715</v>
      </c>
      <c r="D19" s="49">
        <f>AVERAGE('22.07 KABUSU-RUBAGA'!D19,'23.07 KABUSU-RUBAGA'!D19,'24.07 KABUSU-RUBAGA'!D19,'25.07 KABUSU-RUBAGA'!D19,'26.07 KABUSU-RUBAGA-24h'!D19,'27.07 KABUSU-RUBAGA-24h'!D19,'28.07 KABUSU-RUBAGA'!D19)</f>
        <v>31</v>
      </c>
      <c r="E19" s="49">
        <f>AVERAGE('22.07 KABUSU-RUBAGA'!E19,'23.07 KABUSU-RUBAGA'!E19,'24.07 KABUSU-RUBAGA'!E19,'25.07 KABUSU-RUBAGA'!E19,'26.07 KABUSU-RUBAGA-24h'!E19,'27.07 KABUSU-RUBAGA-24h'!E19,'28.07 KABUSU-RUBAGA'!E19)</f>
        <v>7.7142857142857144</v>
      </c>
      <c r="F19" s="49">
        <f>AVERAGE('22.07 KABUSU-RUBAGA'!F19,'23.07 KABUSU-RUBAGA'!F19,'24.07 KABUSU-RUBAGA'!F19,'25.07 KABUSU-RUBAGA'!F19,'26.07 KABUSU-RUBAGA-24h'!F19,'27.07 KABUSU-RUBAGA-24h'!F19,'28.07 KABUSU-RUBAGA'!F19)</f>
        <v>27.428571428571427</v>
      </c>
      <c r="G19" s="49">
        <f>AVERAGE('22.07 KABUSU-RUBAGA'!G19,'23.07 KABUSU-RUBAGA'!G19,'24.07 KABUSU-RUBAGA'!G19,'25.07 KABUSU-RUBAGA'!G19,'26.07 KABUSU-RUBAGA-24h'!G19,'27.07 KABUSU-RUBAGA-24h'!G19,'28.07 KABUSU-RUBAGA'!G19)</f>
        <v>0.14285714285714285</v>
      </c>
      <c r="H19" s="49">
        <f>AVERAGE('22.07 KABUSU-RUBAGA'!H19,'23.07 KABUSU-RUBAGA'!H19,'24.07 KABUSU-RUBAGA'!H19,'25.07 KABUSU-RUBAGA'!H19,'26.07 KABUSU-RUBAGA-24h'!H19,'27.07 KABUSU-RUBAGA-24h'!H19,'28.07 KABUSU-RUBAGA'!H19)</f>
        <v>0.2857142857142857</v>
      </c>
      <c r="I19" s="49">
        <f>AVERAGE('22.07 KABUSU-RUBAGA'!I19,'23.07 KABUSU-RUBAGA'!I19,'24.07 KABUSU-RUBAGA'!I19,'25.07 KABUSU-RUBAGA'!I19,'26.07 KABUSU-RUBAGA-24h'!I19,'27.07 KABUSU-RUBAGA-24h'!I19,'28.07 KABUSU-RUBAGA'!I19)</f>
        <v>3.7142857142857144</v>
      </c>
      <c r="J19" s="49">
        <f>AVERAGE('22.07 KABUSU-RUBAGA'!J19,'23.07 KABUSU-RUBAGA'!J19,'24.07 KABUSU-RUBAGA'!J19,'25.07 KABUSU-RUBAGA'!J19,'26.07 KABUSU-RUBAGA-24h'!J19,'27.07 KABUSU-RUBAGA-24h'!J19,'28.07 KABUSU-RUBAGA'!J19)</f>
        <v>1.1428571428571428</v>
      </c>
      <c r="K19" s="49">
        <f>AVERAGE('22.07 KABUSU-RUBAGA'!K19,'23.07 KABUSU-RUBAGA'!K19,'24.07 KABUSU-RUBAGA'!K19,'25.07 KABUSU-RUBAGA'!K19,'26.07 KABUSU-RUBAGA-24h'!K19,'27.07 KABUSU-RUBAGA-24h'!K19,'28.07 KABUSU-RUBAGA'!K19)</f>
        <v>0.8571428571428571</v>
      </c>
      <c r="L19" s="49">
        <f>AVERAGE('22.07 KABUSU-RUBAGA'!L19,'23.07 KABUSU-RUBAGA'!L19,'24.07 KABUSU-RUBAGA'!L19,'25.07 KABUSU-RUBAGA'!L19,'26.07 KABUSU-RUBAGA-24h'!L19,'27.07 KABUSU-RUBAGA-24h'!L19,'28.07 KABUSU-RUBAGA'!L19)</f>
        <v>0.7142857142857143</v>
      </c>
      <c r="M19" s="49">
        <f>AVERAGE('22.07 KABUSU-RUBAGA'!M19,'23.07 KABUSU-RUBAGA'!M19,'24.07 KABUSU-RUBAGA'!M19,'25.07 KABUSU-RUBAGA'!M19,'26.07 KABUSU-RUBAGA-24h'!M19,'27.07 KABUSU-RUBAGA-24h'!M19,'28.07 KABUSU-RUBAGA'!M19)</f>
        <v>205.28571428571428</v>
      </c>
      <c r="N19" s="49">
        <f>AVERAGE('22.07 KABUSU-RUBAGA'!N19,'23.07 KABUSU-RUBAGA'!N19,'24.07 KABUSU-RUBAGA'!N19,'25.07 KABUSU-RUBAGA'!N19,'26.07 KABUSU-RUBAGA-24h'!N19,'27.07 KABUSU-RUBAGA-24h'!N19,'28.07 KABUSU-RUBAGA'!N19)</f>
        <v>0</v>
      </c>
      <c r="O19" s="15">
        <f t="shared" si="0"/>
        <v>110.71428571428571</v>
      </c>
      <c r="P19" s="15">
        <f t="shared" si="1"/>
        <v>316</v>
      </c>
      <c r="R19" s="1" t="s">
        <v>15</v>
      </c>
      <c r="S19" s="17">
        <f t="shared" ref="S19:AF19" si="11">SUM(C46:C49)</f>
        <v>99.714285714285722</v>
      </c>
      <c r="T19" s="17">
        <f t="shared" si="11"/>
        <v>72</v>
      </c>
      <c r="U19" s="17">
        <f t="shared" si="11"/>
        <v>17.285714285714285</v>
      </c>
      <c r="V19" s="17">
        <f t="shared" si="11"/>
        <v>88</v>
      </c>
      <c r="W19" s="17">
        <f t="shared" si="11"/>
        <v>2.8571428571428572</v>
      </c>
      <c r="X19" s="17">
        <f t="shared" si="11"/>
        <v>1.857142857142857</v>
      </c>
      <c r="Y19" s="17">
        <f t="shared" si="11"/>
        <v>19</v>
      </c>
      <c r="Z19" s="17">
        <f t="shared" si="11"/>
        <v>6.8571428571428577</v>
      </c>
      <c r="AA19" s="17">
        <f t="shared" si="11"/>
        <v>2.4285714285714284</v>
      </c>
      <c r="AB19" s="17">
        <f t="shared" si="11"/>
        <v>2.5714285714285712</v>
      </c>
      <c r="AC19" s="17">
        <f t="shared" si="11"/>
        <v>645.28571428571433</v>
      </c>
      <c r="AD19" s="17">
        <f t="shared" si="11"/>
        <v>0</v>
      </c>
      <c r="AE19" s="31">
        <f t="shared" si="11"/>
        <v>312.57142857142856</v>
      </c>
      <c r="AF19" s="31">
        <f t="shared" si="11"/>
        <v>957.85714285714289</v>
      </c>
    </row>
    <row r="20" spans="2:32" ht="23.1" customHeight="1" x14ac:dyDescent="0.25">
      <c r="B20" s="23" t="s">
        <v>47</v>
      </c>
      <c r="C20" s="49">
        <f>AVERAGE('22.07 KABUSU-RUBAGA'!C20,'23.07 KABUSU-RUBAGA'!C20,'24.07 KABUSU-RUBAGA'!C20,'25.07 KABUSU-RUBAGA'!C20,'26.07 KABUSU-RUBAGA-24h'!C20,'27.07 KABUSU-RUBAGA-24h'!C20,'28.07 KABUSU-RUBAGA'!C20)</f>
        <v>38.857142857142854</v>
      </c>
      <c r="D20" s="49">
        <f>AVERAGE('22.07 KABUSU-RUBAGA'!D20,'23.07 KABUSU-RUBAGA'!D20,'24.07 KABUSU-RUBAGA'!D20,'25.07 KABUSU-RUBAGA'!D20,'26.07 KABUSU-RUBAGA-24h'!D20,'27.07 KABUSU-RUBAGA-24h'!D20,'28.07 KABUSU-RUBAGA'!D20)</f>
        <v>33</v>
      </c>
      <c r="E20" s="49">
        <f>AVERAGE('22.07 KABUSU-RUBAGA'!E20,'23.07 KABUSU-RUBAGA'!E20,'24.07 KABUSU-RUBAGA'!E20,'25.07 KABUSU-RUBAGA'!E20,'26.07 KABUSU-RUBAGA-24h'!E20,'27.07 KABUSU-RUBAGA-24h'!E20,'28.07 KABUSU-RUBAGA'!E20)</f>
        <v>7.5714285714285712</v>
      </c>
      <c r="F20" s="49">
        <f>AVERAGE('22.07 KABUSU-RUBAGA'!F20,'23.07 KABUSU-RUBAGA'!F20,'24.07 KABUSU-RUBAGA'!F20,'25.07 KABUSU-RUBAGA'!F20,'26.07 KABUSU-RUBAGA-24h'!F20,'27.07 KABUSU-RUBAGA-24h'!F20,'28.07 KABUSU-RUBAGA'!F20)</f>
        <v>30.285714285714285</v>
      </c>
      <c r="G20" s="49">
        <f>AVERAGE('22.07 KABUSU-RUBAGA'!G20,'23.07 KABUSU-RUBAGA'!G20,'24.07 KABUSU-RUBAGA'!G20,'25.07 KABUSU-RUBAGA'!G20,'26.07 KABUSU-RUBAGA-24h'!G20,'27.07 KABUSU-RUBAGA-24h'!G20,'28.07 KABUSU-RUBAGA'!G20)</f>
        <v>0.14285714285714285</v>
      </c>
      <c r="H20" s="49">
        <f>AVERAGE('22.07 KABUSU-RUBAGA'!H20,'23.07 KABUSU-RUBAGA'!H20,'24.07 KABUSU-RUBAGA'!H20,'25.07 KABUSU-RUBAGA'!H20,'26.07 KABUSU-RUBAGA-24h'!H20,'27.07 KABUSU-RUBAGA-24h'!H20,'28.07 KABUSU-RUBAGA'!H20)</f>
        <v>0.2857142857142857</v>
      </c>
      <c r="I20" s="49">
        <f>AVERAGE('22.07 KABUSU-RUBAGA'!I20,'23.07 KABUSU-RUBAGA'!I20,'24.07 KABUSU-RUBAGA'!I20,'25.07 KABUSU-RUBAGA'!I20,'26.07 KABUSU-RUBAGA-24h'!I20,'27.07 KABUSU-RUBAGA-24h'!I20,'28.07 KABUSU-RUBAGA'!I20)</f>
        <v>5.5714285714285712</v>
      </c>
      <c r="J20" s="49">
        <f>AVERAGE('22.07 KABUSU-RUBAGA'!J20,'23.07 KABUSU-RUBAGA'!J20,'24.07 KABUSU-RUBAGA'!J20,'25.07 KABUSU-RUBAGA'!J20,'26.07 KABUSU-RUBAGA-24h'!J20,'27.07 KABUSU-RUBAGA-24h'!J20,'28.07 KABUSU-RUBAGA'!J20)</f>
        <v>1.8571428571428572</v>
      </c>
      <c r="K20" s="49">
        <f>AVERAGE('22.07 KABUSU-RUBAGA'!K20,'23.07 KABUSU-RUBAGA'!K20,'24.07 KABUSU-RUBAGA'!K20,'25.07 KABUSU-RUBAGA'!K20,'26.07 KABUSU-RUBAGA-24h'!K20,'27.07 KABUSU-RUBAGA-24h'!K20,'28.07 KABUSU-RUBAGA'!K20)</f>
        <v>0.7142857142857143</v>
      </c>
      <c r="L20" s="49">
        <f>AVERAGE('22.07 KABUSU-RUBAGA'!L20,'23.07 KABUSU-RUBAGA'!L20,'24.07 KABUSU-RUBAGA'!L20,'25.07 KABUSU-RUBAGA'!L20,'26.07 KABUSU-RUBAGA-24h'!L20,'27.07 KABUSU-RUBAGA-24h'!L20,'28.07 KABUSU-RUBAGA'!L20)</f>
        <v>0.2857142857142857</v>
      </c>
      <c r="M20" s="49">
        <f>AVERAGE('22.07 KABUSU-RUBAGA'!M20,'23.07 KABUSU-RUBAGA'!M20,'24.07 KABUSU-RUBAGA'!M20,'25.07 KABUSU-RUBAGA'!M20,'26.07 KABUSU-RUBAGA-24h'!M20,'27.07 KABUSU-RUBAGA-24h'!M20,'28.07 KABUSU-RUBAGA'!M20)</f>
        <v>222.14285714285714</v>
      </c>
      <c r="N20" s="49">
        <f>AVERAGE('22.07 KABUSU-RUBAGA'!N20,'23.07 KABUSU-RUBAGA'!N20,'24.07 KABUSU-RUBAGA'!N20,'25.07 KABUSU-RUBAGA'!N20,'26.07 KABUSU-RUBAGA-24h'!N20,'27.07 KABUSU-RUBAGA-24h'!N20,'28.07 KABUSU-RUBAGA'!N20)</f>
        <v>0</v>
      </c>
      <c r="O20" s="15">
        <f t="shared" si="0"/>
        <v>118.57142857142858</v>
      </c>
      <c r="P20" s="15">
        <f t="shared" si="1"/>
        <v>340.71428571428572</v>
      </c>
      <c r="R20" s="1" t="s">
        <v>16</v>
      </c>
      <c r="S20" s="17">
        <f t="shared" ref="S20:AF20" si="12">SUM(C50:C53)</f>
        <v>116.85714285714286</v>
      </c>
      <c r="T20" s="17">
        <f t="shared" si="12"/>
        <v>91.142857142857153</v>
      </c>
      <c r="U20" s="17">
        <f t="shared" si="12"/>
        <v>16</v>
      </c>
      <c r="V20" s="17">
        <f t="shared" si="12"/>
        <v>97.714285714285708</v>
      </c>
      <c r="W20" s="17">
        <f t="shared" si="12"/>
        <v>1.8571428571428572</v>
      </c>
      <c r="X20" s="17">
        <f t="shared" si="12"/>
        <v>2.5714285714285716</v>
      </c>
      <c r="Y20" s="17">
        <f t="shared" si="12"/>
        <v>18.142857142857142</v>
      </c>
      <c r="Z20" s="17">
        <f t="shared" si="12"/>
        <v>7.8571428571428577</v>
      </c>
      <c r="AA20" s="17">
        <f t="shared" si="12"/>
        <v>2.7142857142857144</v>
      </c>
      <c r="AB20" s="17">
        <f t="shared" si="12"/>
        <v>1.857142857142857</v>
      </c>
      <c r="AC20" s="17">
        <f t="shared" si="12"/>
        <v>718.28571428571422</v>
      </c>
      <c r="AD20" s="17">
        <f t="shared" si="12"/>
        <v>0</v>
      </c>
      <c r="AE20" s="31">
        <f t="shared" si="12"/>
        <v>356.71428571428567</v>
      </c>
      <c r="AF20" s="31">
        <f t="shared" si="12"/>
        <v>1075</v>
      </c>
    </row>
    <row r="21" spans="2:32" ht="23.1" customHeight="1" x14ac:dyDescent="0.25">
      <c r="B21" s="23" t="s">
        <v>48</v>
      </c>
      <c r="C21" s="49">
        <f>AVERAGE('22.07 KABUSU-RUBAGA'!C21,'23.07 KABUSU-RUBAGA'!C21,'24.07 KABUSU-RUBAGA'!C21,'25.07 KABUSU-RUBAGA'!C21,'26.07 KABUSU-RUBAGA-24h'!C21,'27.07 KABUSU-RUBAGA-24h'!C21,'28.07 KABUSU-RUBAGA'!C21)</f>
        <v>36.428571428571431</v>
      </c>
      <c r="D21" s="49">
        <f>AVERAGE('22.07 KABUSU-RUBAGA'!D21,'23.07 KABUSU-RUBAGA'!D21,'24.07 KABUSU-RUBAGA'!D21,'25.07 KABUSU-RUBAGA'!D21,'26.07 KABUSU-RUBAGA-24h'!D21,'27.07 KABUSU-RUBAGA-24h'!D21,'28.07 KABUSU-RUBAGA'!D21)</f>
        <v>28.714285714285715</v>
      </c>
      <c r="E21" s="49">
        <f>AVERAGE('22.07 KABUSU-RUBAGA'!E21,'23.07 KABUSU-RUBAGA'!E21,'24.07 KABUSU-RUBAGA'!E21,'25.07 KABUSU-RUBAGA'!E21,'26.07 KABUSU-RUBAGA-24h'!E21,'27.07 KABUSU-RUBAGA-24h'!E21,'28.07 KABUSU-RUBAGA'!E21)</f>
        <v>6</v>
      </c>
      <c r="F21" s="49">
        <f>AVERAGE('22.07 KABUSU-RUBAGA'!F21,'23.07 KABUSU-RUBAGA'!F21,'24.07 KABUSU-RUBAGA'!F21,'25.07 KABUSU-RUBAGA'!F21,'26.07 KABUSU-RUBAGA-24h'!F21,'27.07 KABUSU-RUBAGA-24h'!F21,'28.07 KABUSU-RUBAGA'!F21)</f>
        <v>29</v>
      </c>
      <c r="G21" s="49">
        <f>AVERAGE('22.07 KABUSU-RUBAGA'!G21,'23.07 KABUSU-RUBAGA'!G21,'24.07 KABUSU-RUBAGA'!G21,'25.07 KABUSU-RUBAGA'!G21,'26.07 KABUSU-RUBAGA-24h'!G21,'27.07 KABUSU-RUBAGA-24h'!G21,'28.07 KABUSU-RUBAGA'!G21)</f>
        <v>0.2857142857142857</v>
      </c>
      <c r="H21" s="49">
        <f>AVERAGE('22.07 KABUSU-RUBAGA'!H21,'23.07 KABUSU-RUBAGA'!H21,'24.07 KABUSU-RUBAGA'!H21,'25.07 KABUSU-RUBAGA'!H21,'26.07 KABUSU-RUBAGA-24h'!H21,'27.07 KABUSU-RUBAGA-24h'!H21,'28.07 KABUSU-RUBAGA'!H21)</f>
        <v>0.5714285714285714</v>
      </c>
      <c r="I21" s="49">
        <f>AVERAGE('22.07 KABUSU-RUBAGA'!I21,'23.07 KABUSU-RUBAGA'!I21,'24.07 KABUSU-RUBAGA'!I21,'25.07 KABUSU-RUBAGA'!I21,'26.07 KABUSU-RUBAGA-24h'!I21,'27.07 KABUSU-RUBAGA-24h'!I21,'28.07 KABUSU-RUBAGA'!I21)</f>
        <v>4.4285714285714288</v>
      </c>
      <c r="J21" s="49">
        <f>AVERAGE('22.07 KABUSU-RUBAGA'!J21,'23.07 KABUSU-RUBAGA'!J21,'24.07 KABUSU-RUBAGA'!J21,'25.07 KABUSU-RUBAGA'!J21,'26.07 KABUSU-RUBAGA-24h'!J21,'27.07 KABUSU-RUBAGA-24h'!J21,'28.07 KABUSU-RUBAGA'!J21)</f>
        <v>1.5714285714285714</v>
      </c>
      <c r="K21" s="49">
        <f>AVERAGE('22.07 KABUSU-RUBAGA'!K21,'23.07 KABUSU-RUBAGA'!K21,'24.07 KABUSU-RUBAGA'!K21,'25.07 KABUSU-RUBAGA'!K21,'26.07 KABUSU-RUBAGA-24h'!K21,'27.07 KABUSU-RUBAGA-24h'!K21,'28.07 KABUSU-RUBAGA'!K21)</f>
        <v>0.8571428571428571</v>
      </c>
      <c r="L21" s="49">
        <f>AVERAGE('22.07 KABUSU-RUBAGA'!L21,'23.07 KABUSU-RUBAGA'!L21,'24.07 KABUSU-RUBAGA'!L21,'25.07 KABUSU-RUBAGA'!L21,'26.07 KABUSU-RUBAGA-24h'!L21,'27.07 KABUSU-RUBAGA-24h'!L21,'28.07 KABUSU-RUBAGA'!L21)</f>
        <v>0.42857142857142855</v>
      </c>
      <c r="M21" s="49">
        <f>AVERAGE('22.07 KABUSU-RUBAGA'!M21,'23.07 KABUSU-RUBAGA'!M21,'24.07 KABUSU-RUBAGA'!M21,'25.07 KABUSU-RUBAGA'!M21,'26.07 KABUSU-RUBAGA-24h'!M21,'27.07 KABUSU-RUBAGA-24h'!M21,'28.07 KABUSU-RUBAGA'!M21)</f>
        <v>227.85714285714286</v>
      </c>
      <c r="N21" s="49">
        <f>AVERAGE('22.07 KABUSU-RUBAGA'!N21,'23.07 KABUSU-RUBAGA'!N21,'24.07 KABUSU-RUBAGA'!N21,'25.07 KABUSU-RUBAGA'!N21,'26.07 KABUSU-RUBAGA-24h'!N21,'27.07 KABUSU-RUBAGA-24h'!N21,'28.07 KABUSU-RUBAGA'!N21)</f>
        <v>0</v>
      </c>
      <c r="O21" s="15">
        <f t="shared" si="0"/>
        <v>108.28571428571429</v>
      </c>
      <c r="P21" s="15">
        <f t="shared" si="1"/>
        <v>336.14285714285717</v>
      </c>
      <c r="R21" s="36" t="s">
        <v>20</v>
      </c>
      <c r="S21" s="34">
        <f t="shared" ref="S21:AF21" si="13">SUM(C54:C57)</f>
        <v>130.42857142857144</v>
      </c>
      <c r="T21" s="17">
        <f t="shared" si="13"/>
        <v>87</v>
      </c>
      <c r="U21" s="17">
        <f t="shared" si="13"/>
        <v>19.714285714285715</v>
      </c>
      <c r="V21" s="17">
        <f t="shared" si="13"/>
        <v>133.42857142857144</v>
      </c>
      <c r="W21" s="17">
        <f t="shared" si="13"/>
        <v>3.8571428571428572</v>
      </c>
      <c r="X21" s="17">
        <f t="shared" si="13"/>
        <v>4</v>
      </c>
      <c r="Y21" s="17">
        <f t="shared" si="13"/>
        <v>11.571428571428571</v>
      </c>
      <c r="Z21" s="17">
        <f t="shared" si="13"/>
        <v>5.8571428571428568</v>
      </c>
      <c r="AA21" s="17">
        <f t="shared" si="13"/>
        <v>1.2857142857142856</v>
      </c>
      <c r="AB21" s="17">
        <f t="shared" si="13"/>
        <v>1.4285714285714286</v>
      </c>
      <c r="AC21" s="17">
        <f t="shared" si="13"/>
        <v>836.14285714285711</v>
      </c>
      <c r="AD21" s="17">
        <f t="shared" si="13"/>
        <v>0</v>
      </c>
      <c r="AE21" s="31">
        <f t="shared" si="13"/>
        <v>398.57142857142861</v>
      </c>
      <c r="AF21" s="31">
        <f t="shared" si="13"/>
        <v>1234.7142857142858</v>
      </c>
    </row>
    <row r="22" spans="2:32" ht="23.1" customHeight="1" x14ac:dyDescent="0.25">
      <c r="B22" s="23" t="s">
        <v>49</v>
      </c>
      <c r="C22" s="49">
        <f>AVERAGE('22.07 KABUSU-RUBAGA'!C22,'23.07 KABUSU-RUBAGA'!C22,'24.07 KABUSU-RUBAGA'!C22,'25.07 KABUSU-RUBAGA'!C22,'26.07 KABUSU-RUBAGA-24h'!C22,'27.07 KABUSU-RUBAGA-24h'!C22,'28.07 KABUSU-RUBAGA'!C22)</f>
        <v>32.285714285714285</v>
      </c>
      <c r="D22" s="49">
        <f>AVERAGE('22.07 KABUSU-RUBAGA'!D22,'23.07 KABUSU-RUBAGA'!D22,'24.07 KABUSU-RUBAGA'!D22,'25.07 KABUSU-RUBAGA'!D22,'26.07 KABUSU-RUBAGA-24h'!D22,'27.07 KABUSU-RUBAGA-24h'!D22,'28.07 KABUSU-RUBAGA'!D22)</f>
        <v>25.714285714285715</v>
      </c>
      <c r="E22" s="49">
        <f>AVERAGE('22.07 KABUSU-RUBAGA'!E22,'23.07 KABUSU-RUBAGA'!E22,'24.07 KABUSU-RUBAGA'!E22,'25.07 KABUSU-RUBAGA'!E22,'26.07 KABUSU-RUBAGA-24h'!E22,'27.07 KABUSU-RUBAGA-24h'!E22,'28.07 KABUSU-RUBAGA'!E22)</f>
        <v>7.4285714285714288</v>
      </c>
      <c r="F22" s="49">
        <f>AVERAGE('22.07 KABUSU-RUBAGA'!F22,'23.07 KABUSU-RUBAGA'!F22,'24.07 KABUSU-RUBAGA'!F22,'25.07 KABUSU-RUBAGA'!F22,'26.07 KABUSU-RUBAGA-24h'!F22,'27.07 KABUSU-RUBAGA-24h'!F22,'28.07 KABUSU-RUBAGA'!F22)</f>
        <v>30.142857142857142</v>
      </c>
      <c r="G22" s="49">
        <f>AVERAGE('22.07 KABUSU-RUBAGA'!G22,'23.07 KABUSU-RUBAGA'!G22,'24.07 KABUSU-RUBAGA'!G22,'25.07 KABUSU-RUBAGA'!G22,'26.07 KABUSU-RUBAGA-24h'!G22,'27.07 KABUSU-RUBAGA-24h'!G22,'28.07 KABUSU-RUBAGA'!G22)</f>
        <v>0</v>
      </c>
      <c r="H22" s="49">
        <f>AVERAGE('22.07 KABUSU-RUBAGA'!H22,'23.07 KABUSU-RUBAGA'!H22,'24.07 KABUSU-RUBAGA'!H22,'25.07 KABUSU-RUBAGA'!H22,'26.07 KABUSU-RUBAGA-24h'!H22,'27.07 KABUSU-RUBAGA-24h'!H22,'28.07 KABUSU-RUBAGA'!H22)</f>
        <v>0</v>
      </c>
      <c r="I22" s="49">
        <f>AVERAGE('22.07 KABUSU-RUBAGA'!I22,'23.07 KABUSU-RUBAGA'!I22,'24.07 KABUSU-RUBAGA'!I22,'25.07 KABUSU-RUBAGA'!I22,'26.07 KABUSU-RUBAGA-24h'!I22,'27.07 KABUSU-RUBAGA-24h'!I22,'28.07 KABUSU-RUBAGA'!I22)</f>
        <v>3.2857142857142856</v>
      </c>
      <c r="J22" s="49">
        <f>AVERAGE('22.07 KABUSU-RUBAGA'!J22,'23.07 KABUSU-RUBAGA'!J22,'24.07 KABUSU-RUBAGA'!J22,'25.07 KABUSU-RUBAGA'!J22,'26.07 KABUSU-RUBAGA-24h'!J22,'27.07 KABUSU-RUBAGA-24h'!J22,'28.07 KABUSU-RUBAGA'!J22)</f>
        <v>1.5714285714285714</v>
      </c>
      <c r="K22" s="49">
        <f>AVERAGE('22.07 KABUSU-RUBAGA'!K22,'23.07 KABUSU-RUBAGA'!K22,'24.07 KABUSU-RUBAGA'!K22,'25.07 KABUSU-RUBAGA'!K22,'26.07 KABUSU-RUBAGA-24h'!K22,'27.07 KABUSU-RUBAGA-24h'!K22,'28.07 KABUSU-RUBAGA'!K22)</f>
        <v>0.8571428571428571</v>
      </c>
      <c r="L22" s="49">
        <f>AVERAGE('22.07 KABUSU-RUBAGA'!L22,'23.07 KABUSU-RUBAGA'!L22,'24.07 KABUSU-RUBAGA'!L22,'25.07 KABUSU-RUBAGA'!L22,'26.07 KABUSU-RUBAGA-24h'!L22,'27.07 KABUSU-RUBAGA-24h'!L22,'28.07 KABUSU-RUBAGA'!L22)</f>
        <v>0.2857142857142857</v>
      </c>
      <c r="M22" s="49">
        <f>AVERAGE('22.07 KABUSU-RUBAGA'!M22,'23.07 KABUSU-RUBAGA'!M22,'24.07 KABUSU-RUBAGA'!M22,'25.07 KABUSU-RUBAGA'!M22,'26.07 KABUSU-RUBAGA-24h'!M22,'27.07 KABUSU-RUBAGA-24h'!M22,'28.07 KABUSU-RUBAGA'!M22)</f>
        <v>189.85714285714286</v>
      </c>
      <c r="N22" s="49">
        <f>AVERAGE('22.07 KABUSU-RUBAGA'!N22,'23.07 KABUSU-RUBAGA'!N22,'24.07 KABUSU-RUBAGA'!N22,'25.07 KABUSU-RUBAGA'!N22,'26.07 KABUSU-RUBAGA-24h'!N22,'27.07 KABUSU-RUBAGA-24h'!N22,'28.07 KABUSU-RUBAGA'!N22)</f>
        <v>0</v>
      </c>
      <c r="O22" s="15">
        <f t="shared" si="0"/>
        <v>101.57142857142858</v>
      </c>
      <c r="P22" s="15">
        <f t="shared" si="1"/>
        <v>291.42857142857144</v>
      </c>
      <c r="R22" s="1" t="s">
        <v>146</v>
      </c>
      <c r="S22" s="34">
        <f>SUM(C58:C61)</f>
        <v>102</v>
      </c>
      <c r="T22" s="34">
        <f t="shared" ref="T22:AF22" si="14">SUM(D58:D61)</f>
        <v>9</v>
      </c>
      <c r="U22" s="34">
        <f t="shared" si="14"/>
        <v>5.5</v>
      </c>
      <c r="V22" s="34">
        <f t="shared" si="14"/>
        <v>57</v>
      </c>
      <c r="W22" s="34">
        <f t="shared" si="14"/>
        <v>1.5</v>
      </c>
      <c r="X22" s="34">
        <f t="shared" si="14"/>
        <v>1.5</v>
      </c>
      <c r="Y22" s="34">
        <f t="shared" si="14"/>
        <v>1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265.5</v>
      </c>
      <c r="AD22" s="34">
        <f t="shared" si="14"/>
        <v>0</v>
      </c>
      <c r="AE22" s="31">
        <f t="shared" si="14"/>
        <v>180.5</v>
      </c>
      <c r="AF22" s="31">
        <f t="shared" si="14"/>
        <v>446</v>
      </c>
    </row>
    <row r="23" spans="2:32" ht="23.1" customHeight="1" x14ac:dyDescent="0.25">
      <c r="B23" s="23" t="s">
        <v>50</v>
      </c>
      <c r="C23" s="49">
        <f>AVERAGE('22.07 KABUSU-RUBAGA'!C23,'23.07 KABUSU-RUBAGA'!C23,'24.07 KABUSU-RUBAGA'!C23,'25.07 KABUSU-RUBAGA'!C23,'26.07 KABUSU-RUBAGA-24h'!C23,'27.07 KABUSU-RUBAGA-24h'!C23,'28.07 KABUSU-RUBAGA'!C23)</f>
        <v>33.857142857142854</v>
      </c>
      <c r="D23" s="49">
        <f>AVERAGE('22.07 KABUSU-RUBAGA'!D23,'23.07 KABUSU-RUBAGA'!D23,'24.07 KABUSU-RUBAGA'!D23,'25.07 KABUSU-RUBAGA'!D23,'26.07 KABUSU-RUBAGA-24h'!D23,'27.07 KABUSU-RUBAGA-24h'!D23,'28.07 KABUSU-RUBAGA'!D23)</f>
        <v>28.857142857142858</v>
      </c>
      <c r="E23" s="49">
        <f>AVERAGE('22.07 KABUSU-RUBAGA'!E23,'23.07 KABUSU-RUBAGA'!E23,'24.07 KABUSU-RUBAGA'!E23,'25.07 KABUSU-RUBAGA'!E23,'26.07 KABUSU-RUBAGA-24h'!E23,'27.07 KABUSU-RUBAGA-24h'!E23,'28.07 KABUSU-RUBAGA'!E23)</f>
        <v>5.4285714285714288</v>
      </c>
      <c r="F23" s="49">
        <f>AVERAGE('22.07 KABUSU-RUBAGA'!F23,'23.07 KABUSU-RUBAGA'!F23,'24.07 KABUSU-RUBAGA'!F23,'25.07 KABUSU-RUBAGA'!F23,'26.07 KABUSU-RUBAGA-24h'!F23,'27.07 KABUSU-RUBAGA-24h'!F23,'28.07 KABUSU-RUBAGA'!F23)</f>
        <v>27.714285714285715</v>
      </c>
      <c r="G23" s="49">
        <f>AVERAGE('22.07 KABUSU-RUBAGA'!G23,'23.07 KABUSU-RUBAGA'!G23,'24.07 KABUSU-RUBAGA'!G23,'25.07 KABUSU-RUBAGA'!G23,'26.07 KABUSU-RUBAGA-24h'!G23,'27.07 KABUSU-RUBAGA-24h'!G23,'28.07 KABUSU-RUBAGA'!G23)</f>
        <v>0.7142857142857143</v>
      </c>
      <c r="H23" s="49">
        <f>AVERAGE('22.07 KABUSU-RUBAGA'!H23,'23.07 KABUSU-RUBAGA'!H23,'24.07 KABUSU-RUBAGA'!H23,'25.07 KABUSU-RUBAGA'!H23,'26.07 KABUSU-RUBAGA-24h'!H23,'27.07 KABUSU-RUBAGA-24h'!H23,'28.07 KABUSU-RUBAGA'!H23)</f>
        <v>0.14285714285714285</v>
      </c>
      <c r="I23" s="49">
        <f>AVERAGE('22.07 KABUSU-RUBAGA'!I23,'23.07 KABUSU-RUBAGA'!I23,'24.07 KABUSU-RUBAGA'!I23,'25.07 KABUSU-RUBAGA'!I23,'26.07 KABUSU-RUBAGA-24h'!I23,'27.07 KABUSU-RUBAGA-24h'!I23,'28.07 KABUSU-RUBAGA'!I23)</f>
        <v>5.5714285714285712</v>
      </c>
      <c r="J23" s="49">
        <f>AVERAGE('22.07 KABUSU-RUBAGA'!J23,'23.07 KABUSU-RUBAGA'!J23,'24.07 KABUSU-RUBAGA'!J23,'25.07 KABUSU-RUBAGA'!J23,'26.07 KABUSU-RUBAGA-24h'!J23,'27.07 KABUSU-RUBAGA-24h'!J23,'28.07 KABUSU-RUBAGA'!J23)</f>
        <v>2.1428571428571428</v>
      </c>
      <c r="K23" s="49">
        <f>AVERAGE('22.07 KABUSU-RUBAGA'!K23,'23.07 KABUSU-RUBAGA'!K23,'24.07 KABUSU-RUBAGA'!K23,'25.07 KABUSU-RUBAGA'!K23,'26.07 KABUSU-RUBAGA-24h'!K23,'27.07 KABUSU-RUBAGA-24h'!K23,'28.07 KABUSU-RUBAGA'!K23)</f>
        <v>0.7142857142857143</v>
      </c>
      <c r="L23" s="49">
        <f>AVERAGE('22.07 KABUSU-RUBAGA'!L23,'23.07 KABUSU-RUBAGA'!L23,'24.07 KABUSU-RUBAGA'!L23,'25.07 KABUSU-RUBAGA'!L23,'26.07 KABUSU-RUBAGA-24h'!L23,'27.07 KABUSU-RUBAGA-24h'!L23,'28.07 KABUSU-RUBAGA'!L23)</f>
        <v>0.42857142857142855</v>
      </c>
      <c r="M23" s="49">
        <f>AVERAGE('22.07 KABUSU-RUBAGA'!M23,'23.07 KABUSU-RUBAGA'!M23,'24.07 KABUSU-RUBAGA'!M23,'25.07 KABUSU-RUBAGA'!M23,'26.07 KABUSU-RUBAGA-24h'!M23,'27.07 KABUSU-RUBAGA-24h'!M23,'28.07 KABUSU-RUBAGA'!M23)</f>
        <v>193.42857142857142</v>
      </c>
      <c r="N23" s="49">
        <f>AVERAGE('22.07 KABUSU-RUBAGA'!N23,'23.07 KABUSU-RUBAGA'!N23,'24.07 KABUSU-RUBAGA'!N23,'25.07 KABUSU-RUBAGA'!N23,'26.07 KABUSU-RUBAGA-24h'!N23,'27.07 KABUSU-RUBAGA-24h'!N23,'28.07 KABUSU-RUBAGA'!N23)</f>
        <v>0</v>
      </c>
      <c r="O23" s="15">
        <f t="shared" si="0"/>
        <v>105.57142857142856</v>
      </c>
      <c r="P23" s="15">
        <f t="shared" si="1"/>
        <v>299</v>
      </c>
      <c r="R23" s="1" t="s">
        <v>147</v>
      </c>
      <c r="S23" s="34">
        <f>SUM(C62:C65)</f>
        <v>99</v>
      </c>
      <c r="T23" s="34">
        <f t="shared" ref="T23:AF23" si="15">SUM(D62:D65)</f>
        <v>6</v>
      </c>
      <c r="U23" s="34">
        <f t="shared" si="15"/>
        <v>5</v>
      </c>
      <c r="V23" s="34">
        <f t="shared" si="15"/>
        <v>57</v>
      </c>
      <c r="W23" s="34">
        <f t="shared" si="15"/>
        <v>1</v>
      </c>
      <c r="X23" s="34">
        <f t="shared" si="15"/>
        <v>1</v>
      </c>
      <c r="Y23" s="34">
        <f t="shared" si="15"/>
        <v>5</v>
      </c>
      <c r="Z23" s="34">
        <f t="shared" si="15"/>
        <v>1</v>
      </c>
      <c r="AA23" s="34">
        <f t="shared" si="15"/>
        <v>0</v>
      </c>
      <c r="AB23" s="34">
        <f t="shared" si="15"/>
        <v>0.5</v>
      </c>
      <c r="AC23" s="34">
        <f t="shared" si="15"/>
        <v>247.5</v>
      </c>
      <c r="AD23" s="34">
        <f t="shared" si="15"/>
        <v>0</v>
      </c>
      <c r="AE23" s="31">
        <f t="shared" si="15"/>
        <v>175.5</v>
      </c>
      <c r="AF23" s="31">
        <f t="shared" si="15"/>
        <v>423</v>
      </c>
    </row>
    <row r="24" spans="2:32" ht="23.1" customHeight="1" x14ac:dyDescent="0.25">
      <c r="B24" s="23" t="s">
        <v>51</v>
      </c>
      <c r="C24" s="49">
        <f>AVERAGE('22.07 KABUSU-RUBAGA'!C24,'23.07 KABUSU-RUBAGA'!C24,'24.07 KABUSU-RUBAGA'!C24,'25.07 KABUSU-RUBAGA'!C24,'26.07 KABUSU-RUBAGA-24h'!C24,'27.07 KABUSU-RUBAGA-24h'!C24,'28.07 KABUSU-RUBAGA'!C24)</f>
        <v>33.714285714285715</v>
      </c>
      <c r="D24" s="49">
        <f>AVERAGE('22.07 KABUSU-RUBAGA'!D24,'23.07 KABUSU-RUBAGA'!D24,'24.07 KABUSU-RUBAGA'!D24,'25.07 KABUSU-RUBAGA'!D24,'26.07 KABUSU-RUBAGA-24h'!D24,'27.07 KABUSU-RUBAGA-24h'!D24,'28.07 KABUSU-RUBAGA'!D24)</f>
        <v>25.428571428571427</v>
      </c>
      <c r="E24" s="49">
        <f>AVERAGE('22.07 KABUSU-RUBAGA'!E24,'23.07 KABUSU-RUBAGA'!E24,'24.07 KABUSU-RUBAGA'!E24,'25.07 KABUSU-RUBAGA'!E24,'26.07 KABUSU-RUBAGA-24h'!E24,'27.07 KABUSU-RUBAGA-24h'!E24,'28.07 KABUSU-RUBAGA'!E24)</f>
        <v>9</v>
      </c>
      <c r="F24" s="49">
        <f>AVERAGE('22.07 KABUSU-RUBAGA'!F24,'23.07 KABUSU-RUBAGA'!F24,'24.07 KABUSU-RUBAGA'!F24,'25.07 KABUSU-RUBAGA'!F24,'26.07 KABUSU-RUBAGA-24h'!F24,'27.07 KABUSU-RUBAGA-24h'!F24,'28.07 KABUSU-RUBAGA'!F24)</f>
        <v>24.714285714285715</v>
      </c>
      <c r="G24" s="49">
        <f>AVERAGE('22.07 KABUSU-RUBAGA'!G24,'23.07 KABUSU-RUBAGA'!G24,'24.07 KABUSU-RUBAGA'!G24,'25.07 KABUSU-RUBAGA'!G24,'26.07 KABUSU-RUBAGA-24h'!G24,'27.07 KABUSU-RUBAGA-24h'!G24,'28.07 KABUSU-RUBAGA'!G24)</f>
        <v>0.42857142857142855</v>
      </c>
      <c r="H24" s="49">
        <f>AVERAGE('22.07 KABUSU-RUBAGA'!H24,'23.07 KABUSU-RUBAGA'!H24,'24.07 KABUSU-RUBAGA'!H24,'25.07 KABUSU-RUBAGA'!H24,'26.07 KABUSU-RUBAGA-24h'!H24,'27.07 KABUSU-RUBAGA-24h'!H24,'28.07 KABUSU-RUBAGA'!H24)</f>
        <v>0.14285714285714285</v>
      </c>
      <c r="I24" s="49">
        <f>AVERAGE('22.07 KABUSU-RUBAGA'!I24,'23.07 KABUSU-RUBAGA'!I24,'24.07 KABUSU-RUBAGA'!I24,'25.07 KABUSU-RUBAGA'!I24,'26.07 KABUSU-RUBAGA-24h'!I24,'27.07 KABUSU-RUBAGA-24h'!I24,'28.07 KABUSU-RUBAGA'!I24)</f>
        <v>3.4285714285714284</v>
      </c>
      <c r="J24" s="49">
        <f>AVERAGE('22.07 KABUSU-RUBAGA'!J24,'23.07 KABUSU-RUBAGA'!J24,'24.07 KABUSU-RUBAGA'!J24,'25.07 KABUSU-RUBAGA'!J24,'26.07 KABUSU-RUBAGA-24h'!J24,'27.07 KABUSU-RUBAGA-24h'!J24,'28.07 KABUSU-RUBAGA'!J24)</f>
        <v>2.7142857142857144</v>
      </c>
      <c r="K24" s="49">
        <f>AVERAGE('22.07 KABUSU-RUBAGA'!K24,'23.07 KABUSU-RUBAGA'!K24,'24.07 KABUSU-RUBAGA'!K24,'25.07 KABUSU-RUBAGA'!K24,'26.07 KABUSU-RUBAGA-24h'!K24,'27.07 KABUSU-RUBAGA-24h'!K24,'28.07 KABUSU-RUBAGA'!K24)</f>
        <v>1</v>
      </c>
      <c r="L24" s="49">
        <f>AVERAGE('22.07 KABUSU-RUBAGA'!L24,'23.07 KABUSU-RUBAGA'!L24,'24.07 KABUSU-RUBAGA'!L24,'25.07 KABUSU-RUBAGA'!L24,'26.07 KABUSU-RUBAGA-24h'!L24,'27.07 KABUSU-RUBAGA-24h'!L24,'28.07 KABUSU-RUBAGA'!L24)</f>
        <v>1</v>
      </c>
      <c r="M24" s="49">
        <f>AVERAGE('22.07 KABUSU-RUBAGA'!M24,'23.07 KABUSU-RUBAGA'!M24,'24.07 KABUSU-RUBAGA'!M24,'25.07 KABUSU-RUBAGA'!M24,'26.07 KABUSU-RUBAGA-24h'!M24,'27.07 KABUSU-RUBAGA-24h'!M24,'28.07 KABUSU-RUBAGA'!M24)</f>
        <v>166.28571428571428</v>
      </c>
      <c r="N24" s="49">
        <f>AVERAGE('22.07 KABUSU-RUBAGA'!N24,'23.07 KABUSU-RUBAGA'!N24,'24.07 KABUSU-RUBAGA'!N24,'25.07 KABUSU-RUBAGA'!N24,'26.07 KABUSU-RUBAGA-24h'!N24,'27.07 KABUSU-RUBAGA-24h'!N24,'28.07 KABUSU-RUBAGA'!N24)</f>
        <v>0</v>
      </c>
      <c r="O24" s="15">
        <f t="shared" si="0"/>
        <v>101.57142857142857</v>
      </c>
      <c r="P24" s="15">
        <f t="shared" si="1"/>
        <v>267.85714285714283</v>
      </c>
      <c r="R24" s="1" t="s">
        <v>148</v>
      </c>
      <c r="S24" s="34">
        <f>SUM(C66:C69)</f>
        <v>89</v>
      </c>
      <c r="T24" s="34">
        <f t="shared" ref="T24:AF24" si="16">SUM(D66:D69)</f>
        <v>5.5</v>
      </c>
      <c r="U24" s="34">
        <f t="shared" si="16"/>
        <v>6</v>
      </c>
      <c r="V24" s="34">
        <f t="shared" si="16"/>
        <v>51</v>
      </c>
      <c r="W24" s="34">
        <f t="shared" si="16"/>
        <v>0.5</v>
      </c>
      <c r="X24" s="34">
        <f t="shared" si="16"/>
        <v>1</v>
      </c>
      <c r="Y24" s="34">
        <f t="shared" si="16"/>
        <v>3.5</v>
      </c>
      <c r="Z24" s="34">
        <f t="shared" si="16"/>
        <v>1.5</v>
      </c>
      <c r="AA24" s="34">
        <f t="shared" si="16"/>
        <v>0</v>
      </c>
      <c r="AB24" s="34">
        <f t="shared" si="16"/>
        <v>0</v>
      </c>
      <c r="AC24" s="34">
        <f t="shared" si="16"/>
        <v>195</v>
      </c>
      <c r="AD24" s="34">
        <f t="shared" si="16"/>
        <v>0</v>
      </c>
      <c r="AE24" s="31">
        <f t="shared" si="16"/>
        <v>158</v>
      </c>
      <c r="AF24" s="31">
        <f t="shared" si="16"/>
        <v>353</v>
      </c>
    </row>
    <row r="25" spans="2:32" ht="23.1" customHeight="1" x14ac:dyDescent="0.25">
      <c r="B25" s="23" t="s">
        <v>52</v>
      </c>
      <c r="C25" s="49">
        <f>AVERAGE('22.07 KABUSU-RUBAGA'!C25,'23.07 KABUSU-RUBAGA'!C25,'24.07 KABUSU-RUBAGA'!C25,'25.07 KABUSU-RUBAGA'!C25,'26.07 KABUSU-RUBAGA-24h'!C25,'27.07 KABUSU-RUBAGA-24h'!C25,'28.07 KABUSU-RUBAGA'!C25)</f>
        <v>30.571428571428573</v>
      </c>
      <c r="D25" s="49">
        <f>AVERAGE('22.07 KABUSU-RUBAGA'!D25,'23.07 KABUSU-RUBAGA'!D25,'24.07 KABUSU-RUBAGA'!D25,'25.07 KABUSU-RUBAGA'!D25,'26.07 KABUSU-RUBAGA-24h'!D25,'27.07 KABUSU-RUBAGA-24h'!D25,'28.07 KABUSU-RUBAGA'!D25)</f>
        <v>27.714285714285715</v>
      </c>
      <c r="E25" s="49">
        <f>AVERAGE('22.07 KABUSU-RUBAGA'!E25,'23.07 KABUSU-RUBAGA'!E25,'24.07 KABUSU-RUBAGA'!E25,'25.07 KABUSU-RUBAGA'!E25,'26.07 KABUSU-RUBAGA-24h'!E25,'27.07 KABUSU-RUBAGA-24h'!E25,'28.07 KABUSU-RUBAGA'!E25)</f>
        <v>5.4285714285714288</v>
      </c>
      <c r="F25" s="49">
        <f>AVERAGE('22.07 KABUSU-RUBAGA'!F25,'23.07 KABUSU-RUBAGA'!F25,'24.07 KABUSU-RUBAGA'!F25,'25.07 KABUSU-RUBAGA'!F25,'26.07 KABUSU-RUBAGA-24h'!F25,'27.07 KABUSU-RUBAGA-24h'!F25,'28.07 KABUSU-RUBAGA'!F25)</f>
        <v>24.714285714285715</v>
      </c>
      <c r="G25" s="49">
        <f>AVERAGE('22.07 KABUSU-RUBAGA'!G25,'23.07 KABUSU-RUBAGA'!G25,'24.07 KABUSU-RUBAGA'!G25,'25.07 KABUSU-RUBAGA'!G25,'26.07 KABUSU-RUBAGA-24h'!G25,'27.07 KABUSU-RUBAGA-24h'!G25,'28.07 KABUSU-RUBAGA'!G25)</f>
        <v>0</v>
      </c>
      <c r="H25" s="49">
        <f>AVERAGE('22.07 KABUSU-RUBAGA'!H25,'23.07 KABUSU-RUBAGA'!H25,'24.07 KABUSU-RUBAGA'!H25,'25.07 KABUSU-RUBAGA'!H25,'26.07 KABUSU-RUBAGA-24h'!H25,'27.07 KABUSU-RUBAGA-24h'!H25,'28.07 KABUSU-RUBAGA'!H25)</f>
        <v>0.42857142857142855</v>
      </c>
      <c r="I25" s="49">
        <f>AVERAGE('22.07 KABUSU-RUBAGA'!I25,'23.07 KABUSU-RUBAGA'!I25,'24.07 KABUSU-RUBAGA'!I25,'25.07 KABUSU-RUBAGA'!I25,'26.07 KABUSU-RUBAGA-24h'!I25,'27.07 KABUSU-RUBAGA-24h'!I25,'28.07 KABUSU-RUBAGA'!I25)</f>
        <v>4.5714285714285712</v>
      </c>
      <c r="J25" s="49">
        <f>AVERAGE('22.07 KABUSU-RUBAGA'!J25,'23.07 KABUSU-RUBAGA'!J25,'24.07 KABUSU-RUBAGA'!J25,'25.07 KABUSU-RUBAGA'!J25,'26.07 KABUSU-RUBAGA-24h'!J25,'27.07 KABUSU-RUBAGA-24h'!J25,'28.07 KABUSU-RUBAGA'!J25)</f>
        <v>1.4285714285714286</v>
      </c>
      <c r="K25" s="49">
        <f>AVERAGE('22.07 KABUSU-RUBAGA'!K25,'23.07 KABUSU-RUBAGA'!K25,'24.07 KABUSU-RUBAGA'!K25,'25.07 KABUSU-RUBAGA'!K25,'26.07 KABUSU-RUBAGA-24h'!K25,'27.07 KABUSU-RUBAGA-24h'!K25,'28.07 KABUSU-RUBAGA'!K25)</f>
        <v>0.7142857142857143</v>
      </c>
      <c r="L25" s="49">
        <f>AVERAGE('22.07 KABUSU-RUBAGA'!L25,'23.07 KABUSU-RUBAGA'!L25,'24.07 KABUSU-RUBAGA'!L25,'25.07 KABUSU-RUBAGA'!L25,'26.07 KABUSU-RUBAGA-24h'!L25,'27.07 KABUSU-RUBAGA-24h'!L25,'28.07 KABUSU-RUBAGA'!L25)</f>
        <v>1.1428571428571428</v>
      </c>
      <c r="M25" s="49">
        <f>AVERAGE('22.07 KABUSU-RUBAGA'!M25,'23.07 KABUSU-RUBAGA'!M25,'24.07 KABUSU-RUBAGA'!M25,'25.07 KABUSU-RUBAGA'!M25,'26.07 KABUSU-RUBAGA-24h'!M25,'27.07 KABUSU-RUBAGA-24h'!M25,'28.07 KABUSU-RUBAGA'!M25)</f>
        <v>191.85714285714286</v>
      </c>
      <c r="N25" s="49">
        <f>AVERAGE('22.07 KABUSU-RUBAGA'!N25,'23.07 KABUSU-RUBAGA'!N25,'24.07 KABUSU-RUBAGA'!N25,'25.07 KABUSU-RUBAGA'!N25,'26.07 KABUSU-RUBAGA-24h'!N25,'27.07 KABUSU-RUBAGA-24h'!N25,'28.07 KABUSU-RUBAGA'!N25)</f>
        <v>0</v>
      </c>
      <c r="O25" s="15">
        <f t="shared" si="0"/>
        <v>96.714285714285722</v>
      </c>
      <c r="P25" s="15">
        <f t="shared" si="1"/>
        <v>288.57142857142856</v>
      </c>
      <c r="R25" s="1" t="s">
        <v>149</v>
      </c>
      <c r="S25" s="34">
        <f>SUM(C70:C73)</f>
        <v>126.5</v>
      </c>
      <c r="T25" s="34">
        <f t="shared" ref="T25:AF25" si="17">SUM(D70:D73)</f>
        <v>8.5</v>
      </c>
      <c r="U25" s="34">
        <f t="shared" si="17"/>
        <v>6.5</v>
      </c>
      <c r="V25" s="34">
        <f t="shared" si="17"/>
        <v>37.5</v>
      </c>
      <c r="W25" s="34">
        <f t="shared" si="17"/>
        <v>1.5</v>
      </c>
      <c r="X25" s="34">
        <f t="shared" si="17"/>
        <v>0</v>
      </c>
      <c r="Y25" s="34">
        <f t="shared" si="17"/>
        <v>2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391</v>
      </c>
      <c r="AD25" s="34">
        <f t="shared" si="17"/>
        <v>0</v>
      </c>
      <c r="AE25" s="31">
        <f t="shared" si="17"/>
        <v>184.5</v>
      </c>
      <c r="AF25" s="31">
        <f t="shared" si="17"/>
        <v>575.5</v>
      </c>
    </row>
    <row r="26" spans="2:32" ht="23.1" customHeight="1" x14ac:dyDescent="0.25">
      <c r="B26" s="23" t="s">
        <v>53</v>
      </c>
      <c r="C26" s="49">
        <f>AVERAGE('22.07 KABUSU-RUBAGA'!C26,'23.07 KABUSU-RUBAGA'!C26,'24.07 KABUSU-RUBAGA'!C26,'25.07 KABUSU-RUBAGA'!C26,'26.07 KABUSU-RUBAGA-24h'!C26,'27.07 KABUSU-RUBAGA-24h'!C26,'28.07 KABUSU-RUBAGA'!C26)</f>
        <v>30</v>
      </c>
      <c r="D26" s="49">
        <f>AVERAGE('22.07 KABUSU-RUBAGA'!D26,'23.07 KABUSU-RUBAGA'!D26,'24.07 KABUSU-RUBAGA'!D26,'25.07 KABUSU-RUBAGA'!D26,'26.07 KABUSU-RUBAGA-24h'!D26,'27.07 KABUSU-RUBAGA-24h'!D26,'28.07 KABUSU-RUBAGA'!D26)</f>
        <v>23.857142857142858</v>
      </c>
      <c r="E26" s="49">
        <f>AVERAGE('22.07 KABUSU-RUBAGA'!E26,'23.07 KABUSU-RUBAGA'!E26,'24.07 KABUSU-RUBAGA'!E26,'25.07 KABUSU-RUBAGA'!E26,'26.07 KABUSU-RUBAGA-24h'!E26,'27.07 KABUSU-RUBAGA-24h'!E26,'28.07 KABUSU-RUBAGA'!E26)</f>
        <v>6.7142857142857144</v>
      </c>
      <c r="F26" s="49">
        <f>AVERAGE('22.07 KABUSU-RUBAGA'!F26,'23.07 KABUSU-RUBAGA'!F26,'24.07 KABUSU-RUBAGA'!F26,'25.07 KABUSU-RUBAGA'!F26,'26.07 KABUSU-RUBAGA-24h'!F26,'27.07 KABUSU-RUBAGA-24h'!F26,'28.07 KABUSU-RUBAGA'!F26)</f>
        <v>31.428571428571427</v>
      </c>
      <c r="G26" s="49">
        <f>AVERAGE('22.07 KABUSU-RUBAGA'!G26,'23.07 KABUSU-RUBAGA'!G26,'24.07 KABUSU-RUBAGA'!G26,'25.07 KABUSU-RUBAGA'!G26,'26.07 KABUSU-RUBAGA-24h'!G26,'27.07 KABUSU-RUBAGA-24h'!G26,'28.07 KABUSU-RUBAGA'!G26)</f>
        <v>0.42857142857142855</v>
      </c>
      <c r="H26" s="49">
        <f>AVERAGE('22.07 KABUSU-RUBAGA'!H26,'23.07 KABUSU-RUBAGA'!H26,'24.07 KABUSU-RUBAGA'!H26,'25.07 KABUSU-RUBAGA'!H26,'26.07 KABUSU-RUBAGA-24h'!H26,'27.07 KABUSU-RUBAGA-24h'!H26,'28.07 KABUSU-RUBAGA'!H26)</f>
        <v>0.42857142857142855</v>
      </c>
      <c r="I26" s="49">
        <f>AVERAGE('22.07 KABUSU-RUBAGA'!I26,'23.07 KABUSU-RUBAGA'!I26,'24.07 KABUSU-RUBAGA'!I26,'25.07 KABUSU-RUBAGA'!I26,'26.07 KABUSU-RUBAGA-24h'!I26,'27.07 KABUSU-RUBAGA-24h'!I26,'28.07 KABUSU-RUBAGA'!I26)</f>
        <v>5.4285714285714288</v>
      </c>
      <c r="J26" s="49">
        <f>AVERAGE('22.07 KABUSU-RUBAGA'!J26,'23.07 KABUSU-RUBAGA'!J26,'24.07 KABUSU-RUBAGA'!J26,'25.07 KABUSU-RUBAGA'!J26,'26.07 KABUSU-RUBAGA-24h'!J26,'27.07 KABUSU-RUBAGA-24h'!J26,'28.07 KABUSU-RUBAGA'!J26)</f>
        <v>2</v>
      </c>
      <c r="K26" s="49">
        <f>AVERAGE('22.07 KABUSU-RUBAGA'!K26,'23.07 KABUSU-RUBAGA'!K26,'24.07 KABUSU-RUBAGA'!K26,'25.07 KABUSU-RUBAGA'!K26,'26.07 KABUSU-RUBAGA-24h'!K26,'27.07 KABUSU-RUBAGA-24h'!K26,'28.07 KABUSU-RUBAGA'!K26)</f>
        <v>0.8571428571428571</v>
      </c>
      <c r="L26" s="49">
        <f>AVERAGE('22.07 KABUSU-RUBAGA'!L26,'23.07 KABUSU-RUBAGA'!L26,'24.07 KABUSU-RUBAGA'!L26,'25.07 KABUSU-RUBAGA'!L26,'26.07 KABUSU-RUBAGA-24h'!L26,'27.07 KABUSU-RUBAGA-24h'!L26,'28.07 KABUSU-RUBAGA'!L26)</f>
        <v>0.42857142857142855</v>
      </c>
      <c r="M26" s="49">
        <f>AVERAGE('22.07 KABUSU-RUBAGA'!M26,'23.07 KABUSU-RUBAGA'!M26,'24.07 KABUSU-RUBAGA'!M26,'25.07 KABUSU-RUBAGA'!M26,'26.07 KABUSU-RUBAGA-24h'!M26,'27.07 KABUSU-RUBAGA-24h'!M26,'28.07 KABUSU-RUBAGA'!M26)</f>
        <v>187.28571428571428</v>
      </c>
      <c r="N26" s="49">
        <f>AVERAGE('22.07 KABUSU-RUBAGA'!N26,'23.07 KABUSU-RUBAGA'!N26,'24.07 KABUSU-RUBAGA'!N26,'25.07 KABUSU-RUBAGA'!N26,'26.07 KABUSU-RUBAGA-24h'!N26,'27.07 KABUSU-RUBAGA-24h'!N26,'28.07 KABUSU-RUBAGA'!N26)</f>
        <v>0</v>
      </c>
      <c r="O26" s="15">
        <f t="shared" si="0"/>
        <v>101.57142857142858</v>
      </c>
      <c r="P26" s="15">
        <f t="shared" si="1"/>
        <v>288.85714285714289</v>
      </c>
      <c r="R26" s="1" t="s">
        <v>150</v>
      </c>
      <c r="S26" s="34">
        <f>SUM(C74:C77)</f>
        <v>97.5</v>
      </c>
      <c r="T26" s="34">
        <f t="shared" ref="T26:AF26" si="18">SUM(D74:D77)</f>
        <v>9.5</v>
      </c>
      <c r="U26" s="34">
        <f t="shared" si="18"/>
        <v>8</v>
      </c>
      <c r="V26" s="34">
        <f t="shared" si="18"/>
        <v>16.5</v>
      </c>
      <c r="W26" s="34">
        <f t="shared" si="18"/>
        <v>0</v>
      </c>
      <c r="X26" s="34">
        <f t="shared" si="18"/>
        <v>0.5</v>
      </c>
      <c r="Y26" s="34">
        <f t="shared" si="18"/>
        <v>6.5</v>
      </c>
      <c r="Z26" s="34">
        <f t="shared" si="18"/>
        <v>3</v>
      </c>
      <c r="AA26" s="34">
        <f t="shared" si="18"/>
        <v>2</v>
      </c>
      <c r="AB26" s="34">
        <f t="shared" si="18"/>
        <v>0</v>
      </c>
      <c r="AC26" s="34">
        <f t="shared" si="18"/>
        <v>324</v>
      </c>
      <c r="AD26" s="34">
        <f t="shared" si="18"/>
        <v>0</v>
      </c>
      <c r="AE26" s="31">
        <f t="shared" si="18"/>
        <v>143.5</v>
      </c>
      <c r="AF26" s="31">
        <f t="shared" si="18"/>
        <v>467.5</v>
      </c>
    </row>
    <row r="27" spans="2:32" ht="23.1" customHeight="1" x14ac:dyDescent="0.25">
      <c r="B27" s="23" t="s">
        <v>54</v>
      </c>
      <c r="C27" s="49">
        <f>AVERAGE('22.07 KABUSU-RUBAGA'!C27,'23.07 KABUSU-RUBAGA'!C27,'24.07 KABUSU-RUBAGA'!C27,'25.07 KABUSU-RUBAGA'!C27,'26.07 KABUSU-RUBAGA-24h'!C27,'27.07 KABUSU-RUBAGA-24h'!C27,'28.07 KABUSU-RUBAGA'!C27)</f>
        <v>27</v>
      </c>
      <c r="D27" s="49">
        <f>AVERAGE('22.07 KABUSU-RUBAGA'!D27,'23.07 KABUSU-RUBAGA'!D27,'24.07 KABUSU-RUBAGA'!D27,'25.07 KABUSU-RUBAGA'!D27,'26.07 KABUSU-RUBAGA-24h'!D27,'27.07 KABUSU-RUBAGA-24h'!D27,'28.07 KABUSU-RUBAGA'!D27)</f>
        <v>23.571428571428573</v>
      </c>
      <c r="E27" s="49">
        <f>AVERAGE('22.07 KABUSU-RUBAGA'!E27,'23.07 KABUSU-RUBAGA'!E27,'24.07 KABUSU-RUBAGA'!E27,'25.07 KABUSU-RUBAGA'!E27,'26.07 KABUSU-RUBAGA-24h'!E27,'27.07 KABUSU-RUBAGA-24h'!E27,'28.07 KABUSU-RUBAGA'!E27)</f>
        <v>5.7142857142857144</v>
      </c>
      <c r="F27" s="49">
        <f>AVERAGE('22.07 KABUSU-RUBAGA'!F27,'23.07 KABUSU-RUBAGA'!F27,'24.07 KABUSU-RUBAGA'!F27,'25.07 KABUSU-RUBAGA'!F27,'26.07 KABUSU-RUBAGA-24h'!F27,'27.07 KABUSU-RUBAGA-24h'!F27,'28.07 KABUSU-RUBAGA'!F27)</f>
        <v>28.285714285714285</v>
      </c>
      <c r="G27" s="49">
        <f>AVERAGE('22.07 KABUSU-RUBAGA'!G27,'23.07 KABUSU-RUBAGA'!G27,'24.07 KABUSU-RUBAGA'!G27,'25.07 KABUSU-RUBAGA'!G27,'26.07 KABUSU-RUBAGA-24h'!G27,'27.07 KABUSU-RUBAGA-24h'!G27,'28.07 KABUSU-RUBAGA'!G27)</f>
        <v>0</v>
      </c>
      <c r="H27" s="49">
        <f>AVERAGE('22.07 KABUSU-RUBAGA'!H27,'23.07 KABUSU-RUBAGA'!H27,'24.07 KABUSU-RUBAGA'!H27,'25.07 KABUSU-RUBAGA'!H27,'26.07 KABUSU-RUBAGA-24h'!H27,'27.07 KABUSU-RUBAGA-24h'!H27,'28.07 KABUSU-RUBAGA'!H27)</f>
        <v>0</v>
      </c>
      <c r="I27" s="49">
        <f>AVERAGE('22.07 KABUSU-RUBAGA'!I27,'23.07 KABUSU-RUBAGA'!I27,'24.07 KABUSU-RUBAGA'!I27,'25.07 KABUSU-RUBAGA'!I27,'26.07 KABUSU-RUBAGA-24h'!I27,'27.07 KABUSU-RUBAGA-24h'!I27,'28.07 KABUSU-RUBAGA'!I27)</f>
        <v>4.5714285714285712</v>
      </c>
      <c r="J27" s="49">
        <f>AVERAGE('22.07 KABUSU-RUBAGA'!J27,'23.07 KABUSU-RUBAGA'!J27,'24.07 KABUSU-RUBAGA'!J27,'25.07 KABUSU-RUBAGA'!J27,'26.07 KABUSU-RUBAGA-24h'!J27,'27.07 KABUSU-RUBAGA-24h'!J27,'28.07 KABUSU-RUBAGA'!J27)</f>
        <v>1.8571428571428572</v>
      </c>
      <c r="K27" s="49">
        <f>AVERAGE('22.07 KABUSU-RUBAGA'!K27,'23.07 KABUSU-RUBAGA'!K27,'24.07 KABUSU-RUBAGA'!K27,'25.07 KABUSU-RUBAGA'!K27,'26.07 KABUSU-RUBAGA-24h'!K27,'27.07 KABUSU-RUBAGA-24h'!K27,'28.07 KABUSU-RUBAGA'!K27)</f>
        <v>1</v>
      </c>
      <c r="L27" s="49">
        <f>AVERAGE('22.07 KABUSU-RUBAGA'!L27,'23.07 KABUSU-RUBAGA'!L27,'24.07 KABUSU-RUBAGA'!L27,'25.07 KABUSU-RUBAGA'!L27,'26.07 KABUSU-RUBAGA-24h'!L27,'27.07 KABUSU-RUBAGA-24h'!L27,'28.07 KABUSU-RUBAGA'!L27)</f>
        <v>0.2857142857142857</v>
      </c>
      <c r="M27" s="49">
        <f>AVERAGE('22.07 KABUSU-RUBAGA'!M27,'23.07 KABUSU-RUBAGA'!M27,'24.07 KABUSU-RUBAGA'!M27,'25.07 KABUSU-RUBAGA'!M27,'26.07 KABUSU-RUBAGA-24h'!M27,'27.07 KABUSU-RUBAGA-24h'!M27,'28.07 KABUSU-RUBAGA'!M27)</f>
        <v>168.71428571428572</v>
      </c>
      <c r="N27" s="49">
        <f>AVERAGE('22.07 KABUSU-RUBAGA'!N27,'23.07 KABUSU-RUBAGA'!N27,'24.07 KABUSU-RUBAGA'!N27,'25.07 KABUSU-RUBAGA'!N27,'26.07 KABUSU-RUBAGA-24h'!N27,'27.07 KABUSU-RUBAGA-24h'!N27,'28.07 KABUSU-RUBAGA'!N27)</f>
        <v>0</v>
      </c>
      <c r="O27" s="15">
        <f t="shared" si="0"/>
        <v>92.285714285714292</v>
      </c>
      <c r="P27" s="15">
        <f t="shared" si="1"/>
        <v>261</v>
      </c>
      <c r="R27" s="1" t="s">
        <v>151</v>
      </c>
      <c r="S27" s="34">
        <f>SUM(C78:C81)</f>
        <v>68</v>
      </c>
      <c r="T27" s="34">
        <f t="shared" ref="T27:AF27" si="19">SUM(D78:D81)</f>
        <v>2.5</v>
      </c>
      <c r="U27" s="34">
        <f t="shared" si="19"/>
        <v>6</v>
      </c>
      <c r="V27" s="34">
        <f t="shared" si="19"/>
        <v>9</v>
      </c>
      <c r="W27" s="34">
        <f t="shared" si="19"/>
        <v>2</v>
      </c>
      <c r="X27" s="34">
        <f t="shared" si="19"/>
        <v>2</v>
      </c>
      <c r="Y27" s="34">
        <f t="shared" si="19"/>
        <v>3</v>
      </c>
      <c r="Z27" s="34">
        <f t="shared" si="19"/>
        <v>1.5</v>
      </c>
      <c r="AA27" s="34">
        <f t="shared" si="19"/>
        <v>0.5</v>
      </c>
      <c r="AB27" s="34">
        <f t="shared" si="19"/>
        <v>0</v>
      </c>
      <c r="AC27" s="34">
        <f t="shared" si="19"/>
        <v>203</v>
      </c>
      <c r="AD27" s="34">
        <f t="shared" si="19"/>
        <v>0</v>
      </c>
      <c r="AE27" s="31">
        <f t="shared" si="19"/>
        <v>94.5</v>
      </c>
      <c r="AF27" s="31">
        <f t="shared" si="19"/>
        <v>297.5</v>
      </c>
    </row>
    <row r="28" spans="2:32" ht="23.1" customHeight="1" x14ac:dyDescent="0.25">
      <c r="B28" s="23" t="s">
        <v>55</v>
      </c>
      <c r="C28" s="49">
        <f>AVERAGE('22.07 KABUSU-RUBAGA'!C28,'23.07 KABUSU-RUBAGA'!C28,'24.07 KABUSU-RUBAGA'!C28,'25.07 KABUSU-RUBAGA'!C28,'26.07 KABUSU-RUBAGA-24h'!C28,'27.07 KABUSU-RUBAGA-24h'!C28,'28.07 KABUSU-RUBAGA'!C28)</f>
        <v>24.857142857142858</v>
      </c>
      <c r="D28" s="49">
        <f>AVERAGE('22.07 KABUSU-RUBAGA'!D28,'23.07 KABUSU-RUBAGA'!D28,'24.07 KABUSU-RUBAGA'!D28,'25.07 KABUSU-RUBAGA'!D28,'26.07 KABUSU-RUBAGA-24h'!D28,'27.07 KABUSU-RUBAGA-24h'!D28,'28.07 KABUSU-RUBAGA'!D28)</f>
        <v>28.142857142857142</v>
      </c>
      <c r="E28" s="49">
        <f>AVERAGE('22.07 KABUSU-RUBAGA'!E28,'23.07 KABUSU-RUBAGA'!E28,'24.07 KABUSU-RUBAGA'!E28,'25.07 KABUSU-RUBAGA'!E28,'26.07 KABUSU-RUBAGA-24h'!E28,'27.07 KABUSU-RUBAGA-24h'!E28,'28.07 KABUSU-RUBAGA'!E28)</f>
        <v>5</v>
      </c>
      <c r="F28" s="49">
        <f>AVERAGE('22.07 KABUSU-RUBAGA'!F28,'23.07 KABUSU-RUBAGA'!F28,'24.07 KABUSU-RUBAGA'!F28,'25.07 KABUSU-RUBAGA'!F28,'26.07 KABUSU-RUBAGA-24h'!F28,'27.07 KABUSU-RUBAGA-24h'!F28,'28.07 KABUSU-RUBAGA'!F28)</f>
        <v>24.571428571428573</v>
      </c>
      <c r="G28" s="49">
        <f>AVERAGE('22.07 KABUSU-RUBAGA'!G28,'23.07 KABUSU-RUBAGA'!G28,'24.07 KABUSU-RUBAGA'!G28,'25.07 KABUSU-RUBAGA'!G28,'26.07 KABUSU-RUBAGA-24h'!G28,'27.07 KABUSU-RUBAGA-24h'!G28,'28.07 KABUSU-RUBAGA'!G28)</f>
        <v>0.14285714285714285</v>
      </c>
      <c r="H28" s="49">
        <f>AVERAGE('22.07 KABUSU-RUBAGA'!H28,'23.07 KABUSU-RUBAGA'!H28,'24.07 KABUSU-RUBAGA'!H28,'25.07 KABUSU-RUBAGA'!H28,'26.07 KABUSU-RUBAGA-24h'!H28,'27.07 KABUSU-RUBAGA-24h'!H28,'28.07 KABUSU-RUBAGA'!H28)</f>
        <v>0</v>
      </c>
      <c r="I28" s="49">
        <f>AVERAGE('22.07 KABUSU-RUBAGA'!I28,'23.07 KABUSU-RUBAGA'!I28,'24.07 KABUSU-RUBAGA'!I28,'25.07 KABUSU-RUBAGA'!I28,'26.07 KABUSU-RUBAGA-24h'!I28,'27.07 KABUSU-RUBAGA-24h'!I28,'28.07 KABUSU-RUBAGA'!I28)</f>
        <v>5.1428571428571432</v>
      </c>
      <c r="J28" s="49">
        <f>AVERAGE('22.07 KABUSU-RUBAGA'!J28,'23.07 KABUSU-RUBAGA'!J28,'24.07 KABUSU-RUBAGA'!J28,'25.07 KABUSU-RUBAGA'!J28,'26.07 KABUSU-RUBAGA-24h'!J28,'27.07 KABUSU-RUBAGA-24h'!J28,'28.07 KABUSU-RUBAGA'!J28)</f>
        <v>3.2857142857142856</v>
      </c>
      <c r="K28" s="49">
        <f>AVERAGE('22.07 KABUSU-RUBAGA'!K28,'23.07 KABUSU-RUBAGA'!K28,'24.07 KABUSU-RUBAGA'!K28,'25.07 KABUSU-RUBAGA'!K28,'26.07 KABUSU-RUBAGA-24h'!K28,'27.07 KABUSU-RUBAGA-24h'!K28,'28.07 KABUSU-RUBAGA'!K28)</f>
        <v>1.1428571428571428</v>
      </c>
      <c r="L28" s="49">
        <f>AVERAGE('22.07 KABUSU-RUBAGA'!L28,'23.07 KABUSU-RUBAGA'!L28,'24.07 KABUSU-RUBAGA'!L28,'25.07 KABUSU-RUBAGA'!L28,'26.07 KABUSU-RUBAGA-24h'!L28,'27.07 KABUSU-RUBAGA-24h'!L28,'28.07 KABUSU-RUBAGA'!L28)</f>
        <v>0.8571428571428571</v>
      </c>
      <c r="M28" s="49">
        <f>AVERAGE('22.07 KABUSU-RUBAGA'!M28,'23.07 KABUSU-RUBAGA'!M28,'24.07 KABUSU-RUBAGA'!M28,'25.07 KABUSU-RUBAGA'!M28,'26.07 KABUSU-RUBAGA-24h'!M28,'27.07 KABUSU-RUBAGA-24h'!M28,'28.07 KABUSU-RUBAGA'!M28)</f>
        <v>165.85714285714286</v>
      </c>
      <c r="N28" s="49">
        <f>AVERAGE('22.07 KABUSU-RUBAGA'!N28,'23.07 KABUSU-RUBAGA'!N28,'24.07 KABUSU-RUBAGA'!N28,'25.07 KABUSU-RUBAGA'!N28,'26.07 KABUSU-RUBAGA-24h'!N28,'27.07 KABUSU-RUBAGA-24h'!N28,'28.07 KABUSU-RUBAGA'!N28)</f>
        <v>0</v>
      </c>
      <c r="O28" s="15">
        <f t="shared" si="0"/>
        <v>93.142857142857139</v>
      </c>
      <c r="P28" s="15">
        <f t="shared" si="1"/>
        <v>259</v>
      </c>
      <c r="R28" s="1" t="s">
        <v>152</v>
      </c>
      <c r="S28" s="34">
        <f>SUM(C82:C85)</f>
        <v>49.5</v>
      </c>
      <c r="T28" s="34">
        <f t="shared" ref="T28:AF28" si="20">SUM(D82:D85)</f>
        <v>5</v>
      </c>
      <c r="U28" s="34">
        <f t="shared" si="20"/>
        <v>1</v>
      </c>
      <c r="V28" s="34">
        <f t="shared" si="20"/>
        <v>4.5</v>
      </c>
      <c r="W28" s="34">
        <f t="shared" si="20"/>
        <v>0</v>
      </c>
      <c r="X28" s="34">
        <f t="shared" si="20"/>
        <v>0.5</v>
      </c>
      <c r="Y28" s="34">
        <f t="shared" si="20"/>
        <v>4</v>
      </c>
      <c r="Z28" s="34">
        <f t="shared" si="20"/>
        <v>3.5</v>
      </c>
      <c r="AA28" s="34">
        <f t="shared" si="20"/>
        <v>0.5</v>
      </c>
      <c r="AB28" s="34">
        <f t="shared" si="20"/>
        <v>0.5</v>
      </c>
      <c r="AC28" s="34">
        <f t="shared" si="20"/>
        <v>140</v>
      </c>
      <c r="AD28" s="34">
        <f t="shared" si="20"/>
        <v>0</v>
      </c>
      <c r="AE28" s="31">
        <f t="shared" si="20"/>
        <v>69</v>
      </c>
      <c r="AF28" s="31">
        <f t="shared" si="20"/>
        <v>209</v>
      </c>
    </row>
    <row r="29" spans="2:32" ht="23.1" customHeight="1" x14ac:dyDescent="0.25">
      <c r="B29" s="23" t="s">
        <v>56</v>
      </c>
      <c r="C29" s="49">
        <f>AVERAGE('22.07 KABUSU-RUBAGA'!C29,'23.07 KABUSU-RUBAGA'!C29,'24.07 KABUSU-RUBAGA'!C29,'25.07 KABUSU-RUBAGA'!C29,'26.07 KABUSU-RUBAGA-24h'!C29,'27.07 KABUSU-RUBAGA-24h'!C29,'28.07 KABUSU-RUBAGA'!C29)</f>
        <v>25.571428571428573</v>
      </c>
      <c r="D29" s="49">
        <f>AVERAGE('22.07 KABUSU-RUBAGA'!D29,'23.07 KABUSU-RUBAGA'!D29,'24.07 KABUSU-RUBAGA'!D29,'25.07 KABUSU-RUBAGA'!D29,'26.07 KABUSU-RUBAGA-24h'!D29,'27.07 KABUSU-RUBAGA-24h'!D29,'28.07 KABUSU-RUBAGA'!D29)</f>
        <v>22.714285714285715</v>
      </c>
      <c r="E29" s="49">
        <f>AVERAGE('22.07 KABUSU-RUBAGA'!E29,'23.07 KABUSU-RUBAGA'!E29,'24.07 KABUSU-RUBAGA'!E29,'25.07 KABUSU-RUBAGA'!E29,'26.07 KABUSU-RUBAGA-24h'!E29,'27.07 KABUSU-RUBAGA-24h'!E29,'28.07 KABUSU-RUBAGA'!E29)</f>
        <v>3.2857142857142856</v>
      </c>
      <c r="F29" s="49">
        <f>AVERAGE('22.07 KABUSU-RUBAGA'!F29,'23.07 KABUSU-RUBAGA'!F29,'24.07 KABUSU-RUBAGA'!F29,'25.07 KABUSU-RUBAGA'!F29,'26.07 KABUSU-RUBAGA-24h'!F29,'27.07 KABUSU-RUBAGA-24h'!F29,'28.07 KABUSU-RUBAGA'!F29)</f>
        <v>23.142857142857142</v>
      </c>
      <c r="G29" s="49">
        <f>AVERAGE('22.07 KABUSU-RUBAGA'!G29,'23.07 KABUSU-RUBAGA'!G29,'24.07 KABUSU-RUBAGA'!G29,'25.07 KABUSU-RUBAGA'!G29,'26.07 KABUSU-RUBAGA-24h'!G29,'27.07 KABUSU-RUBAGA-24h'!G29,'28.07 KABUSU-RUBAGA'!G29)</f>
        <v>0.2857142857142857</v>
      </c>
      <c r="H29" s="49">
        <f>AVERAGE('22.07 KABUSU-RUBAGA'!H29,'23.07 KABUSU-RUBAGA'!H29,'24.07 KABUSU-RUBAGA'!H29,'25.07 KABUSU-RUBAGA'!H29,'26.07 KABUSU-RUBAGA-24h'!H29,'27.07 KABUSU-RUBAGA-24h'!H29,'28.07 KABUSU-RUBAGA'!H29)</f>
        <v>0.42857142857142855</v>
      </c>
      <c r="I29" s="49">
        <f>AVERAGE('22.07 KABUSU-RUBAGA'!I29,'23.07 KABUSU-RUBAGA'!I29,'24.07 KABUSU-RUBAGA'!I29,'25.07 KABUSU-RUBAGA'!I29,'26.07 KABUSU-RUBAGA-24h'!I29,'27.07 KABUSU-RUBAGA-24h'!I29,'28.07 KABUSU-RUBAGA'!I29)</f>
        <v>3.8571428571428572</v>
      </c>
      <c r="J29" s="49">
        <f>AVERAGE('22.07 KABUSU-RUBAGA'!J29,'23.07 KABUSU-RUBAGA'!J29,'24.07 KABUSU-RUBAGA'!J29,'25.07 KABUSU-RUBAGA'!J29,'26.07 KABUSU-RUBAGA-24h'!J29,'27.07 KABUSU-RUBAGA-24h'!J29,'28.07 KABUSU-RUBAGA'!J29)</f>
        <v>2</v>
      </c>
      <c r="K29" s="49">
        <f>AVERAGE('22.07 KABUSU-RUBAGA'!K29,'23.07 KABUSU-RUBAGA'!K29,'24.07 KABUSU-RUBAGA'!K29,'25.07 KABUSU-RUBAGA'!K29,'26.07 KABUSU-RUBAGA-24h'!K29,'27.07 KABUSU-RUBAGA-24h'!K29,'28.07 KABUSU-RUBAGA'!K29)</f>
        <v>1.1428571428571428</v>
      </c>
      <c r="L29" s="49">
        <f>AVERAGE('22.07 KABUSU-RUBAGA'!L29,'23.07 KABUSU-RUBAGA'!L29,'24.07 KABUSU-RUBAGA'!L29,'25.07 KABUSU-RUBAGA'!L29,'26.07 KABUSU-RUBAGA-24h'!L29,'27.07 KABUSU-RUBAGA-24h'!L29,'28.07 KABUSU-RUBAGA'!L29)</f>
        <v>0.8571428571428571</v>
      </c>
      <c r="M29" s="49">
        <f>AVERAGE('22.07 KABUSU-RUBAGA'!M29,'23.07 KABUSU-RUBAGA'!M29,'24.07 KABUSU-RUBAGA'!M29,'25.07 KABUSU-RUBAGA'!M29,'26.07 KABUSU-RUBAGA-24h'!M29,'27.07 KABUSU-RUBAGA-24h'!M29,'28.07 KABUSU-RUBAGA'!M29)</f>
        <v>185.14285714285714</v>
      </c>
      <c r="N29" s="49">
        <f>AVERAGE('22.07 KABUSU-RUBAGA'!N29,'23.07 KABUSU-RUBAGA'!N29,'24.07 KABUSU-RUBAGA'!N29,'25.07 KABUSU-RUBAGA'!N29,'26.07 KABUSU-RUBAGA-24h'!N29,'27.07 KABUSU-RUBAGA-24h'!N29,'28.07 KABUSU-RUBAGA'!N29)</f>
        <v>0</v>
      </c>
      <c r="O29" s="15">
        <f t="shared" si="0"/>
        <v>83.285714285714306</v>
      </c>
      <c r="P29" s="15">
        <f t="shared" si="1"/>
        <v>268.42857142857144</v>
      </c>
      <c r="R29" s="1" t="s">
        <v>153</v>
      </c>
      <c r="S29" s="34">
        <f>SUM(C86:C89)</f>
        <v>39</v>
      </c>
      <c r="T29" s="34">
        <f t="shared" ref="T29:AF29" si="21">SUM(D86:D89)</f>
        <v>2</v>
      </c>
      <c r="U29" s="34">
        <f t="shared" si="21"/>
        <v>2</v>
      </c>
      <c r="V29" s="34">
        <f t="shared" si="21"/>
        <v>2</v>
      </c>
      <c r="W29" s="34">
        <f t="shared" si="21"/>
        <v>0.5</v>
      </c>
      <c r="X29" s="34">
        <f t="shared" si="21"/>
        <v>1</v>
      </c>
      <c r="Y29" s="34">
        <f t="shared" si="21"/>
        <v>1.5</v>
      </c>
      <c r="Z29" s="34">
        <f t="shared" si="21"/>
        <v>0.5</v>
      </c>
      <c r="AA29" s="34">
        <f t="shared" si="21"/>
        <v>2</v>
      </c>
      <c r="AB29" s="34">
        <f t="shared" si="21"/>
        <v>0.5</v>
      </c>
      <c r="AC29" s="34">
        <f t="shared" si="21"/>
        <v>119</v>
      </c>
      <c r="AD29" s="34">
        <f t="shared" si="21"/>
        <v>0</v>
      </c>
      <c r="AE29" s="31">
        <f t="shared" si="21"/>
        <v>51</v>
      </c>
      <c r="AF29" s="31">
        <f t="shared" si="21"/>
        <v>170</v>
      </c>
    </row>
    <row r="30" spans="2:32" ht="23.1" customHeight="1" x14ac:dyDescent="0.25">
      <c r="B30" s="23" t="s">
        <v>57</v>
      </c>
      <c r="C30" s="49">
        <f>AVERAGE('22.07 KABUSU-RUBAGA'!C30,'23.07 KABUSU-RUBAGA'!C30,'24.07 KABUSU-RUBAGA'!C30,'25.07 KABUSU-RUBAGA'!C30,'26.07 KABUSU-RUBAGA-24h'!C30,'27.07 KABUSU-RUBAGA-24h'!C30,'28.07 KABUSU-RUBAGA'!C30)</f>
        <v>25.857142857142858</v>
      </c>
      <c r="D30" s="49">
        <f>AVERAGE('22.07 KABUSU-RUBAGA'!D30,'23.07 KABUSU-RUBAGA'!D30,'24.07 KABUSU-RUBAGA'!D30,'25.07 KABUSU-RUBAGA'!D30,'26.07 KABUSU-RUBAGA-24h'!D30,'27.07 KABUSU-RUBAGA-24h'!D30,'28.07 KABUSU-RUBAGA'!D30)</f>
        <v>21.857142857142858</v>
      </c>
      <c r="E30" s="49">
        <f>AVERAGE('22.07 KABUSU-RUBAGA'!E30,'23.07 KABUSU-RUBAGA'!E30,'24.07 KABUSU-RUBAGA'!E30,'25.07 KABUSU-RUBAGA'!E30,'26.07 KABUSU-RUBAGA-24h'!E30,'27.07 KABUSU-RUBAGA-24h'!E30,'28.07 KABUSU-RUBAGA'!E30)</f>
        <v>4.8571428571428568</v>
      </c>
      <c r="F30" s="49">
        <f>AVERAGE('22.07 KABUSU-RUBAGA'!F30,'23.07 KABUSU-RUBAGA'!F30,'24.07 KABUSU-RUBAGA'!F30,'25.07 KABUSU-RUBAGA'!F30,'26.07 KABUSU-RUBAGA-24h'!F30,'27.07 KABUSU-RUBAGA-24h'!F30,'28.07 KABUSU-RUBAGA'!F30)</f>
        <v>25.285714285714285</v>
      </c>
      <c r="G30" s="49">
        <f>AVERAGE('22.07 KABUSU-RUBAGA'!G30,'23.07 KABUSU-RUBAGA'!G30,'24.07 KABUSU-RUBAGA'!G30,'25.07 KABUSU-RUBAGA'!G30,'26.07 KABUSU-RUBAGA-24h'!G30,'27.07 KABUSU-RUBAGA-24h'!G30,'28.07 KABUSU-RUBAGA'!G30)</f>
        <v>0.2857142857142857</v>
      </c>
      <c r="H30" s="49">
        <f>AVERAGE('22.07 KABUSU-RUBAGA'!H30,'23.07 KABUSU-RUBAGA'!H30,'24.07 KABUSU-RUBAGA'!H30,'25.07 KABUSU-RUBAGA'!H30,'26.07 KABUSU-RUBAGA-24h'!H30,'27.07 KABUSU-RUBAGA-24h'!H30,'28.07 KABUSU-RUBAGA'!H30)</f>
        <v>0.14285714285714285</v>
      </c>
      <c r="I30" s="49">
        <f>AVERAGE('22.07 KABUSU-RUBAGA'!I30,'23.07 KABUSU-RUBAGA'!I30,'24.07 KABUSU-RUBAGA'!I30,'25.07 KABUSU-RUBAGA'!I30,'26.07 KABUSU-RUBAGA-24h'!I30,'27.07 KABUSU-RUBAGA-24h'!I30,'28.07 KABUSU-RUBAGA'!I30)</f>
        <v>6.1428571428571432</v>
      </c>
      <c r="J30" s="49">
        <f>AVERAGE('22.07 KABUSU-RUBAGA'!J30,'23.07 KABUSU-RUBAGA'!J30,'24.07 KABUSU-RUBAGA'!J30,'25.07 KABUSU-RUBAGA'!J30,'26.07 KABUSU-RUBAGA-24h'!J30,'27.07 KABUSU-RUBAGA-24h'!J30,'28.07 KABUSU-RUBAGA'!J30)</f>
        <v>2.2857142857142856</v>
      </c>
      <c r="K30" s="49">
        <f>AVERAGE('22.07 KABUSU-RUBAGA'!K30,'23.07 KABUSU-RUBAGA'!K30,'24.07 KABUSU-RUBAGA'!K30,'25.07 KABUSU-RUBAGA'!K30,'26.07 KABUSU-RUBAGA-24h'!K30,'27.07 KABUSU-RUBAGA-24h'!K30,'28.07 KABUSU-RUBAGA'!K30)</f>
        <v>0.42857142857142855</v>
      </c>
      <c r="L30" s="49">
        <f>AVERAGE('22.07 KABUSU-RUBAGA'!L30,'23.07 KABUSU-RUBAGA'!L30,'24.07 KABUSU-RUBAGA'!L30,'25.07 KABUSU-RUBAGA'!L30,'26.07 KABUSU-RUBAGA-24h'!L30,'27.07 KABUSU-RUBAGA-24h'!L30,'28.07 KABUSU-RUBAGA'!L30)</f>
        <v>0.42857142857142855</v>
      </c>
      <c r="M30" s="49">
        <f>AVERAGE('22.07 KABUSU-RUBAGA'!M30,'23.07 KABUSU-RUBAGA'!M30,'24.07 KABUSU-RUBAGA'!M30,'25.07 KABUSU-RUBAGA'!M30,'26.07 KABUSU-RUBAGA-24h'!M30,'27.07 KABUSU-RUBAGA-24h'!M30,'28.07 KABUSU-RUBAGA'!M30)</f>
        <v>176.42857142857142</v>
      </c>
      <c r="N30" s="49">
        <f>AVERAGE('22.07 KABUSU-RUBAGA'!N30,'23.07 KABUSU-RUBAGA'!N30,'24.07 KABUSU-RUBAGA'!N30,'25.07 KABUSU-RUBAGA'!N30,'26.07 KABUSU-RUBAGA-24h'!N30,'27.07 KABUSU-RUBAGA-24h'!N30,'28.07 KABUSU-RUBAGA'!N30)</f>
        <v>0</v>
      </c>
      <c r="O30" s="15">
        <f t="shared" si="0"/>
        <v>87.571428571428584</v>
      </c>
      <c r="P30" s="15">
        <f t="shared" si="1"/>
        <v>264</v>
      </c>
      <c r="R30" s="1" t="s">
        <v>154</v>
      </c>
      <c r="S30" s="34">
        <f>SUM(C90:C93)</f>
        <v>55.5</v>
      </c>
      <c r="T30" s="34">
        <f t="shared" ref="T30:AF30" si="22">SUM(D90:D93)</f>
        <v>3</v>
      </c>
      <c r="U30" s="34">
        <f t="shared" si="22"/>
        <v>2</v>
      </c>
      <c r="V30" s="34">
        <f t="shared" si="22"/>
        <v>15</v>
      </c>
      <c r="W30" s="34">
        <f t="shared" si="22"/>
        <v>0.5</v>
      </c>
      <c r="X30" s="34">
        <f t="shared" si="22"/>
        <v>1.5</v>
      </c>
      <c r="Y30" s="34">
        <f t="shared" si="22"/>
        <v>3.5</v>
      </c>
      <c r="Z30" s="34">
        <f t="shared" si="22"/>
        <v>4</v>
      </c>
      <c r="AA30" s="34">
        <f t="shared" si="22"/>
        <v>0</v>
      </c>
      <c r="AB30" s="34">
        <f t="shared" si="22"/>
        <v>0</v>
      </c>
      <c r="AC30" s="34">
        <f t="shared" si="22"/>
        <v>95</v>
      </c>
      <c r="AD30" s="34">
        <f t="shared" si="22"/>
        <v>0</v>
      </c>
      <c r="AE30" s="31">
        <f t="shared" si="22"/>
        <v>85</v>
      </c>
      <c r="AF30" s="31">
        <f t="shared" si="22"/>
        <v>180</v>
      </c>
    </row>
    <row r="31" spans="2:32" ht="23.1" customHeight="1" x14ac:dyDescent="0.25">
      <c r="B31" s="24" t="s">
        <v>58</v>
      </c>
      <c r="C31" s="49">
        <f>AVERAGE('22.07 KABUSU-RUBAGA'!C31,'23.07 KABUSU-RUBAGA'!C31,'24.07 KABUSU-RUBAGA'!C31,'25.07 KABUSU-RUBAGA'!C31,'26.07 KABUSU-RUBAGA-24h'!C31,'27.07 KABUSU-RUBAGA-24h'!C31,'28.07 KABUSU-RUBAGA'!C31)</f>
        <v>28.857142857142858</v>
      </c>
      <c r="D31" s="49">
        <f>AVERAGE('22.07 KABUSU-RUBAGA'!D31,'23.07 KABUSU-RUBAGA'!D31,'24.07 KABUSU-RUBAGA'!D31,'25.07 KABUSU-RUBAGA'!D31,'26.07 KABUSU-RUBAGA-24h'!D31,'27.07 KABUSU-RUBAGA-24h'!D31,'28.07 KABUSU-RUBAGA'!D31)</f>
        <v>24.285714285714285</v>
      </c>
      <c r="E31" s="49">
        <f>AVERAGE('22.07 KABUSU-RUBAGA'!E31,'23.07 KABUSU-RUBAGA'!E31,'24.07 KABUSU-RUBAGA'!E31,'25.07 KABUSU-RUBAGA'!E31,'26.07 KABUSU-RUBAGA-24h'!E31,'27.07 KABUSU-RUBAGA-24h'!E31,'28.07 KABUSU-RUBAGA'!E31)</f>
        <v>4.1428571428571432</v>
      </c>
      <c r="F31" s="49">
        <f>AVERAGE('22.07 KABUSU-RUBAGA'!F31,'23.07 KABUSU-RUBAGA'!F31,'24.07 KABUSU-RUBAGA'!F31,'25.07 KABUSU-RUBAGA'!F31,'26.07 KABUSU-RUBAGA-24h'!F31,'27.07 KABUSU-RUBAGA-24h'!F31,'28.07 KABUSU-RUBAGA'!F31)</f>
        <v>22.857142857142858</v>
      </c>
      <c r="G31" s="49">
        <f>AVERAGE('22.07 KABUSU-RUBAGA'!G31,'23.07 KABUSU-RUBAGA'!G31,'24.07 KABUSU-RUBAGA'!G31,'25.07 KABUSU-RUBAGA'!G31,'26.07 KABUSU-RUBAGA-24h'!G31,'27.07 KABUSU-RUBAGA-24h'!G31,'28.07 KABUSU-RUBAGA'!G31)</f>
        <v>0</v>
      </c>
      <c r="H31" s="49">
        <f>AVERAGE('22.07 KABUSU-RUBAGA'!H31,'23.07 KABUSU-RUBAGA'!H31,'24.07 KABUSU-RUBAGA'!H31,'25.07 KABUSU-RUBAGA'!H31,'26.07 KABUSU-RUBAGA-24h'!H31,'27.07 KABUSU-RUBAGA-24h'!H31,'28.07 KABUSU-RUBAGA'!H31)</f>
        <v>0.14285714285714285</v>
      </c>
      <c r="I31" s="49">
        <f>AVERAGE('22.07 KABUSU-RUBAGA'!I31,'23.07 KABUSU-RUBAGA'!I31,'24.07 KABUSU-RUBAGA'!I31,'25.07 KABUSU-RUBAGA'!I31,'26.07 KABUSU-RUBAGA-24h'!I31,'27.07 KABUSU-RUBAGA-24h'!I31,'28.07 KABUSU-RUBAGA'!I31)</f>
        <v>3.5714285714285716</v>
      </c>
      <c r="J31" s="49">
        <f>AVERAGE('22.07 KABUSU-RUBAGA'!J31,'23.07 KABUSU-RUBAGA'!J31,'24.07 KABUSU-RUBAGA'!J31,'25.07 KABUSU-RUBAGA'!J31,'26.07 KABUSU-RUBAGA-24h'!J31,'27.07 KABUSU-RUBAGA-24h'!J31,'28.07 KABUSU-RUBAGA'!J31)</f>
        <v>2.5714285714285716</v>
      </c>
      <c r="K31" s="49">
        <f>AVERAGE('22.07 KABUSU-RUBAGA'!K31,'23.07 KABUSU-RUBAGA'!K31,'24.07 KABUSU-RUBAGA'!K31,'25.07 KABUSU-RUBAGA'!K31,'26.07 KABUSU-RUBAGA-24h'!K31,'27.07 KABUSU-RUBAGA-24h'!K31,'28.07 KABUSU-RUBAGA'!K31)</f>
        <v>1.5714285714285714</v>
      </c>
      <c r="L31" s="49">
        <f>AVERAGE('22.07 KABUSU-RUBAGA'!L31,'23.07 KABUSU-RUBAGA'!L31,'24.07 KABUSU-RUBAGA'!L31,'25.07 KABUSU-RUBAGA'!L31,'26.07 KABUSU-RUBAGA-24h'!L31,'27.07 KABUSU-RUBAGA-24h'!L31,'28.07 KABUSU-RUBAGA'!L31)</f>
        <v>0.7142857142857143</v>
      </c>
      <c r="M31" s="49">
        <f>AVERAGE('22.07 KABUSU-RUBAGA'!M31,'23.07 KABUSU-RUBAGA'!M31,'24.07 KABUSU-RUBAGA'!M31,'25.07 KABUSU-RUBAGA'!M31,'26.07 KABUSU-RUBAGA-24h'!M31,'27.07 KABUSU-RUBAGA-24h'!M31,'28.07 KABUSU-RUBAGA'!M31)</f>
        <v>188.28571428571428</v>
      </c>
      <c r="N31" s="49">
        <f>AVERAGE('22.07 KABUSU-RUBAGA'!N31,'23.07 KABUSU-RUBAGA'!N31,'24.07 KABUSU-RUBAGA'!N31,'25.07 KABUSU-RUBAGA'!N31,'26.07 KABUSU-RUBAGA-24h'!N31,'27.07 KABUSU-RUBAGA-24h'!N31,'28.07 KABUSU-RUBAGA'!N31)</f>
        <v>0</v>
      </c>
      <c r="O31" s="15">
        <f t="shared" si="0"/>
        <v>88.714285714285694</v>
      </c>
      <c r="P31" s="15">
        <f t="shared" si="1"/>
        <v>277</v>
      </c>
      <c r="R31" s="1" t="s">
        <v>155</v>
      </c>
      <c r="S31" s="34">
        <f>SUM(C94:C97)</f>
        <v>32</v>
      </c>
      <c r="T31" s="34">
        <f t="shared" ref="T31:AF31" si="23">SUM(D94:D97)</f>
        <v>2.5</v>
      </c>
      <c r="U31" s="34">
        <f t="shared" si="23"/>
        <v>1.5</v>
      </c>
      <c r="V31" s="34">
        <f t="shared" si="23"/>
        <v>11</v>
      </c>
      <c r="W31" s="34">
        <f t="shared" si="23"/>
        <v>0.5</v>
      </c>
      <c r="X31" s="34">
        <f t="shared" si="23"/>
        <v>4</v>
      </c>
      <c r="Y31" s="34">
        <f t="shared" si="23"/>
        <v>6</v>
      </c>
      <c r="Z31" s="34">
        <f t="shared" si="23"/>
        <v>4</v>
      </c>
      <c r="AA31" s="34">
        <f t="shared" si="23"/>
        <v>2</v>
      </c>
      <c r="AB31" s="34">
        <f t="shared" si="23"/>
        <v>0</v>
      </c>
      <c r="AC31" s="34">
        <f t="shared" si="23"/>
        <v>121</v>
      </c>
      <c r="AD31" s="34">
        <f t="shared" si="23"/>
        <v>0</v>
      </c>
      <c r="AE31" s="31">
        <f t="shared" si="23"/>
        <v>63.5</v>
      </c>
      <c r="AF31" s="31">
        <f t="shared" si="23"/>
        <v>184.5</v>
      </c>
    </row>
    <row r="32" spans="2:32" ht="23.1" customHeight="1" x14ac:dyDescent="0.25">
      <c r="B32" s="24" t="s">
        <v>59</v>
      </c>
      <c r="C32" s="49">
        <f>AVERAGE('22.07 KABUSU-RUBAGA'!C32,'23.07 KABUSU-RUBAGA'!C32,'24.07 KABUSU-RUBAGA'!C32,'25.07 KABUSU-RUBAGA'!C32,'26.07 KABUSU-RUBAGA-24h'!C32,'27.07 KABUSU-RUBAGA-24h'!C32,'28.07 KABUSU-RUBAGA'!C32)</f>
        <v>23.285714285714285</v>
      </c>
      <c r="D32" s="49">
        <f>AVERAGE('22.07 KABUSU-RUBAGA'!D32,'23.07 KABUSU-RUBAGA'!D32,'24.07 KABUSU-RUBAGA'!D32,'25.07 KABUSU-RUBAGA'!D32,'26.07 KABUSU-RUBAGA-24h'!D32,'27.07 KABUSU-RUBAGA-24h'!D32,'28.07 KABUSU-RUBAGA'!D32)</f>
        <v>26.285714285714285</v>
      </c>
      <c r="E32" s="49">
        <f>AVERAGE('22.07 KABUSU-RUBAGA'!E32,'23.07 KABUSU-RUBAGA'!E32,'24.07 KABUSU-RUBAGA'!E32,'25.07 KABUSU-RUBAGA'!E32,'26.07 KABUSU-RUBAGA-24h'!E32,'27.07 KABUSU-RUBAGA-24h'!E32,'28.07 KABUSU-RUBAGA'!E32)</f>
        <v>3.2857142857142856</v>
      </c>
      <c r="F32" s="49">
        <f>AVERAGE('22.07 KABUSU-RUBAGA'!F32,'23.07 KABUSU-RUBAGA'!F32,'24.07 KABUSU-RUBAGA'!F32,'25.07 KABUSU-RUBAGA'!F32,'26.07 KABUSU-RUBAGA-24h'!F32,'27.07 KABUSU-RUBAGA-24h'!F32,'28.07 KABUSU-RUBAGA'!F32)</f>
        <v>27</v>
      </c>
      <c r="G32" s="49">
        <f>AVERAGE('22.07 KABUSU-RUBAGA'!G32,'23.07 KABUSU-RUBAGA'!G32,'24.07 KABUSU-RUBAGA'!G32,'25.07 KABUSU-RUBAGA'!G32,'26.07 KABUSU-RUBAGA-24h'!G32,'27.07 KABUSU-RUBAGA-24h'!G32,'28.07 KABUSU-RUBAGA'!G32)</f>
        <v>0.2857142857142857</v>
      </c>
      <c r="H32" s="49">
        <f>AVERAGE('22.07 KABUSU-RUBAGA'!H32,'23.07 KABUSU-RUBAGA'!H32,'24.07 KABUSU-RUBAGA'!H32,'25.07 KABUSU-RUBAGA'!H32,'26.07 KABUSU-RUBAGA-24h'!H32,'27.07 KABUSU-RUBAGA-24h'!H32,'28.07 KABUSU-RUBAGA'!H32)</f>
        <v>0.14285714285714285</v>
      </c>
      <c r="I32" s="49">
        <f>AVERAGE('22.07 KABUSU-RUBAGA'!I32,'23.07 KABUSU-RUBAGA'!I32,'24.07 KABUSU-RUBAGA'!I32,'25.07 KABUSU-RUBAGA'!I32,'26.07 KABUSU-RUBAGA-24h'!I32,'27.07 KABUSU-RUBAGA-24h'!I32,'28.07 KABUSU-RUBAGA'!I32)</f>
        <v>3.4285714285714284</v>
      </c>
      <c r="J32" s="49">
        <f>AVERAGE('22.07 KABUSU-RUBAGA'!J32,'23.07 KABUSU-RUBAGA'!J32,'24.07 KABUSU-RUBAGA'!J32,'25.07 KABUSU-RUBAGA'!J32,'26.07 KABUSU-RUBAGA-24h'!J32,'27.07 KABUSU-RUBAGA-24h'!J32,'28.07 KABUSU-RUBAGA'!J32)</f>
        <v>2.7142857142857144</v>
      </c>
      <c r="K32" s="49">
        <f>AVERAGE('22.07 KABUSU-RUBAGA'!K32,'23.07 KABUSU-RUBAGA'!K32,'24.07 KABUSU-RUBAGA'!K32,'25.07 KABUSU-RUBAGA'!K32,'26.07 KABUSU-RUBAGA-24h'!K32,'27.07 KABUSU-RUBAGA-24h'!K32,'28.07 KABUSU-RUBAGA'!K32)</f>
        <v>0.8571428571428571</v>
      </c>
      <c r="L32" s="49">
        <f>AVERAGE('22.07 KABUSU-RUBAGA'!L32,'23.07 KABUSU-RUBAGA'!L32,'24.07 KABUSU-RUBAGA'!L32,'25.07 KABUSU-RUBAGA'!L32,'26.07 KABUSU-RUBAGA-24h'!L32,'27.07 KABUSU-RUBAGA-24h'!L32,'28.07 KABUSU-RUBAGA'!L32)</f>
        <v>0.7142857142857143</v>
      </c>
      <c r="M32" s="49">
        <f>AVERAGE('22.07 KABUSU-RUBAGA'!M32,'23.07 KABUSU-RUBAGA'!M32,'24.07 KABUSU-RUBAGA'!M32,'25.07 KABUSU-RUBAGA'!M32,'26.07 KABUSU-RUBAGA-24h'!M32,'27.07 KABUSU-RUBAGA-24h'!M32,'28.07 KABUSU-RUBAGA'!M32)</f>
        <v>179.85714285714286</v>
      </c>
      <c r="N32" s="49">
        <f>AVERAGE('22.07 KABUSU-RUBAGA'!N32,'23.07 KABUSU-RUBAGA'!N32,'24.07 KABUSU-RUBAGA'!N32,'25.07 KABUSU-RUBAGA'!N32,'26.07 KABUSU-RUBAGA-24h'!N32,'27.07 KABUSU-RUBAGA-24h'!N32,'28.07 KABUSU-RUBAGA'!N32)</f>
        <v>0</v>
      </c>
      <c r="O32" s="15">
        <f t="shared" si="0"/>
        <v>88</v>
      </c>
      <c r="P32" s="15">
        <f t="shared" si="1"/>
        <v>267.85714285714289</v>
      </c>
      <c r="R32" s="1" t="s">
        <v>156</v>
      </c>
      <c r="S32" s="34">
        <f>SUM(C98:C101)</f>
        <v>46</v>
      </c>
      <c r="T32" s="34">
        <f t="shared" ref="T32:AF32" si="24">SUM(D98:D101)</f>
        <v>3</v>
      </c>
      <c r="U32" s="34">
        <f t="shared" si="24"/>
        <v>4</v>
      </c>
      <c r="V32" s="34">
        <f t="shared" si="24"/>
        <v>73.5</v>
      </c>
      <c r="W32" s="34">
        <f t="shared" si="24"/>
        <v>2.5</v>
      </c>
      <c r="X32" s="34">
        <f t="shared" si="24"/>
        <v>4</v>
      </c>
      <c r="Y32" s="34">
        <f t="shared" si="24"/>
        <v>10.5</v>
      </c>
      <c r="Z32" s="34">
        <f t="shared" si="24"/>
        <v>2.5</v>
      </c>
      <c r="AA32" s="34">
        <f t="shared" si="24"/>
        <v>2.5</v>
      </c>
      <c r="AB32" s="34">
        <f t="shared" si="24"/>
        <v>0</v>
      </c>
      <c r="AC32" s="34">
        <f t="shared" si="24"/>
        <v>132</v>
      </c>
      <c r="AD32" s="34">
        <f t="shared" si="24"/>
        <v>0</v>
      </c>
      <c r="AE32" s="31">
        <f t="shared" si="24"/>
        <v>148.5</v>
      </c>
      <c r="AF32" s="31">
        <f t="shared" si="24"/>
        <v>280.5</v>
      </c>
    </row>
    <row r="33" spans="2:32" ht="23.1" customHeight="1" x14ac:dyDescent="0.25">
      <c r="B33" s="23" t="s">
        <v>60</v>
      </c>
      <c r="C33" s="49">
        <f>AVERAGE('22.07 KABUSU-RUBAGA'!C33,'23.07 KABUSU-RUBAGA'!C33,'24.07 KABUSU-RUBAGA'!C33,'25.07 KABUSU-RUBAGA'!C33,'26.07 KABUSU-RUBAGA-24h'!C33,'27.07 KABUSU-RUBAGA-24h'!C33,'28.07 KABUSU-RUBAGA'!C33)</f>
        <v>23.857142857142858</v>
      </c>
      <c r="D33" s="49">
        <f>AVERAGE('22.07 KABUSU-RUBAGA'!D33,'23.07 KABUSU-RUBAGA'!D33,'24.07 KABUSU-RUBAGA'!D33,'25.07 KABUSU-RUBAGA'!D33,'26.07 KABUSU-RUBAGA-24h'!D33,'27.07 KABUSU-RUBAGA-24h'!D33,'28.07 KABUSU-RUBAGA'!D33)</f>
        <v>17.857142857142858</v>
      </c>
      <c r="E33" s="49">
        <f>AVERAGE('22.07 KABUSU-RUBAGA'!E33,'23.07 KABUSU-RUBAGA'!E33,'24.07 KABUSU-RUBAGA'!E33,'25.07 KABUSU-RUBAGA'!E33,'26.07 KABUSU-RUBAGA-24h'!E33,'27.07 KABUSU-RUBAGA-24h'!E33,'28.07 KABUSU-RUBAGA'!E33)</f>
        <v>5.5714285714285712</v>
      </c>
      <c r="F33" s="49">
        <f>AVERAGE('22.07 KABUSU-RUBAGA'!F33,'23.07 KABUSU-RUBAGA'!F33,'24.07 KABUSU-RUBAGA'!F33,'25.07 KABUSU-RUBAGA'!F33,'26.07 KABUSU-RUBAGA-24h'!F33,'27.07 KABUSU-RUBAGA-24h'!F33,'28.07 KABUSU-RUBAGA'!F33)</f>
        <v>23.285714285714285</v>
      </c>
      <c r="G33" s="49">
        <f>AVERAGE('22.07 KABUSU-RUBAGA'!G33,'23.07 KABUSU-RUBAGA'!G33,'24.07 KABUSU-RUBAGA'!G33,'25.07 KABUSU-RUBAGA'!G33,'26.07 KABUSU-RUBAGA-24h'!G33,'27.07 KABUSU-RUBAGA-24h'!G33,'28.07 KABUSU-RUBAGA'!G33)</f>
        <v>0.14285714285714285</v>
      </c>
      <c r="H33" s="49">
        <f>AVERAGE('22.07 KABUSU-RUBAGA'!H33,'23.07 KABUSU-RUBAGA'!H33,'24.07 KABUSU-RUBAGA'!H33,'25.07 KABUSU-RUBAGA'!H33,'26.07 KABUSU-RUBAGA-24h'!H33,'27.07 KABUSU-RUBAGA-24h'!H33,'28.07 KABUSU-RUBAGA'!H33)</f>
        <v>0.14285714285714285</v>
      </c>
      <c r="I33" s="49">
        <f>AVERAGE('22.07 KABUSU-RUBAGA'!I33,'23.07 KABUSU-RUBAGA'!I33,'24.07 KABUSU-RUBAGA'!I33,'25.07 KABUSU-RUBAGA'!I33,'26.07 KABUSU-RUBAGA-24h'!I33,'27.07 KABUSU-RUBAGA-24h'!I33,'28.07 KABUSU-RUBAGA'!I33)</f>
        <v>5.5714285714285712</v>
      </c>
      <c r="J33" s="49">
        <f>AVERAGE('22.07 KABUSU-RUBAGA'!J33,'23.07 KABUSU-RUBAGA'!J33,'24.07 KABUSU-RUBAGA'!J33,'25.07 KABUSU-RUBAGA'!J33,'26.07 KABUSU-RUBAGA-24h'!J33,'27.07 KABUSU-RUBAGA-24h'!J33,'28.07 KABUSU-RUBAGA'!J33)</f>
        <v>2.1428571428571428</v>
      </c>
      <c r="K33" s="49">
        <f>AVERAGE('22.07 KABUSU-RUBAGA'!K33,'23.07 KABUSU-RUBAGA'!K33,'24.07 KABUSU-RUBAGA'!K33,'25.07 KABUSU-RUBAGA'!K33,'26.07 KABUSU-RUBAGA-24h'!K33,'27.07 KABUSU-RUBAGA-24h'!K33,'28.07 KABUSU-RUBAGA'!K33)</f>
        <v>1.2857142857142858</v>
      </c>
      <c r="L33" s="49">
        <f>AVERAGE('22.07 KABUSU-RUBAGA'!L33,'23.07 KABUSU-RUBAGA'!L33,'24.07 KABUSU-RUBAGA'!L33,'25.07 KABUSU-RUBAGA'!L33,'26.07 KABUSU-RUBAGA-24h'!L33,'27.07 KABUSU-RUBAGA-24h'!L33,'28.07 KABUSU-RUBAGA'!L33)</f>
        <v>0.2857142857142857</v>
      </c>
      <c r="M33" s="49">
        <f>AVERAGE('22.07 KABUSU-RUBAGA'!M33,'23.07 KABUSU-RUBAGA'!M33,'24.07 KABUSU-RUBAGA'!M33,'25.07 KABUSU-RUBAGA'!M33,'26.07 KABUSU-RUBAGA-24h'!M33,'27.07 KABUSU-RUBAGA-24h'!M33,'28.07 KABUSU-RUBAGA'!M33)</f>
        <v>180.42857142857142</v>
      </c>
      <c r="N33" s="49">
        <f>AVERAGE('22.07 KABUSU-RUBAGA'!N33,'23.07 KABUSU-RUBAGA'!N33,'24.07 KABUSU-RUBAGA'!N33,'25.07 KABUSU-RUBAGA'!N33,'26.07 KABUSU-RUBAGA-24h'!N33,'27.07 KABUSU-RUBAGA-24h'!N33,'28.07 KABUSU-RUBAGA'!N33)</f>
        <v>0</v>
      </c>
      <c r="O33" s="15">
        <f t="shared" si="0"/>
        <v>80.142857142857139</v>
      </c>
      <c r="P33" s="15">
        <f t="shared" si="1"/>
        <v>260.57142857142856</v>
      </c>
      <c r="R33" s="1" t="s">
        <v>157</v>
      </c>
      <c r="S33" s="34">
        <f>SUM(C102:C105)</f>
        <v>95.5</v>
      </c>
      <c r="T33" s="34">
        <f t="shared" ref="T33:AF33" si="25">SUM(D102:D105)</f>
        <v>3.5</v>
      </c>
      <c r="U33" s="34">
        <f t="shared" si="25"/>
        <v>5</v>
      </c>
      <c r="V33" s="34">
        <f t="shared" si="25"/>
        <v>110.5</v>
      </c>
      <c r="W33" s="34">
        <f t="shared" si="25"/>
        <v>3.5</v>
      </c>
      <c r="X33" s="34">
        <f t="shared" si="25"/>
        <v>1</v>
      </c>
      <c r="Y33" s="34">
        <f t="shared" si="25"/>
        <v>10</v>
      </c>
      <c r="Z33" s="34">
        <f t="shared" si="25"/>
        <v>5.5</v>
      </c>
      <c r="AA33" s="34">
        <f t="shared" si="25"/>
        <v>1.5</v>
      </c>
      <c r="AB33" s="34">
        <f t="shared" si="25"/>
        <v>0.5</v>
      </c>
      <c r="AC33" s="34">
        <f t="shared" si="25"/>
        <v>169.5</v>
      </c>
      <c r="AD33" s="34">
        <f t="shared" si="25"/>
        <v>0</v>
      </c>
      <c r="AE33" s="31">
        <f t="shared" si="25"/>
        <v>236.5</v>
      </c>
      <c r="AF33" s="31">
        <f t="shared" si="25"/>
        <v>406</v>
      </c>
    </row>
    <row r="34" spans="2:32" ht="23.1" customHeight="1" x14ac:dyDescent="0.25">
      <c r="B34" s="24" t="s">
        <v>61</v>
      </c>
      <c r="C34" s="49">
        <f>AVERAGE('22.07 KABUSU-RUBAGA'!C34,'23.07 KABUSU-RUBAGA'!C34,'24.07 KABUSU-RUBAGA'!C34,'25.07 KABUSU-RUBAGA'!C34,'26.07 KABUSU-RUBAGA-24h'!C34,'27.07 KABUSU-RUBAGA-24h'!C34,'28.07 KABUSU-RUBAGA'!C34)</f>
        <v>29.285714285714285</v>
      </c>
      <c r="D34" s="49">
        <f>AVERAGE('22.07 KABUSU-RUBAGA'!D34,'23.07 KABUSU-RUBAGA'!D34,'24.07 KABUSU-RUBAGA'!D34,'25.07 KABUSU-RUBAGA'!D34,'26.07 KABUSU-RUBAGA-24h'!D34,'27.07 KABUSU-RUBAGA-24h'!D34,'28.07 KABUSU-RUBAGA'!D34)</f>
        <v>20.857142857142858</v>
      </c>
      <c r="E34" s="49">
        <f>AVERAGE('22.07 KABUSU-RUBAGA'!E34,'23.07 KABUSU-RUBAGA'!E34,'24.07 KABUSU-RUBAGA'!E34,'25.07 KABUSU-RUBAGA'!E34,'26.07 KABUSU-RUBAGA-24h'!E34,'27.07 KABUSU-RUBAGA-24h'!E34,'28.07 KABUSU-RUBAGA'!E34)</f>
        <v>4</v>
      </c>
      <c r="F34" s="49">
        <f>AVERAGE('22.07 KABUSU-RUBAGA'!F34,'23.07 KABUSU-RUBAGA'!F34,'24.07 KABUSU-RUBAGA'!F34,'25.07 KABUSU-RUBAGA'!F34,'26.07 KABUSU-RUBAGA-24h'!F34,'27.07 KABUSU-RUBAGA-24h'!F34,'28.07 KABUSU-RUBAGA'!F34)</f>
        <v>22.285714285714285</v>
      </c>
      <c r="G34" s="49">
        <f>AVERAGE('22.07 KABUSU-RUBAGA'!G34,'23.07 KABUSU-RUBAGA'!G34,'24.07 KABUSU-RUBAGA'!G34,'25.07 KABUSU-RUBAGA'!G34,'26.07 KABUSU-RUBAGA-24h'!G34,'27.07 KABUSU-RUBAGA-24h'!G34,'28.07 KABUSU-RUBAGA'!G34)</f>
        <v>0.42857142857142855</v>
      </c>
      <c r="H34" s="49">
        <f>AVERAGE('22.07 KABUSU-RUBAGA'!H34,'23.07 KABUSU-RUBAGA'!H34,'24.07 KABUSU-RUBAGA'!H34,'25.07 KABUSU-RUBAGA'!H34,'26.07 KABUSU-RUBAGA-24h'!H34,'27.07 KABUSU-RUBAGA-24h'!H34,'28.07 KABUSU-RUBAGA'!H34)</f>
        <v>0.42857142857142855</v>
      </c>
      <c r="I34" s="49">
        <f>AVERAGE('22.07 KABUSU-RUBAGA'!I34,'23.07 KABUSU-RUBAGA'!I34,'24.07 KABUSU-RUBAGA'!I34,'25.07 KABUSU-RUBAGA'!I34,'26.07 KABUSU-RUBAGA-24h'!I34,'27.07 KABUSU-RUBAGA-24h'!I34,'28.07 KABUSU-RUBAGA'!I34)</f>
        <v>4.2857142857142856</v>
      </c>
      <c r="J34" s="49">
        <f>AVERAGE('22.07 KABUSU-RUBAGA'!J34,'23.07 KABUSU-RUBAGA'!J34,'24.07 KABUSU-RUBAGA'!J34,'25.07 KABUSU-RUBAGA'!J34,'26.07 KABUSU-RUBAGA-24h'!J34,'27.07 KABUSU-RUBAGA-24h'!J34,'28.07 KABUSU-RUBAGA'!J34)</f>
        <v>2.5714285714285716</v>
      </c>
      <c r="K34" s="49">
        <f>AVERAGE('22.07 KABUSU-RUBAGA'!K34,'23.07 KABUSU-RUBAGA'!K34,'24.07 KABUSU-RUBAGA'!K34,'25.07 KABUSU-RUBAGA'!K34,'26.07 KABUSU-RUBAGA-24h'!K34,'27.07 KABUSU-RUBAGA-24h'!K34,'28.07 KABUSU-RUBAGA'!K34)</f>
        <v>0.8571428571428571</v>
      </c>
      <c r="L34" s="49">
        <f>AVERAGE('22.07 KABUSU-RUBAGA'!L34,'23.07 KABUSU-RUBAGA'!L34,'24.07 KABUSU-RUBAGA'!L34,'25.07 KABUSU-RUBAGA'!L34,'26.07 KABUSU-RUBAGA-24h'!L34,'27.07 KABUSU-RUBAGA-24h'!L34,'28.07 KABUSU-RUBAGA'!L34)</f>
        <v>0.5714285714285714</v>
      </c>
      <c r="M34" s="49">
        <f>AVERAGE('22.07 KABUSU-RUBAGA'!M34,'23.07 KABUSU-RUBAGA'!M34,'24.07 KABUSU-RUBAGA'!M34,'25.07 KABUSU-RUBAGA'!M34,'26.07 KABUSU-RUBAGA-24h'!M34,'27.07 KABUSU-RUBAGA-24h'!M34,'28.07 KABUSU-RUBAGA'!M34)</f>
        <v>168.71428571428572</v>
      </c>
      <c r="N34" s="49">
        <f>AVERAGE('22.07 KABUSU-RUBAGA'!N34,'23.07 KABUSU-RUBAGA'!N34,'24.07 KABUSU-RUBAGA'!N34,'25.07 KABUSU-RUBAGA'!N34,'26.07 KABUSU-RUBAGA-24h'!N34,'27.07 KABUSU-RUBAGA-24h'!N34,'28.07 KABUSU-RUBAGA'!N34)</f>
        <v>0</v>
      </c>
      <c r="O34" s="15">
        <f t="shared" si="0"/>
        <v>85.571428571428569</v>
      </c>
      <c r="P34" s="15">
        <f t="shared" si="1"/>
        <v>254.28571428571428</v>
      </c>
      <c r="R34" s="38" t="s">
        <v>90</v>
      </c>
      <c r="S34" s="39">
        <f t="shared" ref="S34:AF34" si="26">MAX(S10:S12)</f>
        <v>197.42857142857139</v>
      </c>
      <c r="T34" s="39">
        <f t="shared" si="26"/>
        <v>160.42857142857144</v>
      </c>
      <c r="U34" s="39">
        <f t="shared" si="26"/>
        <v>26.571428571428569</v>
      </c>
      <c r="V34" s="39">
        <f t="shared" si="26"/>
        <v>170.23809523809524</v>
      </c>
      <c r="W34" s="39">
        <f t="shared" si="26"/>
        <v>0.8571428571428571</v>
      </c>
      <c r="X34" s="39">
        <f t="shared" si="26"/>
        <v>1.4285714285714284</v>
      </c>
      <c r="Y34" s="39">
        <f t="shared" si="26"/>
        <v>17.571428571428569</v>
      </c>
      <c r="Z34" s="39">
        <f t="shared" si="26"/>
        <v>5.5714285714285721</v>
      </c>
      <c r="AA34" s="39">
        <f t="shared" si="26"/>
        <v>3.1428571428571428</v>
      </c>
      <c r="AB34" s="39">
        <f t="shared" si="26"/>
        <v>1.5714285714285714</v>
      </c>
      <c r="AC34" s="39">
        <f t="shared" si="26"/>
        <v>1061.7142857142856</v>
      </c>
      <c r="AD34" s="39">
        <f t="shared" si="26"/>
        <v>0</v>
      </c>
      <c r="AE34" s="40">
        <f t="shared" si="26"/>
        <v>571.09523809523796</v>
      </c>
      <c r="AF34" s="40">
        <f t="shared" si="26"/>
        <v>1556.7142857142858</v>
      </c>
    </row>
    <row r="35" spans="2:32" ht="23.1" customHeight="1" x14ac:dyDescent="0.25">
      <c r="B35" s="24" t="s">
        <v>62</v>
      </c>
      <c r="C35" s="49">
        <f>AVERAGE('22.07 KABUSU-RUBAGA'!C35,'23.07 KABUSU-RUBAGA'!C35,'24.07 KABUSU-RUBAGA'!C35,'25.07 KABUSU-RUBAGA'!C35,'26.07 KABUSU-RUBAGA-24h'!C35,'27.07 KABUSU-RUBAGA-24h'!C35,'28.07 KABUSU-RUBAGA'!C35)</f>
        <v>25.428571428571427</v>
      </c>
      <c r="D35" s="49">
        <f>AVERAGE('22.07 KABUSU-RUBAGA'!D35,'23.07 KABUSU-RUBAGA'!D35,'24.07 KABUSU-RUBAGA'!D35,'25.07 KABUSU-RUBAGA'!D35,'26.07 KABUSU-RUBAGA-24h'!D35,'27.07 KABUSU-RUBAGA-24h'!D35,'28.07 KABUSU-RUBAGA'!D35)</f>
        <v>22.714285714285715</v>
      </c>
      <c r="E35" s="49">
        <f>AVERAGE('22.07 KABUSU-RUBAGA'!E35,'23.07 KABUSU-RUBAGA'!E35,'24.07 KABUSU-RUBAGA'!E35,'25.07 KABUSU-RUBAGA'!E35,'26.07 KABUSU-RUBAGA-24h'!E35,'27.07 KABUSU-RUBAGA-24h'!E35,'28.07 KABUSU-RUBAGA'!E35)</f>
        <v>5</v>
      </c>
      <c r="F35" s="49">
        <f>AVERAGE('22.07 KABUSU-RUBAGA'!F35,'23.07 KABUSU-RUBAGA'!F35,'24.07 KABUSU-RUBAGA'!F35,'25.07 KABUSU-RUBAGA'!F35,'26.07 KABUSU-RUBAGA-24h'!F35,'27.07 KABUSU-RUBAGA-24h'!F35,'28.07 KABUSU-RUBAGA'!F35)</f>
        <v>22.714285714285715</v>
      </c>
      <c r="G35" s="49">
        <f>AVERAGE('22.07 KABUSU-RUBAGA'!G35,'23.07 KABUSU-RUBAGA'!G35,'24.07 KABUSU-RUBAGA'!G35,'25.07 KABUSU-RUBAGA'!G35,'26.07 KABUSU-RUBAGA-24h'!G35,'27.07 KABUSU-RUBAGA-24h'!G35,'28.07 KABUSU-RUBAGA'!G35)</f>
        <v>0</v>
      </c>
      <c r="H35" s="49">
        <f>AVERAGE('22.07 KABUSU-RUBAGA'!H35,'23.07 KABUSU-RUBAGA'!H35,'24.07 KABUSU-RUBAGA'!H35,'25.07 KABUSU-RUBAGA'!H35,'26.07 KABUSU-RUBAGA-24h'!H35,'27.07 KABUSU-RUBAGA-24h'!H35,'28.07 KABUSU-RUBAGA'!H35)</f>
        <v>0</v>
      </c>
      <c r="I35" s="49">
        <f>AVERAGE('22.07 KABUSU-RUBAGA'!I35,'23.07 KABUSU-RUBAGA'!I35,'24.07 KABUSU-RUBAGA'!I35,'25.07 KABUSU-RUBAGA'!I35,'26.07 KABUSU-RUBAGA-24h'!I35,'27.07 KABUSU-RUBAGA-24h'!I35,'28.07 KABUSU-RUBAGA'!I35)</f>
        <v>4.5714285714285712</v>
      </c>
      <c r="J35" s="49">
        <f>AVERAGE('22.07 KABUSU-RUBAGA'!J35,'23.07 KABUSU-RUBAGA'!J35,'24.07 KABUSU-RUBAGA'!J35,'25.07 KABUSU-RUBAGA'!J35,'26.07 KABUSU-RUBAGA-24h'!J35,'27.07 KABUSU-RUBAGA-24h'!J35,'28.07 KABUSU-RUBAGA'!J35)</f>
        <v>1.5714285714285714</v>
      </c>
      <c r="K35" s="49">
        <f>AVERAGE('22.07 KABUSU-RUBAGA'!K35,'23.07 KABUSU-RUBAGA'!K35,'24.07 KABUSU-RUBAGA'!K35,'25.07 KABUSU-RUBAGA'!K35,'26.07 KABUSU-RUBAGA-24h'!K35,'27.07 KABUSU-RUBAGA-24h'!K35,'28.07 KABUSU-RUBAGA'!K35)</f>
        <v>0.7142857142857143</v>
      </c>
      <c r="L35" s="49">
        <f>AVERAGE('22.07 KABUSU-RUBAGA'!L35,'23.07 KABUSU-RUBAGA'!L35,'24.07 KABUSU-RUBAGA'!L35,'25.07 KABUSU-RUBAGA'!L35,'26.07 KABUSU-RUBAGA-24h'!L35,'27.07 KABUSU-RUBAGA-24h'!L35,'28.07 KABUSU-RUBAGA'!L35)</f>
        <v>0.7142857142857143</v>
      </c>
      <c r="M35" s="49">
        <f>AVERAGE('22.07 KABUSU-RUBAGA'!M35,'23.07 KABUSU-RUBAGA'!M35,'24.07 KABUSU-RUBAGA'!M35,'25.07 KABUSU-RUBAGA'!M35,'26.07 KABUSU-RUBAGA-24h'!M35,'27.07 KABUSU-RUBAGA-24h'!M35,'28.07 KABUSU-RUBAGA'!M35)</f>
        <v>142</v>
      </c>
      <c r="N35" s="49">
        <f>AVERAGE('22.07 KABUSU-RUBAGA'!N35,'23.07 KABUSU-RUBAGA'!N35,'24.07 KABUSU-RUBAGA'!N35,'25.07 KABUSU-RUBAGA'!N35,'26.07 KABUSU-RUBAGA-24h'!N35,'27.07 KABUSU-RUBAGA-24h'!N35,'28.07 KABUSU-RUBAGA'!N35)</f>
        <v>0</v>
      </c>
      <c r="O35" s="15">
        <f t="shared" si="0"/>
        <v>83.428571428571416</v>
      </c>
      <c r="P35" s="15">
        <f t="shared" si="1"/>
        <v>225.42857142857142</v>
      </c>
      <c r="R35" s="38" t="s">
        <v>91</v>
      </c>
      <c r="S35" s="39">
        <f t="shared" ref="S35:AF35" si="27">MAX(S13:S18)</f>
        <v>130.42857142857144</v>
      </c>
      <c r="T35" s="39">
        <f t="shared" si="27"/>
        <v>107.71428571428572</v>
      </c>
      <c r="U35" s="39">
        <f t="shared" si="27"/>
        <v>27.285714285714285</v>
      </c>
      <c r="V35" s="39">
        <f t="shared" si="27"/>
        <v>107.42857142857142</v>
      </c>
      <c r="W35" s="39">
        <f t="shared" si="27"/>
        <v>1.5714285714285712</v>
      </c>
      <c r="X35" s="39">
        <f t="shared" si="27"/>
        <v>1.4285714285714286</v>
      </c>
      <c r="Y35" s="39">
        <f t="shared" si="27"/>
        <v>19.142857142857142</v>
      </c>
      <c r="Z35" s="39">
        <f t="shared" si="27"/>
        <v>9.7142857142857153</v>
      </c>
      <c r="AA35" s="39">
        <f t="shared" si="27"/>
        <v>4.1428571428571432</v>
      </c>
      <c r="AB35" s="39">
        <f t="shared" si="27"/>
        <v>3</v>
      </c>
      <c r="AC35" s="39">
        <f t="shared" si="27"/>
        <v>741.42857142857144</v>
      </c>
      <c r="AD35" s="39">
        <f t="shared" si="27"/>
        <v>2</v>
      </c>
      <c r="AE35" s="40">
        <f t="shared" si="27"/>
        <v>405.42857142857144</v>
      </c>
      <c r="AF35" s="40">
        <f t="shared" si="27"/>
        <v>1146.8571428571427</v>
      </c>
    </row>
    <row r="36" spans="2:32" ht="23.1" customHeight="1" x14ac:dyDescent="0.25">
      <c r="B36" s="24" t="s">
        <v>63</v>
      </c>
      <c r="C36" s="49">
        <f>AVERAGE('22.07 KABUSU-RUBAGA'!C36,'23.07 KABUSU-RUBAGA'!C36,'24.07 KABUSU-RUBAGA'!C36,'25.07 KABUSU-RUBAGA'!C36,'26.07 KABUSU-RUBAGA-24h'!C36,'27.07 KABUSU-RUBAGA-24h'!C36,'28.07 KABUSU-RUBAGA'!C36)</f>
        <v>23.571428571428573</v>
      </c>
      <c r="D36" s="49">
        <f>AVERAGE('22.07 KABUSU-RUBAGA'!D36,'23.07 KABUSU-RUBAGA'!D36,'24.07 KABUSU-RUBAGA'!D36,'25.07 KABUSU-RUBAGA'!D36,'26.07 KABUSU-RUBAGA-24h'!D36,'27.07 KABUSU-RUBAGA-24h'!D36,'28.07 KABUSU-RUBAGA'!D36)</f>
        <v>20</v>
      </c>
      <c r="E36" s="49">
        <f>AVERAGE('22.07 KABUSU-RUBAGA'!E36,'23.07 KABUSU-RUBAGA'!E36,'24.07 KABUSU-RUBAGA'!E36,'25.07 KABUSU-RUBAGA'!E36,'26.07 KABUSU-RUBAGA-24h'!E36,'27.07 KABUSU-RUBAGA-24h'!E36,'28.07 KABUSU-RUBAGA'!E36)</f>
        <v>3.8571428571428572</v>
      </c>
      <c r="F36" s="49">
        <f>AVERAGE('22.07 KABUSU-RUBAGA'!F36,'23.07 KABUSU-RUBAGA'!F36,'24.07 KABUSU-RUBAGA'!F36,'25.07 KABUSU-RUBAGA'!F36,'26.07 KABUSU-RUBAGA-24h'!F36,'27.07 KABUSU-RUBAGA-24h'!F36,'28.07 KABUSU-RUBAGA'!F36)</f>
        <v>24.714285714285715</v>
      </c>
      <c r="G36" s="49">
        <f>AVERAGE('22.07 KABUSU-RUBAGA'!G36,'23.07 KABUSU-RUBAGA'!G36,'24.07 KABUSU-RUBAGA'!G36,'25.07 KABUSU-RUBAGA'!G36,'26.07 KABUSU-RUBAGA-24h'!G36,'27.07 KABUSU-RUBAGA-24h'!G36,'28.07 KABUSU-RUBAGA'!G36)</f>
        <v>0.42857142857142855</v>
      </c>
      <c r="H36" s="49">
        <f>AVERAGE('22.07 KABUSU-RUBAGA'!H36,'23.07 KABUSU-RUBAGA'!H36,'24.07 KABUSU-RUBAGA'!H36,'25.07 KABUSU-RUBAGA'!H36,'26.07 KABUSU-RUBAGA-24h'!H36,'27.07 KABUSU-RUBAGA-24h'!H36,'28.07 KABUSU-RUBAGA'!H36)</f>
        <v>0.5714285714285714</v>
      </c>
      <c r="I36" s="49">
        <f>AVERAGE('22.07 KABUSU-RUBAGA'!I36,'23.07 KABUSU-RUBAGA'!I36,'24.07 KABUSU-RUBAGA'!I36,'25.07 KABUSU-RUBAGA'!I36,'26.07 KABUSU-RUBAGA-24h'!I36,'27.07 KABUSU-RUBAGA-24h'!I36,'28.07 KABUSU-RUBAGA'!I36)</f>
        <v>3.7142857142857144</v>
      </c>
      <c r="J36" s="49">
        <f>AVERAGE('22.07 KABUSU-RUBAGA'!J36,'23.07 KABUSU-RUBAGA'!J36,'24.07 KABUSU-RUBAGA'!J36,'25.07 KABUSU-RUBAGA'!J36,'26.07 KABUSU-RUBAGA-24h'!J36,'27.07 KABUSU-RUBAGA-24h'!J36,'28.07 KABUSU-RUBAGA'!J36)</f>
        <v>1.2857142857142858</v>
      </c>
      <c r="K36" s="49">
        <f>AVERAGE('22.07 KABUSU-RUBAGA'!K36,'23.07 KABUSU-RUBAGA'!K36,'24.07 KABUSU-RUBAGA'!K36,'25.07 KABUSU-RUBAGA'!K36,'26.07 KABUSU-RUBAGA-24h'!K36,'27.07 KABUSU-RUBAGA-24h'!K36,'28.07 KABUSU-RUBAGA'!K36)</f>
        <v>1.4285714285714286</v>
      </c>
      <c r="L36" s="49">
        <f>AVERAGE('22.07 KABUSU-RUBAGA'!L36,'23.07 KABUSU-RUBAGA'!L36,'24.07 KABUSU-RUBAGA'!L36,'25.07 KABUSU-RUBAGA'!L36,'26.07 KABUSU-RUBAGA-24h'!L36,'27.07 KABUSU-RUBAGA-24h'!L36,'28.07 KABUSU-RUBAGA'!L36)</f>
        <v>1.1428571428571428</v>
      </c>
      <c r="M36" s="49">
        <f>AVERAGE('22.07 KABUSU-RUBAGA'!M36,'23.07 KABUSU-RUBAGA'!M36,'24.07 KABUSU-RUBAGA'!M36,'25.07 KABUSU-RUBAGA'!M36,'26.07 KABUSU-RUBAGA-24h'!M36,'27.07 KABUSU-RUBAGA-24h'!M36,'28.07 KABUSU-RUBAGA'!M36)</f>
        <v>152.42857142857142</v>
      </c>
      <c r="N36" s="49">
        <f>AVERAGE('22.07 KABUSU-RUBAGA'!N36,'23.07 KABUSU-RUBAGA'!N36,'24.07 KABUSU-RUBAGA'!N36,'25.07 KABUSU-RUBAGA'!N36,'26.07 KABUSU-RUBAGA-24h'!N36,'27.07 KABUSU-RUBAGA-24h'!N36,'28.07 KABUSU-RUBAGA'!N36)</f>
        <v>0</v>
      </c>
      <c r="O36" s="15">
        <f t="shared" si="0"/>
        <v>80.714285714285708</v>
      </c>
      <c r="P36" s="15">
        <f t="shared" si="1"/>
        <v>233.14285714285711</v>
      </c>
      <c r="R36" s="38" t="s">
        <v>92</v>
      </c>
      <c r="S36" s="39">
        <f t="shared" ref="S36:AF36" si="28">MAX(S19:S21)</f>
        <v>130.42857142857144</v>
      </c>
      <c r="T36" s="39">
        <f t="shared" si="28"/>
        <v>91.142857142857153</v>
      </c>
      <c r="U36" s="39">
        <f t="shared" si="28"/>
        <v>19.714285714285715</v>
      </c>
      <c r="V36" s="39">
        <f t="shared" si="28"/>
        <v>133.42857142857144</v>
      </c>
      <c r="W36" s="39">
        <f t="shared" si="28"/>
        <v>3.8571428571428572</v>
      </c>
      <c r="X36" s="39">
        <f t="shared" si="28"/>
        <v>4</v>
      </c>
      <c r="Y36" s="39">
        <f t="shared" si="28"/>
        <v>19</v>
      </c>
      <c r="Z36" s="39">
        <f t="shared" si="28"/>
        <v>7.8571428571428577</v>
      </c>
      <c r="AA36" s="39">
        <f t="shared" si="28"/>
        <v>2.7142857142857144</v>
      </c>
      <c r="AB36" s="39">
        <f t="shared" si="28"/>
        <v>2.5714285714285712</v>
      </c>
      <c r="AC36" s="39">
        <f t="shared" si="28"/>
        <v>836.14285714285711</v>
      </c>
      <c r="AD36" s="39">
        <f t="shared" si="28"/>
        <v>0</v>
      </c>
      <c r="AE36" s="40">
        <f t="shared" si="28"/>
        <v>398.57142857142861</v>
      </c>
      <c r="AF36" s="40">
        <f t="shared" si="28"/>
        <v>1234.7142857142858</v>
      </c>
    </row>
    <row r="37" spans="2:32" ht="23.1" customHeight="1" x14ac:dyDescent="0.25">
      <c r="B37" s="23" t="s">
        <v>64</v>
      </c>
      <c r="C37" s="49">
        <f>AVERAGE('22.07 KABUSU-RUBAGA'!C37,'23.07 KABUSU-RUBAGA'!C37,'24.07 KABUSU-RUBAGA'!C37,'25.07 KABUSU-RUBAGA'!C37,'26.07 KABUSU-RUBAGA-24h'!C37,'27.07 KABUSU-RUBAGA-24h'!C37,'28.07 KABUSU-RUBAGA'!C37)</f>
        <v>25.142857142857142</v>
      </c>
      <c r="D37" s="49">
        <f>AVERAGE('22.07 KABUSU-RUBAGA'!D37,'23.07 KABUSU-RUBAGA'!D37,'24.07 KABUSU-RUBAGA'!D37,'25.07 KABUSU-RUBAGA'!D37,'26.07 KABUSU-RUBAGA-24h'!D37,'27.07 KABUSU-RUBAGA-24h'!D37,'28.07 KABUSU-RUBAGA'!D37)</f>
        <v>22.714285714285715</v>
      </c>
      <c r="E37" s="49">
        <f>AVERAGE('22.07 KABUSU-RUBAGA'!E37,'23.07 KABUSU-RUBAGA'!E37,'24.07 KABUSU-RUBAGA'!E37,'25.07 KABUSU-RUBAGA'!E37,'26.07 KABUSU-RUBAGA-24h'!E37,'27.07 KABUSU-RUBAGA-24h'!E37,'28.07 KABUSU-RUBAGA'!E37)</f>
        <v>4</v>
      </c>
      <c r="F37" s="49">
        <f>AVERAGE('22.07 KABUSU-RUBAGA'!F37,'23.07 KABUSU-RUBAGA'!F37,'24.07 KABUSU-RUBAGA'!F37,'25.07 KABUSU-RUBAGA'!F37,'26.07 KABUSU-RUBAGA-24h'!F37,'27.07 KABUSU-RUBAGA-24h'!F37,'28.07 KABUSU-RUBAGA'!F37)</f>
        <v>22.142857142857142</v>
      </c>
      <c r="G37" s="49">
        <f>AVERAGE('22.07 KABUSU-RUBAGA'!G37,'23.07 KABUSU-RUBAGA'!G37,'24.07 KABUSU-RUBAGA'!G37,'25.07 KABUSU-RUBAGA'!G37,'26.07 KABUSU-RUBAGA-24h'!G37,'27.07 KABUSU-RUBAGA-24h'!G37,'28.07 KABUSU-RUBAGA'!G37)</f>
        <v>0.2857142857142857</v>
      </c>
      <c r="H37" s="49">
        <f>AVERAGE('22.07 KABUSU-RUBAGA'!H37,'23.07 KABUSU-RUBAGA'!H37,'24.07 KABUSU-RUBAGA'!H37,'25.07 KABUSU-RUBAGA'!H37,'26.07 KABUSU-RUBAGA-24h'!H37,'27.07 KABUSU-RUBAGA-24h'!H37,'28.07 KABUSU-RUBAGA'!H37)</f>
        <v>0.42857142857142855</v>
      </c>
      <c r="I37" s="49">
        <f>AVERAGE('22.07 KABUSU-RUBAGA'!I37,'23.07 KABUSU-RUBAGA'!I37,'24.07 KABUSU-RUBAGA'!I37,'25.07 KABUSU-RUBAGA'!I37,'26.07 KABUSU-RUBAGA-24h'!I37,'27.07 KABUSU-RUBAGA-24h'!I37,'28.07 KABUSU-RUBAGA'!I37)</f>
        <v>4.5714285714285712</v>
      </c>
      <c r="J37" s="49">
        <f>AVERAGE('22.07 KABUSU-RUBAGA'!J37,'23.07 KABUSU-RUBAGA'!J37,'24.07 KABUSU-RUBAGA'!J37,'25.07 KABUSU-RUBAGA'!J37,'26.07 KABUSU-RUBAGA-24h'!J37,'27.07 KABUSU-RUBAGA-24h'!J37,'28.07 KABUSU-RUBAGA'!J37)</f>
        <v>2.1428571428571428</v>
      </c>
      <c r="K37" s="49">
        <f>AVERAGE('22.07 KABUSU-RUBAGA'!K37,'23.07 KABUSU-RUBAGA'!K37,'24.07 KABUSU-RUBAGA'!K37,'25.07 KABUSU-RUBAGA'!K37,'26.07 KABUSU-RUBAGA-24h'!K37,'27.07 KABUSU-RUBAGA-24h'!K37,'28.07 KABUSU-RUBAGA'!K37)</f>
        <v>0.5714285714285714</v>
      </c>
      <c r="L37" s="49">
        <f>AVERAGE('22.07 KABUSU-RUBAGA'!L37,'23.07 KABUSU-RUBAGA'!L37,'24.07 KABUSU-RUBAGA'!L37,'25.07 KABUSU-RUBAGA'!L37,'26.07 KABUSU-RUBAGA-24h'!L37,'27.07 KABUSU-RUBAGA-24h'!L37,'28.07 KABUSU-RUBAGA'!L37)</f>
        <v>0.5714285714285714</v>
      </c>
      <c r="M37" s="49">
        <f>AVERAGE('22.07 KABUSU-RUBAGA'!M37,'23.07 KABUSU-RUBAGA'!M37,'24.07 KABUSU-RUBAGA'!M37,'25.07 KABUSU-RUBAGA'!M37,'26.07 KABUSU-RUBAGA-24h'!M37,'27.07 KABUSU-RUBAGA-24h'!M37,'28.07 KABUSU-RUBAGA'!M37)</f>
        <v>140.28571428571428</v>
      </c>
      <c r="N37" s="49">
        <f>AVERAGE('22.07 KABUSU-RUBAGA'!N37,'23.07 KABUSU-RUBAGA'!N37,'24.07 KABUSU-RUBAGA'!N37,'25.07 KABUSU-RUBAGA'!N37,'26.07 KABUSU-RUBAGA-24h'!N37,'27.07 KABUSU-RUBAGA-24h'!N37,'28.07 KABUSU-RUBAGA'!N37)</f>
        <v>0</v>
      </c>
      <c r="O37" s="15">
        <f t="shared" si="0"/>
        <v>82.571428571428569</v>
      </c>
      <c r="P37" s="15">
        <f t="shared" si="1"/>
        <v>222.85714285714283</v>
      </c>
      <c r="R37" s="37" t="s">
        <v>85</v>
      </c>
      <c r="S37" s="35">
        <f t="shared" ref="S37:AF37" si="29">SUM(S10:S12)</f>
        <v>524</v>
      </c>
      <c r="T37" s="16">
        <f t="shared" si="29"/>
        <v>429.85714285714289</v>
      </c>
      <c r="U37" s="16">
        <f t="shared" si="29"/>
        <v>69.142857142857139</v>
      </c>
      <c r="V37" s="16">
        <f t="shared" si="29"/>
        <v>419.38095238095241</v>
      </c>
      <c r="W37" s="16">
        <f t="shared" si="29"/>
        <v>2.1428571428571423</v>
      </c>
      <c r="X37" s="16">
        <f t="shared" si="29"/>
        <v>3.1428571428571423</v>
      </c>
      <c r="Y37" s="16">
        <f t="shared" si="29"/>
        <v>46.857142857142854</v>
      </c>
      <c r="Z37" s="16">
        <f t="shared" si="29"/>
        <v>15.142857142857142</v>
      </c>
      <c r="AA37" s="16">
        <f t="shared" si="29"/>
        <v>6.5714285714285712</v>
      </c>
      <c r="AB37" s="16">
        <f t="shared" si="29"/>
        <v>3.4285714285714288</v>
      </c>
      <c r="AC37" s="16">
        <f t="shared" si="29"/>
        <v>2892.4285714285711</v>
      </c>
      <c r="AD37" s="16">
        <f t="shared" si="29"/>
        <v>0</v>
      </c>
      <c r="AE37" s="32">
        <f t="shared" si="29"/>
        <v>1519.6666666666667</v>
      </c>
      <c r="AF37" s="32">
        <f t="shared" si="29"/>
        <v>4412.0952380952385</v>
      </c>
    </row>
    <row r="38" spans="2:32" ht="23.1" customHeight="1" x14ac:dyDescent="0.25">
      <c r="B38" s="24" t="s">
        <v>65</v>
      </c>
      <c r="C38" s="49">
        <f>AVERAGE('22.07 KABUSU-RUBAGA'!C38,'23.07 KABUSU-RUBAGA'!C38,'24.07 KABUSU-RUBAGA'!C38,'25.07 KABUSU-RUBAGA'!C38,'26.07 KABUSU-RUBAGA-24h'!C38,'27.07 KABUSU-RUBAGA-24h'!C38,'28.07 KABUSU-RUBAGA'!C38)</f>
        <v>22</v>
      </c>
      <c r="D38" s="49">
        <f>AVERAGE('22.07 KABUSU-RUBAGA'!D38,'23.07 KABUSU-RUBAGA'!D38,'24.07 KABUSU-RUBAGA'!D38,'25.07 KABUSU-RUBAGA'!D38,'26.07 KABUSU-RUBAGA-24h'!D38,'27.07 KABUSU-RUBAGA-24h'!D38,'28.07 KABUSU-RUBAGA'!D38)</f>
        <v>15.857142857142858</v>
      </c>
      <c r="E38" s="49">
        <f>AVERAGE('22.07 KABUSU-RUBAGA'!E38,'23.07 KABUSU-RUBAGA'!E38,'24.07 KABUSU-RUBAGA'!E38,'25.07 KABUSU-RUBAGA'!E38,'26.07 KABUSU-RUBAGA-24h'!E38,'27.07 KABUSU-RUBAGA-24h'!E38,'28.07 KABUSU-RUBAGA'!E38)</f>
        <v>2.2857142857142856</v>
      </c>
      <c r="F38" s="49">
        <f>AVERAGE('22.07 KABUSU-RUBAGA'!F38,'23.07 KABUSU-RUBAGA'!F38,'24.07 KABUSU-RUBAGA'!F38,'25.07 KABUSU-RUBAGA'!F38,'26.07 KABUSU-RUBAGA-24h'!F38,'27.07 KABUSU-RUBAGA-24h'!F38,'28.07 KABUSU-RUBAGA'!F38)</f>
        <v>18.857142857142858</v>
      </c>
      <c r="G38" s="49">
        <f>AVERAGE('22.07 KABUSU-RUBAGA'!G38,'23.07 KABUSU-RUBAGA'!G38,'24.07 KABUSU-RUBAGA'!G38,'25.07 KABUSU-RUBAGA'!G38,'26.07 KABUSU-RUBAGA-24h'!G38,'27.07 KABUSU-RUBAGA-24h'!G38,'28.07 KABUSU-RUBAGA'!G38)</f>
        <v>0.42857142857142855</v>
      </c>
      <c r="H38" s="49">
        <f>AVERAGE('22.07 KABUSU-RUBAGA'!H38,'23.07 KABUSU-RUBAGA'!H38,'24.07 KABUSU-RUBAGA'!H38,'25.07 KABUSU-RUBAGA'!H38,'26.07 KABUSU-RUBAGA-24h'!H38,'27.07 KABUSU-RUBAGA-24h'!H38,'28.07 KABUSU-RUBAGA'!H38)</f>
        <v>0.2857142857142857</v>
      </c>
      <c r="I38" s="49">
        <f>AVERAGE('22.07 KABUSU-RUBAGA'!I38,'23.07 KABUSU-RUBAGA'!I38,'24.07 KABUSU-RUBAGA'!I38,'25.07 KABUSU-RUBAGA'!I38,'26.07 KABUSU-RUBAGA-24h'!I38,'27.07 KABUSU-RUBAGA-24h'!I38,'28.07 KABUSU-RUBAGA'!I38)</f>
        <v>6.4285714285714288</v>
      </c>
      <c r="J38" s="49">
        <f>AVERAGE('22.07 KABUSU-RUBAGA'!J38,'23.07 KABUSU-RUBAGA'!J38,'24.07 KABUSU-RUBAGA'!J38,'25.07 KABUSU-RUBAGA'!J38,'26.07 KABUSU-RUBAGA-24h'!J38,'27.07 KABUSU-RUBAGA-24h'!J38,'28.07 KABUSU-RUBAGA'!J38)</f>
        <v>2</v>
      </c>
      <c r="K38" s="49">
        <f>AVERAGE('22.07 KABUSU-RUBAGA'!K38,'23.07 KABUSU-RUBAGA'!K38,'24.07 KABUSU-RUBAGA'!K38,'25.07 KABUSU-RUBAGA'!K38,'26.07 KABUSU-RUBAGA-24h'!K38,'27.07 KABUSU-RUBAGA-24h'!K38,'28.07 KABUSU-RUBAGA'!K38)</f>
        <v>0.5714285714285714</v>
      </c>
      <c r="L38" s="49">
        <f>AVERAGE('22.07 KABUSU-RUBAGA'!L38,'23.07 KABUSU-RUBAGA'!L38,'24.07 KABUSU-RUBAGA'!L38,'25.07 KABUSU-RUBAGA'!L38,'26.07 KABUSU-RUBAGA-24h'!L38,'27.07 KABUSU-RUBAGA-24h'!L38,'28.07 KABUSU-RUBAGA'!L38)</f>
        <v>1</v>
      </c>
      <c r="M38" s="49">
        <f>AVERAGE('22.07 KABUSU-RUBAGA'!M38,'23.07 KABUSU-RUBAGA'!M38,'24.07 KABUSU-RUBAGA'!M38,'25.07 KABUSU-RUBAGA'!M38,'26.07 KABUSU-RUBAGA-24h'!M38,'27.07 KABUSU-RUBAGA-24h'!M38,'28.07 KABUSU-RUBAGA'!M38)</f>
        <v>141.71428571428572</v>
      </c>
      <c r="N38" s="49">
        <f>AVERAGE('22.07 KABUSU-RUBAGA'!N38,'23.07 KABUSU-RUBAGA'!N38,'24.07 KABUSU-RUBAGA'!N38,'25.07 KABUSU-RUBAGA'!N38,'26.07 KABUSU-RUBAGA-24h'!N38,'27.07 KABUSU-RUBAGA-24h'!N38,'28.07 KABUSU-RUBAGA'!N38)</f>
        <v>0</v>
      </c>
      <c r="O38" s="15">
        <f t="shared" si="0"/>
        <v>69.714285714285708</v>
      </c>
      <c r="P38" s="15">
        <f t="shared" si="1"/>
        <v>211.42857142857144</v>
      </c>
      <c r="R38" s="28" t="s">
        <v>86</v>
      </c>
      <c r="S38" s="16">
        <f t="shared" ref="S38:AF38" si="30">SUM(S13:S18)</f>
        <v>637.28571428571445</v>
      </c>
      <c r="T38" s="16">
        <f t="shared" si="30"/>
        <v>535.57142857142856</v>
      </c>
      <c r="U38" s="16">
        <f t="shared" si="30"/>
        <v>118.00000000000001</v>
      </c>
      <c r="V38" s="16">
        <f t="shared" si="30"/>
        <v>569.14285714285711</v>
      </c>
      <c r="W38" s="16">
        <f t="shared" si="30"/>
        <v>6.7142857142857135</v>
      </c>
      <c r="X38" s="16">
        <f t="shared" si="30"/>
        <v>6</v>
      </c>
      <c r="Y38" s="16">
        <f t="shared" si="30"/>
        <v>106.85714285714286</v>
      </c>
      <c r="Z38" s="16">
        <f t="shared" si="30"/>
        <v>51.714285714285708</v>
      </c>
      <c r="AA38" s="16">
        <f t="shared" si="30"/>
        <v>21.142857142857142</v>
      </c>
      <c r="AB38" s="16">
        <f t="shared" si="30"/>
        <v>14.714285714285714</v>
      </c>
      <c r="AC38" s="16">
        <f t="shared" si="30"/>
        <v>3869.5714285714284</v>
      </c>
      <c r="AD38" s="16">
        <f t="shared" si="30"/>
        <v>2</v>
      </c>
      <c r="AE38" s="32">
        <f t="shared" si="30"/>
        <v>2069.1428571428573</v>
      </c>
      <c r="AF38" s="32">
        <f t="shared" si="30"/>
        <v>5938.7142857142853</v>
      </c>
    </row>
    <row r="39" spans="2:32" ht="23.1" customHeight="1" x14ac:dyDescent="0.25">
      <c r="B39" s="24" t="s">
        <v>66</v>
      </c>
      <c r="C39" s="49">
        <f>AVERAGE('22.07 KABUSU-RUBAGA'!C39,'23.07 KABUSU-RUBAGA'!C39,'24.07 KABUSU-RUBAGA'!C39,'25.07 KABUSU-RUBAGA'!C39,'26.07 KABUSU-RUBAGA-24h'!C39,'27.07 KABUSU-RUBAGA-24h'!C39,'28.07 KABUSU-RUBAGA'!C39)</f>
        <v>26.142857142857142</v>
      </c>
      <c r="D39" s="49">
        <f>AVERAGE('22.07 KABUSU-RUBAGA'!D39,'23.07 KABUSU-RUBAGA'!D39,'24.07 KABUSU-RUBAGA'!D39,'25.07 KABUSU-RUBAGA'!D39,'26.07 KABUSU-RUBAGA-24h'!D39,'27.07 KABUSU-RUBAGA-24h'!D39,'28.07 KABUSU-RUBAGA'!D39)</f>
        <v>17.857142857142858</v>
      </c>
      <c r="E39" s="49">
        <f>AVERAGE('22.07 KABUSU-RUBAGA'!E39,'23.07 KABUSU-RUBAGA'!E39,'24.07 KABUSU-RUBAGA'!E39,'25.07 KABUSU-RUBAGA'!E39,'26.07 KABUSU-RUBAGA-24h'!E39,'27.07 KABUSU-RUBAGA-24h'!E39,'28.07 KABUSU-RUBAGA'!E39)</f>
        <v>4.8571428571428568</v>
      </c>
      <c r="F39" s="49">
        <f>AVERAGE('22.07 KABUSU-RUBAGA'!F39,'23.07 KABUSU-RUBAGA'!F39,'24.07 KABUSU-RUBAGA'!F39,'25.07 KABUSU-RUBAGA'!F39,'26.07 KABUSU-RUBAGA-24h'!F39,'27.07 KABUSU-RUBAGA-24h'!F39,'28.07 KABUSU-RUBAGA'!F39)</f>
        <v>19.428571428571427</v>
      </c>
      <c r="G39" s="49">
        <f>AVERAGE('22.07 KABUSU-RUBAGA'!G39,'23.07 KABUSU-RUBAGA'!G39,'24.07 KABUSU-RUBAGA'!G39,'25.07 KABUSU-RUBAGA'!G39,'26.07 KABUSU-RUBAGA-24h'!G39,'27.07 KABUSU-RUBAGA-24h'!G39,'28.07 KABUSU-RUBAGA'!G39)</f>
        <v>0.42857142857142855</v>
      </c>
      <c r="H39" s="49">
        <f>AVERAGE('22.07 KABUSU-RUBAGA'!H39,'23.07 KABUSU-RUBAGA'!H39,'24.07 KABUSU-RUBAGA'!H39,'25.07 KABUSU-RUBAGA'!H39,'26.07 KABUSU-RUBAGA-24h'!H39,'27.07 KABUSU-RUBAGA-24h'!H39,'28.07 KABUSU-RUBAGA'!H39)</f>
        <v>0.2857142857142857</v>
      </c>
      <c r="I39" s="49">
        <f>AVERAGE('22.07 KABUSU-RUBAGA'!I39,'23.07 KABUSU-RUBAGA'!I39,'24.07 KABUSU-RUBAGA'!I39,'25.07 KABUSU-RUBAGA'!I39,'26.07 KABUSU-RUBAGA-24h'!I39,'27.07 KABUSU-RUBAGA-24h'!I39,'28.07 KABUSU-RUBAGA'!I39)</f>
        <v>4.4285714285714288</v>
      </c>
      <c r="J39" s="49">
        <f>AVERAGE('22.07 KABUSU-RUBAGA'!J39,'23.07 KABUSU-RUBAGA'!J39,'24.07 KABUSU-RUBAGA'!J39,'25.07 KABUSU-RUBAGA'!J39,'26.07 KABUSU-RUBAGA-24h'!J39,'27.07 KABUSU-RUBAGA-24h'!J39,'28.07 KABUSU-RUBAGA'!J39)</f>
        <v>2.4285714285714284</v>
      </c>
      <c r="K39" s="49">
        <f>AVERAGE('22.07 KABUSU-RUBAGA'!K39,'23.07 KABUSU-RUBAGA'!K39,'24.07 KABUSU-RUBAGA'!K39,'25.07 KABUSU-RUBAGA'!K39,'26.07 KABUSU-RUBAGA-24h'!K39,'27.07 KABUSU-RUBAGA-24h'!K39,'28.07 KABUSU-RUBAGA'!K39)</f>
        <v>0.7142857142857143</v>
      </c>
      <c r="L39" s="49">
        <f>AVERAGE('22.07 KABUSU-RUBAGA'!L39,'23.07 KABUSU-RUBAGA'!L39,'24.07 KABUSU-RUBAGA'!L39,'25.07 KABUSU-RUBAGA'!L39,'26.07 KABUSU-RUBAGA-24h'!L39,'27.07 KABUSU-RUBAGA-24h'!L39,'28.07 KABUSU-RUBAGA'!L39)</f>
        <v>0.5714285714285714</v>
      </c>
      <c r="M39" s="49">
        <f>AVERAGE('22.07 KABUSU-RUBAGA'!M39,'23.07 KABUSU-RUBAGA'!M39,'24.07 KABUSU-RUBAGA'!M39,'25.07 KABUSU-RUBAGA'!M39,'26.07 KABUSU-RUBAGA-24h'!M39,'27.07 KABUSU-RUBAGA-24h'!M39,'28.07 KABUSU-RUBAGA'!M39)</f>
        <v>149</v>
      </c>
      <c r="N39" s="49">
        <f>AVERAGE('22.07 KABUSU-RUBAGA'!N39,'23.07 KABUSU-RUBAGA'!N39,'24.07 KABUSU-RUBAGA'!N39,'25.07 KABUSU-RUBAGA'!N39,'26.07 KABUSU-RUBAGA-24h'!N39,'27.07 KABUSU-RUBAGA-24h'!N39,'28.07 KABUSU-RUBAGA'!N39)</f>
        <v>0</v>
      </c>
      <c r="O39" s="15">
        <f t="shared" si="0"/>
        <v>77.142857142857139</v>
      </c>
      <c r="P39" s="15">
        <f t="shared" si="1"/>
        <v>226.14285714285714</v>
      </c>
      <c r="R39" s="29" t="s">
        <v>87</v>
      </c>
      <c r="S39" s="16">
        <f t="shared" ref="S39:AF39" si="31">SUM(S19:S21)</f>
        <v>347</v>
      </c>
      <c r="T39" s="16">
        <f t="shared" si="31"/>
        <v>250.14285714285717</v>
      </c>
      <c r="U39" s="16">
        <f t="shared" si="31"/>
        <v>53</v>
      </c>
      <c r="V39" s="16">
        <f t="shared" si="31"/>
        <v>319.14285714285717</v>
      </c>
      <c r="W39" s="16">
        <f t="shared" si="31"/>
        <v>8.5714285714285712</v>
      </c>
      <c r="X39" s="16">
        <f t="shared" si="31"/>
        <v>8.4285714285714288</v>
      </c>
      <c r="Y39" s="16">
        <f t="shared" si="31"/>
        <v>48.714285714285708</v>
      </c>
      <c r="Z39" s="16">
        <f t="shared" si="31"/>
        <v>20.571428571428573</v>
      </c>
      <c r="AA39" s="16">
        <f t="shared" si="31"/>
        <v>6.4285714285714279</v>
      </c>
      <c r="AB39" s="16">
        <f t="shared" si="31"/>
        <v>5.8571428571428568</v>
      </c>
      <c r="AC39" s="16">
        <f t="shared" si="31"/>
        <v>2199.7142857142853</v>
      </c>
      <c r="AD39" s="16">
        <f t="shared" si="31"/>
        <v>0</v>
      </c>
      <c r="AE39" s="32">
        <f t="shared" si="31"/>
        <v>1067.8571428571429</v>
      </c>
      <c r="AF39" s="32">
        <f t="shared" si="31"/>
        <v>3267.5714285714284</v>
      </c>
    </row>
    <row r="40" spans="2:32" ht="23.1" customHeight="1" x14ac:dyDescent="0.25">
      <c r="B40" s="24" t="s">
        <v>67</v>
      </c>
      <c r="C40" s="49">
        <f>AVERAGE('22.07 KABUSU-RUBAGA'!C40,'23.07 KABUSU-RUBAGA'!C40,'24.07 KABUSU-RUBAGA'!C40,'25.07 KABUSU-RUBAGA'!C40,'26.07 KABUSU-RUBAGA-24h'!C40,'27.07 KABUSU-RUBAGA-24h'!C40,'28.07 KABUSU-RUBAGA'!C40)</f>
        <v>24.571428571428573</v>
      </c>
      <c r="D40" s="49">
        <f>AVERAGE('22.07 KABUSU-RUBAGA'!D40,'23.07 KABUSU-RUBAGA'!D40,'24.07 KABUSU-RUBAGA'!D40,'25.07 KABUSU-RUBAGA'!D40,'26.07 KABUSU-RUBAGA-24h'!D40,'27.07 KABUSU-RUBAGA-24h'!D40,'28.07 KABUSU-RUBAGA'!D40)</f>
        <v>18.571428571428573</v>
      </c>
      <c r="E40" s="49">
        <f>AVERAGE('22.07 KABUSU-RUBAGA'!E40,'23.07 KABUSU-RUBAGA'!E40,'24.07 KABUSU-RUBAGA'!E40,'25.07 KABUSU-RUBAGA'!E40,'26.07 KABUSU-RUBAGA-24h'!E40,'27.07 KABUSU-RUBAGA-24h'!E40,'28.07 KABUSU-RUBAGA'!E40)</f>
        <v>3.5714285714285716</v>
      </c>
      <c r="F40" s="49">
        <f>AVERAGE('22.07 KABUSU-RUBAGA'!F40,'23.07 KABUSU-RUBAGA'!F40,'24.07 KABUSU-RUBAGA'!F40,'25.07 KABUSU-RUBAGA'!F40,'26.07 KABUSU-RUBAGA-24h'!F40,'27.07 KABUSU-RUBAGA-24h'!F40,'28.07 KABUSU-RUBAGA'!F40)</f>
        <v>18.142857142857142</v>
      </c>
      <c r="G40" s="49">
        <f>AVERAGE('22.07 KABUSU-RUBAGA'!G40,'23.07 KABUSU-RUBAGA'!G40,'24.07 KABUSU-RUBAGA'!G40,'25.07 KABUSU-RUBAGA'!G40,'26.07 KABUSU-RUBAGA-24h'!G40,'27.07 KABUSU-RUBAGA-24h'!G40,'28.07 KABUSU-RUBAGA'!G40)</f>
        <v>0.14285714285714285</v>
      </c>
      <c r="H40" s="49">
        <f>AVERAGE('22.07 KABUSU-RUBAGA'!H40,'23.07 KABUSU-RUBAGA'!H40,'24.07 KABUSU-RUBAGA'!H40,'25.07 KABUSU-RUBAGA'!H40,'26.07 KABUSU-RUBAGA-24h'!H40,'27.07 KABUSU-RUBAGA-24h'!H40,'28.07 KABUSU-RUBAGA'!H40)</f>
        <v>0.2857142857142857</v>
      </c>
      <c r="I40" s="49">
        <f>AVERAGE('22.07 KABUSU-RUBAGA'!I40,'23.07 KABUSU-RUBAGA'!I40,'24.07 KABUSU-RUBAGA'!I40,'25.07 KABUSU-RUBAGA'!I40,'26.07 KABUSU-RUBAGA-24h'!I40,'27.07 KABUSU-RUBAGA-24h'!I40,'28.07 KABUSU-RUBAGA'!I40)</f>
        <v>5</v>
      </c>
      <c r="J40" s="49">
        <f>AVERAGE('22.07 KABUSU-RUBAGA'!J40,'23.07 KABUSU-RUBAGA'!J40,'24.07 KABUSU-RUBAGA'!J40,'25.07 KABUSU-RUBAGA'!J40,'26.07 KABUSU-RUBAGA-24h'!J40,'27.07 KABUSU-RUBAGA-24h'!J40,'28.07 KABUSU-RUBAGA'!J40)</f>
        <v>3</v>
      </c>
      <c r="K40" s="49">
        <f>AVERAGE('22.07 KABUSU-RUBAGA'!K40,'23.07 KABUSU-RUBAGA'!K40,'24.07 KABUSU-RUBAGA'!K40,'25.07 KABUSU-RUBAGA'!K40,'26.07 KABUSU-RUBAGA-24h'!K40,'27.07 KABUSU-RUBAGA-24h'!K40,'28.07 KABUSU-RUBAGA'!K40)</f>
        <v>1.2857142857142858</v>
      </c>
      <c r="L40" s="49">
        <f>AVERAGE('22.07 KABUSU-RUBAGA'!L40,'23.07 KABUSU-RUBAGA'!L40,'24.07 KABUSU-RUBAGA'!L40,'25.07 KABUSU-RUBAGA'!L40,'26.07 KABUSU-RUBAGA-24h'!L40,'27.07 KABUSU-RUBAGA-24h'!L40,'28.07 KABUSU-RUBAGA'!L40)</f>
        <v>0.42857142857142855</v>
      </c>
      <c r="M40" s="49">
        <f>AVERAGE('22.07 KABUSU-RUBAGA'!M40,'23.07 KABUSU-RUBAGA'!M40,'24.07 KABUSU-RUBAGA'!M40,'25.07 KABUSU-RUBAGA'!M40,'26.07 KABUSU-RUBAGA-24h'!M40,'27.07 KABUSU-RUBAGA-24h'!M40,'28.07 KABUSU-RUBAGA'!M40)</f>
        <v>154.42857142857142</v>
      </c>
      <c r="N40" s="49">
        <f>AVERAGE('22.07 KABUSU-RUBAGA'!N40,'23.07 KABUSU-RUBAGA'!N40,'24.07 KABUSU-RUBAGA'!N40,'25.07 KABUSU-RUBAGA'!N40,'26.07 KABUSU-RUBAGA-24h'!N40,'27.07 KABUSU-RUBAGA-24h'!N40,'28.07 KABUSU-RUBAGA'!N40)</f>
        <v>0</v>
      </c>
      <c r="O40" s="15">
        <f t="shared" si="0"/>
        <v>75.000000000000014</v>
      </c>
      <c r="P40" s="15">
        <f t="shared" si="1"/>
        <v>229.42857142857144</v>
      </c>
      <c r="R40" s="5" t="s">
        <v>17</v>
      </c>
      <c r="S40" s="16">
        <f t="shared" ref="S40:AF40" si="32">SUM(S10:S21)</f>
        <v>1508.2857142857147</v>
      </c>
      <c r="T40" s="16">
        <f t="shared" si="32"/>
        <v>1215.5714285714284</v>
      </c>
      <c r="U40" s="16">
        <f t="shared" si="32"/>
        <v>240.14285714285714</v>
      </c>
      <c r="V40" s="16">
        <f t="shared" si="32"/>
        <v>1307.666666666667</v>
      </c>
      <c r="W40" s="16">
        <f t="shared" si="32"/>
        <v>17.428571428571431</v>
      </c>
      <c r="X40" s="16">
        <f t="shared" si="32"/>
        <v>17.571428571428569</v>
      </c>
      <c r="Y40" s="16">
        <f t="shared" si="32"/>
        <v>202.42857142857142</v>
      </c>
      <c r="Z40" s="16">
        <f t="shared" si="32"/>
        <v>87.428571428571431</v>
      </c>
      <c r="AA40" s="16">
        <f t="shared" si="32"/>
        <v>34.142857142857139</v>
      </c>
      <c r="AB40" s="16">
        <f t="shared" si="32"/>
        <v>23.999999999999993</v>
      </c>
      <c r="AC40" s="16">
        <f t="shared" si="32"/>
        <v>8961.7142857142862</v>
      </c>
      <c r="AD40" s="16">
        <f t="shared" si="32"/>
        <v>2</v>
      </c>
      <c r="AE40" s="32">
        <f t="shared" si="32"/>
        <v>4656.6666666666661</v>
      </c>
      <c r="AF40" s="32">
        <f t="shared" si="32"/>
        <v>13618.380952380952</v>
      </c>
    </row>
    <row r="41" spans="2:32" ht="23.1" customHeight="1" x14ac:dyDescent="0.25">
      <c r="B41" s="23" t="s">
        <v>68</v>
      </c>
      <c r="C41" s="49">
        <f>AVERAGE('22.07 KABUSU-RUBAGA'!C41,'23.07 KABUSU-RUBAGA'!C41,'24.07 KABUSU-RUBAGA'!C41,'25.07 KABUSU-RUBAGA'!C41,'26.07 KABUSU-RUBAGA-24h'!C41,'27.07 KABUSU-RUBAGA-24h'!C41,'28.07 KABUSU-RUBAGA'!C41)</f>
        <v>21.714285714285715</v>
      </c>
      <c r="D41" s="49">
        <f>AVERAGE('22.07 KABUSU-RUBAGA'!D41,'23.07 KABUSU-RUBAGA'!D41,'24.07 KABUSU-RUBAGA'!D41,'25.07 KABUSU-RUBAGA'!D41,'26.07 KABUSU-RUBAGA-24h'!D41,'27.07 KABUSU-RUBAGA-24h'!D41,'28.07 KABUSU-RUBAGA'!D41)</f>
        <v>17.428571428571427</v>
      </c>
      <c r="E41" s="49">
        <f>AVERAGE('22.07 KABUSU-RUBAGA'!E41,'23.07 KABUSU-RUBAGA'!E41,'24.07 KABUSU-RUBAGA'!E41,'25.07 KABUSU-RUBAGA'!E41,'26.07 KABUSU-RUBAGA-24h'!E41,'27.07 KABUSU-RUBAGA-24h'!E41,'28.07 KABUSU-RUBAGA'!E41)</f>
        <v>4.7142857142857144</v>
      </c>
      <c r="F41" s="49">
        <f>AVERAGE('22.07 KABUSU-RUBAGA'!F41,'23.07 KABUSU-RUBAGA'!F41,'24.07 KABUSU-RUBAGA'!F41,'25.07 KABUSU-RUBAGA'!F41,'26.07 KABUSU-RUBAGA-24h'!F41,'27.07 KABUSU-RUBAGA-24h'!F41,'28.07 KABUSU-RUBAGA'!F41)</f>
        <v>22.142857142857142</v>
      </c>
      <c r="G41" s="49">
        <f>AVERAGE('22.07 KABUSU-RUBAGA'!G41,'23.07 KABUSU-RUBAGA'!G41,'24.07 KABUSU-RUBAGA'!G41,'25.07 KABUSU-RUBAGA'!G41,'26.07 KABUSU-RUBAGA-24h'!G41,'27.07 KABUSU-RUBAGA-24h'!G41,'28.07 KABUSU-RUBAGA'!G41)</f>
        <v>0.2857142857142857</v>
      </c>
      <c r="H41" s="49">
        <f>AVERAGE('22.07 KABUSU-RUBAGA'!H41,'23.07 KABUSU-RUBAGA'!H41,'24.07 KABUSU-RUBAGA'!H41,'25.07 KABUSU-RUBAGA'!H41,'26.07 KABUSU-RUBAGA-24h'!H41,'27.07 KABUSU-RUBAGA-24h'!H41,'28.07 KABUSU-RUBAGA'!H41)</f>
        <v>0.42857142857142855</v>
      </c>
      <c r="I41" s="49">
        <f>AVERAGE('22.07 KABUSU-RUBAGA'!I41,'23.07 KABUSU-RUBAGA'!I41,'24.07 KABUSU-RUBAGA'!I41,'25.07 KABUSU-RUBAGA'!I41,'26.07 KABUSU-RUBAGA-24h'!I41,'27.07 KABUSU-RUBAGA-24h'!I41,'28.07 KABUSU-RUBAGA'!I41)</f>
        <v>3.2857142857142856</v>
      </c>
      <c r="J41" s="49">
        <f>AVERAGE('22.07 KABUSU-RUBAGA'!J41,'23.07 KABUSU-RUBAGA'!J41,'24.07 KABUSU-RUBAGA'!J41,'25.07 KABUSU-RUBAGA'!J41,'26.07 KABUSU-RUBAGA-24h'!J41,'27.07 KABUSU-RUBAGA-24h'!J41,'28.07 KABUSU-RUBAGA'!J41)</f>
        <v>1.8571428571428572</v>
      </c>
      <c r="K41" s="49">
        <f>AVERAGE('22.07 KABUSU-RUBAGA'!K41,'23.07 KABUSU-RUBAGA'!K41,'24.07 KABUSU-RUBAGA'!K41,'25.07 KABUSU-RUBAGA'!K41,'26.07 KABUSU-RUBAGA-24h'!K41,'27.07 KABUSU-RUBAGA-24h'!K41,'28.07 KABUSU-RUBAGA'!K41)</f>
        <v>1.1428571428571428</v>
      </c>
      <c r="L41" s="49">
        <f>AVERAGE('22.07 KABUSU-RUBAGA'!L41,'23.07 KABUSU-RUBAGA'!L41,'24.07 KABUSU-RUBAGA'!L41,'25.07 KABUSU-RUBAGA'!L41,'26.07 KABUSU-RUBAGA-24h'!L41,'27.07 KABUSU-RUBAGA-24h'!L41,'28.07 KABUSU-RUBAGA'!L41)</f>
        <v>0.8571428571428571</v>
      </c>
      <c r="M41" s="49">
        <f>AVERAGE('22.07 KABUSU-RUBAGA'!M41,'23.07 KABUSU-RUBAGA'!M41,'24.07 KABUSU-RUBAGA'!M41,'25.07 KABUSU-RUBAGA'!M41,'26.07 KABUSU-RUBAGA-24h'!M41,'27.07 KABUSU-RUBAGA-24h'!M41,'28.07 KABUSU-RUBAGA'!M41)</f>
        <v>122.42857142857143</v>
      </c>
      <c r="N41" s="49">
        <f>AVERAGE('22.07 KABUSU-RUBAGA'!N41,'23.07 KABUSU-RUBAGA'!N41,'24.07 KABUSU-RUBAGA'!N41,'25.07 KABUSU-RUBAGA'!N41,'26.07 KABUSU-RUBAGA-24h'!N41,'27.07 KABUSU-RUBAGA-24h'!N41,'28.07 KABUSU-RUBAGA'!N41)</f>
        <v>0</v>
      </c>
      <c r="O41" s="15">
        <f t="shared" si="0"/>
        <v>73.857142857142875</v>
      </c>
      <c r="P41" s="15">
        <f t="shared" si="1"/>
        <v>196.28571428571431</v>
      </c>
      <c r="R41" s="5" t="s">
        <v>178</v>
      </c>
      <c r="S41" s="51">
        <f>SUM(S10:S33)</f>
        <v>2407.7857142857147</v>
      </c>
      <c r="T41" s="51">
        <f t="shared" ref="T41:AF41" si="33">SUM(T10:T33)</f>
        <v>1275.5714285714284</v>
      </c>
      <c r="U41" s="51">
        <f t="shared" si="33"/>
        <v>292.64285714285711</v>
      </c>
      <c r="V41" s="51">
        <f t="shared" si="33"/>
        <v>1752.166666666667</v>
      </c>
      <c r="W41" s="51">
        <f t="shared" si="33"/>
        <v>31.428571428571431</v>
      </c>
      <c r="X41" s="51">
        <f t="shared" si="33"/>
        <v>35.571428571428569</v>
      </c>
      <c r="Y41" s="51">
        <f t="shared" si="33"/>
        <v>258.92857142857144</v>
      </c>
      <c r="Z41" s="51">
        <f t="shared" si="33"/>
        <v>117.92857142857143</v>
      </c>
      <c r="AA41" s="51">
        <f t="shared" si="33"/>
        <v>46.642857142857139</v>
      </c>
      <c r="AB41" s="51">
        <f t="shared" si="33"/>
        <v>25.999999999999993</v>
      </c>
      <c r="AC41" s="51">
        <f t="shared" si="33"/>
        <v>11364.214285714286</v>
      </c>
      <c r="AD41" s="51">
        <f t="shared" si="33"/>
        <v>2</v>
      </c>
      <c r="AE41" s="52">
        <f t="shared" si="33"/>
        <v>6246.6666666666661</v>
      </c>
      <c r="AF41" s="52">
        <f t="shared" si="33"/>
        <v>17610.880952380954</v>
      </c>
    </row>
    <row r="42" spans="2:32" ht="23.1" customHeight="1" x14ac:dyDescent="0.25">
      <c r="B42" s="24" t="s">
        <v>69</v>
      </c>
      <c r="C42" s="49">
        <f>AVERAGE('22.07 KABUSU-RUBAGA'!C42,'23.07 KABUSU-RUBAGA'!C42,'24.07 KABUSU-RUBAGA'!C42,'25.07 KABUSU-RUBAGA'!C42,'26.07 KABUSU-RUBAGA-24h'!C42,'27.07 KABUSU-RUBAGA-24h'!C42,'28.07 KABUSU-RUBAGA'!C42)</f>
        <v>20.714285714285715</v>
      </c>
      <c r="D42" s="49">
        <f>AVERAGE('22.07 KABUSU-RUBAGA'!D42,'23.07 KABUSU-RUBAGA'!D42,'24.07 KABUSU-RUBAGA'!D42,'25.07 KABUSU-RUBAGA'!D42,'26.07 KABUSU-RUBAGA-24h'!D42,'27.07 KABUSU-RUBAGA-24h'!D42,'28.07 KABUSU-RUBAGA'!D42)</f>
        <v>19.428571428571427</v>
      </c>
      <c r="E42" s="49">
        <f>AVERAGE('22.07 KABUSU-RUBAGA'!E42,'23.07 KABUSU-RUBAGA'!E42,'24.07 KABUSU-RUBAGA'!E42,'25.07 KABUSU-RUBAGA'!E42,'26.07 KABUSU-RUBAGA-24h'!E42,'27.07 KABUSU-RUBAGA-24h'!E42,'28.07 KABUSU-RUBAGA'!E42)</f>
        <v>4</v>
      </c>
      <c r="F42" s="49">
        <f>AVERAGE('22.07 KABUSU-RUBAGA'!F42,'23.07 KABUSU-RUBAGA'!F42,'24.07 KABUSU-RUBAGA'!F42,'25.07 KABUSU-RUBAGA'!F42,'26.07 KABUSU-RUBAGA-24h'!F42,'27.07 KABUSU-RUBAGA-24h'!F42,'28.07 KABUSU-RUBAGA'!F42)</f>
        <v>18.857142857142858</v>
      </c>
      <c r="G42" s="49">
        <f>AVERAGE('22.07 KABUSU-RUBAGA'!G42,'23.07 KABUSU-RUBAGA'!G42,'24.07 KABUSU-RUBAGA'!G42,'25.07 KABUSU-RUBAGA'!G42,'26.07 KABUSU-RUBAGA-24h'!G42,'27.07 KABUSU-RUBAGA-24h'!G42,'28.07 KABUSU-RUBAGA'!G42)</f>
        <v>0.14285714285714285</v>
      </c>
      <c r="H42" s="49">
        <f>AVERAGE('22.07 KABUSU-RUBAGA'!H42,'23.07 KABUSU-RUBAGA'!H42,'24.07 KABUSU-RUBAGA'!H42,'25.07 KABUSU-RUBAGA'!H42,'26.07 KABUSU-RUBAGA-24h'!H42,'27.07 KABUSU-RUBAGA-24h'!H42,'28.07 KABUSU-RUBAGA'!H42)</f>
        <v>0</v>
      </c>
      <c r="I42" s="49">
        <f>AVERAGE('22.07 KABUSU-RUBAGA'!I42,'23.07 KABUSU-RUBAGA'!I42,'24.07 KABUSU-RUBAGA'!I42,'25.07 KABUSU-RUBAGA'!I42,'26.07 KABUSU-RUBAGA-24h'!I42,'27.07 KABUSU-RUBAGA-24h'!I42,'28.07 KABUSU-RUBAGA'!I42)</f>
        <v>3.5714285714285716</v>
      </c>
      <c r="J42" s="49">
        <f>AVERAGE('22.07 KABUSU-RUBAGA'!J42,'23.07 KABUSU-RUBAGA'!J42,'24.07 KABUSU-RUBAGA'!J42,'25.07 KABUSU-RUBAGA'!J42,'26.07 KABUSU-RUBAGA-24h'!J42,'27.07 KABUSU-RUBAGA-24h'!J42,'28.07 KABUSU-RUBAGA'!J42)</f>
        <v>1.7142857142857142</v>
      </c>
      <c r="K42" s="49">
        <f>AVERAGE('22.07 KABUSU-RUBAGA'!K42,'23.07 KABUSU-RUBAGA'!K42,'24.07 KABUSU-RUBAGA'!K42,'25.07 KABUSU-RUBAGA'!K42,'26.07 KABUSU-RUBAGA-24h'!K42,'27.07 KABUSU-RUBAGA-24h'!K42,'28.07 KABUSU-RUBAGA'!K42)</f>
        <v>0.5714285714285714</v>
      </c>
      <c r="L42" s="49">
        <f>AVERAGE('22.07 KABUSU-RUBAGA'!L42,'23.07 KABUSU-RUBAGA'!L42,'24.07 KABUSU-RUBAGA'!L42,'25.07 KABUSU-RUBAGA'!L42,'26.07 KABUSU-RUBAGA-24h'!L42,'27.07 KABUSU-RUBAGA-24h'!L42,'28.07 KABUSU-RUBAGA'!L42)</f>
        <v>0.2857142857142857</v>
      </c>
      <c r="M42" s="49">
        <f>AVERAGE('22.07 KABUSU-RUBAGA'!M42,'23.07 KABUSU-RUBAGA'!M42,'24.07 KABUSU-RUBAGA'!M42,'25.07 KABUSU-RUBAGA'!M42,'26.07 KABUSU-RUBAGA-24h'!M42,'27.07 KABUSU-RUBAGA-24h'!M42,'28.07 KABUSU-RUBAGA'!M42)</f>
        <v>132.71428571428572</v>
      </c>
      <c r="N42" s="49">
        <f>AVERAGE('22.07 KABUSU-RUBAGA'!N42,'23.07 KABUSU-RUBAGA'!N42,'24.07 KABUSU-RUBAGA'!N42,'25.07 KABUSU-RUBAGA'!N42,'26.07 KABUSU-RUBAGA-24h'!N42,'27.07 KABUSU-RUBAGA-24h'!N42,'28.07 KABUSU-RUBAGA'!N42)</f>
        <v>0</v>
      </c>
      <c r="O42" s="15">
        <f t="shared" si="0"/>
        <v>69.285714285714292</v>
      </c>
      <c r="P42" s="15">
        <f t="shared" si="1"/>
        <v>202</v>
      </c>
      <c r="R42" s="5" t="s">
        <v>160</v>
      </c>
      <c r="S42" s="48">
        <f>S41/S40</f>
        <v>1.5963724190187534</v>
      </c>
      <c r="T42" s="48">
        <f t="shared" ref="T42:AF42" si="34">T41/T40</f>
        <v>1.049359501704078</v>
      </c>
      <c r="U42" s="48">
        <f t="shared" si="34"/>
        <v>1.2186198691255203</v>
      </c>
      <c r="V42" s="48">
        <f t="shared" si="34"/>
        <v>1.3399184297731328</v>
      </c>
      <c r="W42" s="48">
        <f t="shared" si="34"/>
        <v>1.8032786885245902</v>
      </c>
      <c r="X42" s="48">
        <f t="shared" si="34"/>
        <v>2.024390243902439</v>
      </c>
      <c r="Y42" s="48">
        <f t="shared" si="34"/>
        <v>1.2791107974594216</v>
      </c>
      <c r="Z42" s="48">
        <f t="shared" si="34"/>
        <v>1.3488562091503269</v>
      </c>
      <c r="AA42" s="48">
        <f t="shared" si="34"/>
        <v>1.3661087866108788</v>
      </c>
      <c r="AB42" s="48">
        <f t="shared" si="34"/>
        <v>1.0833333333333333</v>
      </c>
      <c r="AC42" s="48">
        <f t="shared" si="34"/>
        <v>1.2680848689663968</v>
      </c>
      <c r="AD42" s="48">
        <f t="shared" si="34"/>
        <v>1</v>
      </c>
      <c r="AE42" s="53">
        <f t="shared" si="34"/>
        <v>1.341445955619184</v>
      </c>
      <c r="AF42" s="53">
        <f t="shared" si="34"/>
        <v>1.2931699453819419</v>
      </c>
    </row>
    <row r="43" spans="2:32" ht="23.1" customHeight="1" x14ac:dyDescent="0.25">
      <c r="B43" s="23" t="s">
        <v>70</v>
      </c>
      <c r="C43" s="49">
        <f>AVERAGE('22.07 KABUSU-RUBAGA'!C43,'23.07 KABUSU-RUBAGA'!C43,'24.07 KABUSU-RUBAGA'!C43,'25.07 KABUSU-RUBAGA'!C43,'26.07 KABUSU-RUBAGA-24h'!C43,'27.07 KABUSU-RUBAGA-24h'!C43,'28.07 KABUSU-RUBAGA'!C43)</f>
        <v>27.571428571428573</v>
      </c>
      <c r="D43" s="49">
        <f>AVERAGE('22.07 KABUSU-RUBAGA'!D43,'23.07 KABUSU-RUBAGA'!D43,'24.07 KABUSU-RUBAGA'!D43,'25.07 KABUSU-RUBAGA'!D43,'26.07 KABUSU-RUBAGA-24h'!D43,'27.07 KABUSU-RUBAGA-24h'!D43,'28.07 KABUSU-RUBAGA'!D43)</f>
        <v>18.428571428571427</v>
      </c>
      <c r="E43" s="49">
        <f>AVERAGE('22.07 KABUSU-RUBAGA'!E43,'23.07 KABUSU-RUBAGA'!E43,'24.07 KABUSU-RUBAGA'!E43,'25.07 KABUSU-RUBAGA'!E43,'26.07 KABUSU-RUBAGA-24h'!E43,'27.07 KABUSU-RUBAGA-24h'!E43,'28.07 KABUSU-RUBAGA'!E43)</f>
        <v>3</v>
      </c>
      <c r="F43" s="49">
        <f>AVERAGE('22.07 KABUSU-RUBAGA'!F43,'23.07 KABUSU-RUBAGA'!F43,'24.07 KABUSU-RUBAGA'!F43,'25.07 KABUSU-RUBAGA'!F43,'26.07 KABUSU-RUBAGA-24h'!F43,'27.07 KABUSU-RUBAGA-24h'!F43,'28.07 KABUSU-RUBAGA'!F43)</f>
        <v>23</v>
      </c>
      <c r="G43" s="49">
        <f>AVERAGE('22.07 KABUSU-RUBAGA'!G43,'23.07 KABUSU-RUBAGA'!G43,'24.07 KABUSU-RUBAGA'!G43,'25.07 KABUSU-RUBAGA'!G43,'26.07 KABUSU-RUBAGA-24h'!G43,'27.07 KABUSU-RUBAGA-24h'!G43,'28.07 KABUSU-RUBAGA'!G43)</f>
        <v>1.1428571428571428</v>
      </c>
      <c r="H43" s="49">
        <f>AVERAGE('22.07 KABUSU-RUBAGA'!H43,'23.07 KABUSU-RUBAGA'!H43,'24.07 KABUSU-RUBAGA'!H43,'25.07 KABUSU-RUBAGA'!H43,'26.07 KABUSU-RUBAGA-24h'!H43,'27.07 KABUSU-RUBAGA-24h'!H43,'28.07 KABUSU-RUBAGA'!H43)</f>
        <v>0.14285714285714285</v>
      </c>
      <c r="I43" s="49">
        <f>AVERAGE('22.07 KABUSU-RUBAGA'!I43,'23.07 KABUSU-RUBAGA'!I43,'24.07 KABUSU-RUBAGA'!I43,'25.07 KABUSU-RUBAGA'!I43,'26.07 KABUSU-RUBAGA-24h'!I43,'27.07 KABUSU-RUBAGA-24h'!I43,'28.07 KABUSU-RUBAGA'!I43)</f>
        <v>3.2857142857142856</v>
      </c>
      <c r="J43" s="49">
        <f>AVERAGE('22.07 KABUSU-RUBAGA'!J43,'23.07 KABUSU-RUBAGA'!J43,'24.07 KABUSU-RUBAGA'!J43,'25.07 KABUSU-RUBAGA'!J43,'26.07 KABUSU-RUBAGA-24h'!J43,'27.07 KABUSU-RUBAGA-24h'!J43,'28.07 KABUSU-RUBAGA'!J43)</f>
        <v>3.4285714285714284</v>
      </c>
      <c r="K43" s="49">
        <f>AVERAGE('22.07 KABUSU-RUBAGA'!K43,'23.07 KABUSU-RUBAGA'!K43,'24.07 KABUSU-RUBAGA'!K43,'25.07 KABUSU-RUBAGA'!K43,'26.07 KABUSU-RUBAGA-24h'!K43,'27.07 KABUSU-RUBAGA-24h'!K43,'28.07 KABUSU-RUBAGA'!K43)</f>
        <v>0.42857142857142855</v>
      </c>
      <c r="L43" s="49">
        <f>AVERAGE('22.07 KABUSU-RUBAGA'!L43,'23.07 KABUSU-RUBAGA'!L43,'24.07 KABUSU-RUBAGA'!L43,'25.07 KABUSU-RUBAGA'!L43,'26.07 KABUSU-RUBAGA-24h'!L43,'27.07 KABUSU-RUBAGA-24h'!L43,'28.07 KABUSU-RUBAGA'!L43)</f>
        <v>0.42857142857142855</v>
      </c>
      <c r="M43" s="49">
        <f>AVERAGE('22.07 KABUSU-RUBAGA'!M43,'23.07 KABUSU-RUBAGA'!M43,'24.07 KABUSU-RUBAGA'!M43,'25.07 KABUSU-RUBAGA'!M43,'26.07 KABUSU-RUBAGA-24h'!M43,'27.07 KABUSU-RUBAGA-24h'!M43,'28.07 KABUSU-RUBAGA'!M43)</f>
        <v>134.42857142857142</v>
      </c>
      <c r="N43" s="49">
        <f>AVERAGE('22.07 KABUSU-RUBAGA'!N43,'23.07 KABUSU-RUBAGA'!N43,'24.07 KABUSU-RUBAGA'!N43,'25.07 KABUSU-RUBAGA'!N43,'26.07 KABUSU-RUBAGA-24h'!N43,'27.07 KABUSU-RUBAGA-24h'!N43,'28.07 KABUSU-RUBAGA'!N43)</f>
        <v>0</v>
      </c>
      <c r="O43" s="15">
        <f t="shared" si="0"/>
        <v>80.857142857142861</v>
      </c>
      <c r="P43" s="15">
        <f t="shared" si="1"/>
        <v>215.28571428571428</v>
      </c>
    </row>
    <row r="44" spans="2:32" ht="23.1" customHeight="1" x14ac:dyDescent="0.25">
      <c r="B44" s="25" t="s">
        <v>71</v>
      </c>
      <c r="C44" s="49">
        <f>AVERAGE('22.07 KABUSU-RUBAGA'!C44,'23.07 KABUSU-RUBAGA'!C44,'24.07 KABUSU-RUBAGA'!C44,'25.07 KABUSU-RUBAGA'!C44,'26.07 KABUSU-RUBAGA-24h'!C44,'27.07 KABUSU-RUBAGA-24h'!C44,'28.07 KABUSU-RUBAGA'!C44)</f>
        <v>26.142857142857142</v>
      </c>
      <c r="D44" s="49">
        <f>AVERAGE('22.07 KABUSU-RUBAGA'!D44,'23.07 KABUSU-RUBAGA'!D44,'24.07 KABUSU-RUBAGA'!D44,'25.07 KABUSU-RUBAGA'!D44,'26.07 KABUSU-RUBAGA-24h'!D44,'27.07 KABUSU-RUBAGA-24h'!D44,'28.07 KABUSU-RUBAGA'!D44)</f>
        <v>23.142857142857142</v>
      </c>
      <c r="E44" s="49">
        <f>AVERAGE('22.07 KABUSU-RUBAGA'!E44,'23.07 KABUSU-RUBAGA'!E44,'24.07 KABUSU-RUBAGA'!E44,'25.07 KABUSU-RUBAGA'!E44,'26.07 KABUSU-RUBAGA-24h'!E44,'27.07 KABUSU-RUBAGA-24h'!E44,'28.07 KABUSU-RUBAGA'!E44)</f>
        <v>8.2857142857142865</v>
      </c>
      <c r="F44" s="49">
        <f>AVERAGE('22.07 KABUSU-RUBAGA'!F44,'23.07 KABUSU-RUBAGA'!F44,'24.07 KABUSU-RUBAGA'!F44,'25.07 KABUSU-RUBAGA'!F44,'26.07 KABUSU-RUBAGA-24h'!F44,'27.07 KABUSU-RUBAGA-24h'!F44,'28.07 KABUSU-RUBAGA'!F44)</f>
        <v>22.857142857142858</v>
      </c>
      <c r="G44" s="49">
        <f>AVERAGE('22.07 KABUSU-RUBAGA'!G44,'23.07 KABUSU-RUBAGA'!G44,'24.07 KABUSU-RUBAGA'!G44,'25.07 KABUSU-RUBAGA'!G44,'26.07 KABUSU-RUBAGA-24h'!G44,'27.07 KABUSU-RUBAGA-24h'!G44,'28.07 KABUSU-RUBAGA'!G44)</f>
        <v>0.14285714285714285</v>
      </c>
      <c r="H44" s="49">
        <f>AVERAGE('22.07 KABUSU-RUBAGA'!H44,'23.07 KABUSU-RUBAGA'!H44,'24.07 KABUSU-RUBAGA'!H44,'25.07 KABUSU-RUBAGA'!H44,'26.07 KABUSU-RUBAGA-24h'!H44,'27.07 KABUSU-RUBAGA-24h'!H44,'28.07 KABUSU-RUBAGA'!H44)</f>
        <v>0.42857142857142855</v>
      </c>
      <c r="I44" s="49">
        <f>AVERAGE('22.07 KABUSU-RUBAGA'!I44,'23.07 KABUSU-RUBAGA'!I44,'24.07 KABUSU-RUBAGA'!I44,'25.07 KABUSU-RUBAGA'!I44,'26.07 KABUSU-RUBAGA-24h'!I44,'27.07 KABUSU-RUBAGA-24h'!I44,'28.07 KABUSU-RUBAGA'!I44)</f>
        <v>4.1428571428571432</v>
      </c>
      <c r="J44" s="49">
        <f>AVERAGE('22.07 KABUSU-RUBAGA'!J44,'23.07 KABUSU-RUBAGA'!J44,'24.07 KABUSU-RUBAGA'!J44,'25.07 KABUSU-RUBAGA'!J44,'26.07 KABUSU-RUBAGA-24h'!J44,'27.07 KABUSU-RUBAGA-24h'!J44,'28.07 KABUSU-RUBAGA'!J44)</f>
        <v>1.7142857142857142</v>
      </c>
      <c r="K44" s="49">
        <f>AVERAGE('22.07 KABUSU-RUBAGA'!K44,'23.07 KABUSU-RUBAGA'!K44,'24.07 KABUSU-RUBAGA'!K44,'25.07 KABUSU-RUBAGA'!K44,'26.07 KABUSU-RUBAGA-24h'!K44,'27.07 KABUSU-RUBAGA-24h'!K44,'28.07 KABUSU-RUBAGA'!K44)</f>
        <v>0.42857142857142855</v>
      </c>
      <c r="L44" s="49">
        <f>AVERAGE('22.07 KABUSU-RUBAGA'!L44,'23.07 KABUSU-RUBAGA'!L44,'24.07 KABUSU-RUBAGA'!L44,'25.07 KABUSU-RUBAGA'!L44,'26.07 KABUSU-RUBAGA-24h'!L44,'27.07 KABUSU-RUBAGA-24h'!L44,'28.07 KABUSU-RUBAGA'!L44)</f>
        <v>0.2857142857142857</v>
      </c>
      <c r="M44" s="49">
        <f>AVERAGE('22.07 KABUSU-RUBAGA'!M44,'23.07 KABUSU-RUBAGA'!M44,'24.07 KABUSU-RUBAGA'!M44,'25.07 KABUSU-RUBAGA'!M44,'26.07 KABUSU-RUBAGA-24h'!M44,'27.07 KABUSU-RUBAGA-24h'!M44,'28.07 KABUSU-RUBAGA'!M44)</f>
        <v>131.28571428571428</v>
      </c>
      <c r="N44" s="49">
        <f>AVERAGE('22.07 KABUSU-RUBAGA'!N44,'23.07 KABUSU-RUBAGA'!N44,'24.07 KABUSU-RUBAGA'!N44,'25.07 KABUSU-RUBAGA'!N44,'26.07 KABUSU-RUBAGA-24h'!N44,'27.07 KABUSU-RUBAGA-24h'!N44,'28.07 KABUSU-RUBAGA'!N44)</f>
        <v>0</v>
      </c>
      <c r="O44" s="15">
        <f t="shared" si="0"/>
        <v>87.571428571428569</v>
      </c>
      <c r="P44" s="15">
        <f t="shared" si="1"/>
        <v>218.85714285714283</v>
      </c>
    </row>
    <row r="45" spans="2:32" ht="23.1" customHeight="1" x14ac:dyDescent="0.25">
      <c r="B45" s="23" t="s">
        <v>72</v>
      </c>
      <c r="C45" s="49">
        <f>AVERAGE('22.07 KABUSU-RUBAGA'!C45,'23.07 KABUSU-RUBAGA'!C45,'24.07 KABUSU-RUBAGA'!C45,'25.07 KABUSU-RUBAGA'!C45,'26.07 KABUSU-RUBAGA-24h'!C45,'27.07 KABUSU-RUBAGA-24h'!C45,'28.07 KABUSU-RUBAGA'!C45)</f>
        <v>25.285714285714285</v>
      </c>
      <c r="D45" s="49">
        <f>AVERAGE('22.07 KABUSU-RUBAGA'!D45,'23.07 KABUSU-RUBAGA'!D45,'24.07 KABUSU-RUBAGA'!D45,'25.07 KABUSU-RUBAGA'!D45,'26.07 KABUSU-RUBAGA-24h'!D45,'27.07 KABUSU-RUBAGA-24h'!D45,'28.07 KABUSU-RUBAGA'!D45)</f>
        <v>22.285714285714285</v>
      </c>
      <c r="E45" s="49">
        <f>AVERAGE('22.07 KABUSU-RUBAGA'!E45,'23.07 KABUSU-RUBAGA'!E45,'24.07 KABUSU-RUBAGA'!E45,'25.07 KABUSU-RUBAGA'!E45,'26.07 KABUSU-RUBAGA-24h'!E45,'27.07 KABUSU-RUBAGA-24h'!E45,'28.07 KABUSU-RUBAGA'!E45)</f>
        <v>4.5714285714285712</v>
      </c>
      <c r="F45" s="49">
        <f>AVERAGE('22.07 KABUSU-RUBAGA'!F45,'23.07 KABUSU-RUBAGA'!F45,'24.07 KABUSU-RUBAGA'!F45,'25.07 KABUSU-RUBAGA'!F45,'26.07 KABUSU-RUBAGA-24h'!F45,'27.07 KABUSU-RUBAGA-24h'!F45,'28.07 KABUSU-RUBAGA'!F45)</f>
        <v>20.857142857142858</v>
      </c>
      <c r="G45" s="49">
        <f>AVERAGE('22.07 KABUSU-RUBAGA'!G45,'23.07 KABUSU-RUBAGA'!G45,'24.07 KABUSU-RUBAGA'!G45,'25.07 KABUSU-RUBAGA'!G45,'26.07 KABUSU-RUBAGA-24h'!G45,'27.07 KABUSU-RUBAGA-24h'!G45,'28.07 KABUSU-RUBAGA'!G45)</f>
        <v>0.14285714285714285</v>
      </c>
      <c r="H45" s="49">
        <f>AVERAGE('22.07 KABUSU-RUBAGA'!H45,'23.07 KABUSU-RUBAGA'!H45,'24.07 KABUSU-RUBAGA'!H45,'25.07 KABUSU-RUBAGA'!H45,'26.07 KABUSU-RUBAGA-24h'!H45,'27.07 KABUSU-RUBAGA-24h'!H45,'28.07 KABUSU-RUBAGA'!H45)</f>
        <v>0.5714285714285714</v>
      </c>
      <c r="I45" s="49">
        <f>AVERAGE('22.07 KABUSU-RUBAGA'!I45,'23.07 KABUSU-RUBAGA'!I45,'24.07 KABUSU-RUBAGA'!I45,'25.07 KABUSU-RUBAGA'!I45,'26.07 KABUSU-RUBAGA-24h'!I45,'27.07 KABUSU-RUBAGA-24h'!I45,'28.07 KABUSU-RUBAGA'!I45)</f>
        <v>5</v>
      </c>
      <c r="J45" s="49">
        <f>AVERAGE('22.07 KABUSU-RUBAGA'!J45,'23.07 KABUSU-RUBAGA'!J45,'24.07 KABUSU-RUBAGA'!J45,'25.07 KABUSU-RUBAGA'!J45,'26.07 KABUSU-RUBAGA-24h'!J45,'27.07 KABUSU-RUBAGA-24h'!J45,'28.07 KABUSU-RUBAGA'!J45)</f>
        <v>1.2857142857142858</v>
      </c>
      <c r="K45" s="49">
        <f>AVERAGE('22.07 KABUSU-RUBAGA'!K45,'23.07 KABUSU-RUBAGA'!K45,'24.07 KABUSU-RUBAGA'!K45,'25.07 KABUSU-RUBAGA'!K45,'26.07 KABUSU-RUBAGA-24h'!K45,'27.07 KABUSU-RUBAGA-24h'!K45,'28.07 KABUSU-RUBAGA'!K45)</f>
        <v>0.8571428571428571</v>
      </c>
      <c r="L45" s="49">
        <f>AVERAGE('22.07 KABUSU-RUBAGA'!L45,'23.07 KABUSU-RUBAGA'!L45,'24.07 KABUSU-RUBAGA'!L45,'25.07 KABUSU-RUBAGA'!L45,'26.07 KABUSU-RUBAGA-24h'!L45,'27.07 KABUSU-RUBAGA-24h'!L45,'28.07 KABUSU-RUBAGA'!L45)</f>
        <v>0.42857142857142855</v>
      </c>
      <c r="M45" s="49">
        <f>AVERAGE('22.07 KABUSU-RUBAGA'!M45,'23.07 KABUSU-RUBAGA'!M45,'24.07 KABUSU-RUBAGA'!M45,'25.07 KABUSU-RUBAGA'!M45,'26.07 KABUSU-RUBAGA-24h'!M45,'27.07 KABUSU-RUBAGA-24h'!M45,'28.07 KABUSU-RUBAGA'!M45)</f>
        <v>126.71428571428571</v>
      </c>
      <c r="N45" s="49">
        <f>AVERAGE('22.07 KABUSU-RUBAGA'!N45,'23.07 KABUSU-RUBAGA'!N45,'24.07 KABUSU-RUBAGA'!N45,'25.07 KABUSU-RUBAGA'!N45,'26.07 KABUSU-RUBAGA-24h'!N45,'27.07 KABUSU-RUBAGA-24h'!N45,'28.07 KABUSU-RUBAGA'!N45)</f>
        <v>2</v>
      </c>
      <c r="O45" s="15">
        <f t="shared" si="0"/>
        <v>83.285714285714292</v>
      </c>
      <c r="P45" s="15">
        <f t="shared" si="1"/>
        <v>210</v>
      </c>
    </row>
    <row r="46" spans="2:32" ht="23.1" customHeight="1" x14ac:dyDescent="0.25">
      <c r="B46" s="24" t="s">
        <v>73</v>
      </c>
      <c r="C46" s="49">
        <f>AVERAGE('22.07 KABUSU-RUBAGA'!C46,'23.07 KABUSU-RUBAGA'!C46,'24.07 KABUSU-RUBAGA'!C46,'25.07 KABUSU-RUBAGA'!C46,'26.07 KABUSU-RUBAGA-24h'!C46,'27.07 KABUSU-RUBAGA-24h'!C46,'28.07 KABUSU-RUBAGA'!C46)</f>
        <v>19.285714285714285</v>
      </c>
      <c r="D46" s="49">
        <f>AVERAGE('22.07 KABUSU-RUBAGA'!D46,'23.07 KABUSU-RUBAGA'!D46,'24.07 KABUSU-RUBAGA'!D46,'25.07 KABUSU-RUBAGA'!D46,'26.07 KABUSU-RUBAGA-24h'!D46,'27.07 KABUSU-RUBAGA-24h'!D46,'28.07 KABUSU-RUBAGA'!D46)</f>
        <v>14.857142857142858</v>
      </c>
      <c r="E46" s="49">
        <f>AVERAGE('22.07 KABUSU-RUBAGA'!E46,'23.07 KABUSU-RUBAGA'!E46,'24.07 KABUSU-RUBAGA'!E46,'25.07 KABUSU-RUBAGA'!E46,'26.07 KABUSU-RUBAGA-24h'!E46,'27.07 KABUSU-RUBAGA-24h'!E46,'28.07 KABUSU-RUBAGA'!E46)</f>
        <v>4.7142857142857144</v>
      </c>
      <c r="F46" s="49">
        <f>AVERAGE('22.07 KABUSU-RUBAGA'!F46,'23.07 KABUSU-RUBAGA'!F46,'24.07 KABUSU-RUBAGA'!F46,'25.07 KABUSU-RUBAGA'!F46,'26.07 KABUSU-RUBAGA-24h'!F46,'27.07 KABUSU-RUBAGA-24h'!F46,'28.07 KABUSU-RUBAGA'!F46)</f>
        <v>19.857142857142858</v>
      </c>
      <c r="G46" s="49">
        <f>AVERAGE('22.07 KABUSU-RUBAGA'!G46,'23.07 KABUSU-RUBAGA'!G46,'24.07 KABUSU-RUBAGA'!G46,'25.07 KABUSU-RUBAGA'!G46,'26.07 KABUSU-RUBAGA-24h'!G46,'27.07 KABUSU-RUBAGA-24h'!G46,'28.07 KABUSU-RUBAGA'!G46)</f>
        <v>0.5714285714285714</v>
      </c>
      <c r="H46" s="49">
        <f>AVERAGE('22.07 KABUSU-RUBAGA'!H46,'23.07 KABUSU-RUBAGA'!H46,'24.07 KABUSU-RUBAGA'!H46,'25.07 KABUSU-RUBAGA'!H46,'26.07 KABUSU-RUBAGA-24h'!H46,'27.07 KABUSU-RUBAGA-24h'!H46,'28.07 KABUSU-RUBAGA'!H46)</f>
        <v>0.42857142857142855</v>
      </c>
      <c r="I46" s="49">
        <f>AVERAGE('22.07 KABUSU-RUBAGA'!I46,'23.07 KABUSU-RUBAGA'!I46,'24.07 KABUSU-RUBAGA'!I46,'25.07 KABUSU-RUBAGA'!I46,'26.07 KABUSU-RUBAGA-24h'!I46,'27.07 KABUSU-RUBAGA-24h'!I46,'28.07 KABUSU-RUBAGA'!I46)</f>
        <v>5.2857142857142856</v>
      </c>
      <c r="J46" s="49">
        <f>AVERAGE('22.07 KABUSU-RUBAGA'!J46,'23.07 KABUSU-RUBAGA'!J46,'24.07 KABUSU-RUBAGA'!J46,'25.07 KABUSU-RUBAGA'!J46,'26.07 KABUSU-RUBAGA-24h'!J46,'27.07 KABUSU-RUBAGA-24h'!J46,'28.07 KABUSU-RUBAGA'!J46)</f>
        <v>1.7142857142857142</v>
      </c>
      <c r="K46" s="49">
        <f>AVERAGE('22.07 KABUSU-RUBAGA'!K46,'23.07 KABUSU-RUBAGA'!K46,'24.07 KABUSU-RUBAGA'!K46,'25.07 KABUSU-RUBAGA'!K46,'26.07 KABUSU-RUBAGA-24h'!K46,'27.07 KABUSU-RUBAGA-24h'!K46,'28.07 KABUSU-RUBAGA'!K46)</f>
        <v>0.42857142857142855</v>
      </c>
      <c r="L46" s="49">
        <f>AVERAGE('22.07 KABUSU-RUBAGA'!L46,'23.07 KABUSU-RUBAGA'!L46,'24.07 KABUSU-RUBAGA'!L46,'25.07 KABUSU-RUBAGA'!L46,'26.07 KABUSU-RUBAGA-24h'!L46,'27.07 KABUSU-RUBAGA-24h'!L46,'28.07 KABUSU-RUBAGA'!L46)</f>
        <v>0.7142857142857143</v>
      </c>
      <c r="M46" s="49">
        <f>AVERAGE('22.07 KABUSU-RUBAGA'!M46,'23.07 KABUSU-RUBAGA'!M46,'24.07 KABUSU-RUBAGA'!M46,'25.07 KABUSU-RUBAGA'!M46,'26.07 KABUSU-RUBAGA-24h'!M46,'27.07 KABUSU-RUBAGA-24h'!M46,'28.07 KABUSU-RUBAGA'!M46)</f>
        <v>129.71428571428572</v>
      </c>
      <c r="N46" s="49">
        <f>AVERAGE('22.07 KABUSU-RUBAGA'!N46,'23.07 KABUSU-RUBAGA'!N46,'24.07 KABUSU-RUBAGA'!N46,'25.07 KABUSU-RUBAGA'!N46,'26.07 KABUSU-RUBAGA-24h'!N46,'27.07 KABUSU-RUBAGA-24h'!N46,'28.07 KABUSU-RUBAGA'!N46)</f>
        <v>0</v>
      </c>
      <c r="O46" s="15">
        <f t="shared" si="0"/>
        <v>67.857142857142847</v>
      </c>
      <c r="P46" s="15">
        <f t="shared" si="1"/>
        <v>197.57142857142856</v>
      </c>
      <c r="R46" s="8"/>
      <c r="T46"/>
    </row>
    <row r="47" spans="2:32" ht="23.1" customHeight="1" x14ac:dyDescent="0.25">
      <c r="B47" s="24" t="s">
        <v>74</v>
      </c>
      <c r="C47" s="49">
        <f>AVERAGE('22.07 KABUSU-RUBAGA'!C47,'23.07 KABUSU-RUBAGA'!C47,'24.07 KABUSU-RUBAGA'!C47,'25.07 KABUSU-RUBAGA'!C47,'26.07 KABUSU-RUBAGA-24h'!C47,'27.07 KABUSU-RUBAGA-24h'!C47,'28.07 KABUSU-RUBAGA'!C47)</f>
        <v>26.142857142857142</v>
      </c>
      <c r="D47" s="49">
        <f>AVERAGE('22.07 KABUSU-RUBAGA'!D47,'23.07 KABUSU-RUBAGA'!D47,'24.07 KABUSU-RUBAGA'!D47,'25.07 KABUSU-RUBAGA'!D47,'26.07 KABUSU-RUBAGA-24h'!D47,'27.07 KABUSU-RUBAGA-24h'!D47,'28.07 KABUSU-RUBAGA'!D47)</f>
        <v>23.285714285714285</v>
      </c>
      <c r="E47" s="49">
        <f>AVERAGE('22.07 KABUSU-RUBAGA'!E47,'23.07 KABUSU-RUBAGA'!E47,'24.07 KABUSU-RUBAGA'!E47,'25.07 KABUSU-RUBAGA'!E47,'26.07 KABUSU-RUBAGA-24h'!E47,'27.07 KABUSU-RUBAGA-24h'!E47,'28.07 KABUSU-RUBAGA'!E47)</f>
        <v>4.4285714285714288</v>
      </c>
      <c r="F47" s="49">
        <f>AVERAGE('22.07 KABUSU-RUBAGA'!F47,'23.07 KABUSU-RUBAGA'!F47,'24.07 KABUSU-RUBAGA'!F47,'25.07 KABUSU-RUBAGA'!F47,'26.07 KABUSU-RUBAGA-24h'!F47,'27.07 KABUSU-RUBAGA-24h'!F47,'28.07 KABUSU-RUBAGA'!F47)</f>
        <v>21.571428571428573</v>
      </c>
      <c r="G47" s="49">
        <f>AVERAGE('22.07 KABUSU-RUBAGA'!G47,'23.07 KABUSU-RUBAGA'!G47,'24.07 KABUSU-RUBAGA'!G47,'25.07 KABUSU-RUBAGA'!G47,'26.07 KABUSU-RUBAGA-24h'!G47,'27.07 KABUSU-RUBAGA-24h'!G47,'28.07 KABUSU-RUBAGA'!G47)</f>
        <v>1.1428571428571428</v>
      </c>
      <c r="H47" s="49">
        <f>AVERAGE('22.07 KABUSU-RUBAGA'!H47,'23.07 KABUSU-RUBAGA'!H47,'24.07 KABUSU-RUBAGA'!H47,'25.07 KABUSU-RUBAGA'!H47,'26.07 KABUSU-RUBAGA-24h'!H47,'27.07 KABUSU-RUBAGA-24h'!H47,'28.07 KABUSU-RUBAGA'!H47)</f>
        <v>0.42857142857142855</v>
      </c>
      <c r="I47" s="49">
        <f>AVERAGE('22.07 KABUSU-RUBAGA'!I47,'23.07 KABUSU-RUBAGA'!I47,'24.07 KABUSU-RUBAGA'!I47,'25.07 KABUSU-RUBAGA'!I47,'26.07 KABUSU-RUBAGA-24h'!I47,'27.07 KABUSU-RUBAGA-24h'!I47,'28.07 KABUSU-RUBAGA'!I47)</f>
        <v>6.2857142857142856</v>
      </c>
      <c r="J47" s="49">
        <f>AVERAGE('22.07 KABUSU-RUBAGA'!J47,'23.07 KABUSU-RUBAGA'!J47,'24.07 KABUSU-RUBAGA'!J47,'25.07 KABUSU-RUBAGA'!J47,'26.07 KABUSU-RUBAGA-24h'!J47,'27.07 KABUSU-RUBAGA-24h'!J47,'28.07 KABUSU-RUBAGA'!J47)</f>
        <v>1.2857142857142858</v>
      </c>
      <c r="K47" s="49">
        <f>AVERAGE('22.07 KABUSU-RUBAGA'!K47,'23.07 KABUSU-RUBAGA'!K47,'24.07 KABUSU-RUBAGA'!K47,'25.07 KABUSU-RUBAGA'!K47,'26.07 KABUSU-RUBAGA-24h'!K47,'27.07 KABUSU-RUBAGA-24h'!K47,'28.07 KABUSU-RUBAGA'!K47)</f>
        <v>0.42857142857142855</v>
      </c>
      <c r="L47" s="49">
        <f>AVERAGE('22.07 KABUSU-RUBAGA'!L47,'23.07 KABUSU-RUBAGA'!L47,'24.07 KABUSU-RUBAGA'!L47,'25.07 KABUSU-RUBAGA'!L47,'26.07 KABUSU-RUBAGA-24h'!L47,'27.07 KABUSU-RUBAGA-24h'!L47,'28.07 KABUSU-RUBAGA'!L47)</f>
        <v>0.7142857142857143</v>
      </c>
      <c r="M47" s="49">
        <f>AVERAGE('22.07 KABUSU-RUBAGA'!M47,'23.07 KABUSU-RUBAGA'!M47,'24.07 KABUSU-RUBAGA'!M47,'25.07 KABUSU-RUBAGA'!M47,'26.07 KABUSU-RUBAGA-24h'!M47,'27.07 KABUSU-RUBAGA-24h'!M47,'28.07 KABUSU-RUBAGA'!M47)</f>
        <v>159.14285714285714</v>
      </c>
      <c r="N47" s="49">
        <f>AVERAGE('22.07 KABUSU-RUBAGA'!N47,'23.07 KABUSU-RUBAGA'!N47,'24.07 KABUSU-RUBAGA'!N47,'25.07 KABUSU-RUBAGA'!N47,'26.07 KABUSU-RUBAGA-24h'!N47,'27.07 KABUSU-RUBAGA-24h'!N47,'28.07 KABUSU-RUBAGA'!N47)</f>
        <v>0</v>
      </c>
      <c r="O47" s="15">
        <f t="shared" si="0"/>
        <v>85.714285714285722</v>
      </c>
      <c r="P47" s="15">
        <f t="shared" si="1"/>
        <v>244.85714285714286</v>
      </c>
      <c r="R47" s="8"/>
      <c r="T47"/>
    </row>
    <row r="48" spans="2:32" ht="23.1" customHeight="1" x14ac:dyDescent="0.25">
      <c r="B48" s="24" t="s">
        <v>75</v>
      </c>
      <c r="C48" s="49">
        <f>AVERAGE('22.07 KABUSU-RUBAGA'!C48,'23.07 KABUSU-RUBAGA'!C48,'24.07 KABUSU-RUBAGA'!C48,'25.07 KABUSU-RUBAGA'!C48,'26.07 KABUSU-RUBAGA-24h'!C48,'27.07 KABUSU-RUBAGA-24h'!C48,'28.07 KABUSU-RUBAGA'!C48)</f>
        <v>25.571428571428573</v>
      </c>
      <c r="D48" s="49">
        <f>AVERAGE('22.07 KABUSU-RUBAGA'!D48,'23.07 KABUSU-RUBAGA'!D48,'24.07 KABUSU-RUBAGA'!D48,'25.07 KABUSU-RUBAGA'!D48,'26.07 KABUSU-RUBAGA-24h'!D48,'27.07 KABUSU-RUBAGA-24h'!D48,'28.07 KABUSU-RUBAGA'!D48)</f>
        <v>16</v>
      </c>
      <c r="E48" s="49">
        <f>AVERAGE('22.07 KABUSU-RUBAGA'!E48,'23.07 KABUSU-RUBAGA'!E48,'24.07 KABUSU-RUBAGA'!E48,'25.07 KABUSU-RUBAGA'!E48,'26.07 KABUSU-RUBAGA-24h'!E48,'27.07 KABUSU-RUBAGA-24h'!E48,'28.07 KABUSU-RUBAGA'!E48)</f>
        <v>4.4285714285714288</v>
      </c>
      <c r="F48" s="49">
        <f>AVERAGE('22.07 KABUSU-RUBAGA'!F48,'23.07 KABUSU-RUBAGA'!F48,'24.07 KABUSU-RUBAGA'!F48,'25.07 KABUSU-RUBAGA'!F48,'26.07 KABUSU-RUBAGA-24h'!F48,'27.07 KABUSU-RUBAGA-24h'!F48,'28.07 KABUSU-RUBAGA'!F48)</f>
        <v>23.428571428571427</v>
      </c>
      <c r="G48" s="49">
        <f>AVERAGE('22.07 KABUSU-RUBAGA'!G48,'23.07 KABUSU-RUBAGA'!G48,'24.07 KABUSU-RUBAGA'!G48,'25.07 KABUSU-RUBAGA'!G48,'26.07 KABUSU-RUBAGA-24h'!G48,'27.07 KABUSU-RUBAGA-24h'!G48,'28.07 KABUSU-RUBAGA'!G48)</f>
        <v>1</v>
      </c>
      <c r="H48" s="49">
        <f>AVERAGE('22.07 KABUSU-RUBAGA'!H48,'23.07 KABUSU-RUBAGA'!H48,'24.07 KABUSU-RUBAGA'!H48,'25.07 KABUSU-RUBAGA'!H48,'26.07 KABUSU-RUBAGA-24h'!H48,'27.07 KABUSU-RUBAGA-24h'!H48,'28.07 KABUSU-RUBAGA'!H48)</f>
        <v>0.5714285714285714</v>
      </c>
      <c r="I48" s="49">
        <f>AVERAGE('22.07 KABUSU-RUBAGA'!I48,'23.07 KABUSU-RUBAGA'!I48,'24.07 KABUSU-RUBAGA'!I48,'25.07 KABUSU-RUBAGA'!I48,'26.07 KABUSU-RUBAGA-24h'!I48,'27.07 KABUSU-RUBAGA-24h'!I48,'28.07 KABUSU-RUBAGA'!I48)</f>
        <v>3.5714285714285716</v>
      </c>
      <c r="J48" s="49">
        <f>AVERAGE('22.07 KABUSU-RUBAGA'!J48,'23.07 KABUSU-RUBAGA'!J48,'24.07 KABUSU-RUBAGA'!J48,'25.07 KABUSU-RUBAGA'!J48,'26.07 KABUSU-RUBAGA-24h'!J48,'27.07 KABUSU-RUBAGA-24h'!J48,'28.07 KABUSU-RUBAGA'!J48)</f>
        <v>1.7142857142857142</v>
      </c>
      <c r="K48" s="49">
        <f>AVERAGE('22.07 KABUSU-RUBAGA'!K48,'23.07 KABUSU-RUBAGA'!K48,'24.07 KABUSU-RUBAGA'!K48,'25.07 KABUSU-RUBAGA'!K48,'26.07 KABUSU-RUBAGA-24h'!K48,'27.07 KABUSU-RUBAGA-24h'!K48,'28.07 KABUSU-RUBAGA'!K48)</f>
        <v>1.1428571428571428</v>
      </c>
      <c r="L48" s="49">
        <f>AVERAGE('22.07 KABUSU-RUBAGA'!L48,'23.07 KABUSU-RUBAGA'!L48,'24.07 KABUSU-RUBAGA'!L48,'25.07 KABUSU-RUBAGA'!L48,'26.07 KABUSU-RUBAGA-24h'!L48,'27.07 KABUSU-RUBAGA-24h'!L48,'28.07 KABUSU-RUBAGA'!L48)</f>
        <v>0.5714285714285714</v>
      </c>
      <c r="M48" s="49">
        <f>AVERAGE('22.07 KABUSU-RUBAGA'!M48,'23.07 KABUSU-RUBAGA'!M48,'24.07 KABUSU-RUBAGA'!M48,'25.07 KABUSU-RUBAGA'!M48,'26.07 KABUSU-RUBAGA-24h'!M48,'27.07 KABUSU-RUBAGA-24h'!M48,'28.07 KABUSU-RUBAGA'!M48)</f>
        <v>177.28571428571428</v>
      </c>
      <c r="N48" s="49">
        <f>AVERAGE('22.07 KABUSU-RUBAGA'!N48,'23.07 KABUSU-RUBAGA'!N48,'24.07 KABUSU-RUBAGA'!N48,'25.07 KABUSU-RUBAGA'!N48,'26.07 KABUSU-RUBAGA-24h'!N48,'27.07 KABUSU-RUBAGA-24h'!N48,'28.07 KABUSU-RUBAGA'!N48)</f>
        <v>0</v>
      </c>
      <c r="O48" s="15">
        <f t="shared" si="0"/>
        <v>77.999999999999986</v>
      </c>
      <c r="P48" s="15">
        <f t="shared" si="1"/>
        <v>255.28571428571428</v>
      </c>
      <c r="R48" s="8"/>
      <c r="T48"/>
    </row>
    <row r="49" spans="2:20" ht="23.1" customHeight="1" x14ac:dyDescent="0.25">
      <c r="B49" s="23" t="s">
        <v>76</v>
      </c>
      <c r="C49" s="49">
        <f>AVERAGE('22.07 KABUSU-RUBAGA'!C49,'23.07 KABUSU-RUBAGA'!C49,'24.07 KABUSU-RUBAGA'!C49,'25.07 KABUSU-RUBAGA'!C49,'26.07 KABUSU-RUBAGA-24h'!C49,'27.07 KABUSU-RUBAGA-24h'!C49,'28.07 KABUSU-RUBAGA'!C49)</f>
        <v>28.714285714285715</v>
      </c>
      <c r="D49" s="49">
        <f>AVERAGE('22.07 KABUSU-RUBAGA'!D49,'23.07 KABUSU-RUBAGA'!D49,'24.07 KABUSU-RUBAGA'!D49,'25.07 KABUSU-RUBAGA'!D49,'26.07 KABUSU-RUBAGA-24h'!D49,'27.07 KABUSU-RUBAGA-24h'!D49,'28.07 KABUSU-RUBAGA'!D49)</f>
        <v>17.857142857142858</v>
      </c>
      <c r="E49" s="49">
        <f>AVERAGE('22.07 KABUSU-RUBAGA'!E49,'23.07 KABUSU-RUBAGA'!E49,'24.07 KABUSU-RUBAGA'!E49,'25.07 KABUSU-RUBAGA'!E49,'26.07 KABUSU-RUBAGA-24h'!E49,'27.07 KABUSU-RUBAGA-24h'!E49,'28.07 KABUSU-RUBAGA'!E49)</f>
        <v>3.7142857142857144</v>
      </c>
      <c r="F49" s="49">
        <f>AVERAGE('22.07 KABUSU-RUBAGA'!F49,'23.07 KABUSU-RUBAGA'!F49,'24.07 KABUSU-RUBAGA'!F49,'25.07 KABUSU-RUBAGA'!F49,'26.07 KABUSU-RUBAGA-24h'!F49,'27.07 KABUSU-RUBAGA-24h'!F49,'28.07 KABUSU-RUBAGA'!F49)</f>
        <v>23.142857142857142</v>
      </c>
      <c r="G49" s="49">
        <f>AVERAGE('22.07 KABUSU-RUBAGA'!G49,'23.07 KABUSU-RUBAGA'!G49,'24.07 KABUSU-RUBAGA'!G49,'25.07 KABUSU-RUBAGA'!G49,'26.07 KABUSU-RUBAGA-24h'!G49,'27.07 KABUSU-RUBAGA-24h'!G49,'28.07 KABUSU-RUBAGA'!G49)</f>
        <v>0.14285714285714285</v>
      </c>
      <c r="H49" s="49">
        <f>AVERAGE('22.07 KABUSU-RUBAGA'!H49,'23.07 KABUSU-RUBAGA'!H49,'24.07 KABUSU-RUBAGA'!H49,'25.07 KABUSU-RUBAGA'!H49,'26.07 KABUSU-RUBAGA-24h'!H49,'27.07 KABUSU-RUBAGA-24h'!H49,'28.07 KABUSU-RUBAGA'!H49)</f>
        <v>0.42857142857142855</v>
      </c>
      <c r="I49" s="49">
        <f>AVERAGE('22.07 KABUSU-RUBAGA'!I49,'23.07 KABUSU-RUBAGA'!I49,'24.07 KABUSU-RUBAGA'!I49,'25.07 KABUSU-RUBAGA'!I49,'26.07 KABUSU-RUBAGA-24h'!I49,'27.07 KABUSU-RUBAGA-24h'!I49,'28.07 KABUSU-RUBAGA'!I49)</f>
        <v>3.8571428571428572</v>
      </c>
      <c r="J49" s="49">
        <f>AVERAGE('22.07 KABUSU-RUBAGA'!J49,'23.07 KABUSU-RUBAGA'!J49,'24.07 KABUSU-RUBAGA'!J49,'25.07 KABUSU-RUBAGA'!J49,'26.07 KABUSU-RUBAGA-24h'!J49,'27.07 KABUSU-RUBAGA-24h'!J49,'28.07 KABUSU-RUBAGA'!J49)</f>
        <v>2.1428571428571428</v>
      </c>
      <c r="K49" s="49">
        <f>AVERAGE('22.07 KABUSU-RUBAGA'!K49,'23.07 KABUSU-RUBAGA'!K49,'24.07 KABUSU-RUBAGA'!K49,'25.07 KABUSU-RUBAGA'!K49,'26.07 KABUSU-RUBAGA-24h'!K49,'27.07 KABUSU-RUBAGA-24h'!K49,'28.07 KABUSU-RUBAGA'!K49)</f>
        <v>0.42857142857142855</v>
      </c>
      <c r="L49" s="49">
        <f>AVERAGE('22.07 KABUSU-RUBAGA'!L49,'23.07 KABUSU-RUBAGA'!L49,'24.07 KABUSU-RUBAGA'!L49,'25.07 KABUSU-RUBAGA'!L49,'26.07 KABUSU-RUBAGA-24h'!L49,'27.07 KABUSU-RUBAGA-24h'!L49,'28.07 KABUSU-RUBAGA'!L49)</f>
        <v>0.5714285714285714</v>
      </c>
      <c r="M49" s="49">
        <f>AVERAGE('22.07 KABUSU-RUBAGA'!M49,'23.07 KABUSU-RUBAGA'!M49,'24.07 KABUSU-RUBAGA'!M49,'25.07 KABUSU-RUBAGA'!M49,'26.07 KABUSU-RUBAGA-24h'!M49,'27.07 KABUSU-RUBAGA-24h'!M49,'28.07 KABUSU-RUBAGA'!M49)</f>
        <v>179.14285714285714</v>
      </c>
      <c r="N49" s="49">
        <f>AVERAGE('22.07 KABUSU-RUBAGA'!N49,'23.07 KABUSU-RUBAGA'!N49,'24.07 KABUSU-RUBAGA'!N49,'25.07 KABUSU-RUBAGA'!N49,'26.07 KABUSU-RUBAGA-24h'!N49,'27.07 KABUSU-RUBAGA-24h'!N49,'28.07 KABUSU-RUBAGA'!N49)</f>
        <v>0</v>
      </c>
      <c r="O49" s="15">
        <f t="shared" si="0"/>
        <v>81</v>
      </c>
      <c r="P49" s="15">
        <f t="shared" si="1"/>
        <v>260.14285714285711</v>
      </c>
      <c r="R49" s="8"/>
      <c r="T49"/>
    </row>
    <row r="50" spans="2:20" ht="23.1" customHeight="1" x14ac:dyDescent="0.25">
      <c r="B50" s="24" t="s">
        <v>77</v>
      </c>
      <c r="C50" s="49">
        <f>AVERAGE('22.07 KABUSU-RUBAGA'!C50,'23.07 KABUSU-RUBAGA'!C50,'24.07 KABUSU-RUBAGA'!C50,'25.07 KABUSU-RUBAGA'!C50,'26.07 KABUSU-RUBAGA-24h'!C50,'27.07 KABUSU-RUBAGA-24h'!C50,'28.07 KABUSU-RUBAGA'!C50)</f>
        <v>32.857142857142854</v>
      </c>
      <c r="D50" s="49">
        <f>AVERAGE('22.07 KABUSU-RUBAGA'!D50,'23.07 KABUSU-RUBAGA'!D50,'24.07 KABUSU-RUBAGA'!D50,'25.07 KABUSU-RUBAGA'!D50,'26.07 KABUSU-RUBAGA-24h'!D50,'27.07 KABUSU-RUBAGA-24h'!D50,'28.07 KABUSU-RUBAGA'!D50)</f>
        <v>26.142857142857142</v>
      </c>
      <c r="E50" s="49">
        <f>AVERAGE('22.07 KABUSU-RUBAGA'!E50,'23.07 KABUSU-RUBAGA'!E50,'24.07 KABUSU-RUBAGA'!E50,'25.07 KABUSU-RUBAGA'!E50,'26.07 KABUSU-RUBAGA-24h'!E50,'27.07 KABUSU-RUBAGA-24h'!E50,'28.07 KABUSU-RUBAGA'!E50)</f>
        <v>5.2857142857142856</v>
      </c>
      <c r="F50" s="49">
        <f>AVERAGE('22.07 KABUSU-RUBAGA'!F50,'23.07 KABUSU-RUBAGA'!F50,'24.07 KABUSU-RUBAGA'!F50,'25.07 KABUSU-RUBAGA'!F50,'26.07 KABUSU-RUBAGA-24h'!F50,'27.07 KABUSU-RUBAGA-24h'!F50,'28.07 KABUSU-RUBAGA'!F50)</f>
        <v>22.428571428571427</v>
      </c>
      <c r="G50" s="49">
        <f>AVERAGE('22.07 KABUSU-RUBAGA'!G50,'23.07 KABUSU-RUBAGA'!G50,'24.07 KABUSU-RUBAGA'!G50,'25.07 KABUSU-RUBAGA'!G50,'26.07 KABUSU-RUBAGA-24h'!G50,'27.07 KABUSU-RUBAGA-24h'!G50,'28.07 KABUSU-RUBAGA'!G50)</f>
        <v>0</v>
      </c>
      <c r="H50" s="49">
        <f>AVERAGE('22.07 KABUSU-RUBAGA'!H50,'23.07 KABUSU-RUBAGA'!H50,'24.07 KABUSU-RUBAGA'!H50,'25.07 KABUSU-RUBAGA'!H50,'26.07 KABUSU-RUBAGA-24h'!H50,'27.07 KABUSU-RUBAGA-24h'!H50,'28.07 KABUSU-RUBAGA'!H50)</f>
        <v>1</v>
      </c>
      <c r="I50" s="49">
        <f>AVERAGE('22.07 KABUSU-RUBAGA'!I50,'23.07 KABUSU-RUBAGA'!I50,'24.07 KABUSU-RUBAGA'!I50,'25.07 KABUSU-RUBAGA'!I50,'26.07 KABUSU-RUBAGA-24h'!I50,'27.07 KABUSU-RUBAGA-24h'!I50,'28.07 KABUSU-RUBAGA'!I50)</f>
        <v>5.5714285714285712</v>
      </c>
      <c r="J50" s="49">
        <f>AVERAGE('22.07 KABUSU-RUBAGA'!J50,'23.07 KABUSU-RUBAGA'!J50,'24.07 KABUSU-RUBAGA'!J50,'25.07 KABUSU-RUBAGA'!J50,'26.07 KABUSU-RUBAGA-24h'!J50,'27.07 KABUSU-RUBAGA-24h'!J50,'28.07 KABUSU-RUBAGA'!J50)</f>
        <v>2.5714285714285716</v>
      </c>
      <c r="K50" s="49">
        <f>AVERAGE('22.07 KABUSU-RUBAGA'!K50,'23.07 KABUSU-RUBAGA'!K50,'24.07 KABUSU-RUBAGA'!K50,'25.07 KABUSU-RUBAGA'!K50,'26.07 KABUSU-RUBAGA-24h'!K50,'27.07 KABUSU-RUBAGA-24h'!K50,'28.07 KABUSU-RUBAGA'!K50)</f>
        <v>0.8571428571428571</v>
      </c>
      <c r="L50" s="49">
        <f>AVERAGE('22.07 KABUSU-RUBAGA'!L50,'23.07 KABUSU-RUBAGA'!L50,'24.07 KABUSU-RUBAGA'!L50,'25.07 KABUSU-RUBAGA'!L50,'26.07 KABUSU-RUBAGA-24h'!L50,'27.07 KABUSU-RUBAGA-24h'!L50,'28.07 KABUSU-RUBAGA'!L50)</f>
        <v>0.2857142857142857</v>
      </c>
      <c r="M50" s="49">
        <f>AVERAGE('22.07 KABUSU-RUBAGA'!M50,'23.07 KABUSU-RUBAGA'!M50,'24.07 KABUSU-RUBAGA'!M50,'25.07 KABUSU-RUBAGA'!M50,'26.07 KABUSU-RUBAGA-24h'!M50,'27.07 KABUSU-RUBAGA-24h'!M50,'28.07 KABUSU-RUBAGA'!M50)</f>
        <v>190.28571428571428</v>
      </c>
      <c r="N50" s="49">
        <f>AVERAGE('22.07 KABUSU-RUBAGA'!N50,'23.07 KABUSU-RUBAGA'!N50,'24.07 KABUSU-RUBAGA'!N50,'25.07 KABUSU-RUBAGA'!N50,'26.07 KABUSU-RUBAGA-24h'!N50,'27.07 KABUSU-RUBAGA-24h'!N50,'28.07 KABUSU-RUBAGA'!N50)</f>
        <v>0</v>
      </c>
      <c r="O50" s="15">
        <f t="shared" si="0"/>
        <v>97.000000000000014</v>
      </c>
      <c r="P50" s="15">
        <f t="shared" si="1"/>
        <v>287.28571428571428</v>
      </c>
      <c r="R50" s="8"/>
      <c r="T50"/>
    </row>
    <row r="51" spans="2:20" ht="23.1" customHeight="1" x14ac:dyDescent="0.25">
      <c r="B51" s="24" t="s">
        <v>78</v>
      </c>
      <c r="C51" s="49">
        <f>AVERAGE('22.07 KABUSU-RUBAGA'!C51,'23.07 KABUSU-RUBAGA'!C51,'24.07 KABUSU-RUBAGA'!C51,'25.07 KABUSU-RUBAGA'!C51,'26.07 KABUSU-RUBAGA-24h'!C51,'27.07 KABUSU-RUBAGA-24h'!C51,'28.07 KABUSU-RUBAGA'!C51)</f>
        <v>26.142857142857142</v>
      </c>
      <c r="D51" s="49">
        <f>AVERAGE('22.07 KABUSU-RUBAGA'!D51,'23.07 KABUSU-RUBAGA'!D51,'24.07 KABUSU-RUBAGA'!D51,'25.07 KABUSU-RUBAGA'!D51,'26.07 KABUSU-RUBAGA-24h'!D51,'27.07 KABUSU-RUBAGA-24h'!D51,'28.07 KABUSU-RUBAGA'!D51)</f>
        <v>23.857142857142858</v>
      </c>
      <c r="E51" s="49">
        <f>AVERAGE('22.07 KABUSU-RUBAGA'!E51,'23.07 KABUSU-RUBAGA'!E51,'24.07 KABUSU-RUBAGA'!E51,'25.07 KABUSU-RUBAGA'!E51,'26.07 KABUSU-RUBAGA-24h'!E51,'27.07 KABUSU-RUBAGA-24h'!E51,'28.07 KABUSU-RUBAGA'!E51)</f>
        <v>3.2857142857142856</v>
      </c>
      <c r="F51" s="49">
        <f>AVERAGE('22.07 KABUSU-RUBAGA'!F51,'23.07 KABUSU-RUBAGA'!F51,'24.07 KABUSU-RUBAGA'!F51,'25.07 KABUSU-RUBAGA'!F51,'26.07 KABUSU-RUBAGA-24h'!F51,'27.07 KABUSU-RUBAGA-24h'!F51,'28.07 KABUSU-RUBAGA'!F51)</f>
        <v>25</v>
      </c>
      <c r="G51" s="49">
        <f>AVERAGE('22.07 KABUSU-RUBAGA'!G51,'23.07 KABUSU-RUBAGA'!G51,'24.07 KABUSU-RUBAGA'!G51,'25.07 KABUSU-RUBAGA'!G51,'26.07 KABUSU-RUBAGA-24h'!G51,'27.07 KABUSU-RUBAGA-24h'!G51,'28.07 KABUSU-RUBAGA'!G51)</f>
        <v>0</v>
      </c>
      <c r="H51" s="49">
        <f>AVERAGE('22.07 KABUSU-RUBAGA'!H51,'23.07 KABUSU-RUBAGA'!H51,'24.07 KABUSU-RUBAGA'!H51,'25.07 KABUSU-RUBAGA'!H51,'26.07 KABUSU-RUBAGA-24h'!H51,'27.07 KABUSU-RUBAGA-24h'!H51,'28.07 KABUSU-RUBAGA'!H51)</f>
        <v>0.7142857142857143</v>
      </c>
      <c r="I51" s="49">
        <f>AVERAGE('22.07 KABUSU-RUBAGA'!I51,'23.07 KABUSU-RUBAGA'!I51,'24.07 KABUSU-RUBAGA'!I51,'25.07 KABUSU-RUBAGA'!I51,'26.07 KABUSU-RUBAGA-24h'!I51,'27.07 KABUSU-RUBAGA-24h'!I51,'28.07 KABUSU-RUBAGA'!I51)</f>
        <v>5</v>
      </c>
      <c r="J51" s="49">
        <f>AVERAGE('22.07 KABUSU-RUBAGA'!J51,'23.07 KABUSU-RUBAGA'!J51,'24.07 KABUSU-RUBAGA'!J51,'25.07 KABUSU-RUBAGA'!J51,'26.07 KABUSU-RUBAGA-24h'!J51,'27.07 KABUSU-RUBAGA-24h'!J51,'28.07 KABUSU-RUBAGA'!J51)</f>
        <v>1.8571428571428572</v>
      </c>
      <c r="K51" s="49">
        <f>AVERAGE('22.07 KABUSU-RUBAGA'!K51,'23.07 KABUSU-RUBAGA'!K51,'24.07 KABUSU-RUBAGA'!K51,'25.07 KABUSU-RUBAGA'!K51,'26.07 KABUSU-RUBAGA-24h'!K51,'27.07 KABUSU-RUBAGA-24h'!K51,'28.07 KABUSU-RUBAGA'!K51)</f>
        <v>0.14285714285714285</v>
      </c>
      <c r="L51" s="49">
        <f>AVERAGE('22.07 KABUSU-RUBAGA'!L51,'23.07 KABUSU-RUBAGA'!L51,'24.07 KABUSU-RUBAGA'!L51,'25.07 KABUSU-RUBAGA'!L51,'26.07 KABUSU-RUBAGA-24h'!L51,'27.07 KABUSU-RUBAGA-24h'!L51,'28.07 KABUSU-RUBAGA'!L51)</f>
        <v>0.2857142857142857</v>
      </c>
      <c r="M51" s="49">
        <f>AVERAGE('22.07 KABUSU-RUBAGA'!M51,'23.07 KABUSU-RUBAGA'!M51,'24.07 KABUSU-RUBAGA'!M51,'25.07 KABUSU-RUBAGA'!M51,'26.07 KABUSU-RUBAGA-24h'!M51,'27.07 KABUSU-RUBAGA-24h'!M51,'28.07 KABUSU-RUBAGA'!M51)</f>
        <v>178.14285714285714</v>
      </c>
      <c r="N51" s="49">
        <f>AVERAGE('22.07 KABUSU-RUBAGA'!N51,'23.07 KABUSU-RUBAGA'!N51,'24.07 KABUSU-RUBAGA'!N51,'25.07 KABUSU-RUBAGA'!N51,'26.07 KABUSU-RUBAGA-24h'!N51,'27.07 KABUSU-RUBAGA-24h'!N51,'28.07 KABUSU-RUBAGA'!N51)</f>
        <v>0</v>
      </c>
      <c r="O51" s="15">
        <f t="shared" si="0"/>
        <v>86.285714285714278</v>
      </c>
      <c r="P51" s="15">
        <f t="shared" si="1"/>
        <v>264.42857142857144</v>
      </c>
      <c r="R51" s="8"/>
      <c r="T51"/>
    </row>
    <row r="52" spans="2:20" ht="23.1" customHeight="1" x14ac:dyDescent="0.25">
      <c r="B52" s="24" t="s">
        <v>79</v>
      </c>
      <c r="C52" s="49">
        <f>AVERAGE('22.07 KABUSU-RUBAGA'!C52,'23.07 KABUSU-RUBAGA'!C52,'24.07 KABUSU-RUBAGA'!C52,'25.07 KABUSU-RUBAGA'!C52,'26.07 KABUSU-RUBAGA-24h'!C52,'27.07 KABUSU-RUBAGA-24h'!C52,'28.07 KABUSU-RUBAGA'!C52)</f>
        <v>29.428571428571427</v>
      </c>
      <c r="D52" s="49">
        <f>AVERAGE('22.07 KABUSU-RUBAGA'!D52,'23.07 KABUSU-RUBAGA'!D52,'24.07 KABUSU-RUBAGA'!D52,'25.07 KABUSU-RUBAGA'!D52,'26.07 KABUSU-RUBAGA-24h'!D52,'27.07 KABUSU-RUBAGA-24h'!D52,'28.07 KABUSU-RUBAGA'!D52)</f>
        <v>23.714285714285715</v>
      </c>
      <c r="E52" s="49">
        <f>AVERAGE('22.07 KABUSU-RUBAGA'!E52,'23.07 KABUSU-RUBAGA'!E52,'24.07 KABUSU-RUBAGA'!E52,'25.07 KABUSU-RUBAGA'!E52,'26.07 KABUSU-RUBAGA-24h'!E52,'27.07 KABUSU-RUBAGA-24h'!E52,'28.07 KABUSU-RUBAGA'!E52)</f>
        <v>3.4285714285714284</v>
      </c>
      <c r="F52" s="49">
        <f>AVERAGE('22.07 KABUSU-RUBAGA'!F52,'23.07 KABUSU-RUBAGA'!F52,'24.07 KABUSU-RUBAGA'!F52,'25.07 KABUSU-RUBAGA'!F52,'26.07 KABUSU-RUBAGA-24h'!F52,'27.07 KABUSU-RUBAGA-24h'!F52,'28.07 KABUSU-RUBAGA'!F52)</f>
        <v>24.714285714285715</v>
      </c>
      <c r="G52" s="49">
        <f>AVERAGE('22.07 KABUSU-RUBAGA'!G52,'23.07 KABUSU-RUBAGA'!G52,'24.07 KABUSU-RUBAGA'!G52,'25.07 KABUSU-RUBAGA'!G52,'26.07 KABUSU-RUBAGA-24h'!G52,'27.07 KABUSU-RUBAGA-24h'!G52,'28.07 KABUSU-RUBAGA'!G52)</f>
        <v>1.4285714285714286</v>
      </c>
      <c r="H52" s="49">
        <f>AVERAGE('22.07 KABUSU-RUBAGA'!H52,'23.07 KABUSU-RUBAGA'!H52,'24.07 KABUSU-RUBAGA'!H52,'25.07 KABUSU-RUBAGA'!H52,'26.07 KABUSU-RUBAGA-24h'!H52,'27.07 KABUSU-RUBAGA-24h'!H52,'28.07 KABUSU-RUBAGA'!H52)</f>
        <v>0.8571428571428571</v>
      </c>
      <c r="I52" s="49">
        <f>AVERAGE('22.07 KABUSU-RUBAGA'!I52,'23.07 KABUSU-RUBAGA'!I52,'24.07 KABUSU-RUBAGA'!I52,'25.07 KABUSU-RUBAGA'!I52,'26.07 KABUSU-RUBAGA-24h'!I52,'27.07 KABUSU-RUBAGA-24h'!I52,'28.07 KABUSU-RUBAGA'!I52)</f>
        <v>3.1428571428571428</v>
      </c>
      <c r="J52" s="49">
        <f>AVERAGE('22.07 KABUSU-RUBAGA'!J52,'23.07 KABUSU-RUBAGA'!J52,'24.07 KABUSU-RUBAGA'!J52,'25.07 KABUSU-RUBAGA'!J52,'26.07 KABUSU-RUBAGA-24h'!J52,'27.07 KABUSU-RUBAGA-24h'!J52,'28.07 KABUSU-RUBAGA'!J52)</f>
        <v>1.8571428571428572</v>
      </c>
      <c r="K52" s="49">
        <f>AVERAGE('22.07 KABUSU-RUBAGA'!K52,'23.07 KABUSU-RUBAGA'!K52,'24.07 KABUSU-RUBAGA'!K52,'25.07 KABUSU-RUBAGA'!K52,'26.07 KABUSU-RUBAGA-24h'!K52,'27.07 KABUSU-RUBAGA-24h'!K52,'28.07 KABUSU-RUBAGA'!K52)</f>
        <v>0.5714285714285714</v>
      </c>
      <c r="L52" s="49">
        <f>AVERAGE('22.07 KABUSU-RUBAGA'!L52,'23.07 KABUSU-RUBAGA'!L52,'24.07 KABUSU-RUBAGA'!L52,'25.07 KABUSU-RUBAGA'!L52,'26.07 KABUSU-RUBAGA-24h'!L52,'27.07 KABUSU-RUBAGA-24h'!L52,'28.07 KABUSU-RUBAGA'!L52)</f>
        <v>0.7142857142857143</v>
      </c>
      <c r="M52" s="49">
        <f>AVERAGE('22.07 KABUSU-RUBAGA'!M52,'23.07 KABUSU-RUBAGA'!M52,'24.07 KABUSU-RUBAGA'!M52,'25.07 KABUSU-RUBAGA'!M52,'26.07 KABUSU-RUBAGA-24h'!M52,'27.07 KABUSU-RUBAGA-24h'!M52,'28.07 KABUSU-RUBAGA'!M52)</f>
        <v>175.57142857142858</v>
      </c>
      <c r="N52" s="49">
        <f>AVERAGE('22.07 KABUSU-RUBAGA'!N52,'23.07 KABUSU-RUBAGA'!N52,'24.07 KABUSU-RUBAGA'!N52,'25.07 KABUSU-RUBAGA'!N52,'26.07 KABUSU-RUBAGA-24h'!N52,'27.07 KABUSU-RUBAGA-24h'!N52,'28.07 KABUSU-RUBAGA'!N52)</f>
        <v>0</v>
      </c>
      <c r="O52" s="15">
        <f t="shared" si="0"/>
        <v>89.857142857142847</v>
      </c>
      <c r="P52" s="15">
        <f t="shared" si="1"/>
        <v>265.42857142857144</v>
      </c>
      <c r="R52" s="8"/>
      <c r="T52"/>
    </row>
    <row r="53" spans="2:20" ht="23.1" customHeight="1" x14ac:dyDescent="0.25">
      <c r="B53" s="23" t="s">
        <v>80</v>
      </c>
      <c r="C53" s="49">
        <f>AVERAGE('22.07 KABUSU-RUBAGA'!C53,'23.07 KABUSU-RUBAGA'!C53,'24.07 KABUSU-RUBAGA'!C53,'25.07 KABUSU-RUBAGA'!C53,'26.07 KABUSU-RUBAGA-24h'!C53,'27.07 KABUSU-RUBAGA-24h'!C53,'28.07 KABUSU-RUBAGA'!C53)</f>
        <v>28.428571428571427</v>
      </c>
      <c r="D53" s="49">
        <f>AVERAGE('22.07 KABUSU-RUBAGA'!D53,'23.07 KABUSU-RUBAGA'!D53,'24.07 KABUSU-RUBAGA'!D53,'25.07 KABUSU-RUBAGA'!D53,'26.07 KABUSU-RUBAGA-24h'!D53,'27.07 KABUSU-RUBAGA-24h'!D53,'28.07 KABUSU-RUBAGA'!D53)</f>
        <v>17.428571428571427</v>
      </c>
      <c r="E53" s="49">
        <f>AVERAGE('22.07 KABUSU-RUBAGA'!E53,'23.07 KABUSU-RUBAGA'!E53,'24.07 KABUSU-RUBAGA'!E53,'25.07 KABUSU-RUBAGA'!E53,'26.07 KABUSU-RUBAGA-24h'!E53,'27.07 KABUSU-RUBAGA-24h'!E53,'28.07 KABUSU-RUBAGA'!E53)</f>
        <v>4</v>
      </c>
      <c r="F53" s="49">
        <f>AVERAGE('22.07 KABUSU-RUBAGA'!F53,'23.07 KABUSU-RUBAGA'!F53,'24.07 KABUSU-RUBAGA'!F53,'25.07 KABUSU-RUBAGA'!F53,'26.07 KABUSU-RUBAGA-24h'!F53,'27.07 KABUSU-RUBAGA-24h'!F53,'28.07 KABUSU-RUBAGA'!F53)</f>
        <v>25.571428571428573</v>
      </c>
      <c r="G53" s="49">
        <f>AVERAGE('22.07 KABUSU-RUBAGA'!G53,'23.07 KABUSU-RUBAGA'!G53,'24.07 KABUSU-RUBAGA'!G53,'25.07 KABUSU-RUBAGA'!G53,'26.07 KABUSU-RUBAGA-24h'!G53,'27.07 KABUSU-RUBAGA-24h'!G53,'28.07 KABUSU-RUBAGA'!G53)</f>
        <v>0.42857142857142855</v>
      </c>
      <c r="H53" s="49">
        <f>AVERAGE('22.07 KABUSU-RUBAGA'!H53,'23.07 KABUSU-RUBAGA'!H53,'24.07 KABUSU-RUBAGA'!H53,'25.07 KABUSU-RUBAGA'!H53,'26.07 KABUSU-RUBAGA-24h'!H53,'27.07 KABUSU-RUBAGA-24h'!H53,'28.07 KABUSU-RUBAGA'!H53)</f>
        <v>0</v>
      </c>
      <c r="I53" s="49">
        <f>AVERAGE('22.07 KABUSU-RUBAGA'!I53,'23.07 KABUSU-RUBAGA'!I53,'24.07 KABUSU-RUBAGA'!I53,'25.07 KABUSU-RUBAGA'!I53,'26.07 KABUSU-RUBAGA-24h'!I53,'27.07 KABUSU-RUBAGA-24h'!I53,'28.07 KABUSU-RUBAGA'!I53)</f>
        <v>4.4285714285714288</v>
      </c>
      <c r="J53" s="49">
        <f>AVERAGE('22.07 KABUSU-RUBAGA'!J53,'23.07 KABUSU-RUBAGA'!J53,'24.07 KABUSU-RUBAGA'!J53,'25.07 KABUSU-RUBAGA'!J53,'26.07 KABUSU-RUBAGA-24h'!J53,'27.07 KABUSU-RUBAGA-24h'!J53,'28.07 KABUSU-RUBAGA'!J53)</f>
        <v>1.5714285714285714</v>
      </c>
      <c r="K53" s="49">
        <f>AVERAGE('22.07 KABUSU-RUBAGA'!K53,'23.07 KABUSU-RUBAGA'!K53,'24.07 KABUSU-RUBAGA'!K53,'25.07 KABUSU-RUBAGA'!K53,'26.07 KABUSU-RUBAGA-24h'!K53,'27.07 KABUSU-RUBAGA-24h'!K53,'28.07 KABUSU-RUBAGA'!K53)</f>
        <v>1.1428571428571428</v>
      </c>
      <c r="L53" s="49">
        <f>AVERAGE('22.07 KABUSU-RUBAGA'!L53,'23.07 KABUSU-RUBAGA'!L53,'24.07 KABUSU-RUBAGA'!L53,'25.07 KABUSU-RUBAGA'!L53,'26.07 KABUSU-RUBAGA-24h'!L53,'27.07 KABUSU-RUBAGA-24h'!L53,'28.07 KABUSU-RUBAGA'!L53)</f>
        <v>0.5714285714285714</v>
      </c>
      <c r="M53" s="49">
        <f>AVERAGE('22.07 KABUSU-RUBAGA'!M53,'23.07 KABUSU-RUBAGA'!M53,'24.07 KABUSU-RUBAGA'!M53,'25.07 KABUSU-RUBAGA'!M53,'26.07 KABUSU-RUBAGA-24h'!M53,'27.07 KABUSU-RUBAGA-24h'!M53,'28.07 KABUSU-RUBAGA'!M53)</f>
        <v>174.28571428571428</v>
      </c>
      <c r="N53" s="49">
        <f>AVERAGE('22.07 KABUSU-RUBAGA'!N53,'23.07 KABUSU-RUBAGA'!N53,'24.07 KABUSU-RUBAGA'!N53,'25.07 KABUSU-RUBAGA'!N53,'26.07 KABUSU-RUBAGA-24h'!N53,'27.07 KABUSU-RUBAGA-24h'!N53,'28.07 KABUSU-RUBAGA'!N53)</f>
        <v>0</v>
      </c>
      <c r="O53" s="15">
        <f t="shared" si="0"/>
        <v>83.571428571428569</v>
      </c>
      <c r="P53" s="15">
        <f t="shared" si="1"/>
        <v>257.85714285714283</v>
      </c>
      <c r="R53" s="8"/>
      <c r="T53"/>
    </row>
    <row r="54" spans="2:20" ht="23.1" customHeight="1" x14ac:dyDescent="0.25">
      <c r="B54" s="23" t="s">
        <v>81</v>
      </c>
      <c r="C54" s="49">
        <f>AVERAGE('22.07 KABUSU-RUBAGA'!C54,'23.07 KABUSU-RUBAGA'!C54,'24.07 KABUSU-RUBAGA'!C54,'25.07 KABUSU-RUBAGA'!C54,'26.07 KABUSU-RUBAGA-24h'!C54,'27.07 KABUSU-RUBAGA-24h'!C54,'28.07 KABUSU-RUBAGA'!C54)</f>
        <v>30</v>
      </c>
      <c r="D54" s="49">
        <f>AVERAGE('22.07 KABUSU-RUBAGA'!D54,'23.07 KABUSU-RUBAGA'!D54,'24.07 KABUSU-RUBAGA'!D54,'25.07 KABUSU-RUBAGA'!D54,'26.07 KABUSU-RUBAGA-24h'!D54,'27.07 KABUSU-RUBAGA-24h'!D54,'28.07 KABUSU-RUBAGA'!D54)</f>
        <v>16.714285714285715</v>
      </c>
      <c r="E54" s="49">
        <f>AVERAGE('22.07 KABUSU-RUBAGA'!E54,'23.07 KABUSU-RUBAGA'!E54,'24.07 KABUSU-RUBAGA'!E54,'25.07 KABUSU-RUBAGA'!E54,'26.07 KABUSU-RUBAGA-24h'!E54,'27.07 KABUSU-RUBAGA-24h'!E54,'28.07 KABUSU-RUBAGA'!E54)</f>
        <v>3.5714285714285716</v>
      </c>
      <c r="F54" s="49">
        <f>AVERAGE('22.07 KABUSU-RUBAGA'!F54,'23.07 KABUSU-RUBAGA'!F54,'24.07 KABUSU-RUBAGA'!F54,'25.07 KABUSU-RUBAGA'!F54,'26.07 KABUSU-RUBAGA-24h'!F54,'27.07 KABUSU-RUBAGA-24h'!F54,'28.07 KABUSU-RUBAGA'!F54)</f>
        <v>22.857142857142858</v>
      </c>
      <c r="G54" s="49">
        <f>AVERAGE('22.07 KABUSU-RUBAGA'!G54,'23.07 KABUSU-RUBAGA'!G54,'24.07 KABUSU-RUBAGA'!G54,'25.07 KABUSU-RUBAGA'!G54,'26.07 KABUSU-RUBAGA-24h'!G54,'27.07 KABUSU-RUBAGA-24h'!G54,'28.07 KABUSU-RUBAGA'!G54)</f>
        <v>1</v>
      </c>
      <c r="H54" s="49">
        <f>AVERAGE('22.07 KABUSU-RUBAGA'!H54,'23.07 KABUSU-RUBAGA'!H54,'24.07 KABUSU-RUBAGA'!H54,'25.07 KABUSU-RUBAGA'!H54,'26.07 KABUSU-RUBAGA-24h'!H54,'27.07 KABUSU-RUBAGA-24h'!H54,'28.07 KABUSU-RUBAGA'!H54)</f>
        <v>0.7142857142857143</v>
      </c>
      <c r="I54" s="49">
        <f>AVERAGE('22.07 KABUSU-RUBAGA'!I54,'23.07 KABUSU-RUBAGA'!I54,'24.07 KABUSU-RUBAGA'!I54,'25.07 KABUSU-RUBAGA'!I54,'26.07 KABUSU-RUBAGA-24h'!I54,'27.07 KABUSU-RUBAGA-24h'!I54,'28.07 KABUSU-RUBAGA'!I54)</f>
        <v>2.4285714285714284</v>
      </c>
      <c r="J54" s="49">
        <f>AVERAGE('22.07 KABUSU-RUBAGA'!J54,'23.07 KABUSU-RUBAGA'!J54,'24.07 KABUSU-RUBAGA'!J54,'25.07 KABUSU-RUBAGA'!J54,'26.07 KABUSU-RUBAGA-24h'!J54,'27.07 KABUSU-RUBAGA-24h'!J54,'28.07 KABUSU-RUBAGA'!J54)</f>
        <v>1</v>
      </c>
      <c r="K54" s="49">
        <f>AVERAGE('22.07 KABUSU-RUBAGA'!K54,'23.07 KABUSU-RUBAGA'!K54,'24.07 KABUSU-RUBAGA'!K54,'25.07 KABUSU-RUBAGA'!K54,'26.07 KABUSU-RUBAGA-24h'!K54,'27.07 KABUSU-RUBAGA-24h'!K54,'28.07 KABUSU-RUBAGA'!K54)</f>
        <v>0.2857142857142857</v>
      </c>
      <c r="L54" s="49">
        <f>AVERAGE('22.07 KABUSU-RUBAGA'!L54,'23.07 KABUSU-RUBAGA'!L54,'24.07 KABUSU-RUBAGA'!L54,'25.07 KABUSU-RUBAGA'!L54,'26.07 KABUSU-RUBAGA-24h'!L54,'27.07 KABUSU-RUBAGA-24h'!L54,'28.07 KABUSU-RUBAGA'!L54)</f>
        <v>0.2857142857142857</v>
      </c>
      <c r="M54" s="49">
        <f>AVERAGE('22.07 KABUSU-RUBAGA'!M54,'23.07 KABUSU-RUBAGA'!M54,'24.07 KABUSU-RUBAGA'!M54,'25.07 KABUSU-RUBAGA'!M54,'26.07 KABUSU-RUBAGA-24h'!M54,'27.07 KABUSU-RUBAGA-24h'!M54,'28.07 KABUSU-RUBAGA'!M54)</f>
        <v>239.14285714285714</v>
      </c>
      <c r="N54" s="49">
        <f>AVERAGE('22.07 KABUSU-RUBAGA'!N54,'23.07 KABUSU-RUBAGA'!N54,'24.07 KABUSU-RUBAGA'!N54,'25.07 KABUSU-RUBAGA'!N54,'26.07 KABUSU-RUBAGA-24h'!N54,'27.07 KABUSU-RUBAGA-24h'!N54,'28.07 KABUSU-RUBAGA'!N54)</f>
        <v>0</v>
      </c>
      <c r="O54" s="15">
        <f t="shared" si="0"/>
        <v>78.857142857142861</v>
      </c>
      <c r="P54" s="15">
        <f t="shared" si="1"/>
        <v>318</v>
      </c>
      <c r="R54" s="8"/>
      <c r="T54"/>
    </row>
    <row r="55" spans="2:20" ht="23.1" customHeight="1" x14ac:dyDescent="0.25">
      <c r="B55" s="23" t="s">
        <v>82</v>
      </c>
      <c r="C55" s="49">
        <f>AVERAGE('22.07 KABUSU-RUBAGA'!C55,'23.07 KABUSU-RUBAGA'!C55,'24.07 KABUSU-RUBAGA'!C55,'25.07 KABUSU-RUBAGA'!C55,'26.07 KABUSU-RUBAGA-24h'!C55,'27.07 KABUSU-RUBAGA-24h'!C55,'28.07 KABUSU-RUBAGA'!C55)</f>
        <v>31.285714285714285</v>
      </c>
      <c r="D55" s="49">
        <f>AVERAGE('22.07 KABUSU-RUBAGA'!D55,'23.07 KABUSU-RUBAGA'!D55,'24.07 KABUSU-RUBAGA'!D55,'25.07 KABUSU-RUBAGA'!D55,'26.07 KABUSU-RUBAGA-24h'!D55,'27.07 KABUSU-RUBAGA-24h'!D55,'28.07 KABUSU-RUBAGA'!D55)</f>
        <v>18</v>
      </c>
      <c r="E55" s="49">
        <f>AVERAGE('22.07 KABUSU-RUBAGA'!E55,'23.07 KABUSU-RUBAGA'!E55,'24.07 KABUSU-RUBAGA'!E55,'25.07 KABUSU-RUBAGA'!E55,'26.07 KABUSU-RUBAGA-24h'!E55,'27.07 KABUSU-RUBAGA-24h'!E55,'28.07 KABUSU-RUBAGA'!E55)</f>
        <v>3.5714285714285716</v>
      </c>
      <c r="F55" s="49">
        <f>AVERAGE('22.07 KABUSU-RUBAGA'!F55,'23.07 KABUSU-RUBAGA'!F55,'24.07 KABUSU-RUBAGA'!F55,'25.07 KABUSU-RUBAGA'!F55,'26.07 KABUSU-RUBAGA-24h'!F55,'27.07 KABUSU-RUBAGA-24h'!F55,'28.07 KABUSU-RUBAGA'!F55)</f>
        <v>31.857142857142858</v>
      </c>
      <c r="G55" s="49">
        <f>AVERAGE('22.07 KABUSU-RUBAGA'!G55,'23.07 KABUSU-RUBAGA'!G55,'24.07 KABUSU-RUBAGA'!G55,'25.07 KABUSU-RUBAGA'!G55,'26.07 KABUSU-RUBAGA-24h'!G55,'27.07 KABUSU-RUBAGA-24h'!G55,'28.07 KABUSU-RUBAGA'!G55)</f>
        <v>0.5714285714285714</v>
      </c>
      <c r="H55" s="49">
        <f>AVERAGE('22.07 KABUSU-RUBAGA'!H55,'23.07 KABUSU-RUBAGA'!H55,'24.07 KABUSU-RUBAGA'!H55,'25.07 KABUSU-RUBAGA'!H55,'26.07 KABUSU-RUBAGA-24h'!H55,'27.07 KABUSU-RUBAGA-24h'!H55,'28.07 KABUSU-RUBAGA'!H55)</f>
        <v>0.7142857142857143</v>
      </c>
      <c r="I55" s="49">
        <f>AVERAGE('22.07 KABUSU-RUBAGA'!I55,'23.07 KABUSU-RUBAGA'!I55,'24.07 KABUSU-RUBAGA'!I55,'25.07 KABUSU-RUBAGA'!I55,'26.07 KABUSU-RUBAGA-24h'!I55,'27.07 KABUSU-RUBAGA-24h'!I55,'28.07 KABUSU-RUBAGA'!I55)</f>
        <v>2</v>
      </c>
      <c r="J55" s="49">
        <f>AVERAGE('22.07 KABUSU-RUBAGA'!J55,'23.07 KABUSU-RUBAGA'!J55,'24.07 KABUSU-RUBAGA'!J55,'25.07 KABUSU-RUBAGA'!J55,'26.07 KABUSU-RUBAGA-24h'!J55,'27.07 KABUSU-RUBAGA-24h'!J55,'28.07 KABUSU-RUBAGA'!J55)</f>
        <v>1</v>
      </c>
      <c r="K55" s="49">
        <f>AVERAGE('22.07 KABUSU-RUBAGA'!K55,'23.07 KABUSU-RUBAGA'!K55,'24.07 KABUSU-RUBAGA'!K55,'25.07 KABUSU-RUBAGA'!K55,'26.07 KABUSU-RUBAGA-24h'!K55,'27.07 KABUSU-RUBAGA-24h'!K55,'28.07 KABUSU-RUBAGA'!K55)</f>
        <v>0.42857142857142855</v>
      </c>
      <c r="L55" s="49">
        <f>AVERAGE('22.07 KABUSU-RUBAGA'!L55,'23.07 KABUSU-RUBAGA'!L55,'24.07 KABUSU-RUBAGA'!L55,'25.07 KABUSU-RUBAGA'!L55,'26.07 KABUSU-RUBAGA-24h'!L55,'27.07 KABUSU-RUBAGA-24h'!L55,'28.07 KABUSU-RUBAGA'!L55)</f>
        <v>0.7142857142857143</v>
      </c>
      <c r="M55" s="49">
        <f>AVERAGE('22.07 KABUSU-RUBAGA'!M55,'23.07 KABUSU-RUBAGA'!M55,'24.07 KABUSU-RUBAGA'!M55,'25.07 KABUSU-RUBAGA'!M55,'26.07 KABUSU-RUBAGA-24h'!M55,'27.07 KABUSU-RUBAGA-24h'!M55,'28.07 KABUSU-RUBAGA'!M55)</f>
        <v>198</v>
      </c>
      <c r="N55" s="49">
        <f>AVERAGE('22.07 KABUSU-RUBAGA'!N55,'23.07 KABUSU-RUBAGA'!N55,'24.07 KABUSU-RUBAGA'!N55,'25.07 KABUSU-RUBAGA'!N55,'26.07 KABUSU-RUBAGA-24h'!N55,'27.07 KABUSU-RUBAGA-24h'!N55,'28.07 KABUSU-RUBAGA'!N55)</f>
        <v>0</v>
      </c>
      <c r="O55" s="15">
        <f t="shared" si="0"/>
        <v>90.142857142857125</v>
      </c>
      <c r="P55" s="15">
        <f t="shared" si="1"/>
        <v>288.14285714285711</v>
      </c>
      <c r="R55" s="8"/>
      <c r="T55"/>
    </row>
    <row r="56" spans="2:20" ht="23.1" customHeight="1" x14ac:dyDescent="0.25">
      <c r="B56" s="23" t="s">
        <v>83</v>
      </c>
      <c r="C56" s="49">
        <f>AVERAGE('22.07 KABUSU-RUBAGA'!C56,'23.07 KABUSU-RUBAGA'!C56,'24.07 KABUSU-RUBAGA'!C56,'25.07 KABUSU-RUBAGA'!C56,'26.07 KABUSU-RUBAGA-24h'!C56,'27.07 KABUSU-RUBAGA-24h'!C56,'28.07 KABUSU-RUBAGA'!C56)</f>
        <v>39.428571428571431</v>
      </c>
      <c r="D56" s="49">
        <f>AVERAGE('22.07 KABUSU-RUBAGA'!D56,'23.07 KABUSU-RUBAGA'!D56,'24.07 KABUSU-RUBAGA'!D56,'25.07 KABUSU-RUBAGA'!D56,'26.07 KABUSU-RUBAGA-24h'!D56,'27.07 KABUSU-RUBAGA-24h'!D56,'28.07 KABUSU-RUBAGA'!D56)</f>
        <v>24</v>
      </c>
      <c r="E56" s="49">
        <f>AVERAGE('22.07 KABUSU-RUBAGA'!E56,'23.07 KABUSU-RUBAGA'!E56,'24.07 KABUSU-RUBAGA'!E56,'25.07 KABUSU-RUBAGA'!E56,'26.07 KABUSU-RUBAGA-24h'!E56,'27.07 KABUSU-RUBAGA-24h'!E56,'28.07 KABUSU-RUBAGA'!E56)</f>
        <v>5.5714285714285712</v>
      </c>
      <c r="F56" s="49">
        <f>AVERAGE('22.07 KABUSU-RUBAGA'!F56,'23.07 KABUSU-RUBAGA'!F56,'24.07 KABUSU-RUBAGA'!F56,'25.07 KABUSU-RUBAGA'!F56,'26.07 KABUSU-RUBAGA-24h'!F56,'27.07 KABUSU-RUBAGA-24h'!F56,'28.07 KABUSU-RUBAGA'!F56)</f>
        <v>43.142857142857146</v>
      </c>
      <c r="G56" s="49">
        <f>AVERAGE('22.07 KABUSU-RUBAGA'!G56,'23.07 KABUSU-RUBAGA'!G56,'24.07 KABUSU-RUBAGA'!G56,'25.07 KABUSU-RUBAGA'!G56,'26.07 KABUSU-RUBAGA-24h'!G56,'27.07 KABUSU-RUBAGA-24h'!G56,'28.07 KABUSU-RUBAGA'!G56)</f>
        <v>1.2857142857142858</v>
      </c>
      <c r="H56" s="49">
        <f>AVERAGE('22.07 KABUSU-RUBAGA'!H56,'23.07 KABUSU-RUBAGA'!H56,'24.07 KABUSU-RUBAGA'!H56,'25.07 KABUSU-RUBAGA'!H56,'26.07 KABUSU-RUBAGA-24h'!H56,'27.07 KABUSU-RUBAGA-24h'!H56,'28.07 KABUSU-RUBAGA'!H56)</f>
        <v>1.2857142857142858</v>
      </c>
      <c r="I56" s="49">
        <f>AVERAGE('22.07 KABUSU-RUBAGA'!I56,'23.07 KABUSU-RUBAGA'!I56,'24.07 KABUSU-RUBAGA'!I56,'25.07 KABUSU-RUBAGA'!I56,'26.07 KABUSU-RUBAGA-24h'!I56,'27.07 KABUSU-RUBAGA-24h'!I56,'28.07 KABUSU-RUBAGA'!I56)</f>
        <v>3.5714285714285716</v>
      </c>
      <c r="J56" s="49">
        <f>AVERAGE('22.07 KABUSU-RUBAGA'!J56,'23.07 KABUSU-RUBAGA'!J56,'24.07 KABUSU-RUBAGA'!J56,'25.07 KABUSU-RUBAGA'!J56,'26.07 KABUSU-RUBAGA-24h'!J56,'27.07 KABUSU-RUBAGA-24h'!J56,'28.07 KABUSU-RUBAGA'!J56)</f>
        <v>2.1428571428571428</v>
      </c>
      <c r="K56" s="49">
        <f>AVERAGE('22.07 KABUSU-RUBAGA'!K56,'23.07 KABUSU-RUBAGA'!K56,'24.07 KABUSU-RUBAGA'!K56,'25.07 KABUSU-RUBAGA'!K56,'26.07 KABUSU-RUBAGA-24h'!K56,'27.07 KABUSU-RUBAGA-24h'!K56,'28.07 KABUSU-RUBAGA'!K56)</f>
        <v>0.2857142857142857</v>
      </c>
      <c r="L56" s="49">
        <f>AVERAGE('22.07 KABUSU-RUBAGA'!L56,'23.07 KABUSU-RUBAGA'!L56,'24.07 KABUSU-RUBAGA'!L56,'25.07 KABUSU-RUBAGA'!L56,'26.07 KABUSU-RUBAGA-24h'!L56,'27.07 KABUSU-RUBAGA-24h'!L56,'28.07 KABUSU-RUBAGA'!L56)</f>
        <v>0.42857142857142855</v>
      </c>
      <c r="M56" s="49">
        <f>AVERAGE('22.07 KABUSU-RUBAGA'!M56,'23.07 KABUSU-RUBAGA'!M56,'24.07 KABUSU-RUBAGA'!M56,'25.07 KABUSU-RUBAGA'!M56,'26.07 KABUSU-RUBAGA-24h'!M56,'27.07 KABUSU-RUBAGA-24h'!M56,'28.07 KABUSU-RUBAGA'!M56)</f>
        <v>203.71428571428572</v>
      </c>
      <c r="N56" s="49">
        <f>AVERAGE('22.07 KABUSU-RUBAGA'!N56,'23.07 KABUSU-RUBAGA'!N56,'24.07 KABUSU-RUBAGA'!N56,'25.07 KABUSU-RUBAGA'!N56,'26.07 KABUSU-RUBAGA-24h'!N56,'27.07 KABUSU-RUBAGA-24h'!N56,'28.07 KABUSU-RUBAGA'!N56)</f>
        <v>0</v>
      </c>
      <c r="O56" s="15">
        <f t="shared" si="0"/>
        <v>121.14285714285715</v>
      </c>
      <c r="P56" s="15">
        <f t="shared" si="1"/>
        <v>324.85714285714289</v>
      </c>
      <c r="R56" s="8"/>
      <c r="T56"/>
    </row>
    <row r="57" spans="2:20" ht="23.1" customHeight="1" x14ac:dyDescent="0.25">
      <c r="B57" s="23" t="s">
        <v>84</v>
      </c>
      <c r="C57" s="49">
        <f>AVERAGE('22.07 KABUSU-RUBAGA'!C57,'23.07 KABUSU-RUBAGA'!C57,'24.07 KABUSU-RUBAGA'!C57,'25.07 KABUSU-RUBAGA'!C57,'26.07 KABUSU-RUBAGA-24h'!C57,'27.07 KABUSU-RUBAGA-24h'!C57,'28.07 KABUSU-RUBAGA'!C57)</f>
        <v>29.714285714285715</v>
      </c>
      <c r="D57" s="49">
        <f>AVERAGE('22.07 KABUSU-RUBAGA'!D57,'23.07 KABUSU-RUBAGA'!D57,'24.07 KABUSU-RUBAGA'!D57,'25.07 KABUSU-RUBAGA'!D57,'26.07 KABUSU-RUBAGA-24h'!D57,'27.07 KABUSU-RUBAGA-24h'!D57,'28.07 KABUSU-RUBAGA'!D57)</f>
        <v>28.285714285714285</v>
      </c>
      <c r="E57" s="49">
        <f>AVERAGE('22.07 KABUSU-RUBAGA'!E57,'23.07 KABUSU-RUBAGA'!E57,'24.07 KABUSU-RUBAGA'!E57,'25.07 KABUSU-RUBAGA'!E57,'26.07 KABUSU-RUBAGA-24h'!E57,'27.07 KABUSU-RUBAGA-24h'!E57,'28.07 KABUSU-RUBAGA'!E57)</f>
        <v>7</v>
      </c>
      <c r="F57" s="49">
        <f>AVERAGE('22.07 KABUSU-RUBAGA'!F57,'23.07 KABUSU-RUBAGA'!F57,'24.07 KABUSU-RUBAGA'!F57,'25.07 KABUSU-RUBAGA'!F57,'26.07 KABUSU-RUBAGA-24h'!F57,'27.07 KABUSU-RUBAGA-24h'!F57,'28.07 KABUSU-RUBAGA'!F57)</f>
        <v>35.571428571428569</v>
      </c>
      <c r="G57" s="49">
        <f>AVERAGE('22.07 KABUSU-RUBAGA'!G57,'23.07 KABUSU-RUBAGA'!G57,'24.07 KABUSU-RUBAGA'!G57,'25.07 KABUSU-RUBAGA'!G57,'26.07 KABUSU-RUBAGA-24h'!G57,'27.07 KABUSU-RUBAGA-24h'!G57,'28.07 KABUSU-RUBAGA'!G57)</f>
        <v>1</v>
      </c>
      <c r="H57" s="49">
        <f>AVERAGE('22.07 KABUSU-RUBAGA'!H57,'23.07 KABUSU-RUBAGA'!H57,'24.07 KABUSU-RUBAGA'!H57,'25.07 KABUSU-RUBAGA'!H57,'26.07 KABUSU-RUBAGA-24h'!H57,'27.07 KABUSU-RUBAGA-24h'!H57,'28.07 KABUSU-RUBAGA'!H57)</f>
        <v>1.2857142857142858</v>
      </c>
      <c r="I57" s="49">
        <f>AVERAGE('22.07 KABUSU-RUBAGA'!I57,'23.07 KABUSU-RUBAGA'!I57,'24.07 KABUSU-RUBAGA'!I57,'25.07 KABUSU-RUBAGA'!I57,'26.07 KABUSU-RUBAGA-24h'!I57,'27.07 KABUSU-RUBAGA-24h'!I57,'28.07 KABUSU-RUBAGA'!I57)</f>
        <v>3.5714285714285716</v>
      </c>
      <c r="J57" s="49">
        <f>AVERAGE('22.07 KABUSU-RUBAGA'!J57,'23.07 KABUSU-RUBAGA'!J57,'24.07 KABUSU-RUBAGA'!J57,'25.07 KABUSU-RUBAGA'!J57,'26.07 KABUSU-RUBAGA-24h'!J57,'27.07 KABUSU-RUBAGA-24h'!J57,'28.07 KABUSU-RUBAGA'!J57)</f>
        <v>1.7142857142857142</v>
      </c>
      <c r="K57" s="49">
        <f>AVERAGE('22.07 KABUSU-RUBAGA'!K57,'23.07 KABUSU-RUBAGA'!K57,'24.07 KABUSU-RUBAGA'!K57,'25.07 KABUSU-RUBAGA'!K57,'26.07 KABUSU-RUBAGA-24h'!K57,'27.07 KABUSU-RUBAGA-24h'!K57,'28.07 KABUSU-RUBAGA'!K57)</f>
        <v>0.2857142857142857</v>
      </c>
      <c r="L57" s="49">
        <f>AVERAGE('22.07 KABUSU-RUBAGA'!L57,'23.07 KABUSU-RUBAGA'!L57,'24.07 KABUSU-RUBAGA'!L57,'25.07 KABUSU-RUBAGA'!L57,'26.07 KABUSU-RUBAGA-24h'!L57,'27.07 KABUSU-RUBAGA-24h'!L57,'28.07 KABUSU-RUBAGA'!L57)</f>
        <v>0</v>
      </c>
      <c r="M57" s="49">
        <f>AVERAGE('22.07 KABUSU-RUBAGA'!M57,'23.07 KABUSU-RUBAGA'!M57,'24.07 KABUSU-RUBAGA'!M57,'25.07 KABUSU-RUBAGA'!M57,'26.07 KABUSU-RUBAGA-24h'!M57,'27.07 KABUSU-RUBAGA-24h'!M57,'28.07 KABUSU-RUBAGA'!M57)</f>
        <v>195.28571428571428</v>
      </c>
      <c r="N57" s="49">
        <f>AVERAGE('22.07 KABUSU-RUBAGA'!N57,'23.07 KABUSU-RUBAGA'!N57,'24.07 KABUSU-RUBAGA'!N57,'25.07 KABUSU-RUBAGA'!N57,'26.07 KABUSU-RUBAGA-24h'!N57,'27.07 KABUSU-RUBAGA-24h'!N57,'28.07 KABUSU-RUBAGA'!N57)</f>
        <v>0</v>
      </c>
      <c r="O57" s="15">
        <f t="shared" si="0"/>
        <v>108.42857142857143</v>
      </c>
      <c r="P57" s="15">
        <f t="shared" si="1"/>
        <v>303.71428571428572</v>
      </c>
      <c r="R57" s="8"/>
      <c r="T57"/>
    </row>
    <row r="58" spans="2:20" ht="23.1" customHeight="1" x14ac:dyDescent="0.25">
      <c r="B58" s="23" t="s">
        <v>99</v>
      </c>
      <c r="C58" s="49">
        <f>AVERAGE('26.07 KABUSU-RUBAGA-24h'!C58,'27.07 KABUSU-RUBAGA-24h'!C58)</f>
        <v>25.5</v>
      </c>
      <c r="D58" s="49">
        <f>AVERAGE('26.07 KABUSU-RUBAGA-24h'!D58,'27.07 KABUSU-RUBAGA-24h'!D58)</f>
        <v>4.5</v>
      </c>
      <c r="E58" s="49">
        <f>AVERAGE('26.07 KABUSU-RUBAGA-24h'!E58,'27.07 KABUSU-RUBAGA-24h'!E58)</f>
        <v>1</v>
      </c>
      <c r="F58" s="49">
        <f>AVERAGE('26.07 KABUSU-RUBAGA-24h'!F58,'27.07 KABUSU-RUBAGA-24h'!F58)</f>
        <v>16.5</v>
      </c>
      <c r="G58" s="49">
        <f>AVERAGE('26.07 KABUSU-RUBAGA-24h'!G58,'27.07 KABUSU-RUBAGA-24h'!G58)</f>
        <v>0.5</v>
      </c>
      <c r="H58" s="49">
        <f>AVERAGE('26.07 KABUSU-RUBAGA-24h'!H58,'27.07 KABUSU-RUBAGA-24h'!H58)</f>
        <v>0.5</v>
      </c>
      <c r="I58" s="49">
        <f>AVERAGE('26.07 KABUSU-RUBAGA-24h'!I58,'27.07 KABUSU-RUBAGA-24h'!I58)</f>
        <v>0</v>
      </c>
      <c r="J58" s="49">
        <f>AVERAGE('26.07 KABUSU-RUBAGA-24h'!J58,'27.07 KABUSU-RUBAGA-24h'!J58)</f>
        <v>0.5</v>
      </c>
      <c r="K58" s="49">
        <f>AVERAGE('26.07 KABUSU-RUBAGA-24h'!K58,'27.07 KABUSU-RUBAGA-24h'!K58)</f>
        <v>0.5</v>
      </c>
      <c r="L58" s="49">
        <f>AVERAGE('26.07 KABUSU-RUBAGA-24h'!L58,'27.07 KABUSU-RUBAGA-24h'!L58)</f>
        <v>0</v>
      </c>
      <c r="M58" s="49">
        <f>AVERAGE('26.07 KABUSU-RUBAGA-24h'!M58,'27.07 KABUSU-RUBAGA-24h'!M58)</f>
        <v>58.5</v>
      </c>
      <c r="N58" s="49">
        <f>AVERAGE('26.07 KABUSU-RUBAGA-24h'!N58,'27.07 KABUSU-RUBAGA-24h'!N58)</f>
        <v>0</v>
      </c>
      <c r="O58" s="49">
        <f>AVERAGE('26.07 KABUSU-RUBAGA-24h'!O58,'27.07 KABUSU-RUBAGA-24h'!O58)</f>
        <v>49.5</v>
      </c>
      <c r="P58" s="49">
        <f>AVERAGE('26.07 KABUSU-RUBAGA-24h'!P58,'27.07 KABUSU-RUBAGA-24h'!P58)</f>
        <v>108</v>
      </c>
      <c r="R58" s="8"/>
      <c r="T58"/>
    </row>
    <row r="59" spans="2:20" ht="23.1" customHeight="1" x14ac:dyDescent="0.25">
      <c r="B59" s="23" t="s">
        <v>100</v>
      </c>
      <c r="C59" s="49">
        <f>AVERAGE('26.07 KABUSU-RUBAGA-24h'!C59,'27.07 KABUSU-RUBAGA-24h'!C59)</f>
        <v>23</v>
      </c>
      <c r="D59" s="49">
        <f>AVERAGE('26.07 KABUSU-RUBAGA-24h'!D59,'27.07 KABUSU-RUBAGA-24h'!D59)</f>
        <v>1.5</v>
      </c>
      <c r="E59" s="49">
        <f>AVERAGE('26.07 KABUSU-RUBAGA-24h'!E59,'27.07 KABUSU-RUBAGA-24h'!E59)</f>
        <v>1</v>
      </c>
      <c r="F59" s="49">
        <f>AVERAGE('26.07 KABUSU-RUBAGA-24h'!F59,'27.07 KABUSU-RUBAGA-24h'!F59)</f>
        <v>10.5</v>
      </c>
      <c r="G59" s="49">
        <f>AVERAGE('26.07 KABUSU-RUBAGA-24h'!G59,'27.07 KABUSU-RUBAGA-24h'!G59)</f>
        <v>0.5</v>
      </c>
      <c r="H59" s="49">
        <f>AVERAGE('26.07 KABUSU-RUBAGA-24h'!H59,'27.07 KABUSU-RUBAGA-24h'!H59)</f>
        <v>0.5</v>
      </c>
      <c r="I59" s="49">
        <f>AVERAGE('26.07 KABUSU-RUBAGA-24h'!I59,'27.07 KABUSU-RUBAGA-24h'!I59)</f>
        <v>0</v>
      </c>
      <c r="J59" s="49">
        <f>AVERAGE('26.07 KABUSU-RUBAGA-24h'!J59,'27.07 KABUSU-RUBAGA-24h'!J59)</f>
        <v>0.5</v>
      </c>
      <c r="K59" s="49">
        <f>AVERAGE('26.07 KABUSU-RUBAGA-24h'!K59,'27.07 KABUSU-RUBAGA-24h'!K59)</f>
        <v>0.5</v>
      </c>
      <c r="L59" s="49">
        <f>AVERAGE('26.07 KABUSU-RUBAGA-24h'!L59,'27.07 KABUSU-RUBAGA-24h'!L59)</f>
        <v>0</v>
      </c>
      <c r="M59" s="49">
        <f>AVERAGE('26.07 KABUSU-RUBAGA-24h'!M59,'27.07 KABUSU-RUBAGA-24h'!M59)</f>
        <v>49</v>
      </c>
      <c r="N59" s="49">
        <f>AVERAGE('26.07 KABUSU-RUBAGA-24h'!N59,'27.07 KABUSU-RUBAGA-24h'!N59)</f>
        <v>0</v>
      </c>
      <c r="O59" s="49">
        <f>AVERAGE('26.07 KABUSU-RUBAGA-24h'!O59,'27.07 KABUSU-RUBAGA-24h'!O59)</f>
        <v>38</v>
      </c>
      <c r="P59" s="49">
        <f>AVERAGE('26.07 KABUSU-RUBAGA-24h'!P59,'27.07 KABUSU-RUBAGA-24h'!P59)</f>
        <v>87</v>
      </c>
      <c r="R59" s="8"/>
      <c r="T59"/>
    </row>
    <row r="60" spans="2:20" ht="23.1" customHeight="1" x14ac:dyDescent="0.25">
      <c r="B60" s="23" t="s">
        <v>101</v>
      </c>
      <c r="C60" s="49">
        <f>AVERAGE('26.07 KABUSU-RUBAGA-24h'!C60,'27.07 KABUSU-RUBAGA-24h'!C60)</f>
        <v>24.5</v>
      </c>
      <c r="D60" s="49">
        <f>AVERAGE('26.07 KABUSU-RUBAGA-24h'!D60,'27.07 KABUSU-RUBAGA-24h'!D60)</f>
        <v>2.5</v>
      </c>
      <c r="E60" s="49">
        <f>AVERAGE('26.07 KABUSU-RUBAGA-24h'!E60,'27.07 KABUSU-RUBAGA-24h'!E60)</f>
        <v>2.5</v>
      </c>
      <c r="F60" s="49">
        <f>AVERAGE('26.07 KABUSU-RUBAGA-24h'!F60,'27.07 KABUSU-RUBAGA-24h'!F60)</f>
        <v>14</v>
      </c>
      <c r="G60" s="49">
        <f>AVERAGE('26.07 KABUSU-RUBAGA-24h'!G60,'27.07 KABUSU-RUBAGA-24h'!G60)</f>
        <v>0.5</v>
      </c>
      <c r="H60" s="49">
        <f>AVERAGE('26.07 KABUSU-RUBAGA-24h'!H60,'27.07 KABUSU-RUBAGA-24h'!H60)</f>
        <v>0.5</v>
      </c>
      <c r="I60" s="49">
        <f>AVERAGE('26.07 KABUSU-RUBAGA-24h'!I60,'27.07 KABUSU-RUBAGA-24h'!I60)</f>
        <v>1</v>
      </c>
      <c r="J60" s="49">
        <f>AVERAGE('26.07 KABUSU-RUBAGA-24h'!J60,'27.07 KABUSU-RUBAGA-24h'!J60)</f>
        <v>1</v>
      </c>
      <c r="K60" s="49">
        <f>AVERAGE('26.07 KABUSU-RUBAGA-24h'!K60,'27.07 KABUSU-RUBAGA-24h'!K60)</f>
        <v>0</v>
      </c>
      <c r="L60" s="49">
        <f>AVERAGE('26.07 KABUSU-RUBAGA-24h'!L60,'27.07 KABUSU-RUBAGA-24h'!L60)</f>
        <v>0</v>
      </c>
      <c r="M60" s="49">
        <f>AVERAGE('26.07 KABUSU-RUBAGA-24h'!M60,'27.07 KABUSU-RUBAGA-24h'!M60)</f>
        <v>59.5</v>
      </c>
      <c r="N60" s="49">
        <f>AVERAGE('26.07 KABUSU-RUBAGA-24h'!N60,'27.07 KABUSU-RUBAGA-24h'!N60)</f>
        <v>0</v>
      </c>
      <c r="O60" s="49">
        <f>AVERAGE('26.07 KABUSU-RUBAGA-24h'!O60,'27.07 KABUSU-RUBAGA-24h'!O60)</f>
        <v>46.5</v>
      </c>
      <c r="P60" s="49">
        <f>AVERAGE('26.07 KABUSU-RUBAGA-24h'!P60,'27.07 KABUSU-RUBAGA-24h'!P60)</f>
        <v>106</v>
      </c>
      <c r="R60" s="8"/>
      <c r="T60"/>
    </row>
    <row r="61" spans="2:20" ht="23.1" customHeight="1" x14ac:dyDescent="0.25">
      <c r="B61" s="23" t="s">
        <v>102</v>
      </c>
      <c r="C61" s="49">
        <f>AVERAGE('26.07 KABUSU-RUBAGA-24h'!C61,'27.07 KABUSU-RUBAGA-24h'!C61)</f>
        <v>29</v>
      </c>
      <c r="D61" s="49">
        <f>AVERAGE('26.07 KABUSU-RUBAGA-24h'!D61,'27.07 KABUSU-RUBAGA-24h'!D61)</f>
        <v>0.5</v>
      </c>
      <c r="E61" s="49">
        <f>AVERAGE('26.07 KABUSU-RUBAGA-24h'!E61,'27.07 KABUSU-RUBAGA-24h'!E61)</f>
        <v>1</v>
      </c>
      <c r="F61" s="49">
        <f>AVERAGE('26.07 KABUSU-RUBAGA-24h'!F61,'27.07 KABUSU-RUBAGA-24h'!F61)</f>
        <v>16</v>
      </c>
      <c r="G61" s="49">
        <f>AVERAGE('26.07 KABUSU-RUBAGA-24h'!G61,'27.07 KABUSU-RUBAGA-24h'!G61)</f>
        <v>0</v>
      </c>
      <c r="H61" s="49">
        <f>AVERAGE('26.07 KABUSU-RUBAGA-24h'!H61,'27.07 KABUSU-RUBAGA-24h'!H61)</f>
        <v>0</v>
      </c>
      <c r="I61" s="49">
        <f>AVERAGE('26.07 KABUSU-RUBAGA-24h'!I61,'27.07 KABUSU-RUBAGA-24h'!I61)</f>
        <v>0</v>
      </c>
      <c r="J61" s="49">
        <f>AVERAGE('26.07 KABUSU-RUBAGA-24h'!J61,'27.07 KABUSU-RUBAGA-24h'!J61)</f>
        <v>0</v>
      </c>
      <c r="K61" s="49">
        <f>AVERAGE('26.07 KABUSU-RUBAGA-24h'!K61,'27.07 KABUSU-RUBAGA-24h'!K61)</f>
        <v>0</v>
      </c>
      <c r="L61" s="49">
        <f>AVERAGE('26.07 KABUSU-RUBAGA-24h'!L61,'27.07 KABUSU-RUBAGA-24h'!L61)</f>
        <v>0</v>
      </c>
      <c r="M61" s="49">
        <f>AVERAGE('26.07 KABUSU-RUBAGA-24h'!M61,'27.07 KABUSU-RUBAGA-24h'!M61)</f>
        <v>98.5</v>
      </c>
      <c r="N61" s="49">
        <f>AVERAGE('26.07 KABUSU-RUBAGA-24h'!N61,'27.07 KABUSU-RUBAGA-24h'!N61)</f>
        <v>0</v>
      </c>
      <c r="O61" s="49">
        <f>AVERAGE('26.07 KABUSU-RUBAGA-24h'!O61,'27.07 KABUSU-RUBAGA-24h'!O61)</f>
        <v>46.5</v>
      </c>
      <c r="P61" s="49">
        <f>AVERAGE('26.07 KABUSU-RUBAGA-24h'!P61,'27.07 KABUSU-RUBAGA-24h'!P61)</f>
        <v>145</v>
      </c>
      <c r="R61" s="8"/>
      <c r="T61"/>
    </row>
    <row r="62" spans="2:20" ht="23.1" customHeight="1" x14ac:dyDescent="0.25">
      <c r="B62" s="23" t="s">
        <v>107</v>
      </c>
      <c r="C62" s="49">
        <f>AVERAGE('26.07 KABUSU-RUBAGA-24h'!C62,'27.07 KABUSU-RUBAGA-24h'!C62)</f>
        <v>26</v>
      </c>
      <c r="D62" s="49">
        <f>AVERAGE('26.07 KABUSU-RUBAGA-24h'!D62,'27.07 KABUSU-RUBAGA-24h'!D62)</f>
        <v>0.5</v>
      </c>
      <c r="E62" s="49">
        <f>AVERAGE('26.07 KABUSU-RUBAGA-24h'!E62,'27.07 KABUSU-RUBAGA-24h'!E62)</f>
        <v>3</v>
      </c>
      <c r="F62" s="49">
        <f>AVERAGE('26.07 KABUSU-RUBAGA-24h'!F62,'27.07 KABUSU-RUBAGA-24h'!F62)</f>
        <v>20</v>
      </c>
      <c r="G62" s="49">
        <f>AVERAGE('26.07 KABUSU-RUBAGA-24h'!G62,'27.07 KABUSU-RUBAGA-24h'!G62)</f>
        <v>0</v>
      </c>
      <c r="H62" s="49">
        <f>AVERAGE('26.07 KABUSU-RUBAGA-24h'!H62,'27.07 KABUSU-RUBAGA-24h'!H62)</f>
        <v>0.5</v>
      </c>
      <c r="I62" s="49">
        <f>AVERAGE('26.07 KABUSU-RUBAGA-24h'!I62,'27.07 KABUSU-RUBAGA-24h'!I62)</f>
        <v>1</v>
      </c>
      <c r="J62" s="49">
        <f>AVERAGE('26.07 KABUSU-RUBAGA-24h'!J62,'27.07 KABUSU-RUBAGA-24h'!J62)</f>
        <v>0</v>
      </c>
      <c r="K62" s="49">
        <f>AVERAGE('26.07 KABUSU-RUBAGA-24h'!K62,'27.07 KABUSU-RUBAGA-24h'!K62)</f>
        <v>0</v>
      </c>
      <c r="L62" s="49">
        <f>AVERAGE('26.07 KABUSU-RUBAGA-24h'!L62,'27.07 KABUSU-RUBAGA-24h'!L62)</f>
        <v>0.5</v>
      </c>
      <c r="M62" s="49">
        <f>AVERAGE('26.07 KABUSU-RUBAGA-24h'!M62,'27.07 KABUSU-RUBAGA-24h'!M62)</f>
        <v>73.5</v>
      </c>
      <c r="N62" s="49">
        <f>AVERAGE('26.07 KABUSU-RUBAGA-24h'!N62,'27.07 KABUSU-RUBAGA-24h'!N62)</f>
        <v>0</v>
      </c>
      <c r="O62" s="49">
        <f>AVERAGE('26.07 KABUSU-RUBAGA-24h'!O62,'27.07 KABUSU-RUBAGA-24h'!O62)</f>
        <v>51.5</v>
      </c>
      <c r="P62" s="49">
        <f>AVERAGE('26.07 KABUSU-RUBAGA-24h'!P62,'27.07 KABUSU-RUBAGA-24h'!P62)</f>
        <v>125</v>
      </c>
      <c r="R62" s="8"/>
      <c r="T62"/>
    </row>
    <row r="63" spans="2:20" ht="23.1" customHeight="1" x14ac:dyDescent="0.25">
      <c r="B63" s="23" t="s">
        <v>108</v>
      </c>
      <c r="C63" s="49">
        <f>AVERAGE('26.07 KABUSU-RUBAGA-24h'!C63,'27.07 KABUSU-RUBAGA-24h'!C63)</f>
        <v>31.5</v>
      </c>
      <c r="D63" s="49">
        <f>AVERAGE('26.07 KABUSU-RUBAGA-24h'!D63,'27.07 KABUSU-RUBAGA-24h'!D63)</f>
        <v>1</v>
      </c>
      <c r="E63" s="49">
        <f>AVERAGE('26.07 KABUSU-RUBAGA-24h'!E63,'27.07 KABUSU-RUBAGA-24h'!E63)</f>
        <v>0.5</v>
      </c>
      <c r="F63" s="49">
        <f>AVERAGE('26.07 KABUSU-RUBAGA-24h'!F63,'27.07 KABUSU-RUBAGA-24h'!F63)</f>
        <v>13</v>
      </c>
      <c r="G63" s="49">
        <f>AVERAGE('26.07 KABUSU-RUBAGA-24h'!G63,'27.07 KABUSU-RUBAGA-24h'!G63)</f>
        <v>1</v>
      </c>
      <c r="H63" s="49">
        <f>AVERAGE('26.07 KABUSU-RUBAGA-24h'!H63,'27.07 KABUSU-RUBAGA-24h'!H63)</f>
        <v>0</v>
      </c>
      <c r="I63" s="49">
        <f>AVERAGE('26.07 KABUSU-RUBAGA-24h'!I63,'27.07 KABUSU-RUBAGA-24h'!I63)</f>
        <v>2.5</v>
      </c>
      <c r="J63" s="49">
        <f>AVERAGE('26.07 KABUSU-RUBAGA-24h'!J63,'27.07 KABUSU-RUBAGA-24h'!J63)</f>
        <v>0</v>
      </c>
      <c r="K63" s="49">
        <f>AVERAGE('26.07 KABUSU-RUBAGA-24h'!K63,'27.07 KABUSU-RUBAGA-24h'!K63)</f>
        <v>0</v>
      </c>
      <c r="L63" s="49">
        <f>AVERAGE('26.07 KABUSU-RUBAGA-24h'!L63,'27.07 KABUSU-RUBAGA-24h'!L63)</f>
        <v>0</v>
      </c>
      <c r="M63" s="49">
        <f>AVERAGE('26.07 KABUSU-RUBAGA-24h'!M63,'27.07 KABUSU-RUBAGA-24h'!M63)</f>
        <v>67.5</v>
      </c>
      <c r="N63" s="49">
        <f>AVERAGE('26.07 KABUSU-RUBAGA-24h'!N63,'27.07 KABUSU-RUBAGA-24h'!N63)</f>
        <v>0</v>
      </c>
      <c r="O63" s="49">
        <f>AVERAGE('26.07 KABUSU-RUBAGA-24h'!O63,'27.07 KABUSU-RUBAGA-24h'!O63)</f>
        <v>49.5</v>
      </c>
      <c r="P63" s="49">
        <f>AVERAGE('26.07 KABUSU-RUBAGA-24h'!P63,'27.07 KABUSU-RUBAGA-24h'!P63)</f>
        <v>117</v>
      </c>
      <c r="R63" s="8"/>
      <c r="T63"/>
    </row>
    <row r="64" spans="2:20" ht="23.1" customHeight="1" x14ac:dyDescent="0.25">
      <c r="B64" s="23" t="s">
        <v>109</v>
      </c>
      <c r="C64" s="49">
        <f>AVERAGE('26.07 KABUSU-RUBAGA-24h'!C64,'27.07 KABUSU-RUBAGA-24h'!C64)</f>
        <v>19.5</v>
      </c>
      <c r="D64" s="49">
        <f>AVERAGE('26.07 KABUSU-RUBAGA-24h'!D64,'27.07 KABUSU-RUBAGA-24h'!D64)</f>
        <v>2</v>
      </c>
      <c r="E64" s="49">
        <f>AVERAGE('26.07 KABUSU-RUBAGA-24h'!E64,'27.07 KABUSU-RUBAGA-24h'!E64)</f>
        <v>0.5</v>
      </c>
      <c r="F64" s="49">
        <f>AVERAGE('26.07 KABUSU-RUBAGA-24h'!F64,'27.07 KABUSU-RUBAGA-24h'!F64)</f>
        <v>14</v>
      </c>
      <c r="G64" s="49">
        <f>AVERAGE('26.07 KABUSU-RUBAGA-24h'!G64,'27.07 KABUSU-RUBAGA-24h'!G64)</f>
        <v>0</v>
      </c>
      <c r="H64" s="49">
        <f>AVERAGE('26.07 KABUSU-RUBAGA-24h'!H64,'27.07 KABUSU-RUBAGA-24h'!H64)</f>
        <v>0.5</v>
      </c>
      <c r="I64" s="49">
        <f>AVERAGE('26.07 KABUSU-RUBAGA-24h'!I64,'27.07 KABUSU-RUBAGA-24h'!I64)</f>
        <v>1</v>
      </c>
      <c r="J64" s="49">
        <f>AVERAGE('26.07 KABUSU-RUBAGA-24h'!J64,'27.07 KABUSU-RUBAGA-24h'!J64)</f>
        <v>0.5</v>
      </c>
      <c r="K64" s="49">
        <f>AVERAGE('26.07 KABUSU-RUBAGA-24h'!K64,'27.07 KABUSU-RUBAGA-24h'!K64)</f>
        <v>0</v>
      </c>
      <c r="L64" s="49">
        <f>AVERAGE('26.07 KABUSU-RUBAGA-24h'!L64,'27.07 KABUSU-RUBAGA-24h'!L64)</f>
        <v>0</v>
      </c>
      <c r="M64" s="49">
        <f>AVERAGE('26.07 KABUSU-RUBAGA-24h'!M64,'27.07 KABUSU-RUBAGA-24h'!M64)</f>
        <v>51.5</v>
      </c>
      <c r="N64" s="49">
        <f>AVERAGE('26.07 KABUSU-RUBAGA-24h'!N64,'27.07 KABUSU-RUBAGA-24h'!N64)</f>
        <v>0</v>
      </c>
      <c r="O64" s="49">
        <f>AVERAGE('26.07 KABUSU-RUBAGA-24h'!O64,'27.07 KABUSU-RUBAGA-24h'!O64)</f>
        <v>38</v>
      </c>
      <c r="P64" s="49">
        <f>AVERAGE('26.07 KABUSU-RUBAGA-24h'!P64,'27.07 KABUSU-RUBAGA-24h'!P64)</f>
        <v>89.5</v>
      </c>
      <c r="R64" s="8"/>
      <c r="T64"/>
    </row>
    <row r="65" spans="2:20" ht="23.1" customHeight="1" x14ac:dyDescent="0.25">
      <c r="B65" s="23" t="s">
        <v>158</v>
      </c>
      <c r="C65" s="49">
        <f>AVERAGE('26.07 KABUSU-RUBAGA-24h'!C65,'27.07 KABUSU-RUBAGA-24h'!C65)</f>
        <v>22</v>
      </c>
      <c r="D65" s="49">
        <f>AVERAGE('26.07 KABUSU-RUBAGA-24h'!D65,'27.07 KABUSU-RUBAGA-24h'!D65)</f>
        <v>2.5</v>
      </c>
      <c r="E65" s="49">
        <f>AVERAGE('26.07 KABUSU-RUBAGA-24h'!E65,'27.07 KABUSU-RUBAGA-24h'!E65)</f>
        <v>1</v>
      </c>
      <c r="F65" s="49">
        <f>AVERAGE('26.07 KABUSU-RUBAGA-24h'!F65,'27.07 KABUSU-RUBAGA-24h'!F65)</f>
        <v>10</v>
      </c>
      <c r="G65" s="49">
        <f>AVERAGE('26.07 KABUSU-RUBAGA-24h'!G65,'27.07 KABUSU-RUBAGA-24h'!G65)</f>
        <v>0</v>
      </c>
      <c r="H65" s="49">
        <f>AVERAGE('26.07 KABUSU-RUBAGA-24h'!H65,'27.07 KABUSU-RUBAGA-24h'!H65)</f>
        <v>0</v>
      </c>
      <c r="I65" s="49">
        <f>AVERAGE('26.07 KABUSU-RUBAGA-24h'!I65,'27.07 KABUSU-RUBAGA-24h'!I65)</f>
        <v>0.5</v>
      </c>
      <c r="J65" s="49">
        <f>AVERAGE('26.07 KABUSU-RUBAGA-24h'!J65,'27.07 KABUSU-RUBAGA-24h'!J65)</f>
        <v>0.5</v>
      </c>
      <c r="K65" s="49">
        <f>AVERAGE('26.07 KABUSU-RUBAGA-24h'!K65,'27.07 KABUSU-RUBAGA-24h'!K65)</f>
        <v>0</v>
      </c>
      <c r="L65" s="49">
        <f>AVERAGE('26.07 KABUSU-RUBAGA-24h'!L65,'27.07 KABUSU-RUBAGA-24h'!L65)</f>
        <v>0</v>
      </c>
      <c r="M65" s="49">
        <f>AVERAGE('26.07 KABUSU-RUBAGA-24h'!M65,'27.07 KABUSU-RUBAGA-24h'!M65)</f>
        <v>55</v>
      </c>
      <c r="N65" s="49">
        <f>AVERAGE('26.07 KABUSU-RUBAGA-24h'!N65,'27.07 KABUSU-RUBAGA-24h'!N65)</f>
        <v>0</v>
      </c>
      <c r="O65" s="49">
        <f>AVERAGE('26.07 KABUSU-RUBAGA-24h'!O65,'27.07 KABUSU-RUBAGA-24h'!O65)</f>
        <v>36.5</v>
      </c>
      <c r="P65" s="49">
        <f>AVERAGE('26.07 KABUSU-RUBAGA-24h'!P65,'27.07 KABUSU-RUBAGA-24h'!P65)</f>
        <v>91.5</v>
      </c>
      <c r="R65" s="8"/>
      <c r="T65"/>
    </row>
    <row r="66" spans="2:20" ht="23.1" customHeight="1" x14ac:dyDescent="0.25">
      <c r="B66" s="23" t="s">
        <v>103</v>
      </c>
      <c r="C66" s="49">
        <f>AVERAGE('26.07 KABUSU-RUBAGA-24h'!C66,'27.07 KABUSU-RUBAGA-24h'!C66)</f>
        <v>23</v>
      </c>
      <c r="D66" s="49">
        <f>AVERAGE('26.07 KABUSU-RUBAGA-24h'!D66,'27.07 KABUSU-RUBAGA-24h'!D66)</f>
        <v>2.5</v>
      </c>
      <c r="E66" s="49">
        <f>AVERAGE('26.07 KABUSU-RUBAGA-24h'!E66,'27.07 KABUSU-RUBAGA-24h'!E66)</f>
        <v>3</v>
      </c>
      <c r="F66" s="49">
        <f>AVERAGE('26.07 KABUSU-RUBAGA-24h'!F66,'27.07 KABUSU-RUBAGA-24h'!F66)</f>
        <v>12</v>
      </c>
      <c r="G66" s="49">
        <f>AVERAGE('26.07 KABUSU-RUBAGA-24h'!G66,'27.07 KABUSU-RUBAGA-24h'!G66)</f>
        <v>0</v>
      </c>
      <c r="H66" s="49">
        <f>AVERAGE('26.07 KABUSU-RUBAGA-24h'!H66,'27.07 KABUSU-RUBAGA-24h'!H66)</f>
        <v>0.5</v>
      </c>
      <c r="I66" s="49">
        <f>AVERAGE('26.07 KABUSU-RUBAGA-24h'!I66,'27.07 KABUSU-RUBAGA-24h'!I66)</f>
        <v>1</v>
      </c>
      <c r="J66" s="49">
        <f>AVERAGE('26.07 KABUSU-RUBAGA-24h'!J66,'27.07 KABUSU-RUBAGA-24h'!J66)</f>
        <v>0.5</v>
      </c>
      <c r="K66" s="49">
        <f>AVERAGE('26.07 KABUSU-RUBAGA-24h'!K66,'27.07 KABUSU-RUBAGA-24h'!K66)</f>
        <v>0</v>
      </c>
      <c r="L66" s="49">
        <f>AVERAGE('26.07 KABUSU-RUBAGA-24h'!L66,'27.07 KABUSU-RUBAGA-24h'!L66)</f>
        <v>0</v>
      </c>
      <c r="M66" s="49">
        <f>AVERAGE('26.07 KABUSU-RUBAGA-24h'!M66,'27.07 KABUSU-RUBAGA-24h'!M66)</f>
        <v>52.5</v>
      </c>
      <c r="N66" s="49">
        <f>AVERAGE('26.07 KABUSU-RUBAGA-24h'!N66,'27.07 KABUSU-RUBAGA-24h'!N66)</f>
        <v>0</v>
      </c>
      <c r="O66" s="49">
        <f>AVERAGE('26.07 KABUSU-RUBAGA-24h'!O66,'27.07 KABUSU-RUBAGA-24h'!O66)</f>
        <v>42.5</v>
      </c>
      <c r="P66" s="49">
        <f>AVERAGE('26.07 KABUSU-RUBAGA-24h'!P66,'27.07 KABUSU-RUBAGA-24h'!P66)</f>
        <v>95</v>
      </c>
      <c r="R66" s="8"/>
      <c r="T66"/>
    </row>
    <row r="67" spans="2:20" ht="23.1" customHeight="1" x14ac:dyDescent="0.25">
      <c r="B67" s="23" t="s">
        <v>104</v>
      </c>
      <c r="C67" s="49">
        <f>AVERAGE('26.07 KABUSU-RUBAGA-24h'!C67,'27.07 KABUSU-RUBAGA-24h'!C67)</f>
        <v>20.5</v>
      </c>
      <c r="D67" s="49">
        <f>AVERAGE('26.07 KABUSU-RUBAGA-24h'!D67,'27.07 KABUSU-RUBAGA-24h'!D67)</f>
        <v>0.5</v>
      </c>
      <c r="E67" s="49">
        <f>AVERAGE('26.07 KABUSU-RUBAGA-24h'!E67,'27.07 KABUSU-RUBAGA-24h'!E67)</f>
        <v>0.5</v>
      </c>
      <c r="F67" s="49">
        <f>AVERAGE('26.07 KABUSU-RUBAGA-24h'!F67,'27.07 KABUSU-RUBAGA-24h'!F67)</f>
        <v>12.5</v>
      </c>
      <c r="G67" s="49">
        <f>AVERAGE('26.07 KABUSU-RUBAGA-24h'!G67,'27.07 KABUSU-RUBAGA-24h'!G67)</f>
        <v>0</v>
      </c>
      <c r="H67" s="49">
        <f>AVERAGE('26.07 KABUSU-RUBAGA-24h'!H67,'27.07 KABUSU-RUBAGA-24h'!H67)</f>
        <v>0.5</v>
      </c>
      <c r="I67" s="49">
        <f>AVERAGE('26.07 KABUSU-RUBAGA-24h'!I67,'27.07 KABUSU-RUBAGA-24h'!I67)</f>
        <v>1</v>
      </c>
      <c r="J67" s="49">
        <f>AVERAGE('26.07 KABUSU-RUBAGA-24h'!J67,'27.07 KABUSU-RUBAGA-24h'!J67)</f>
        <v>0.5</v>
      </c>
      <c r="K67" s="49">
        <f>AVERAGE('26.07 KABUSU-RUBAGA-24h'!K67,'27.07 KABUSU-RUBAGA-24h'!K67)</f>
        <v>0</v>
      </c>
      <c r="L67" s="49">
        <f>AVERAGE('26.07 KABUSU-RUBAGA-24h'!L67,'27.07 KABUSU-RUBAGA-24h'!L67)</f>
        <v>0</v>
      </c>
      <c r="M67" s="49">
        <f>AVERAGE('26.07 KABUSU-RUBAGA-24h'!M67,'27.07 KABUSU-RUBAGA-24h'!M67)</f>
        <v>39</v>
      </c>
      <c r="N67" s="49">
        <f>AVERAGE('26.07 KABUSU-RUBAGA-24h'!N67,'27.07 KABUSU-RUBAGA-24h'!N67)</f>
        <v>0</v>
      </c>
      <c r="O67" s="49">
        <f>AVERAGE('26.07 KABUSU-RUBAGA-24h'!O67,'27.07 KABUSU-RUBAGA-24h'!O67)</f>
        <v>36</v>
      </c>
      <c r="P67" s="49">
        <f>AVERAGE('26.07 KABUSU-RUBAGA-24h'!P67,'27.07 KABUSU-RUBAGA-24h'!P67)</f>
        <v>75</v>
      </c>
      <c r="R67" s="8"/>
      <c r="T67"/>
    </row>
    <row r="68" spans="2:20" ht="23.1" customHeight="1" x14ac:dyDescent="0.25">
      <c r="B68" s="23" t="s">
        <v>105</v>
      </c>
      <c r="C68" s="49">
        <f>AVERAGE('26.07 KABUSU-RUBAGA-24h'!C68,'27.07 KABUSU-RUBAGA-24h'!C68)</f>
        <v>24</v>
      </c>
      <c r="D68" s="49">
        <f>AVERAGE('26.07 KABUSU-RUBAGA-24h'!D68,'27.07 KABUSU-RUBAGA-24h'!D68)</f>
        <v>1.5</v>
      </c>
      <c r="E68" s="49">
        <f>AVERAGE('26.07 KABUSU-RUBAGA-24h'!E68,'27.07 KABUSU-RUBAGA-24h'!E68)</f>
        <v>0.5</v>
      </c>
      <c r="F68" s="49">
        <f>AVERAGE('26.07 KABUSU-RUBAGA-24h'!F68,'27.07 KABUSU-RUBAGA-24h'!F68)</f>
        <v>10.5</v>
      </c>
      <c r="G68" s="49">
        <f>AVERAGE('26.07 KABUSU-RUBAGA-24h'!G68,'27.07 KABUSU-RUBAGA-24h'!G68)</f>
        <v>0</v>
      </c>
      <c r="H68" s="49">
        <f>AVERAGE('26.07 KABUSU-RUBAGA-24h'!H68,'27.07 KABUSU-RUBAGA-24h'!H68)</f>
        <v>0</v>
      </c>
      <c r="I68" s="49">
        <f>AVERAGE('26.07 KABUSU-RUBAGA-24h'!I68,'27.07 KABUSU-RUBAGA-24h'!I68)</f>
        <v>1</v>
      </c>
      <c r="J68" s="49">
        <f>AVERAGE('26.07 KABUSU-RUBAGA-24h'!J68,'27.07 KABUSU-RUBAGA-24h'!J68)</f>
        <v>0</v>
      </c>
      <c r="K68" s="49">
        <f>AVERAGE('26.07 KABUSU-RUBAGA-24h'!K68,'27.07 KABUSU-RUBAGA-24h'!K68)</f>
        <v>0</v>
      </c>
      <c r="L68" s="49">
        <f>AVERAGE('26.07 KABUSU-RUBAGA-24h'!L68,'27.07 KABUSU-RUBAGA-24h'!L68)</f>
        <v>0</v>
      </c>
      <c r="M68" s="49">
        <f>AVERAGE('26.07 KABUSU-RUBAGA-24h'!M68,'27.07 KABUSU-RUBAGA-24h'!M68)</f>
        <v>50.5</v>
      </c>
      <c r="N68" s="49">
        <f>AVERAGE('26.07 KABUSU-RUBAGA-24h'!N68,'27.07 KABUSU-RUBAGA-24h'!N68)</f>
        <v>0</v>
      </c>
      <c r="O68" s="49">
        <f>AVERAGE('26.07 KABUSU-RUBAGA-24h'!O68,'27.07 KABUSU-RUBAGA-24h'!O68)</f>
        <v>37.5</v>
      </c>
      <c r="P68" s="49">
        <f>AVERAGE('26.07 KABUSU-RUBAGA-24h'!P68,'27.07 KABUSU-RUBAGA-24h'!P68)</f>
        <v>88</v>
      </c>
      <c r="R68" s="8"/>
      <c r="T68"/>
    </row>
    <row r="69" spans="2:20" ht="23.1" customHeight="1" x14ac:dyDescent="0.25">
      <c r="B69" s="23" t="s">
        <v>106</v>
      </c>
      <c r="C69" s="49">
        <f>AVERAGE('26.07 KABUSU-RUBAGA-24h'!C69,'27.07 KABUSU-RUBAGA-24h'!C69)</f>
        <v>21.5</v>
      </c>
      <c r="D69" s="49">
        <f>AVERAGE('26.07 KABUSU-RUBAGA-24h'!D69,'27.07 KABUSU-RUBAGA-24h'!D69)</f>
        <v>1</v>
      </c>
      <c r="E69" s="49">
        <f>AVERAGE('26.07 KABUSU-RUBAGA-24h'!E69,'27.07 KABUSU-RUBAGA-24h'!E69)</f>
        <v>2</v>
      </c>
      <c r="F69" s="49">
        <f>AVERAGE('26.07 KABUSU-RUBAGA-24h'!F69,'27.07 KABUSU-RUBAGA-24h'!F69)</f>
        <v>16</v>
      </c>
      <c r="G69" s="49">
        <f>AVERAGE('26.07 KABUSU-RUBAGA-24h'!G69,'27.07 KABUSU-RUBAGA-24h'!G69)</f>
        <v>0.5</v>
      </c>
      <c r="H69" s="49">
        <f>AVERAGE('26.07 KABUSU-RUBAGA-24h'!H69,'27.07 KABUSU-RUBAGA-24h'!H69)</f>
        <v>0</v>
      </c>
      <c r="I69" s="49">
        <f>AVERAGE('26.07 KABUSU-RUBAGA-24h'!I69,'27.07 KABUSU-RUBAGA-24h'!I69)</f>
        <v>0.5</v>
      </c>
      <c r="J69" s="49">
        <f>AVERAGE('26.07 KABUSU-RUBAGA-24h'!J69,'27.07 KABUSU-RUBAGA-24h'!J69)</f>
        <v>0.5</v>
      </c>
      <c r="K69" s="49">
        <f>AVERAGE('26.07 KABUSU-RUBAGA-24h'!K69,'27.07 KABUSU-RUBAGA-24h'!K69)</f>
        <v>0</v>
      </c>
      <c r="L69" s="49">
        <f>AVERAGE('26.07 KABUSU-RUBAGA-24h'!L69,'27.07 KABUSU-RUBAGA-24h'!L69)</f>
        <v>0</v>
      </c>
      <c r="M69" s="49">
        <f>AVERAGE('26.07 KABUSU-RUBAGA-24h'!M69,'27.07 KABUSU-RUBAGA-24h'!M69)</f>
        <v>53</v>
      </c>
      <c r="N69" s="49">
        <f>AVERAGE('26.07 KABUSU-RUBAGA-24h'!N69,'27.07 KABUSU-RUBAGA-24h'!N69)</f>
        <v>0</v>
      </c>
      <c r="O69" s="49">
        <f>AVERAGE('26.07 KABUSU-RUBAGA-24h'!O69,'27.07 KABUSU-RUBAGA-24h'!O69)</f>
        <v>42</v>
      </c>
      <c r="P69" s="49">
        <f>AVERAGE('26.07 KABUSU-RUBAGA-24h'!P69,'27.07 KABUSU-RUBAGA-24h'!P69)</f>
        <v>95</v>
      </c>
      <c r="R69" s="8"/>
      <c r="T69"/>
    </row>
    <row r="70" spans="2:20" ht="23.1" customHeight="1" x14ac:dyDescent="0.25">
      <c r="B70" s="23" t="s">
        <v>110</v>
      </c>
      <c r="C70" s="49">
        <f>AVERAGE('26.07 KABUSU-RUBAGA-24h'!C70,'27.07 KABUSU-RUBAGA-24h'!C70)</f>
        <v>16</v>
      </c>
      <c r="D70" s="49">
        <f>AVERAGE('26.07 KABUSU-RUBAGA-24h'!D70,'27.07 KABUSU-RUBAGA-24h'!D70)</f>
        <v>0</v>
      </c>
      <c r="E70" s="49">
        <f>AVERAGE('26.07 KABUSU-RUBAGA-24h'!E70,'27.07 KABUSU-RUBAGA-24h'!E70)</f>
        <v>0</v>
      </c>
      <c r="F70" s="49">
        <f>AVERAGE('26.07 KABUSU-RUBAGA-24h'!F70,'27.07 KABUSU-RUBAGA-24h'!F70)</f>
        <v>6</v>
      </c>
      <c r="G70" s="49">
        <f>AVERAGE('26.07 KABUSU-RUBAGA-24h'!G70,'27.07 KABUSU-RUBAGA-24h'!G70)</f>
        <v>0.5</v>
      </c>
      <c r="H70" s="49">
        <f>AVERAGE('26.07 KABUSU-RUBAGA-24h'!H70,'27.07 KABUSU-RUBAGA-24h'!H70)</f>
        <v>0</v>
      </c>
      <c r="I70" s="49">
        <f>AVERAGE('26.07 KABUSU-RUBAGA-24h'!I70,'27.07 KABUSU-RUBAGA-24h'!I70)</f>
        <v>0</v>
      </c>
      <c r="J70" s="49">
        <f>AVERAGE('26.07 KABUSU-RUBAGA-24h'!J70,'27.07 KABUSU-RUBAGA-24h'!J70)</f>
        <v>0.5</v>
      </c>
      <c r="K70" s="49">
        <f>AVERAGE('26.07 KABUSU-RUBAGA-24h'!K70,'27.07 KABUSU-RUBAGA-24h'!K70)</f>
        <v>0</v>
      </c>
      <c r="L70" s="49">
        <f>AVERAGE('26.07 KABUSU-RUBAGA-24h'!L70,'27.07 KABUSU-RUBAGA-24h'!L70)</f>
        <v>0</v>
      </c>
      <c r="M70" s="49">
        <f>AVERAGE('26.07 KABUSU-RUBAGA-24h'!M70,'27.07 KABUSU-RUBAGA-24h'!M70)</f>
        <v>59</v>
      </c>
      <c r="N70" s="49">
        <f>AVERAGE('26.07 KABUSU-RUBAGA-24h'!N70,'27.07 KABUSU-RUBAGA-24h'!N70)</f>
        <v>0</v>
      </c>
      <c r="O70" s="49">
        <f>AVERAGE('26.07 KABUSU-RUBAGA-24h'!O70,'27.07 KABUSU-RUBAGA-24h'!O70)</f>
        <v>23</v>
      </c>
      <c r="P70" s="49">
        <f>AVERAGE('26.07 KABUSU-RUBAGA-24h'!P70,'27.07 KABUSU-RUBAGA-24h'!P70)</f>
        <v>82</v>
      </c>
      <c r="R70" s="8"/>
      <c r="T70"/>
    </row>
    <row r="71" spans="2:20" ht="23.1" customHeight="1" x14ac:dyDescent="0.25">
      <c r="B71" s="23" t="s">
        <v>111</v>
      </c>
      <c r="C71" s="49">
        <f>AVERAGE('26.07 KABUSU-RUBAGA-24h'!C71,'27.07 KABUSU-RUBAGA-24h'!C71)</f>
        <v>37</v>
      </c>
      <c r="D71" s="49">
        <f>AVERAGE('26.07 KABUSU-RUBAGA-24h'!D71,'27.07 KABUSU-RUBAGA-24h'!D71)</f>
        <v>2.5</v>
      </c>
      <c r="E71" s="49">
        <f>AVERAGE('26.07 KABUSU-RUBAGA-24h'!E71,'27.07 KABUSU-RUBAGA-24h'!E71)</f>
        <v>1</v>
      </c>
      <c r="F71" s="49">
        <f>AVERAGE('26.07 KABUSU-RUBAGA-24h'!F71,'27.07 KABUSU-RUBAGA-24h'!F71)</f>
        <v>14</v>
      </c>
      <c r="G71" s="49">
        <f>AVERAGE('26.07 KABUSU-RUBAGA-24h'!G71,'27.07 KABUSU-RUBAGA-24h'!G71)</f>
        <v>0.5</v>
      </c>
      <c r="H71" s="49">
        <f>AVERAGE('26.07 KABUSU-RUBAGA-24h'!H71,'27.07 KABUSU-RUBAGA-24h'!H71)</f>
        <v>0</v>
      </c>
      <c r="I71" s="49">
        <f>AVERAGE('26.07 KABUSU-RUBAGA-24h'!I71,'27.07 KABUSU-RUBAGA-24h'!I71)</f>
        <v>0.5</v>
      </c>
      <c r="J71" s="49">
        <f>AVERAGE('26.07 KABUSU-RUBAGA-24h'!J71,'27.07 KABUSU-RUBAGA-24h'!J71)</f>
        <v>0.5</v>
      </c>
      <c r="K71" s="49">
        <f>AVERAGE('26.07 KABUSU-RUBAGA-24h'!K71,'27.07 KABUSU-RUBAGA-24h'!K71)</f>
        <v>0</v>
      </c>
      <c r="L71" s="49">
        <f>AVERAGE('26.07 KABUSU-RUBAGA-24h'!L71,'27.07 KABUSU-RUBAGA-24h'!L71)</f>
        <v>0</v>
      </c>
      <c r="M71" s="49">
        <f>AVERAGE('26.07 KABUSU-RUBAGA-24h'!M71,'27.07 KABUSU-RUBAGA-24h'!M71)</f>
        <v>96.5</v>
      </c>
      <c r="N71" s="49">
        <f>AVERAGE('26.07 KABUSU-RUBAGA-24h'!N71,'27.07 KABUSU-RUBAGA-24h'!N71)</f>
        <v>0</v>
      </c>
      <c r="O71" s="49">
        <f>AVERAGE('26.07 KABUSU-RUBAGA-24h'!O71,'27.07 KABUSU-RUBAGA-24h'!O71)</f>
        <v>56</v>
      </c>
      <c r="P71" s="49">
        <f>AVERAGE('26.07 KABUSU-RUBAGA-24h'!P71,'27.07 KABUSU-RUBAGA-24h'!P71)</f>
        <v>152.5</v>
      </c>
      <c r="R71" s="8"/>
      <c r="T71"/>
    </row>
    <row r="72" spans="2:20" ht="23.1" customHeight="1" x14ac:dyDescent="0.25">
      <c r="B72" s="23" t="s">
        <v>112</v>
      </c>
      <c r="C72" s="49">
        <f>AVERAGE('26.07 KABUSU-RUBAGA-24h'!C72,'27.07 KABUSU-RUBAGA-24h'!C72)</f>
        <v>33</v>
      </c>
      <c r="D72" s="49">
        <f>AVERAGE('26.07 KABUSU-RUBAGA-24h'!D72,'27.07 KABUSU-RUBAGA-24h'!D72)</f>
        <v>4</v>
      </c>
      <c r="E72" s="49">
        <f>AVERAGE('26.07 KABUSU-RUBAGA-24h'!E72,'27.07 KABUSU-RUBAGA-24h'!E72)</f>
        <v>2.5</v>
      </c>
      <c r="F72" s="49">
        <f>AVERAGE('26.07 KABUSU-RUBAGA-24h'!F72,'27.07 KABUSU-RUBAGA-24h'!F72)</f>
        <v>7.5</v>
      </c>
      <c r="G72" s="49">
        <f>AVERAGE('26.07 KABUSU-RUBAGA-24h'!G72,'27.07 KABUSU-RUBAGA-24h'!G72)</f>
        <v>0</v>
      </c>
      <c r="H72" s="49">
        <f>AVERAGE('26.07 KABUSU-RUBAGA-24h'!H72,'27.07 KABUSU-RUBAGA-24h'!H72)</f>
        <v>0</v>
      </c>
      <c r="I72" s="49">
        <f>AVERAGE('26.07 KABUSU-RUBAGA-24h'!I72,'27.07 KABUSU-RUBAGA-24h'!I72)</f>
        <v>1</v>
      </c>
      <c r="J72" s="49">
        <f>AVERAGE('26.07 KABUSU-RUBAGA-24h'!J72,'27.07 KABUSU-RUBAGA-24h'!J72)</f>
        <v>0.5</v>
      </c>
      <c r="K72" s="49">
        <f>AVERAGE('26.07 KABUSU-RUBAGA-24h'!K72,'27.07 KABUSU-RUBAGA-24h'!K72)</f>
        <v>0</v>
      </c>
      <c r="L72" s="49">
        <f>AVERAGE('26.07 KABUSU-RUBAGA-24h'!L72,'27.07 KABUSU-RUBAGA-24h'!L72)</f>
        <v>0</v>
      </c>
      <c r="M72" s="49">
        <f>AVERAGE('26.07 KABUSU-RUBAGA-24h'!M72,'27.07 KABUSU-RUBAGA-24h'!M72)</f>
        <v>120</v>
      </c>
      <c r="N72" s="49">
        <f>AVERAGE('26.07 KABUSU-RUBAGA-24h'!N72,'27.07 KABUSU-RUBAGA-24h'!N72)</f>
        <v>0</v>
      </c>
      <c r="O72" s="49">
        <f>AVERAGE('26.07 KABUSU-RUBAGA-24h'!O72,'27.07 KABUSU-RUBAGA-24h'!O72)</f>
        <v>48.5</v>
      </c>
      <c r="P72" s="49">
        <f>AVERAGE('26.07 KABUSU-RUBAGA-24h'!P72,'27.07 KABUSU-RUBAGA-24h'!P72)</f>
        <v>168.5</v>
      </c>
      <c r="R72" s="8"/>
      <c r="T72"/>
    </row>
    <row r="73" spans="2:20" ht="23.1" customHeight="1" x14ac:dyDescent="0.25">
      <c r="B73" s="23" t="s">
        <v>113</v>
      </c>
      <c r="C73" s="49">
        <f>AVERAGE('26.07 KABUSU-RUBAGA-24h'!C73,'27.07 KABUSU-RUBAGA-24h'!C73)</f>
        <v>40.5</v>
      </c>
      <c r="D73" s="49">
        <f>AVERAGE('26.07 KABUSU-RUBAGA-24h'!D73,'27.07 KABUSU-RUBAGA-24h'!D73)</f>
        <v>2</v>
      </c>
      <c r="E73" s="49">
        <f>AVERAGE('26.07 KABUSU-RUBAGA-24h'!E73,'27.07 KABUSU-RUBAGA-24h'!E73)</f>
        <v>3</v>
      </c>
      <c r="F73" s="49">
        <f>AVERAGE('26.07 KABUSU-RUBAGA-24h'!F73,'27.07 KABUSU-RUBAGA-24h'!F73)</f>
        <v>10</v>
      </c>
      <c r="G73" s="49">
        <f>AVERAGE('26.07 KABUSU-RUBAGA-24h'!G73,'27.07 KABUSU-RUBAGA-24h'!G73)</f>
        <v>0.5</v>
      </c>
      <c r="H73" s="49">
        <f>AVERAGE('26.07 KABUSU-RUBAGA-24h'!H73,'27.07 KABUSU-RUBAGA-24h'!H73)</f>
        <v>0</v>
      </c>
      <c r="I73" s="49">
        <f>AVERAGE('26.07 KABUSU-RUBAGA-24h'!I73,'27.07 KABUSU-RUBAGA-24h'!I73)</f>
        <v>0.5</v>
      </c>
      <c r="J73" s="49">
        <f>AVERAGE('26.07 KABUSU-RUBAGA-24h'!J73,'27.07 KABUSU-RUBAGA-24h'!J73)</f>
        <v>0</v>
      </c>
      <c r="K73" s="49">
        <f>AVERAGE('26.07 KABUSU-RUBAGA-24h'!K73,'27.07 KABUSU-RUBAGA-24h'!K73)</f>
        <v>0.5</v>
      </c>
      <c r="L73" s="49">
        <f>AVERAGE('26.07 KABUSU-RUBAGA-24h'!L73,'27.07 KABUSU-RUBAGA-24h'!L73)</f>
        <v>0</v>
      </c>
      <c r="M73" s="49">
        <f>AVERAGE('26.07 KABUSU-RUBAGA-24h'!M73,'27.07 KABUSU-RUBAGA-24h'!M73)</f>
        <v>115.5</v>
      </c>
      <c r="N73" s="49">
        <f>AVERAGE('26.07 KABUSU-RUBAGA-24h'!N73,'27.07 KABUSU-RUBAGA-24h'!N73)</f>
        <v>0</v>
      </c>
      <c r="O73" s="49">
        <f>AVERAGE('26.07 KABUSU-RUBAGA-24h'!O73,'27.07 KABUSU-RUBAGA-24h'!O73)</f>
        <v>57</v>
      </c>
      <c r="P73" s="49">
        <f>AVERAGE('26.07 KABUSU-RUBAGA-24h'!P73,'27.07 KABUSU-RUBAGA-24h'!P73)</f>
        <v>172.5</v>
      </c>
      <c r="R73" s="8"/>
      <c r="T73"/>
    </row>
    <row r="74" spans="2:20" ht="23.1" customHeight="1" x14ac:dyDescent="0.25">
      <c r="B74" s="23" t="s">
        <v>114</v>
      </c>
      <c r="C74" s="49">
        <f>AVERAGE('26.07 KABUSU-RUBAGA-24h'!C74,'27.07 KABUSU-RUBAGA-24h'!C74)</f>
        <v>18.5</v>
      </c>
      <c r="D74" s="49">
        <f>AVERAGE('26.07 KABUSU-RUBAGA-24h'!D74,'27.07 KABUSU-RUBAGA-24h'!D74)</f>
        <v>1.5</v>
      </c>
      <c r="E74" s="49">
        <f>AVERAGE('26.07 KABUSU-RUBAGA-24h'!E74,'27.07 KABUSU-RUBAGA-24h'!E74)</f>
        <v>2.5</v>
      </c>
      <c r="F74" s="49">
        <f>AVERAGE('26.07 KABUSU-RUBAGA-24h'!F74,'27.07 KABUSU-RUBAGA-24h'!F74)</f>
        <v>5</v>
      </c>
      <c r="G74" s="49">
        <f>AVERAGE('26.07 KABUSU-RUBAGA-24h'!G74,'27.07 KABUSU-RUBAGA-24h'!G74)</f>
        <v>0</v>
      </c>
      <c r="H74" s="49">
        <f>AVERAGE('26.07 KABUSU-RUBAGA-24h'!H74,'27.07 KABUSU-RUBAGA-24h'!H74)</f>
        <v>0</v>
      </c>
      <c r="I74" s="49">
        <f>AVERAGE('26.07 KABUSU-RUBAGA-24h'!I74,'27.07 KABUSU-RUBAGA-24h'!I74)</f>
        <v>2.5</v>
      </c>
      <c r="J74" s="49">
        <f>AVERAGE('26.07 KABUSU-RUBAGA-24h'!J74,'27.07 KABUSU-RUBAGA-24h'!J74)</f>
        <v>1</v>
      </c>
      <c r="K74" s="49">
        <f>AVERAGE('26.07 KABUSU-RUBAGA-24h'!K74,'27.07 KABUSU-RUBAGA-24h'!K74)</f>
        <v>0</v>
      </c>
      <c r="L74" s="49">
        <f>AVERAGE('26.07 KABUSU-RUBAGA-24h'!L74,'27.07 KABUSU-RUBAGA-24h'!L74)</f>
        <v>0</v>
      </c>
      <c r="M74" s="49">
        <f>AVERAGE('26.07 KABUSU-RUBAGA-24h'!M74,'27.07 KABUSU-RUBAGA-24h'!M74)</f>
        <v>86.5</v>
      </c>
      <c r="N74" s="49">
        <f>AVERAGE('26.07 KABUSU-RUBAGA-24h'!N74,'27.07 KABUSU-RUBAGA-24h'!N74)</f>
        <v>0</v>
      </c>
      <c r="O74" s="49">
        <f>AVERAGE('26.07 KABUSU-RUBAGA-24h'!O74,'27.07 KABUSU-RUBAGA-24h'!O74)</f>
        <v>31</v>
      </c>
      <c r="P74" s="49">
        <f>AVERAGE('26.07 KABUSU-RUBAGA-24h'!P74,'27.07 KABUSU-RUBAGA-24h'!P74)</f>
        <v>117.5</v>
      </c>
      <c r="R74" s="8"/>
      <c r="T74"/>
    </row>
    <row r="75" spans="2:20" ht="23.1" customHeight="1" x14ac:dyDescent="0.25">
      <c r="B75" s="23" t="s">
        <v>115</v>
      </c>
      <c r="C75" s="49">
        <f>AVERAGE('26.07 KABUSU-RUBAGA-24h'!C75,'27.07 KABUSU-RUBAGA-24h'!C75)</f>
        <v>30</v>
      </c>
      <c r="D75" s="49">
        <f>AVERAGE('26.07 KABUSU-RUBAGA-24h'!D75,'27.07 KABUSU-RUBAGA-24h'!D75)</f>
        <v>4</v>
      </c>
      <c r="E75" s="49">
        <f>AVERAGE('26.07 KABUSU-RUBAGA-24h'!E75,'27.07 KABUSU-RUBAGA-24h'!E75)</f>
        <v>2</v>
      </c>
      <c r="F75" s="49">
        <f>AVERAGE('26.07 KABUSU-RUBAGA-24h'!F75,'27.07 KABUSU-RUBAGA-24h'!F75)</f>
        <v>3</v>
      </c>
      <c r="G75" s="49">
        <f>AVERAGE('26.07 KABUSU-RUBAGA-24h'!G75,'27.07 KABUSU-RUBAGA-24h'!G75)</f>
        <v>0</v>
      </c>
      <c r="H75" s="49">
        <f>AVERAGE('26.07 KABUSU-RUBAGA-24h'!H75,'27.07 KABUSU-RUBAGA-24h'!H75)</f>
        <v>0</v>
      </c>
      <c r="I75" s="49">
        <f>AVERAGE('26.07 KABUSU-RUBAGA-24h'!I75,'27.07 KABUSU-RUBAGA-24h'!I75)</f>
        <v>2</v>
      </c>
      <c r="J75" s="49">
        <f>AVERAGE('26.07 KABUSU-RUBAGA-24h'!J75,'27.07 KABUSU-RUBAGA-24h'!J75)</f>
        <v>1</v>
      </c>
      <c r="K75" s="49">
        <f>AVERAGE('26.07 KABUSU-RUBAGA-24h'!K75,'27.07 KABUSU-RUBAGA-24h'!K75)</f>
        <v>0.5</v>
      </c>
      <c r="L75" s="49">
        <f>AVERAGE('26.07 KABUSU-RUBAGA-24h'!L75,'27.07 KABUSU-RUBAGA-24h'!L75)</f>
        <v>0</v>
      </c>
      <c r="M75" s="49">
        <f>AVERAGE('26.07 KABUSU-RUBAGA-24h'!M75,'27.07 KABUSU-RUBAGA-24h'!M75)</f>
        <v>86.5</v>
      </c>
      <c r="N75" s="49">
        <f>AVERAGE('26.07 KABUSU-RUBAGA-24h'!N75,'27.07 KABUSU-RUBAGA-24h'!N75)</f>
        <v>0</v>
      </c>
      <c r="O75" s="49">
        <f>AVERAGE('26.07 KABUSU-RUBAGA-24h'!O75,'27.07 KABUSU-RUBAGA-24h'!O75)</f>
        <v>42.5</v>
      </c>
      <c r="P75" s="49">
        <f>AVERAGE('26.07 KABUSU-RUBAGA-24h'!P75,'27.07 KABUSU-RUBAGA-24h'!P75)</f>
        <v>129</v>
      </c>
      <c r="R75" s="8"/>
      <c r="T75"/>
    </row>
    <row r="76" spans="2:20" ht="23.1" customHeight="1" x14ac:dyDescent="0.25">
      <c r="B76" s="23" t="s">
        <v>116</v>
      </c>
      <c r="C76" s="49">
        <f>AVERAGE('26.07 KABUSU-RUBAGA-24h'!C76,'27.07 KABUSU-RUBAGA-24h'!C76)</f>
        <v>27</v>
      </c>
      <c r="D76" s="49">
        <f>AVERAGE('26.07 KABUSU-RUBAGA-24h'!D76,'27.07 KABUSU-RUBAGA-24h'!D76)</f>
        <v>1.5</v>
      </c>
      <c r="E76" s="49">
        <f>AVERAGE('26.07 KABUSU-RUBAGA-24h'!E76,'27.07 KABUSU-RUBAGA-24h'!E76)</f>
        <v>2</v>
      </c>
      <c r="F76" s="49">
        <f>AVERAGE('26.07 KABUSU-RUBAGA-24h'!F76,'27.07 KABUSU-RUBAGA-24h'!F76)</f>
        <v>4</v>
      </c>
      <c r="G76" s="49">
        <f>AVERAGE('26.07 KABUSU-RUBAGA-24h'!G76,'27.07 KABUSU-RUBAGA-24h'!G76)</f>
        <v>0</v>
      </c>
      <c r="H76" s="49">
        <f>AVERAGE('26.07 KABUSU-RUBAGA-24h'!H76,'27.07 KABUSU-RUBAGA-24h'!H76)</f>
        <v>0.5</v>
      </c>
      <c r="I76" s="49">
        <f>AVERAGE('26.07 KABUSU-RUBAGA-24h'!I76,'27.07 KABUSU-RUBAGA-24h'!I76)</f>
        <v>0.5</v>
      </c>
      <c r="J76" s="49">
        <f>AVERAGE('26.07 KABUSU-RUBAGA-24h'!J76,'27.07 KABUSU-RUBAGA-24h'!J76)</f>
        <v>0.5</v>
      </c>
      <c r="K76" s="49">
        <f>AVERAGE('26.07 KABUSU-RUBAGA-24h'!K76,'27.07 KABUSU-RUBAGA-24h'!K76)</f>
        <v>1</v>
      </c>
      <c r="L76" s="49">
        <f>AVERAGE('26.07 KABUSU-RUBAGA-24h'!L76,'27.07 KABUSU-RUBAGA-24h'!L76)</f>
        <v>0</v>
      </c>
      <c r="M76" s="49">
        <f>AVERAGE('26.07 KABUSU-RUBAGA-24h'!M76,'27.07 KABUSU-RUBAGA-24h'!M76)</f>
        <v>81.5</v>
      </c>
      <c r="N76" s="49">
        <f>AVERAGE('26.07 KABUSU-RUBAGA-24h'!N76,'27.07 KABUSU-RUBAGA-24h'!N76)</f>
        <v>0</v>
      </c>
      <c r="O76" s="49">
        <f>AVERAGE('26.07 KABUSU-RUBAGA-24h'!O76,'27.07 KABUSU-RUBAGA-24h'!O76)</f>
        <v>37</v>
      </c>
      <c r="P76" s="49">
        <f>AVERAGE('26.07 KABUSU-RUBAGA-24h'!P76,'27.07 KABUSU-RUBAGA-24h'!P76)</f>
        <v>118.5</v>
      </c>
      <c r="R76" s="8"/>
      <c r="T76"/>
    </row>
    <row r="77" spans="2:20" ht="23.1" customHeight="1" x14ac:dyDescent="0.25">
      <c r="B77" s="23" t="s">
        <v>117</v>
      </c>
      <c r="C77" s="49">
        <f>AVERAGE('26.07 KABUSU-RUBAGA-24h'!C77,'27.07 KABUSU-RUBAGA-24h'!C77)</f>
        <v>22</v>
      </c>
      <c r="D77" s="49">
        <f>AVERAGE('26.07 KABUSU-RUBAGA-24h'!D77,'27.07 KABUSU-RUBAGA-24h'!D77)</f>
        <v>2.5</v>
      </c>
      <c r="E77" s="49">
        <f>AVERAGE('26.07 KABUSU-RUBAGA-24h'!E77,'27.07 KABUSU-RUBAGA-24h'!E77)</f>
        <v>1.5</v>
      </c>
      <c r="F77" s="49">
        <f>AVERAGE('26.07 KABUSU-RUBAGA-24h'!F77,'27.07 KABUSU-RUBAGA-24h'!F77)</f>
        <v>4.5</v>
      </c>
      <c r="G77" s="49">
        <f>AVERAGE('26.07 KABUSU-RUBAGA-24h'!G77,'27.07 KABUSU-RUBAGA-24h'!G77)</f>
        <v>0</v>
      </c>
      <c r="H77" s="49">
        <f>AVERAGE('26.07 KABUSU-RUBAGA-24h'!H77,'27.07 KABUSU-RUBAGA-24h'!H77)</f>
        <v>0</v>
      </c>
      <c r="I77" s="49">
        <f>AVERAGE('26.07 KABUSU-RUBAGA-24h'!I77,'27.07 KABUSU-RUBAGA-24h'!I77)</f>
        <v>1.5</v>
      </c>
      <c r="J77" s="49">
        <f>AVERAGE('26.07 KABUSU-RUBAGA-24h'!J77,'27.07 KABUSU-RUBAGA-24h'!J77)</f>
        <v>0.5</v>
      </c>
      <c r="K77" s="49">
        <f>AVERAGE('26.07 KABUSU-RUBAGA-24h'!K77,'27.07 KABUSU-RUBAGA-24h'!K77)</f>
        <v>0.5</v>
      </c>
      <c r="L77" s="49">
        <f>AVERAGE('26.07 KABUSU-RUBAGA-24h'!L77,'27.07 KABUSU-RUBAGA-24h'!L77)</f>
        <v>0</v>
      </c>
      <c r="M77" s="49">
        <f>AVERAGE('26.07 KABUSU-RUBAGA-24h'!M77,'27.07 KABUSU-RUBAGA-24h'!M77)</f>
        <v>69.5</v>
      </c>
      <c r="N77" s="49">
        <f>AVERAGE('26.07 KABUSU-RUBAGA-24h'!N77,'27.07 KABUSU-RUBAGA-24h'!N77)</f>
        <v>0</v>
      </c>
      <c r="O77" s="49">
        <f>AVERAGE('26.07 KABUSU-RUBAGA-24h'!O77,'27.07 KABUSU-RUBAGA-24h'!O77)</f>
        <v>33</v>
      </c>
      <c r="P77" s="49">
        <f>AVERAGE('26.07 KABUSU-RUBAGA-24h'!P77,'27.07 KABUSU-RUBAGA-24h'!P77)</f>
        <v>102.5</v>
      </c>
      <c r="R77" s="8"/>
      <c r="T77"/>
    </row>
    <row r="78" spans="2:20" ht="23.1" customHeight="1" x14ac:dyDescent="0.25">
      <c r="B78" s="24" t="s">
        <v>118</v>
      </c>
      <c r="C78" s="49">
        <f>AVERAGE('26.07 KABUSU-RUBAGA-24h'!C78,'27.07 KABUSU-RUBAGA-24h'!C78)</f>
        <v>19</v>
      </c>
      <c r="D78" s="49">
        <f>AVERAGE('26.07 KABUSU-RUBAGA-24h'!D78,'27.07 KABUSU-RUBAGA-24h'!D78)</f>
        <v>0.5</v>
      </c>
      <c r="E78" s="49">
        <f>AVERAGE('26.07 KABUSU-RUBAGA-24h'!E78,'27.07 KABUSU-RUBAGA-24h'!E78)</f>
        <v>2.5</v>
      </c>
      <c r="F78" s="49">
        <f>AVERAGE('26.07 KABUSU-RUBAGA-24h'!F78,'27.07 KABUSU-RUBAGA-24h'!F78)</f>
        <v>6</v>
      </c>
      <c r="G78" s="49">
        <f>AVERAGE('26.07 KABUSU-RUBAGA-24h'!G78,'27.07 KABUSU-RUBAGA-24h'!G78)</f>
        <v>0</v>
      </c>
      <c r="H78" s="49">
        <f>AVERAGE('26.07 KABUSU-RUBAGA-24h'!H78,'27.07 KABUSU-RUBAGA-24h'!H78)</f>
        <v>1.5</v>
      </c>
      <c r="I78" s="49">
        <f>AVERAGE('26.07 KABUSU-RUBAGA-24h'!I78,'27.07 KABUSU-RUBAGA-24h'!I78)</f>
        <v>0</v>
      </c>
      <c r="J78" s="49">
        <f>AVERAGE('26.07 KABUSU-RUBAGA-24h'!J78,'27.07 KABUSU-RUBAGA-24h'!J78)</f>
        <v>0.5</v>
      </c>
      <c r="K78" s="49">
        <f>AVERAGE('26.07 KABUSU-RUBAGA-24h'!K78,'27.07 KABUSU-RUBAGA-24h'!K78)</f>
        <v>0.5</v>
      </c>
      <c r="L78" s="49">
        <f>AVERAGE('26.07 KABUSU-RUBAGA-24h'!L78,'27.07 KABUSU-RUBAGA-24h'!L78)</f>
        <v>0</v>
      </c>
      <c r="M78" s="49">
        <f>AVERAGE('26.07 KABUSU-RUBAGA-24h'!M78,'27.07 KABUSU-RUBAGA-24h'!M78)</f>
        <v>63.5</v>
      </c>
      <c r="N78" s="49">
        <f>AVERAGE('26.07 KABUSU-RUBAGA-24h'!N78,'27.07 KABUSU-RUBAGA-24h'!N78)</f>
        <v>0</v>
      </c>
      <c r="O78" s="49">
        <f>AVERAGE('26.07 KABUSU-RUBAGA-24h'!O78,'27.07 KABUSU-RUBAGA-24h'!O78)</f>
        <v>30.5</v>
      </c>
      <c r="P78" s="49">
        <f>AVERAGE('26.07 KABUSU-RUBAGA-24h'!P78,'27.07 KABUSU-RUBAGA-24h'!P78)</f>
        <v>94</v>
      </c>
      <c r="R78" s="8"/>
      <c r="T78"/>
    </row>
    <row r="79" spans="2:20" ht="23.1" customHeight="1" x14ac:dyDescent="0.25">
      <c r="B79" s="23" t="s">
        <v>119</v>
      </c>
      <c r="C79" s="49">
        <f>AVERAGE('26.07 KABUSU-RUBAGA-24h'!C79,'27.07 KABUSU-RUBAGA-24h'!C79)</f>
        <v>14</v>
      </c>
      <c r="D79" s="49">
        <f>AVERAGE('26.07 KABUSU-RUBAGA-24h'!D79,'27.07 KABUSU-RUBAGA-24h'!D79)</f>
        <v>0</v>
      </c>
      <c r="E79" s="49">
        <f>AVERAGE('26.07 KABUSU-RUBAGA-24h'!E79,'27.07 KABUSU-RUBAGA-24h'!E79)</f>
        <v>1.5</v>
      </c>
      <c r="F79" s="49">
        <f>AVERAGE('26.07 KABUSU-RUBAGA-24h'!F79,'27.07 KABUSU-RUBAGA-24h'!F79)</f>
        <v>2</v>
      </c>
      <c r="G79" s="49">
        <f>AVERAGE('26.07 KABUSU-RUBAGA-24h'!G79,'27.07 KABUSU-RUBAGA-24h'!G79)</f>
        <v>1</v>
      </c>
      <c r="H79" s="49">
        <f>AVERAGE('26.07 KABUSU-RUBAGA-24h'!H79,'27.07 KABUSU-RUBAGA-24h'!H79)</f>
        <v>0</v>
      </c>
      <c r="I79" s="49">
        <f>AVERAGE('26.07 KABUSU-RUBAGA-24h'!I79,'27.07 KABUSU-RUBAGA-24h'!I79)</f>
        <v>0</v>
      </c>
      <c r="J79" s="49">
        <f>AVERAGE('26.07 KABUSU-RUBAGA-24h'!J79,'27.07 KABUSU-RUBAGA-24h'!J79)</f>
        <v>0.5</v>
      </c>
      <c r="K79" s="49">
        <f>AVERAGE('26.07 KABUSU-RUBAGA-24h'!K79,'27.07 KABUSU-RUBAGA-24h'!K79)</f>
        <v>0</v>
      </c>
      <c r="L79" s="49">
        <f>AVERAGE('26.07 KABUSU-RUBAGA-24h'!L79,'27.07 KABUSU-RUBAGA-24h'!L79)</f>
        <v>0</v>
      </c>
      <c r="M79" s="49">
        <f>AVERAGE('26.07 KABUSU-RUBAGA-24h'!M79,'27.07 KABUSU-RUBAGA-24h'!M79)</f>
        <v>56</v>
      </c>
      <c r="N79" s="49">
        <f>AVERAGE('26.07 KABUSU-RUBAGA-24h'!N79,'27.07 KABUSU-RUBAGA-24h'!N79)</f>
        <v>0</v>
      </c>
      <c r="O79" s="49">
        <f>AVERAGE('26.07 KABUSU-RUBAGA-24h'!O79,'27.07 KABUSU-RUBAGA-24h'!O79)</f>
        <v>19</v>
      </c>
      <c r="P79" s="49">
        <f>AVERAGE('26.07 KABUSU-RUBAGA-24h'!P79,'27.07 KABUSU-RUBAGA-24h'!P79)</f>
        <v>75</v>
      </c>
      <c r="R79" s="8"/>
      <c r="T79"/>
    </row>
    <row r="80" spans="2:20" ht="23.1" customHeight="1" x14ac:dyDescent="0.25">
      <c r="B80" s="25" t="s">
        <v>120</v>
      </c>
      <c r="C80" s="49">
        <f>AVERAGE('26.07 KABUSU-RUBAGA-24h'!C80,'27.07 KABUSU-RUBAGA-24h'!C80)</f>
        <v>20.5</v>
      </c>
      <c r="D80" s="49">
        <f>AVERAGE('26.07 KABUSU-RUBAGA-24h'!D80,'27.07 KABUSU-RUBAGA-24h'!D80)</f>
        <v>1.5</v>
      </c>
      <c r="E80" s="49">
        <f>AVERAGE('26.07 KABUSU-RUBAGA-24h'!E80,'27.07 KABUSU-RUBAGA-24h'!E80)</f>
        <v>0</v>
      </c>
      <c r="F80" s="49">
        <f>AVERAGE('26.07 KABUSU-RUBAGA-24h'!F80,'27.07 KABUSU-RUBAGA-24h'!F80)</f>
        <v>0.5</v>
      </c>
      <c r="G80" s="49">
        <f>AVERAGE('26.07 KABUSU-RUBAGA-24h'!G80,'27.07 KABUSU-RUBAGA-24h'!G80)</f>
        <v>1</v>
      </c>
      <c r="H80" s="49">
        <f>AVERAGE('26.07 KABUSU-RUBAGA-24h'!H80,'27.07 KABUSU-RUBAGA-24h'!H80)</f>
        <v>0</v>
      </c>
      <c r="I80" s="49">
        <f>AVERAGE('26.07 KABUSU-RUBAGA-24h'!I80,'27.07 KABUSU-RUBAGA-24h'!I80)</f>
        <v>1.5</v>
      </c>
      <c r="J80" s="49">
        <f>AVERAGE('26.07 KABUSU-RUBAGA-24h'!J80,'27.07 KABUSU-RUBAGA-24h'!J80)</f>
        <v>0.5</v>
      </c>
      <c r="K80" s="49">
        <f>AVERAGE('26.07 KABUSU-RUBAGA-24h'!K80,'27.07 KABUSU-RUBAGA-24h'!K80)</f>
        <v>0</v>
      </c>
      <c r="L80" s="49">
        <f>AVERAGE('26.07 KABUSU-RUBAGA-24h'!L80,'27.07 KABUSU-RUBAGA-24h'!L80)</f>
        <v>0</v>
      </c>
      <c r="M80" s="49">
        <f>AVERAGE('26.07 KABUSU-RUBAGA-24h'!M80,'27.07 KABUSU-RUBAGA-24h'!M80)</f>
        <v>50.5</v>
      </c>
      <c r="N80" s="49">
        <f>AVERAGE('26.07 KABUSU-RUBAGA-24h'!N80,'27.07 KABUSU-RUBAGA-24h'!N80)</f>
        <v>0</v>
      </c>
      <c r="O80" s="49">
        <f>AVERAGE('26.07 KABUSU-RUBAGA-24h'!O80,'27.07 KABUSU-RUBAGA-24h'!O80)</f>
        <v>25.5</v>
      </c>
      <c r="P80" s="49">
        <f>AVERAGE('26.07 KABUSU-RUBAGA-24h'!P80,'27.07 KABUSU-RUBAGA-24h'!P80)</f>
        <v>76</v>
      </c>
      <c r="R80" s="8"/>
      <c r="T80"/>
    </row>
    <row r="81" spans="2:20" ht="23.1" customHeight="1" x14ac:dyDescent="0.25">
      <c r="B81" s="23" t="s">
        <v>121</v>
      </c>
      <c r="C81" s="49">
        <f>AVERAGE('26.07 KABUSU-RUBAGA-24h'!C81,'27.07 KABUSU-RUBAGA-24h'!C81)</f>
        <v>14.5</v>
      </c>
      <c r="D81" s="49">
        <f>AVERAGE('26.07 KABUSU-RUBAGA-24h'!D81,'27.07 KABUSU-RUBAGA-24h'!D81)</f>
        <v>0.5</v>
      </c>
      <c r="E81" s="49">
        <f>AVERAGE('26.07 KABUSU-RUBAGA-24h'!E81,'27.07 KABUSU-RUBAGA-24h'!E81)</f>
        <v>2</v>
      </c>
      <c r="F81" s="49">
        <f>AVERAGE('26.07 KABUSU-RUBAGA-24h'!F81,'27.07 KABUSU-RUBAGA-24h'!F81)</f>
        <v>0.5</v>
      </c>
      <c r="G81" s="49">
        <f>AVERAGE('26.07 KABUSU-RUBAGA-24h'!G81,'27.07 KABUSU-RUBAGA-24h'!G81)</f>
        <v>0</v>
      </c>
      <c r="H81" s="49">
        <f>AVERAGE('26.07 KABUSU-RUBAGA-24h'!H81,'27.07 KABUSU-RUBAGA-24h'!H81)</f>
        <v>0.5</v>
      </c>
      <c r="I81" s="49">
        <f>AVERAGE('26.07 KABUSU-RUBAGA-24h'!I81,'27.07 KABUSU-RUBAGA-24h'!I81)</f>
        <v>1.5</v>
      </c>
      <c r="J81" s="49">
        <f>AVERAGE('26.07 KABUSU-RUBAGA-24h'!J81,'27.07 KABUSU-RUBAGA-24h'!J81)</f>
        <v>0</v>
      </c>
      <c r="K81" s="49">
        <f>AVERAGE('26.07 KABUSU-RUBAGA-24h'!K81,'27.07 KABUSU-RUBAGA-24h'!K81)</f>
        <v>0</v>
      </c>
      <c r="L81" s="49">
        <f>AVERAGE('26.07 KABUSU-RUBAGA-24h'!L81,'27.07 KABUSU-RUBAGA-24h'!L81)</f>
        <v>0</v>
      </c>
      <c r="M81" s="49">
        <f>AVERAGE('26.07 KABUSU-RUBAGA-24h'!M81,'27.07 KABUSU-RUBAGA-24h'!M81)</f>
        <v>33</v>
      </c>
      <c r="N81" s="49">
        <f>AVERAGE('26.07 KABUSU-RUBAGA-24h'!N81,'27.07 KABUSU-RUBAGA-24h'!N81)</f>
        <v>0</v>
      </c>
      <c r="O81" s="49">
        <f>AVERAGE('26.07 KABUSU-RUBAGA-24h'!O81,'27.07 KABUSU-RUBAGA-24h'!O81)</f>
        <v>19.5</v>
      </c>
      <c r="P81" s="49">
        <f>AVERAGE('26.07 KABUSU-RUBAGA-24h'!P81,'27.07 KABUSU-RUBAGA-24h'!P81)</f>
        <v>52.5</v>
      </c>
      <c r="R81" s="8"/>
      <c r="T81"/>
    </row>
    <row r="82" spans="2:20" ht="23.1" customHeight="1" x14ac:dyDescent="0.25">
      <c r="B82" s="24" t="s">
        <v>122</v>
      </c>
      <c r="C82" s="49">
        <f>AVERAGE('26.07 KABUSU-RUBAGA-24h'!C82,'27.07 KABUSU-RUBAGA-24h'!C82)</f>
        <v>17.5</v>
      </c>
      <c r="D82" s="49">
        <f>AVERAGE('26.07 KABUSU-RUBAGA-24h'!D82,'27.07 KABUSU-RUBAGA-24h'!D82)</f>
        <v>3</v>
      </c>
      <c r="E82" s="49">
        <f>AVERAGE('26.07 KABUSU-RUBAGA-24h'!E82,'27.07 KABUSU-RUBAGA-24h'!E82)</f>
        <v>0.5</v>
      </c>
      <c r="F82" s="49">
        <f>AVERAGE('26.07 KABUSU-RUBAGA-24h'!F82,'27.07 KABUSU-RUBAGA-24h'!F82)</f>
        <v>1</v>
      </c>
      <c r="G82" s="49">
        <f>AVERAGE('26.07 KABUSU-RUBAGA-24h'!G82,'27.07 KABUSU-RUBAGA-24h'!G82)</f>
        <v>0</v>
      </c>
      <c r="H82" s="49">
        <f>AVERAGE('26.07 KABUSU-RUBAGA-24h'!H82,'27.07 KABUSU-RUBAGA-24h'!H82)</f>
        <v>0</v>
      </c>
      <c r="I82" s="49">
        <f>AVERAGE('26.07 KABUSU-RUBAGA-24h'!I82,'27.07 KABUSU-RUBAGA-24h'!I82)</f>
        <v>1</v>
      </c>
      <c r="J82" s="49">
        <f>AVERAGE('26.07 KABUSU-RUBAGA-24h'!J82,'27.07 KABUSU-RUBAGA-24h'!J82)</f>
        <v>1.5</v>
      </c>
      <c r="K82" s="49">
        <f>AVERAGE('26.07 KABUSU-RUBAGA-24h'!K82,'27.07 KABUSU-RUBAGA-24h'!K82)</f>
        <v>0.5</v>
      </c>
      <c r="L82" s="49">
        <f>AVERAGE('26.07 KABUSU-RUBAGA-24h'!L82,'27.07 KABUSU-RUBAGA-24h'!L82)</f>
        <v>0.5</v>
      </c>
      <c r="M82" s="49">
        <f>AVERAGE('26.07 KABUSU-RUBAGA-24h'!M82,'27.07 KABUSU-RUBAGA-24h'!M82)</f>
        <v>55.5</v>
      </c>
      <c r="N82" s="49">
        <f>AVERAGE('26.07 KABUSU-RUBAGA-24h'!N82,'27.07 KABUSU-RUBAGA-24h'!N82)</f>
        <v>0</v>
      </c>
      <c r="O82" s="49">
        <f>AVERAGE('26.07 KABUSU-RUBAGA-24h'!O82,'27.07 KABUSU-RUBAGA-24h'!O82)</f>
        <v>25.5</v>
      </c>
      <c r="P82" s="49">
        <f>AVERAGE('26.07 KABUSU-RUBAGA-24h'!P82,'27.07 KABUSU-RUBAGA-24h'!P82)</f>
        <v>81</v>
      </c>
      <c r="R82" s="8"/>
      <c r="T82"/>
    </row>
    <row r="83" spans="2:20" ht="23.1" customHeight="1" x14ac:dyDescent="0.25">
      <c r="B83" s="23" t="s">
        <v>123</v>
      </c>
      <c r="C83" s="49">
        <f>AVERAGE('26.07 KABUSU-RUBAGA-24h'!C83,'27.07 KABUSU-RUBAGA-24h'!C83)</f>
        <v>12</v>
      </c>
      <c r="D83" s="49">
        <f>AVERAGE('26.07 KABUSU-RUBAGA-24h'!D83,'27.07 KABUSU-RUBAGA-24h'!D83)</f>
        <v>2</v>
      </c>
      <c r="E83" s="49">
        <f>AVERAGE('26.07 KABUSU-RUBAGA-24h'!E83,'27.07 KABUSU-RUBAGA-24h'!E83)</f>
        <v>0.5</v>
      </c>
      <c r="F83" s="49">
        <f>AVERAGE('26.07 KABUSU-RUBAGA-24h'!F83,'27.07 KABUSU-RUBAGA-24h'!F83)</f>
        <v>1</v>
      </c>
      <c r="G83" s="49">
        <f>AVERAGE('26.07 KABUSU-RUBAGA-24h'!G83,'27.07 KABUSU-RUBAGA-24h'!G83)</f>
        <v>0</v>
      </c>
      <c r="H83" s="49">
        <f>AVERAGE('26.07 KABUSU-RUBAGA-24h'!H83,'27.07 KABUSU-RUBAGA-24h'!H83)</f>
        <v>0.5</v>
      </c>
      <c r="I83" s="49">
        <f>AVERAGE('26.07 KABUSU-RUBAGA-24h'!I83,'27.07 KABUSU-RUBAGA-24h'!I83)</f>
        <v>1.5</v>
      </c>
      <c r="J83" s="49">
        <f>AVERAGE('26.07 KABUSU-RUBAGA-24h'!J83,'27.07 KABUSU-RUBAGA-24h'!J83)</f>
        <v>1</v>
      </c>
      <c r="K83" s="49">
        <f>AVERAGE('26.07 KABUSU-RUBAGA-24h'!K83,'27.07 KABUSU-RUBAGA-24h'!K83)</f>
        <v>0</v>
      </c>
      <c r="L83" s="49">
        <f>AVERAGE('26.07 KABUSU-RUBAGA-24h'!L83,'27.07 KABUSU-RUBAGA-24h'!L83)</f>
        <v>0</v>
      </c>
      <c r="M83" s="49">
        <f>AVERAGE('26.07 KABUSU-RUBAGA-24h'!M83,'27.07 KABUSU-RUBAGA-24h'!M83)</f>
        <v>47</v>
      </c>
      <c r="N83" s="49">
        <f>AVERAGE('26.07 KABUSU-RUBAGA-24h'!N83,'27.07 KABUSU-RUBAGA-24h'!N83)</f>
        <v>0</v>
      </c>
      <c r="O83" s="49">
        <f>AVERAGE('26.07 KABUSU-RUBAGA-24h'!O83,'27.07 KABUSU-RUBAGA-24h'!O83)</f>
        <v>18.5</v>
      </c>
      <c r="P83" s="49">
        <f>AVERAGE('26.07 KABUSU-RUBAGA-24h'!P83,'27.07 KABUSU-RUBAGA-24h'!P83)</f>
        <v>65.5</v>
      </c>
      <c r="R83" s="8"/>
      <c r="T83"/>
    </row>
    <row r="84" spans="2:20" ht="23.1" customHeight="1" x14ac:dyDescent="0.25">
      <c r="B84" s="25" t="s">
        <v>124</v>
      </c>
      <c r="C84" s="49">
        <f>AVERAGE('26.07 KABUSU-RUBAGA-24h'!C84,'27.07 KABUSU-RUBAGA-24h'!C84)</f>
        <v>13.5</v>
      </c>
      <c r="D84" s="49">
        <f>AVERAGE('26.07 KABUSU-RUBAGA-24h'!D84,'27.07 KABUSU-RUBAGA-24h'!D84)</f>
        <v>0</v>
      </c>
      <c r="E84" s="49">
        <f>AVERAGE('26.07 KABUSU-RUBAGA-24h'!E84,'27.07 KABUSU-RUBAGA-24h'!E84)</f>
        <v>0</v>
      </c>
      <c r="F84" s="49">
        <f>AVERAGE('26.07 KABUSU-RUBAGA-24h'!F84,'27.07 KABUSU-RUBAGA-24h'!F84)</f>
        <v>1.5</v>
      </c>
      <c r="G84" s="49">
        <f>AVERAGE('26.07 KABUSU-RUBAGA-24h'!G84,'27.07 KABUSU-RUBAGA-24h'!G84)</f>
        <v>0</v>
      </c>
      <c r="H84" s="49">
        <f>AVERAGE('26.07 KABUSU-RUBAGA-24h'!H84,'27.07 KABUSU-RUBAGA-24h'!H84)</f>
        <v>0</v>
      </c>
      <c r="I84" s="49">
        <f>AVERAGE('26.07 KABUSU-RUBAGA-24h'!I84,'27.07 KABUSU-RUBAGA-24h'!I84)</f>
        <v>1</v>
      </c>
      <c r="J84" s="49">
        <f>AVERAGE('26.07 KABUSU-RUBAGA-24h'!J84,'27.07 KABUSU-RUBAGA-24h'!J84)</f>
        <v>0.5</v>
      </c>
      <c r="K84" s="49">
        <f>AVERAGE('26.07 KABUSU-RUBAGA-24h'!K84,'27.07 KABUSU-RUBAGA-24h'!K84)</f>
        <v>0</v>
      </c>
      <c r="L84" s="49">
        <f>AVERAGE('26.07 KABUSU-RUBAGA-24h'!L84,'27.07 KABUSU-RUBAGA-24h'!L84)</f>
        <v>0</v>
      </c>
      <c r="M84" s="49">
        <f>AVERAGE('26.07 KABUSU-RUBAGA-24h'!M84,'27.07 KABUSU-RUBAGA-24h'!M84)</f>
        <v>19</v>
      </c>
      <c r="N84" s="49">
        <f>AVERAGE('26.07 KABUSU-RUBAGA-24h'!N84,'27.07 KABUSU-RUBAGA-24h'!N84)</f>
        <v>0</v>
      </c>
      <c r="O84" s="49">
        <f>AVERAGE('26.07 KABUSU-RUBAGA-24h'!O84,'27.07 KABUSU-RUBAGA-24h'!O84)</f>
        <v>16.5</v>
      </c>
      <c r="P84" s="49">
        <f>AVERAGE('26.07 KABUSU-RUBAGA-24h'!P84,'27.07 KABUSU-RUBAGA-24h'!P84)</f>
        <v>35.5</v>
      </c>
      <c r="R84" s="8"/>
      <c r="T84"/>
    </row>
    <row r="85" spans="2:20" ht="23.1" customHeight="1" x14ac:dyDescent="0.25">
      <c r="B85" s="23" t="s">
        <v>125</v>
      </c>
      <c r="C85" s="49">
        <f>AVERAGE('26.07 KABUSU-RUBAGA-24h'!C85,'27.07 KABUSU-RUBAGA-24h'!C85)</f>
        <v>6.5</v>
      </c>
      <c r="D85" s="49">
        <f>AVERAGE('26.07 KABUSU-RUBAGA-24h'!D85,'27.07 KABUSU-RUBAGA-24h'!D85)</f>
        <v>0</v>
      </c>
      <c r="E85" s="49">
        <f>AVERAGE('26.07 KABUSU-RUBAGA-24h'!E85,'27.07 KABUSU-RUBAGA-24h'!E85)</f>
        <v>0</v>
      </c>
      <c r="F85" s="49">
        <f>AVERAGE('26.07 KABUSU-RUBAGA-24h'!F85,'27.07 KABUSU-RUBAGA-24h'!F85)</f>
        <v>1</v>
      </c>
      <c r="G85" s="49">
        <f>AVERAGE('26.07 KABUSU-RUBAGA-24h'!G85,'27.07 KABUSU-RUBAGA-24h'!G85)</f>
        <v>0</v>
      </c>
      <c r="H85" s="49">
        <f>AVERAGE('26.07 KABUSU-RUBAGA-24h'!H85,'27.07 KABUSU-RUBAGA-24h'!H85)</f>
        <v>0</v>
      </c>
      <c r="I85" s="49">
        <f>AVERAGE('26.07 KABUSU-RUBAGA-24h'!I85,'27.07 KABUSU-RUBAGA-24h'!I85)</f>
        <v>0.5</v>
      </c>
      <c r="J85" s="49">
        <f>AVERAGE('26.07 KABUSU-RUBAGA-24h'!J85,'27.07 KABUSU-RUBAGA-24h'!J85)</f>
        <v>0.5</v>
      </c>
      <c r="K85" s="49">
        <f>AVERAGE('26.07 KABUSU-RUBAGA-24h'!K85,'27.07 KABUSU-RUBAGA-24h'!K85)</f>
        <v>0</v>
      </c>
      <c r="L85" s="49">
        <f>AVERAGE('26.07 KABUSU-RUBAGA-24h'!L85,'27.07 KABUSU-RUBAGA-24h'!L85)</f>
        <v>0</v>
      </c>
      <c r="M85" s="49">
        <f>AVERAGE('26.07 KABUSU-RUBAGA-24h'!M85,'27.07 KABUSU-RUBAGA-24h'!M85)</f>
        <v>18.5</v>
      </c>
      <c r="N85" s="49">
        <f>AVERAGE('26.07 KABUSU-RUBAGA-24h'!N85,'27.07 KABUSU-RUBAGA-24h'!N85)</f>
        <v>0</v>
      </c>
      <c r="O85" s="49">
        <f>AVERAGE('26.07 KABUSU-RUBAGA-24h'!O85,'27.07 KABUSU-RUBAGA-24h'!O85)</f>
        <v>8.5</v>
      </c>
      <c r="P85" s="49">
        <f>AVERAGE('26.07 KABUSU-RUBAGA-24h'!P85,'27.07 KABUSU-RUBAGA-24h'!P85)</f>
        <v>27</v>
      </c>
      <c r="R85" s="8"/>
      <c r="T85"/>
    </row>
    <row r="86" spans="2:20" ht="23.1" customHeight="1" x14ac:dyDescent="0.25">
      <c r="B86" s="24" t="s">
        <v>126</v>
      </c>
      <c r="C86" s="49">
        <f>AVERAGE('26.07 KABUSU-RUBAGA-24h'!C86,'27.07 KABUSU-RUBAGA-24h'!C86)</f>
        <v>4.5</v>
      </c>
      <c r="D86" s="49">
        <f>AVERAGE('26.07 KABUSU-RUBAGA-24h'!D86,'27.07 KABUSU-RUBAGA-24h'!D86)</f>
        <v>0</v>
      </c>
      <c r="E86" s="49">
        <f>AVERAGE('26.07 KABUSU-RUBAGA-24h'!E86,'27.07 KABUSU-RUBAGA-24h'!E86)</f>
        <v>0.5</v>
      </c>
      <c r="F86" s="49">
        <f>AVERAGE('26.07 KABUSU-RUBAGA-24h'!F86,'27.07 KABUSU-RUBAGA-24h'!F86)</f>
        <v>0</v>
      </c>
      <c r="G86" s="49">
        <f>AVERAGE('26.07 KABUSU-RUBAGA-24h'!G86,'27.07 KABUSU-RUBAGA-24h'!G86)</f>
        <v>0.5</v>
      </c>
      <c r="H86" s="49">
        <f>AVERAGE('26.07 KABUSU-RUBAGA-24h'!H86,'27.07 KABUSU-RUBAGA-24h'!H86)</f>
        <v>0.5</v>
      </c>
      <c r="I86" s="49">
        <f>AVERAGE('26.07 KABUSU-RUBAGA-24h'!I86,'27.07 KABUSU-RUBAGA-24h'!I86)</f>
        <v>0.5</v>
      </c>
      <c r="J86" s="49">
        <f>AVERAGE('26.07 KABUSU-RUBAGA-24h'!J86,'27.07 KABUSU-RUBAGA-24h'!J86)</f>
        <v>0</v>
      </c>
      <c r="K86" s="49">
        <f>AVERAGE('26.07 KABUSU-RUBAGA-24h'!K86,'27.07 KABUSU-RUBAGA-24h'!K86)</f>
        <v>1</v>
      </c>
      <c r="L86" s="49">
        <f>AVERAGE('26.07 KABUSU-RUBAGA-24h'!L86,'27.07 KABUSU-RUBAGA-24h'!L86)</f>
        <v>0</v>
      </c>
      <c r="M86" s="49">
        <f>AVERAGE('26.07 KABUSU-RUBAGA-24h'!M86,'27.07 KABUSU-RUBAGA-24h'!M86)</f>
        <v>22.5</v>
      </c>
      <c r="N86" s="49">
        <f>AVERAGE('26.07 KABUSU-RUBAGA-24h'!N86,'27.07 KABUSU-RUBAGA-24h'!N86)</f>
        <v>0</v>
      </c>
      <c r="O86" s="49">
        <f>AVERAGE('26.07 KABUSU-RUBAGA-24h'!O86,'27.07 KABUSU-RUBAGA-24h'!O86)</f>
        <v>7.5</v>
      </c>
      <c r="P86" s="49">
        <f>AVERAGE('26.07 KABUSU-RUBAGA-24h'!P86,'27.07 KABUSU-RUBAGA-24h'!P86)</f>
        <v>30</v>
      </c>
      <c r="R86" s="8"/>
      <c r="T86"/>
    </row>
    <row r="87" spans="2:20" ht="23.1" customHeight="1" x14ac:dyDescent="0.25">
      <c r="B87" s="23" t="s">
        <v>127</v>
      </c>
      <c r="C87" s="49">
        <f>AVERAGE('26.07 KABUSU-RUBAGA-24h'!C87,'27.07 KABUSU-RUBAGA-24h'!C87)</f>
        <v>12.5</v>
      </c>
      <c r="D87" s="49">
        <f>AVERAGE('26.07 KABUSU-RUBAGA-24h'!D87,'27.07 KABUSU-RUBAGA-24h'!D87)</f>
        <v>1.5</v>
      </c>
      <c r="E87" s="49">
        <f>AVERAGE('26.07 KABUSU-RUBAGA-24h'!E87,'27.07 KABUSU-RUBAGA-24h'!E87)</f>
        <v>0.5</v>
      </c>
      <c r="F87" s="49">
        <f>AVERAGE('26.07 KABUSU-RUBAGA-24h'!F87,'27.07 KABUSU-RUBAGA-24h'!F87)</f>
        <v>1.5</v>
      </c>
      <c r="G87" s="49">
        <f>AVERAGE('26.07 KABUSU-RUBAGA-24h'!G87,'27.07 KABUSU-RUBAGA-24h'!G87)</f>
        <v>0</v>
      </c>
      <c r="H87" s="49">
        <f>AVERAGE('26.07 KABUSU-RUBAGA-24h'!H87,'27.07 KABUSU-RUBAGA-24h'!H87)</f>
        <v>0</v>
      </c>
      <c r="I87" s="49">
        <f>AVERAGE('26.07 KABUSU-RUBAGA-24h'!I87,'27.07 KABUSU-RUBAGA-24h'!I87)</f>
        <v>0.5</v>
      </c>
      <c r="J87" s="49">
        <f>AVERAGE('26.07 KABUSU-RUBAGA-24h'!J87,'27.07 KABUSU-RUBAGA-24h'!J87)</f>
        <v>0</v>
      </c>
      <c r="K87" s="49">
        <f>AVERAGE('26.07 KABUSU-RUBAGA-24h'!K87,'27.07 KABUSU-RUBAGA-24h'!K87)</f>
        <v>0</v>
      </c>
      <c r="L87" s="49">
        <f>AVERAGE('26.07 KABUSU-RUBAGA-24h'!L87,'27.07 KABUSU-RUBAGA-24h'!L87)</f>
        <v>0</v>
      </c>
      <c r="M87" s="49">
        <f>AVERAGE('26.07 KABUSU-RUBAGA-24h'!M87,'27.07 KABUSU-RUBAGA-24h'!M87)</f>
        <v>35</v>
      </c>
      <c r="N87" s="49">
        <f>AVERAGE('26.07 KABUSU-RUBAGA-24h'!N87,'27.07 KABUSU-RUBAGA-24h'!N87)</f>
        <v>0</v>
      </c>
      <c r="O87" s="49">
        <f>AVERAGE('26.07 KABUSU-RUBAGA-24h'!O87,'27.07 KABUSU-RUBAGA-24h'!O87)</f>
        <v>16.5</v>
      </c>
      <c r="P87" s="49">
        <f>AVERAGE('26.07 KABUSU-RUBAGA-24h'!P87,'27.07 KABUSU-RUBAGA-24h'!P87)</f>
        <v>51.5</v>
      </c>
      <c r="R87" s="8"/>
      <c r="T87"/>
    </row>
    <row r="88" spans="2:20" ht="23.1" customHeight="1" x14ac:dyDescent="0.25">
      <c r="B88" s="25" t="s">
        <v>128</v>
      </c>
      <c r="C88" s="49">
        <f>AVERAGE('26.07 KABUSU-RUBAGA-24h'!C88,'27.07 KABUSU-RUBAGA-24h'!C88)</f>
        <v>10</v>
      </c>
      <c r="D88" s="49">
        <f>AVERAGE('26.07 KABUSU-RUBAGA-24h'!D88,'27.07 KABUSU-RUBAGA-24h'!D88)</f>
        <v>0.5</v>
      </c>
      <c r="E88" s="49">
        <f>AVERAGE('26.07 KABUSU-RUBAGA-24h'!E88,'27.07 KABUSU-RUBAGA-24h'!E88)</f>
        <v>0</v>
      </c>
      <c r="F88" s="49">
        <f>AVERAGE('26.07 KABUSU-RUBAGA-24h'!F88,'27.07 KABUSU-RUBAGA-24h'!F88)</f>
        <v>0.5</v>
      </c>
      <c r="G88" s="49">
        <f>AVERAGE('26.07 KABUSU-RUBAGA-24h'!G88,'27.07 KABUSU-RUBAGA-24h'!G88)</f>
        <v>0</v>
      </c>
      <c r="H88" s="49">
        <f>AVERAGE('26.07 KABUSU-RUBAGA-24h'!H88,'27.07 KABUSU-RUBAGA-24h'!H88)</f>
        <v>0.5</v>
      </c>
      <c r="I88" s="49">
        <f>AVERAGE('26.07 KABUSU-RUBAGA-24h'!I88,'27.07 KABUSU-RUBAGA-24h'!I88)</f>
        <v>0.5</v>
      </c>
      <c r="J88" s="49">
        <f>AVERAGE('26.07 KABUSU-RUBAGA-24h'!J88,'27.07 KABUSU-RUBAGA-24h'!J88)</f>
        <v>0.5</v>
      </c>
      <c r="K88" s="49">
        <f>AVERAGE('26.07 KABUSU-RUBAGA-24h'!K88,'27.07 KABUSU-RUBAGA-24h'!K88)</f>
        <v>0</v>
      </c>
      <c r="L88" s="49">
        <f>AVERAGE('26.07 KABUSU-RUBAGA-24h'!L88,'27.07 KABUSU-RUBAGA-24h'!L88)</f>
        <v>0.5</v>
      </c>
      <c r="M88" s="49">
        <f>AVERAGE('26.07 KABUSU-RUBAGA-24h'!M88,'27.07 KABUSU-RUBAGA-24h'!M88)</f>
        <v>30</v>
      </c>
      <c r="N88" s="49">
        <f>AVERAGE('26.07 KABUSU-RUBAGA-24h'!N88,'27.07 KABUSU-RUBAGA-24h'!N88)</f>
        <v>0</v>
      </c>
      <c r="O88" s="49">
        <f>AVERAGE('26.07 KABUSU-RUBAGA-24h'!O88,'27.07 KABUSU-RUBAGA-24h'!O88)</f>
        <v>13</v>
      </c>
      <c r="P88" s="49">
        <f>AVERAGE('26.07 KABUSU-RUBAGA-24h'!P88,'27.07 KABUSU-RUBAGA-24h'!P88)</f>
        <v>43</v>
      </c>
      <c r="R88" s="8"/>
      <c r="T88"/>
    </row>
    <row r="89" spans="2:20" ht="23.1" customHeight="1" x14ac:dyDescent="0.25">
      <c r="B89" s="23" t="s">
        <v>129</v>
      </c>
      <c r="C89" s="49">
        <f>AVERAGE('26.07 KABUSU-RUBAGA-24h'!C89,'27.07 KABUSU-RUBAGA-24h'!C89)</f>
        <v>12</v>
      </c>
      <c r="D89" s="49">
        <f>AVERAGE('26.07 KABUSU-RUBAGA-24h'!D89,'27.07 KABUSU-RUBAGA-24h'!D89)</f>
        <v>0</v>
      </c>
      <c r="E89" s="49">
        <f>AVERAGE('26.07 KABUSU-RUBAGA-24h'!E89,'27.07 KABUSU-RUBAGA-24h'!E89)</f>
        <v>1</v>
      </c>
      <c r="F89" s="49">
        <f>AVERAGE('26.07 KABUSU-RUBAGA-24h'!F89,'27.07 KABUSU-RUBAGA-24h'!F89)</f>
        <v>0</v>
      </c>
      <c r="G89" s="49">
        <f>AVERAGE('26.07 KABUSU-RUBAGA-24h'!G89,'27.07 KABUSU-RUBAGA-24h'!G89)</f>
        <v>0</v>
      </c>
      <c r="H89" s="49">
        <f>AVERAGE('26.07 KABUSU-RUBAGA-24h'!H89,'27.07 KABUSU-RUBAGA-24h'!H89)</f>
        <v>0</v>
      </c>
      <c r="I89" s="49">
        <f>AVERAGE('26.07 KABUSU-RUBAGA-24h'!I89,'27.07 KABUSU-RUBAGA-24h'!I89)</f>
        <v>0</v>
      </c>
      <c r="J89" s="49">
        <f>AVERAGE('26.07 KABUSU-RUBAGA-24h'!J89,'27.07 KABUSU-RUBAGA-24h'!J89)</f>
        <v>0</v>
      </c>
      <c r="K89" s="49">
        <f>AVERAGE('26.07 KABUSU-RUBAGA-24h'!K89,'27.07 KABUSU-RUBAGA-24h'!K89)</f>
        <v>1</v>
      </c>
      <c r="L89" s="49">
        <f>AVERAGE('26.07 KABUSU-RUBAGA-24h'!L89,'27.07 KABUSU-RUBAGA-24h'!L89)</f>
        <v>0</v>
      </c>
      <c r="M89" s="49">
        <f>AVERAGE('26.07 KABUSU-RUBAGA-24h'!M89,'27.07 KABUSU-RUBAGA-24h'!M89)</f>
        <v>31.5</v>
      </c>
      <c r="N89" s="49">
        <f>AVERAGE('26.07 KABUSU-RUBAGA-24h'!N89,'27.07 KABUSU-RUBAGA-24h'!N89)</f>
        <v>0</v>
      </c>
      <c r="O89" s="49">
        <f>AVERAGE('26.07 KABUSU-RUBAGA-24h'!O89,'27.07 KABUSU-RUBAGA-24h'!O89)</f>
        <v>14</v>
      </c>
      <c r="P89" s="49">
        <f>AVERAGE('26.07 KABUSU-RUBAGA-24h'!P89,'27.07 KABUSU-RUBAGA-24h'!P89)</f>
        <v>45.5</v>
      </c>
      <c r="R89" s="8"/>
      <c r="T89"/>
    </row>
    <row r="90" spans="2:20" ht="23.1" customHeight="1" x14ac:dyDescent="0.25">
      <c r="B90" s="24" t="s">
        <v>130</v>
      </c>
      <c r="C90" s="49">
        <f>AVERAGE('26.07 KABUSU-RUBAGA-24h'!C90,'27.07 KABUSU-RUBAGA-24h'!C90)</f>
        <v>12.5</v>
      </c>
      <c r="D90" s="49">
        <f>AVERAGE('26.07 KABUSU-RUBAGA-24h'!D90,'27.07 KABUSU-RUBAGA-24h'!D90)</f>
        <v>0</v>
      </c>
      <c r="E90" s="49">
        <f>AVERAGE('26.07 KABUSU-RUBAGA-24h'!E90,'27.07 KABUSU-RUBAGA-24h'!E90)</f>
        <v>0.5</v>
      </c>
      <c r="F90" s="49">
        <f>AVERAGE('26.07 KABUSU-RUBAGA-24h'!F90,'27.07 KABUSU-RUBAGA-24h'!F90)</f>
        <v>2.5</v>
      </c>
      <c r="G90" s="49">
        <f>AVERAGE('26.07 KABUSU-RUBAGA-24h'!G90,'27.07 KABUSU-RUBAGA-24h'!G90)</f>
        <v>0</v>
      </c>
      <c r="H90" s="49">
        <f>AVERAGE('26.07 KABUSU-RUBAGA-24h'!H90,'27.07 KABUSU-RUBAGA-24h'!H90)</f>
        <v>0</v>
      </c>
      <c r="I90" s="49">
        <f>AVERAGE('26.07 KABUSU-RUBAGA-24h'!I90,'27.07 KABUSU-RUBAGA-24h'!I90)</f>
        <v>2</v>
      </c>
      <c r="J90" s="49">
        <f>AVERAGE('26.07 KABUSU-RUBAGA-24h'!J90,'27.07 KABUSU-RUBAGA-24h'!J90)</f>
        <v>0.5</v>
      </c>
      <c r="K90" s="49">
        <f>AVERAGE('26.07 KABUSU-RUBAGA-24h'!K90,'27.07 KABUSU-RUBAGA-24h'!K90)</f>
        <v>0</v>
      </c>
      <c r="L90" s="49">
        <f>AVERAGE('26.07 KABUSU-RUBAGA-24h'!L90,'27.07 KABUSU-RUBAGA-24h'!L90)</f>
        <v>0</v>
      </c>
      <c r="M90" s="49">
        <f>AVERAGE('26.07 KABUSU-RUBAGA-24h'!M90,'27.07 KABUSU-RUBAGA-24h'!M90)</f>
        <v>25</v>
      </c>
      <c r="N90" s="49">
        <f>AVERAGE('26.07 KABUSU-RUBAGA-24h'!N90,'27.07 KABUSU-RUBAGA-24h'!N90)</f>
        <v>0</v>
      </c>
      <c r="O90" s="49">
        <f>AVERAGE('26.07 KABUSU-RUBAGA-24h'!O90,'27.07 KABUSU-RUBAGA-24h'!O90)</f>
        <v>18</v>
      </c>
      <c r="P90" s="49">
        <f>AVERAGE('26.07 KABUSU-RUBAGA-24h'!P90,'27.07 KABUSU-RUBAGA-24h'!P90)</f>
        <v>43</v>
      </c>
      <c r="R90" s="8"/>
      <c r="T90"/>
    </row>
    <row r="91" spans="2:20" ht="23.1" customHeight="1" x14ac:dyDescent="0.25">
      <c r="B91" s="23" t="s">
        <v>131</v>
      </c>
      <c r="C91" s="49">
        <f>AVERAGE('26.07 KABUSU-RUBAGA-24h'!C91,'27.07 KABUSU-RUBAGA-24h'!C91)</f>
        <v>15.5</v>
      </c>
      <c r="D91" s="49">
        <f>AVERAGE('26.07 KABUSU-RUBAGA-24h'!D91,'27.07 KABUSU-RUBAGA-24h'!D91)</f>
        <v>0.5</v>
      </c>
      <c r="E91" s="49">
        <f>AVERAGE('26.07 KABUSU-RUBAGA-24h'!E91,'27.07 KABUSU-RUBAGA-24h'!E91)</f>
        <v>0.5</v>
      </c>
      <c r="F91" s="49">
        <f>AVERAGE('26.07 KABUSU-RUBAGA-24h'!F91,'27.07 KABUSU-RUBAGA-24h'!F91)</f>
        <v>7</v>
      </c>
      <c r="G91" s="49">
        <f>AVERAGE('26.07 KABUSU-RUBAGA-24h'!G91,'27.07 KABUSU-RUBAGA-24h'!G91)</f>
        <v>0.5</v>
      </c>
      <c r="H91" s="49">
        <f>AVERAGE('26.07 KABUSU-RUBAGA-24h'!H91,'27.07 KABUSU-RUBAGA-24h'!H91)</f>
        <v>0.5</v>
      </c>
      <c r="I91" s="49">
        <f>AVERAGE('26.07 KABUSU-RUBAGA-24h'!I91,'27.07 KABUSU-RUBAGA-24h'!I91)</f>
        <v>0</v>
      </c>
      <c r="J91" s="49">
        <f>AVERAGE('26.07 KABUSU-RUBAGA-24h'!J91,'27.07 KABUSU-RUBAGA-24h'!J91)</f>
        <v>1.5</v>
      </c>
      <c r="K91" s="49">
        <f>AVERAGE('26.07 KABUSU-RUBAGA-24h'!K91,'27.07 KABUSU-RUBAGA-24h'!K91)</f>
        <v>0</v>
      </c>
      <c r="L91" s="49">
        <f>AVERAGE('26.07 KABUSU-RUBAGA-24h'!L91,'27.07 KABUSU-RUBAGA-24h'!L91)</f>
        <v>0</v>
      </c>
      <c r="M91" s="49">
        <f>AVERAGE('26.07 KABUSU-RUBAGA-24h'!M91,'27.07 KABUSU-RUBAGA-24h'!M91)</f>
        <v>22</v>
      </c>
      <c r="N91" s="49">
        <f>AVERAGE('26.07 KABUSU-RUBAGA-24h'!N91,'27.07 KABUSU-RUBAGA-24h'!N91)</f>
        <v>0</v>
      </c>
      <c r="O91" s="49">
        <f>AVERAGE('26.07 KABUSU-RUBAGA-24h'!O91,'27.07 KABUSU-RUBAGA-24h'!O91)</f>
        <v>26</v>
      </c>
      <c r="P91" s="49">
        <f>AVERAGE('26.07 KABUSU-RUBAGA-24h'!P91,'27.07 KABUSU-RUBAGA-24h'!P91)</f>
        <v>48</v>
      </c>
      <c r="R91" s="8"/>
      <c r="T91"/>
    </row>
    <row r="92" spans="2:20" ht="23.1" customHeight="1" x14ac:dyDescent="0.25">
      <c r="B92" s="25" t="s">
        <v>132</v>
      </c>
      <c r="C92" s="49">
        <f>AVERAGE('26.07 KABUSU-RUBAGA-24h'!C92,'27.07 KABUSU-RUBAGA-24h'!C92)</f>
        <v>16</v>
      </c>
      <c r="D92" s="49">
        <f>AVERAGE('26.07 KABUSU-RUBAGA-24h'!D92,'27.07 KABUSU-RUBAGA-24h'!D92)</f>
        <v>1.5</v>
      </c>
      <c r="E92" s="49">
        <f>AVERAGE('26.07 KABUSU-RUBAGA-24h'!E92,'27.07 KABUSU-RUBAGA-24h'!E92)</f>
        <v>1</v>
      </c>
      <c r="F92" s="49">
        <f>AVERAGE('26.07 KABUSU-RUBAGA-24h'!F92,'27.07 KABUSU-RUBAGA-24h'!F92)</f>
        <v>3</v>
      </c>
      <c r="G92" s="49">
        <f>AVERAGE('26.07 KABUSU-RUBAGA-24h'!G92,'27.07 KABUSU-RUBAGA-24h'!G92)</f>
        <v>0</v>
      </c>
      <c r="H92" s="49">
        <f>AVERAGE('26.07 KABUSU-RUBAGA-24h'!H92,'27.07 KABUSU-RUBAGA-24h'!H92)</f>
        <v>1</v>
      </c>
      <c r="I92" s="49">
        <f>AVERAGE('26.07 KABUSU-RUBAGA-24h'!I92,'27.07 KABUSU-RUBAGA-24h'!I92)</f>
        <v>0.5</v>
      </c>
      <c r="J92" s="49">
        <f>AVERAGE('26.07 KABUSU-RUBAGA-24h'!J92,'27.07 KABUSU-RUBAGA-24h'!J92)</f>
        <v>0.5</v>
      </c>
      <c r="K92" s="49">
        <f>AVERAGE('26.07 KABUSU-RUBAGA-24h'!K92,'27.07 KABUSU-RUBAGA-24h'!K92)</f>
        <v>0</v>
      </c>
      <c r="L92" s="49">
        <f>AVERAGE('26.07 KABUSU-RUBAGA-24h'!L92,'27.07 KABUSU-RUBAGA-24h'!L92)</f>
        <v>0</v>
      </c>
      <c r="M92" s="49">
        <f>AVERAGE('26.07 KABUSU-RUBAGA-24h'!M92,'27.07 KABUSU-RUBAGA-24h'!M92)</f>
        <v>22.5</v>
      </c>
      <c r="N92" s="49">
        <f>AVERAGE('26.07 KABUSU-RUBAGA-24h'!N92,'27.07 KABUSU-RUBAGA-24h'!N92)</f>
        <v>0</v>
      </c>
      <c r="O92" s="49">
        <f>AVERAGE('26.07 KABUSU-RUBAGA-24h'!O92,'27.07 KABUSU-RUBAGA-24h'!O92)</f>
        <v>23.5</v>
      </c>
      <c r="P92" s="49">
        <f>AVERAGE('26.07 KABUSU-RUBAGA-24h'!P92,'27.07 KABUSU-RUBAGA-24h'!P92)</f>
        <v>46</v>
      </c>
      <c r="R92" s="8"/>
      <c r="T92"/>
    </row>
    <row r="93" spans="2:20" ht="23.1" customHeight="1" x14ac:dyDescent="0.25">
      <c r="B93" s="23" t="s">
        <v>133</v>
      </c>
      <c r="C93" s="49">
        <f>AVERAGE('26.07 KABUSU-RUBAGA-24h'!C93,'27.07 KABUSU-RUBAGA-24h'!C93)</f>
        <v>11.5</v>
      </c>
      <c r="D93" s="49">
        <f>AVERAGE('26.07 KABUSU-RUBAGA-24h'!D93,'27.07 KABUSU-RUBAGA-24h'!D93)</f>
        <v>1</v>
      </c>
      <c r="E93" s="49">
        <f>AVERAGE('26.07 KABUSU-RUBAGA-24h'!E93,'27.07 KABUSU-RUBAGA-24h'!E93)</f>
        <v>0</v>
      </c>
      <c r="F93" s="49">
        <f>AVERAGE('26.07 KABUSU-RUBAGA-24h'!F93,'27.07 KABUSU-RUBAGA-24h'!F93)</f>
        <v>2.5</v>
      </c>
      <c r="G93" s="49">
        <f>AVERAGE('26.07 KABUSU-RUBAGA-24h'!G93,'27.07 KABUSU-RUBAGA-24h'!G93)</f>
        <v>0</v>
      </c>
      <c r="H93" s="49">
        <f>AVERAGE('26.07 KABUSU-RUBAGA-24h'!H93,'27.07 KABUSU-RUBAGA-24h'!H93)</f>
        <v>0</v>
      </c>
      <c r="I93" s="49">
        <f>AVERAGE('26.07 KABUSU-RUBAGA-24h'!I93,'27.07 KABUSU-RUBAGA-24h'!I93)</f>
        <v>1</v>
      </c>
      <c r="J93" s="49">
        <f>AVERAGE('26.07 KABUSU-RUBAGA-24h'!J93,'27.07 KABUSU-RUBAGA-24h'!J93)</f>
        <v>1.5</v>
      </c>
      <c r="K93" s="49">
        <f>AVERAGE('26.07 KABUSU-RUBAGA-24h'!K93,'27.07 KABUSU-RUBAGA-24h'!K93)</f>
        <v>0</v>
      </c>
      <c r="L93" s="49">
        <f>AVERAGE('26.07 KABUSU-RUBAGA-24h'!L93,'27.07 KABUSU-RUBAGA-24h'!L93)</f>
        <v>0</v>
      </c>
      <c r="M93" s="49">
        <f>AVERAGE('26.07 KABUSU-RUBAGA-24h'!M93,'27.07 KABUSU-RUBAGA-24h'!M93)</f>
        <v>25.5</v>
      </c>
      <c r="N93" s="49">
        <f>AVERAGE('26.07 KABUSU-RUBAGA-24h'!N93,'27.07 KABUSU-RUBAGA-24h'!N93)</f>
        <v>0</v>
      </c>
      <c r="O93" s="49">
        <f>AVERAGE('26.07 KABUSU-RUBAGA-24h'!O93,'27.07 KABUSU-RUBAGA-24h'!O93)</f>
        <v>17.5</v>
      </c>
      <c r="P93" s="49">
        <f>AVERAGE('26.07 KABUSU-RUBAGA-24h'!P93,'27.07 KABUSU-RUBAGA-24h'!P93)</f>
        <v>43</v>
      </c>
      <c r="R93" s="8"/>
      <c r="T93"/>
    </row>
    <row r="94" spans="2:20" ht="23.1" customHeight="1" x14ac:dyDescent="0.25">
      <c r="B94" s="24" t="s">
        <v>134</v>
      </c>
      <c r="C94" s="49">
        <f>AVERAGE('26.07 KABUSU-RUBAGA-24h'!C94,'27.07 KABUSU-RUBAGA-24h'!C94)</f>
        <v>11</v>
      </c>
      <c r="D94" s="49">
        <f>AVERAGE('26.07 KABUSU-RUBAGA-24h'!D94,'27.07 KABUSU-RUBAGA-24h'!D94)</f>
        <v>1</v>
      </c>
      <c r="E94" s="49">
        <f>AVERAGE('26.07 KABUSU-RUBAGA-24h'!E94,'27.07 KABUSU-RUBAGA-24h'!E94)</f>
        <v>0.5</v>
      </c>
      <c r="F94" s="49">
        <f>AVERAGE('26.07 KABUSU-RUBAGA-24h'!F94,'27.07 KABUSU-RUBAGA-24h'!F94)</f>
        <v>4</v>
      </c>
      <c r="G94" s="49">
        <f>AVERAGE('26.07 KABUSU-RUBAGA-24h'!G94,'27.07 KABUSU-RUBAGA-24h'!G94)</f>
        <v>0</v>
      </c>
      <c r="H94" s="49">
        <f>AVERAGE('26.07 KABUSU-RUBAGA-24h'!H94,'27.07 KABUSU-RUBAGA-24h'!H94)</f>
        <v>0.5</v>
      </c>
      <c r="I94" s="49">
        <f>AVERAGE('26.07 KABUSU-RUBAGA-24h'!I94,'27.07 KABUSU-RUBAGA-24h'!I94)</f>
        <v>1</v>
      </c>
      <c r="J94" s="49">
        <f>AVERAGE('26.07 KABUSU-RUBAGA-24h'!J94,'27.07 KABUSU-RUBAGA-24h'!J94)</f>
        <v>2.5</v>
      </c>
      <c r="K94" s="49">
        <f>AVERAGE('26.07 KABUSU-RUBAGA-24h'!K94,'27.07 KABUSU-RUBAGA-24h'!K94)</f>
        <v>0</v>
      </c>
      <c r="L94" s="49">
        <f>AVERAGE('26.07 KABUSU-RUBAGA-24h'!L94,'27.07 KABUSU-RUBAGA-24h'!L94)</f>
        <v>0</v>
      </c>
      <c r="M94" s="49">
        <f>AVERAGE('26.07 KABUSU-RUBAGA-24h'!M94,'27.07 KABUSU-RUBAGA-24h'!M94)</f>
        <v>32.5</v>
      </c>
      <c r="N94" s="49">
        <f>AVERAGE('26.07 KABUSU-RUBAGA-24h'!N94,'27.07 KABUSU-RUBAGA-24h'!N94)</f>
        <v>0</v>
      </c>
      <c r="O94" s="49">
        <f>AVERAGE('26.07 KABUSU-RUBAGA-24h'!O94,'27.07 KABUSU-RUBAGA-24h'!O94)</f>
        <v>20.5</v>
      </c>
      <c r="P94" s="49">
        <f>AVERAGE('26.07 KABUSU-RUBAGA-24h'!P94,'27.07 KABUSU-RUBAGA-24h'!P94)</f>
        <v>53</v>
      </c>
      <c r="R94" s="8"/>
      <c r="T94"/>
    </row>
    <row r="95" spans="2:20" ht="23.1" customHeight="1" x14ac:dyDescent="0.25">
      <c r="B95" s="23" t="s">
        <v>135</v>
      </c>
      <c r="C95" s="49">
        <f>AVERAGE('26.07 KABUSU-RUBAGA-24h'!C95,'27.07 KABUSU-RUBAGA-24h'!C95)</f>
        <v>4.5</v>
      </c>
      <c r="D95" s="49">
        <f>AVERAGE('26.07 KABUSU-RUBAGA-24h'!D95,'27.07 KABUSU-RUBAGA-24h'!D95)</f>
        <v>1</v>
      </c>
      <c r="E95" s="49">
        <f>AVERAGE('26.07 KABUSU-RUBAGA-24h'!E95,'27.07 KABUSU-RUBAGA-24h'!E95)</f>
        <v>0</v>
      </c>
      <c r="F95" s="49">
        <f>AVERAGE('26.07 KABUSU-RUBAGA-24h'!F95,'27.07 KABUSU-RUBAGA-24h'!F95)</f>
        <v>2</v>
      </c>
      <c r="G95" s="49">
        <f>AVERAGE('26.07 KABUSU-RUBAGA-24h'!G95,'27.07 KABUSU-RUBAGA-24h'!G95)</f>
        <v>0.5</v>
      </c>
      <c r="H95" s="49">
        <f>AVERAGE('26.07 KABUSU-RUBAGA-24h'!H95,'27.07 KABUSU-RUBAGA-24h'!H95)</f>
        <v>0.5</v>
      </c>
      <c r="I95" s="49">
        <f>AVERAGE('26.07 KABUSU-RUBAGA-24h'!I95,'27.07 KABUSU-RUBAGA-24h'!I95)</f>
        <v>1.5</v>
      </c>
      <c r="J95" s="49">
        <f>AVERAGE('26.07 KABUSU-RUBAGA-24h'!J95,'27.07 KABUSU-RUBAGA-24h'!J95)</f>
        <v>0</v>
      </c>
      <c r="K95" s="49">
        <f>AVERAGE('26.07 KABUSU-RUBAGA-24h'!K95,'27.07 KABUSU-RUBAGA-24h'!K95)</f>
        <v>0.5</v>
      </c>
      <c r="L95" s="49">
        <f>AVERAGE('26.07 KABUSU-RUBAGA-24h'!L95,'27.07 KABUSU-RUBAGA-24h'!L95)</f>
        <v>0</v>
      </c>
      <c r="M95" s="49">
        <f>AVERAGE('26.07 KABUSU-RUBAGA-24h'!M95,'27.07 KABUSU-RUBAGA-24h'!M95)</f>
        <v>29.5</v>
      </c>
      <c r="N95" s="49">
        <f>AVERAGE('26.07 KABUSU-RUBAGA-24h'!N95,'27.07 KABUSU-RUBAGA-24h'!N95)</f>
        <v>0</v>
      </c>
      <c r="O95" s="49">
        <f>AVERAGE('26.07 KABUSU-RUBAGA-24h'!O95,'27.07 KABUSU-RUBAGA-24h'!O95)</f>
        <v>10.5</v>
      </c>
      <c r="P95" s="49">
        <f>AVERAGE('26.07 KABUSU-RUBAGA-24h'!P95,'27.07 KABUSU-RUBAGA-24h'!P95)</f>
        <v>40</v>
      </c>
      <c r="R95" s="8"/>
      <c r="T95"/>
    </row>
    <row r="96" spans="2:20" ht="23.1" customHeight="1" x14ac:dyDescent="0.25">
      <c r="B96" s="25" t="s">
        <v>136</v>
      </c>
      <c r="C96" s="49">
        <f>AVERAGE('26.07 KABUSU-RUBAGA-24h'!C96,'27.07 KABUSU-RUBAGA-24h'!C96)</f>
        <v>8</v>
      </c>
      <c r="D96" s="49">
        <f>AVERAGE('26.07 KABUSU-RUBAGA-24h'!D96,'27.07 KABUSU-RUBAGA-24h'!D96)</f>
        <v>0.5</v>
      </c>
      <c r="E96" s="49">
        <f>AVERAGE('26.07 KABUSU-RUBAGA-24h'!E96,'27.07 KABUSU-RUBAGA-24h'!E96)</f>
        <v>0</v>
      </c>
      <c r="F96" s="49">
        <f>AVERAGE('26.07 KABUSU-RUBAGA-24h'!F96,'27.07 KABUSU-RUBAGA-24h'!F96)</f>
        <v>2</v>
      </c>
      <c r="G96" s="49">
        <f>AVERAGE('26.07 KABUSU-RUBAGA-24h'!G96,'27.07 KABUSU-RUBAGA-24h'!G96)</f>
        <v>0</v>
      </c>
      <c r="H96" s="49">
        <f>AVERAGE('26.07 KABUSU-RUBAGA-24h'!H96,'27.07 KABUSU-RUBAGA-24h'!H96)</f>
        <v>3</v>
      </c>
      <c r="I96" s="49">
        <f>AVERAGE('26.07 KABUSU-RUBAGA-24h'!I96,'27.07 KABUSU-RUBAGA-24h'!I96)</f>
        <v>1.5</v>
      </c>
      <c r="J96" s="49">
        <f>AVERAGE('26.07 KABUSU-RUBAGA-24h'!J96,'27.07 KABUSU-RUBAGA-24h'!J96)</f>
        <v>0.5</v>
      </c>
      <c r="K96" s="49">
        <f>AVERAGE('26.07 KABUSU-RUBAGA-24h'!K96,'27.07 KABUSU-RUBAGA-24h'!K96)</f>
        <v>1</v>
      </c>
      <c r="L96" s="49">
        <f>AVERAGE('26.07 KABUSU-RUBAGA-24h'!L96,'27.07 KABUSU-RUBAGA-24h'!L96)</f>
        <v>0</v>
      </c>
      <c r="M96" s="49">
        <f>AVERAGE('26.07 KABUSU-RUBAGA-24h'!M96,'27.07 KABUSU-RUBAGA-24h'!M96)</f>
        <v>29.5</v>
      </c>
      <c r="N96" s="49">
        <f>AVERAGE('26.07 KABUSU-RUBAGA-24h'!N96,'27.07 KABUSU-RUBAGA-24h'!N96)</f>
        <v>0</v>
      </c>
      <c r="O96" s="49">
        <f>AVERAGE('26.07 KABUSU-RUBAGA-24h'!O96,'27.07 KABUSU-RUBAGA-24h'!O96)</f>
        <v>16.5</v>
      </c>
      <c r="P96" s="49">
        <f>AVERAGE('26.07 KABUSU-RUBAGA-24h'!P96,'27.07 KABUSU-RUBAGA-24h'!P96)</f>
        <v>46</v>
      </c>
      <c r="R96" s="8"/>
      <c r="T96"/>
    </row>
    <row r="97" spans="2:20" ht="23.1" customHeight="1" x14ac:dyDescent="0.25">
      <c r="B97" s="23" t="s">
        <v>137</v>
      </c>
      <c r="C97" s="49">
        <f>AVERAGE('26.07 KABUSU-RUBAGA-24h'!C97,'27.07 KABUSU-RUBAGA-24h'!C97)</f>
        <v>8.5</v>
      </c>
      <c r="D97" s="49">
        <f>AVERAGE('26.07 KABUSU-RUBAGA-24h'!D97,'27.07 KABUSU-RUBAGA-24h'!D97)</f>
        <v>0</v>
      </c>
      <c r="E97" s="49">
        <f>AVERAGE('26.07 KABUSU-RUBAGA-24h'!E97,'27.07 KABUSU-RUBAGA-24h'!E97)</f>
        <v>1</v>
      </c>
      <c r="F97" s="49">
        <f>AVERAGE('26.07 KABUSU-RUBAGA-24h'!F97,'27.07 KABUSU-RUBAGA-24h'!F97)</f>
        <v>3</v>
      </c>
      <c r="G97" s="49">
        <f>AVERAGE('26.07 KABUSU-RUBAGA-24h'!G97,'27.07 KABUSU-RUBAGA-24h'!G97)</f>
        <v>0</v>
      </c>
      <c r="H97" s="49">
        <f>AVERAGE('26.07 KABUSU-RUBAGA-24h'!H97,'27.07 KABUSU-RUBAGA-24h'!H97)</f>
        <v>0</v>
      </c>
      <c r="I97" s="49">
        <f>AVERAGE('26.07 KABUSU-RUBAGA-24h'!I97,'27.07 KABUSU-RUBAGA-24h'!I97)</f>
        <v>2</v>
      </c>
      <c r="J97" s="49">
        <f>AVERAGE('26.07 KABUSU-RUBAGA-24h'!J97,'27.07 KABUSU-RUBAGA-24h'!J97)</f>
        <v>1</v>
      </c>
      <c r="K97" s="49">
        <f>AVERAGE('26.07 KABUSU-RUBAGA-24h'!K97,'27.07 KABUSU-RUBAGA-24h'!K97)</f>
        <v>0.5</v>
      </c>
      <c r="L97" s="49">
        <f>AVERAGE('26.07 KABUSU-RUBAGA-24h'!L97,'27.07 KABUSU-RUBAGA-24h'!L97)</f>
        <v>0</v>
      </c>
      <c r="M97" s="49">
        <f>AVERAGE('26.07 KABUSU-RUBAGA-24h'!M97,'27.07 KABUSU-RUBAGA-24h'!M97)</f>
        <v>29.5</v>
      </c>
      <c r="N97" s="49">
        <f>AVERAGE('26.07 KABUSU-RUBAGA-24h'!N97,'27.07 KABUSU-RUBAGA-24h'!N97)</f>
        <v>0</v>
      </c>
      <c r="O97" s="49">
        <f>AVERAGE('26.07 KABUSU-RUBAGA-24h'!O97,'27.07 KABUSU-RUBAGA-24h'!O97)</f>
        <v>16</v>
      </c>
      <c r="P97" s="49">
        <f>AVERAGE('26.07 KABUSU-RUBAGA-24h'!P97,'27.07 KABUSU-RUBAGA-24h'!P97)</f>
        <v>45.5</v>
      </c>
      <c r="R97" s="8"/>
      <c r="T97"/>
    </row>
    <row r="98" spans="2:20" ht="23.1" customHeight="1" x14ac:dyDescent="0.25">
      <c r="B98" s="24" t="s">
        <v>138</v>
      </c>
      <c r="C98" s="49">
        <f>AVERAGE('26.07 KABUSU-RUBAGA-24h'!C98,'27.07 KABUSU-RUBAGA-24h'!C98)</f>
        <v>8</v>
      </c>
      <c r="D98" s="49">
        <f>AVERAGE('26.07 KABUSU-RUBAGA-24h'!D98,'27.07 KABUSU-RUBAGA-24h'!D98)</f>
        <v>0.5</v>
      </c>
      <c r="E98" s="49">
        <f>AVERAGE('26.07 KABUSU-RUBAGA-24h'!E98,'27.07 KABUSU-RUBAGA-24h'!E98)</f>
        <v>1.5</v>
      </c>
      <c r="F98" s="49">
        <f>AVERAGE('26.07 KABUSU-RUBAGA-24h'!F98,'27.07 KABUSU-RUBAGA-24h'!F98)</f>
        <v>8.5</v>
      </c>
      <c r="G98" s="49">
        <f>AVERAGE('26.07 KABUSU-RUBAGA-24h'!G98,'27.07 KABUSU-RUBAGA-24h'!G98)</f>
        <v>0.5</v>
      </c>
      <c r="H98" s="49">
        <f>AVERAGE('26.07 KABUSU-RUBAGA-24h'!H98,'27.07 KABUSU-RUBAGA-24h'!H98)</f>
        <v>0.5</v>
      </c>
      <c r="I98" s="49">
        <f>AVERAGE('26.07 KABUSU-RUBAGA-24h'!I98,'27.07 KABUSU-RUBAGA-24h'!I98)</f>
        <v>0.5</v>
      </c>
      <c r="J98" s="49">
        <f>AVERAGE('26.07 KABUSU-RUBAGA-24h'!J98,'27.07 KABUSU-RUBAGA-24h'!J98)</f>
        <v>1</v>
      </c>
      <c r="K98" s="49">
        <f>AVERAGE('26.07 KABUSU-RUBAGA-24h'!K98,'27.07 KABUSU-RUBAGA-24h'!K98)</f>
        <v>0.5</v>
      </c>
      <c r="L98" s="49">
        <f>AVERAGE('26.07 KABUSU-RUBAGA-24h'!L98,'27.07 KABUSU-RUBAGA-24h'!L98)</f>
        <v>0</v>
      </c>
      <c r="M98" s="49">
        <f>AVERAGE('26.07 KABUSU-RUBAGA-24h'!M98,'27.07 KABUSU-RUBAGA-24h'!M98)</f>
        <v>20.5</v>
      </c>
      <c r="N98" s="49">
        <f>AVERAGE('26.07 KABUSU-RUBAGA-24h'!N98,'27.07 KABUSU-RUBAGA-24h'!N98)</f>
        <v>0</v>
      </c>
      <c r="O98" s="49">
        <f>AVERAGE('26.07 KABUSU-RUBAGA-24h'!O98,'27.07 KABUSU-RUBAGA-24h'!O98)</f>
        <v>21.5</v>
      </c>
      <c r="P98" s="49">
        <f>AVERAGE('26.07 KABUSU-RUBAGA-24h'!P98,'27.07 KABUSU-RUBAGA-24h'!P98)</f>
        <v>42</v>
      </c>
      <c r="R98" s="8"/>
      <c r="T98"/>
    </row>
    <row r="99" spans="2:20" ht="23.1" customHeight="1" x14ac:dyDescent="0.25">
      <c r="B99" s="23" t="s">
        <v>139</v>
      </c>
      <c r="C99" s="49">
        <f>AVERAGE('26.07 KABUSU-RUBAGA-24h'!C99,'27.07 KABUSU-RUBAGA-24h'!C99)</f>
        <v>13.5</v>
      </c>
      <c r="D99" s="49">
        <f>AVERAGE('26.07 KABUSU-RUBAGA-24h'!D99,'27.07 KABUSU-RUBAGA-24h'!D99)</f>
        <v>1.5</v>
      </c>
      <c r="E99" s="49">
        <f>AVERAGE('26.07 KABUSU-RUBAGA-24h'!E99,'27.07 KABUSU-RUBAGA-24h'!E99)</f>
        <v>0.5</v>
      </c>
      <c r="F99" s="49">
        <f>AVERAGE('26.07 KABUSU-RUBAGA-24h'!F99,'27.07 KABUSU-RUBAGA-24h'!F99)</f>
        <v>11</v>
      </c>
      <c r="G99" s="49">
        <f>AVERAGE('26.07 KABUSU-RUBAGA-24h'!G99,'27.07 KABUSU-RUBAGA-24h'!G99)</f>
        <v>0.5</v>
      </c>
      <c r="H99" s="49">
        <f>AVERAGE('26.07 KABUSU-RUBAGA-24h'!H99,'27.07 KABUSU-RUBAGA-24h'!H99)</f>
        <v>1.5</v>
      </c>
      <c r="I99" s="49">
        <f>AVERAGE('26.07 KABUSU-RUBAGA-24h'!I99,'27.07 KABUSU-RUBAGA-24h'!I99)</f>
        <v>3</v>
      </c>
      <c r="J99" s="49">
        <f>AVERAGE('26.07 KABUSU-RUBAGA-24h'!J99,'27.07 KABUSU-RUBAGA-24h'!J99)</f>
        <v>0.5</v>
      </c>
      <c r="K99" s="49">
        <f>AVERAGE('26.07 KABUSU-RUBAGA-24h'!K99,'27.07 KABUSU-RUBAGA-24h'!K99)</f>
        <v>1</v>
      </c>
      <c r="L99" s="49">
        <f>AVERAGE('26.07 KABUSU-RUBAGA-24h'!L99,'27.07 KABUSU-RUBAGA-24h'!L99)</f>
        <v>0</v>
      </c>
      <c r="M99" s="49">
        <f>AVERAGE('26.07 KABUSU-RUBAGA-24h'!M99,'27.07 KABUSU-RUBAGA-24h'!M99)</f>
        <v>38</v>
      </c>
      <c r="N99" s="49">
        <f>AVERAGE('26.07 KABUSU-RUBAGA-24h'!N99,'27.07 KABUSU-RUBAGA-24h'!N99)</f>
        <v>0</v>
      </c>
      <c r="O99" s="49">
        <f>AVERAGE('26.07 KABUSU-RUBAGA-24h'!O99,'27.07 KABUSU-RUBAGA-24h'!O99)</f>
        <v>33</v>
      </c>
      <c r="P99" s="49">
        <f>AVERAGE('26.07 KABUSU-RUBAGA-24h'!P99,'27.07 KABUSU-RUBAGA-24h'!P99)</f>
        <v>71</v>
      </c>
      <c r="R99" s="8"/>
      <c r="T99"/>
    </row>
    <row r="100" spans="2:20" ht="23.1" customHeight="1" x14ac:dyDescent="0.25">
      <c r="B100" s="25" t="s">
        <v>140</v>
      </c>
      <c r="C100" s="49">
        <f>AVERAGE('26.07 KABUSU-RUBAGA-24h'!C100,'27.07 KABUSU-RUBAGA-24h'!C100)</f>
        <v>14</v>
      </c>
      <c r="D100" s="49">
        <f>AVERAGE('26.07 KABUSU-RUBAGA-24h'!D100,'27.07 KABUSU-RUBAGA-24h'!D100)</f>
        <v>1</v>
      </c>
      <c r="E100" s="49">
        <f>AVERAGE('26.07 KABUSU-RUBAGA-24h'!E100,'27.07 KABUSU-RUBAGA-24h'!E100)</f>
        <v>1.5</v>
      </c>
      <c r="F100" s="49">
        <f>AVERAGE('26.07 KABUSU-RUBAGA-24h'!F100,'27.07 KABUSU-RUBAGA-24h'!F100)</f>
        <v>22.5</v>
      </c>
      <c r="G100" s="49">
        <f>AVERAGE('26.07 KABUSU-RUBAGA-24h'!G100,'27.07 KABUSU-RUBAGA-24h'!G100)</f>
        <v>0.5</v>
      </c>
      <c r="H100" s="49">
        <f>AVERAGE('26.07 KABUSU-RUBAGA-24h'!H100,'27.07 KABUSU-RUBAGA-24h'!H100)</f>
        <v>0.5</v>
      </c>
      <c r="I100" s="49">
        <f>AVERAGE('26.07 KABUSU-RUBAGA-24h'!I100,'27.07 KABUSU-RUBAGA-24h'!I100)</f>
        <v>3</v>
      </c>
      <c r="J100" s="49">
        <f>AVERAGE('26.07 KABUSU-RUBAGA-24h'!J100,'27.07 KABUSU-RUBAGA-24h'!J100)</f>
        <v>0.5</v>
      </c>
      <c r="K100" s="49">
        <f>AVERAGE('26.07 KABUSU-RUBAGA-24h'!K100,'27.07 KABUSU-RUBAGA-24h'!K100)</f>
        <v>1</v>
      </c>
      <c r="L100" s="49">
        <f>AVERAGE('26.07 KABUSU-RUBAGA-24h'!L100,'27.07 KABUSU-RUBAGA-24h'!L100)</f>
        <v>0</v>
      </c>
      <c r="M100" s="49">
        <f>AVERAGE('26.07 KABUSU-RUBAGA-24h'!M100,'27.07 KABUSU-RUBAGA-24h'!M100)</f>
        <v>32.5</v>
      </c>
      <c r="N100" s="49">
        <f>AVERAGE('26.07 KABUSU-RUBAGA-24h'!N100,'27.07 KABUSU-RUBAGA-24h'!N100)</f>
        <v>0</v>
      </c>
      <c r="O100" s="49">
        <f>AVERAGE('26.07 KABUSU-RUBAGA-24h'!O100,'27.07 KABUSU-RUBAGA-24h'!O100)</f>
        <v>44.5</v>
      </c>
      <c r="P100" s="49">
        <f>AVERAGE('26.07 KABUSU-RUBAGA-24h'!P100,'27.07 KABUSU-RUBAGA-24h'!P100)</f>
        <v>77</v>
      </c>
      <c r="R100" s="8"/>
      <c r="T100"/>
    </row>
    <row r="101" spans="2:20" ht="23.1" customHeight="1" x14ac:dyDescent="0.25">
      <c r="B101" s="23" t="s">
        <v>141</v>
      </c>
      <c r="C101" s="49">
        <f>AVERAGE('26.07 KABUSU-RUBAGA-24h'!C101,'27.07 KABUSU-RUBAGA-24h'!C101)</f>
        <v>10.5</v>
      </c>
      <c r="D101" s="49">
        <f>AVERAGE('26.07 KABUSU-RUBAGA-24h'!D101,'27.07 KABUSU-RUBAGA-24h'!D101)</f>
        <v>0</v>
      </c>
      <c r="E101" s="49">
        <f>AVERAGE('26.07 KABUSU-RUBAGA-24h'!E101,'27.07 KABUSU-RUBAGA-24h'!E101)</f>
        <v>0.5</v>
      </c>
      <c r="F101" s="49">
        <f>AVERAGE('26.07 KABUSU-RUBAGA-24h'!F101,'27.07 KABUSU-RUBAGA-24h'!F101)</f>
        <v>31.5</v>
      </c>
      <c r="G101" s="49">
        <f>AVERAGE('26.07 KABUSU-RUBAGA-24h'!G101,'27.07 KABUSU-RUBAGA-24h'!G101)</f>
        <v>1</v>
      </c>
      <c r="H101" s="49">
        <f>AVERAGE('26.07 KABUSU-RUBAGA-24h'!H101,'27.07 KABUSU-RUBAGA-24h'!H101)</f>
        <v>1.5</v>
      </c>
      <c r="I101" s="49">
        <f>AVERAGE('26.07 KABUSU-RUBAGA-24h'!I101,'27.07 KABUSU-RUBAGA-24h'!I101)</f>
        <v>4</v>
      </c>
      <c r="J101" s="49">
        <f>AVERAGE('26.07 KABUSU-RUBAGA-24h'!J101,'27.07 KABUSU-RUBAGA-24h'!J101)</f>
        <v>0.5</v>
      </c>
      <c r="K101" s="49">
        <f>AVERAGE('26.07 KABUSU-RUBAGA-24h'!K101,'27.07 KABUSU-RUBAGA-24h'!K101)</f>
        <v>0</v>
      </c>
      <c r="L101" s="49">
        <f>AVERAGE('26.07 KABUSU-RUBAGA-24h'!L101,'27.07 KABUSU-RUBAGA-24h'!L101)</f>
        <v>0</v>
      </c>
      <c r="M101" s="49">
        <f>AVERAGE('26.07 KABUSU-RUBAGA-24h'!M101,'27.07 KABUSU-RUBAGA-24h'!M101)</f>
        <v>41</v>
      </c>
      <c r="N101" s="49">
        <f>AVERAGE('26.07 KABUSU-RUBAGA-24h'!N101,'27.07 KABUSU-RUBAGA-24h'!N101)</f>
        <v>0</v>
      </c>
      <c r="O101" s="49">
        <f>AVERAGE('26.07 KABUSU-RUBAGA-24h'!O101,'27.07 KABUSU-RUBAGA-24h'!O101)</f>
        <v>49.5</v>
      </c>
      <c r="P101" s="49">
        <f>AVERAGE('26.07 KABUSU-RUBAGA-24h'!P101,'27.07 KABUSU-RUBAGA-24h'!P101)</f>
        <v>90.5</v>
      </c>
      <c r="R101" s="8"/>
      <c r="T101"/>
    </row>
    <row r="102" spans="2:20" ht="23.1" customHeight="1" x14ac:dyDescent="0.25">
      <c r="B102" s="24" t="s">
        <v>142</v>
      </c>
      <c r="C102" s="49">
        <f>AVERAGE('26.07 KABUSU-RUBAGA-24h'!C102,'27.07 KABUSU-RUBAGA-24h'!C102)</f>
        <v>25.5</v>
      </c>
      <c r="D102" s="49">
        <f>AVERAGE('26.07 KABUSU-RUBAGA-24h'!D102,'27.07 KABUSU-RUBAGA-24h'!D102)</f>
        <v>1</v>
      </c>
      <c r="E102" s="49">
        <f>AVERAGE('26.07 KABUSU-RUBAGA-24h'!E102,'27.07 KABUSU-RUBAGA-24h'!E102)</f>
        <v>1</v>
      </c>
      <c r="F102" s="49">
        <f>AVERAGE('26.07 KABUSU-RUBAGA-24h'!F102,'27.07 KABUSU-RUBAGA-24h'!F102)</f>
        <v>27</v>
      </c>
      <c r="G102" s="49">
        <f>AVERAGE('26.07 KABUSU-RUBAGA-24h'!G102,'27.07 KABUSU-RUBAGA-24h'!G102)</f>
        <v>1</v>
      </c>
      <c r="H102" s="49">
        <f>AVERAGE('26.07 KABUSU-RUBAGA-24h'!H102,'27.07 KABUSU-RUBAGA-24h'!H102)</f>
        <v>0.5</v>
      </c>
      <c r="I102" s="49">
        <f>AVERAGE('26.07 KABUSU-RUBAGA-24h'!I102,'27.07 KABUSU-RUBAGA-24h'!I102)</f>
        <v>2</v>
      </c>
      <c r="J102" s="49">
        <f>AVERAGE('26.07 KABUSU-RUBAGA-24h'!J102,'27.07 KABUSU-RUBAGA-24h'!J102)</f>
        <v>1</v>
      </c>
      <c r="K102" s="49">
        <f>AVERAGE('26.07 KABUSU-RUBAGA-24h'!K102,'27.07 KABUSU-RUBAGA-24h'!K102)</f>
        <v>1</v>
      </c>
      <c r="L102" s="49">
        <f>AVERAGE('26.07 KABUSU-RUBAGA-24h'!L102,'27.07 KABUSU-RUBAGA-24h'!L102)</f>
        <v>0</v>
      </c>
      <c r="M102" s="49">
        <f>AVERAGE('26.07 KABUSU-RUBAGA-24h'!M102,'27.07 KABUSU-RUBAGA-24h'!M102)</f>
        <v>36.5</v>
      </c>
      <c r="N102" s="49">
        <f>AVERAGE('26.07 KABUSU-RUBAGA-24h'!N102,'27.07 KABUSU-RUBAGA-24h'!N102)</f>
        <v>0</v>
      </c>
      <c r="O102" s="49">
        <f>AVERAGE('26.07 KABUSU-RUBAGA-24h'!O102,'27.07 KABUSU-RUBAGA-24h'!O102)</f>
        <v>60</v>
      </c>
      <c r="P102" s="49">
        <f>AVERAGE('26.07 KABUSU-RUBAGA-24h'!P102,'27.07 KABUSU-RUBAGA-24h'!P102)</f>
        <v>96.5</v>
      </c>
      <c r="R102" s="8"/>
      <c r="T102"/>
    </row>
    <row r="103" spans="2:20" ht="23.1" customHeight="1" x14ac:dyDescent="0.25">
      <c r="B103" s="23" t="s">
        <v>143</v>
      </c>
      <c r="C103" s="49">
        <f>AVERAGE('26.07 KABUSU-RUBAGA-24h'!C103,'27.07 KABUSU-RUBAGA-24h'!C103)</f>
        <v>27</v>
      </c>
      <c r="D103" s="49">
        <f>AVERAGE('26.07 KABUSU-RUBAGA-24h'!D103,'27.07 KABUSU-RUBAGA-24h'!D103)</f>
        <v>1.5</v>
      </c>
      <c r="E103" s="49">
        <f>AVERAGE('26.07 KABUSU-RUBAGA-24h'!E103,'27.07 KABUSU-RUBAGA-24h'!E103)</f>
        <v>0</v>
      </c>
      <c r="F103" s="49">
        <f>AVERAGE('26.07 KABUSU-RUBAGA-24h'!F103,'27.07 KABUSU-RUBAGA-24h'!F103)</f>
        <v>27</v>
      </c>
      <c r="G103" s="49">
        <f>AVERAGE('26.07 KABUSU-RUBAGA-24h'!G103,'27.07 KABUSU-RUBAGA-24h'!G103)</f>
        <v>2</v>
      </c>
      <c r="H103" s="49">
        <f>AVERAGE('26.07 KABUSU-RUBAGA-24h'!H103,'27.07 KABUSU-RUBAGA-24h'!H103)</f>
        <v>0</v>
      </c>
      <c r="I103" s="49">
        <f>AVERAGE('26.07 KABUSU-RUBAGA-24h'!I103,'27.07 KABUSU-RUBAGA-24h'!I103)</f>
        <v>5.5</v>
      </c>
      <c r="J103" s="49">
        <f>AVERAGE('26.07 KABUSU-RUBAGA-24h'!J103,'27.07 KABUSU-RUBAGA-24h'!J103)</f>
        <v>0.5</v>
      </c>
      <c r="K103" s="49">
        <f>AVERAGE('26.07 KABUSU-RUBAGA-24h'!K103,'27.07 KABUSU-RUBAGA-24h'!K103)</f>
        <v>0</v>
      </c>
      <c r="L103" s="49">
        <f>AVERAGE('26.07 KABUSU-RUBAGA-24h'!L103,'27.07 KABUSU-RUBAGA-24h'!L103)</f>
        <v>0.5</v>
      </c>
      <c r="M103" s="49">
        <f>AVERAGE('26.07 KABUSU-RUBAGA-24h'!M103,'27.07 KABUSU-RUBAGA-24h'!M103)</f>
        <v>45</v>
      </c>
      <c r="N103" s="49">
        <f>AVERAGE('26.07 KABUSU-RUBAGA-24h'!N103,'27.07 KABUSU-RUBAGA-24h'!N103)</f>
        <v>0</v>
      </c>
      <c r="O103" s="49">
        <f>AVERAGE('26.07 KABUSU-RUBAGA-24h'!O103,'27.07 KABUSU-RUBAGA-24h'!O103)</f>
        <v>64</v>
      </c>
      <c r="P103" s="49">
        <f>AVERAGE('26.07 KABUSU-RUBAGA-24h'!P103,'27.07 KABUSU-RUBAGA-24h'!P103)</f>
        <v>109</v>
      </c>
      <c r="R103" s="8"/>
      <c r="T103"/>
    </row>
    <row r="104" spans="2:20" ht="23.1" customHeight="1" x14ac:dyDescent="0.25">
      <c r="B104" s="25" t="s">
        <v>144</v>
      </c>
      <c r="C104" s="49">
        <f>AVERAGE('26.07 KABUSU-RUBAGA-24h'!C104,'27.07 KABUSU-RUBAGA-24h'!C104)</f>
        <v>21</v>
      </c>
      <c r="D104" s="49">
        <f>AVERAGE('26.07 KABUSU-RUBAGA-24h'!D104,'27.07 KABUSU-RUBAGA-24h'!D104)</f>
        <v>1</v>
      </c>
      <c r="E104" s="49">
        <f>AVERAGE('26.07 KABUSU-RUBAGA-24h'!E104,'27.07 KABUSU-RUBAGA-24h'!E104)</f>
        <v>1</v>
      </c>
      <c r="F104" s="49">
        <f>AVERAGE('26.07 KABUSU-RUBAGA-24h'!F104,'27.07 KABUSU-RUBAGA-24h'!F104)</f>
        <v>24</v>
      </c>
      <c r="G104" s="49">
        <f>AVERAGE('26.07 KABUSU-RUBAGA-24h'!G104,'27.07 KABUSU-RUBAGA-24h'!G104)</f>
        <v>0.5</v>
      </c>
      <c r="H104" s="49">
        <f>AVERAGE('26.07 KABUSU-RUBAGA-24h'!H104,'27.07 KABUSU-RUBAGA-24h'!H104)</f>
        <v>0.5</v>
      </c>
      <c r="I104" s="49">
        <f>AVERAGE('26.07 KABUSU-RUBAGA-24h'!I104,'27.07 KABUSU-RUBAGA-24h'!I104)</f>
        <v>1.5</v>
      </c>
      <c r="J104" s="49">
        <f>AVERAGE('26.07 KABUSU-RUBAGA-24h'!J104,'27.07 KABUSU-RUBAGA-24h'!J104)</f>
        <v>1</v>
      </c>
      <c r="K104" s="49">
        <f>AVERAGE('26.07 KABUSU-RUBAGA-24h'!K104,'27.07 KABUSU-RUBAGA-24h'!K104)</f>
        <v>0</v>
      </c>
      <c r="L104" s="49">
        <f>AVERAGE('26.07 KABUSU-RUBAGA-24h'!L104,'27.07 KABUSU-RUBAGA-24h'!L104)</f>
        <v>0</v>
      </c>
      <c r="M104" s="49">
        <f>AVERAGE('26.07 KABUSU-RUBAGA-24h'!M104,'27.07 KABUSU-RUBAGA-24h'!M104)</f>
        <v>40</v>
      </c>
      <c r="N104" s="49">
        <f>AVERAGE('26.07 KABUSU-RUBAGA-24h'!N104,'27.07 KABUSU-RUBAGA-24h'!N104)</f>
        <v>0</v>
      </c>
      <c r="O104" s="49">
        <f>AVERAGE('26.07 KABUSU-RUBAGA-24h'!O104,'27.07 KABUSU-RUBAGA-24h'!O104)</f>
        <v>50.5</v>
      </c>
      <c r="P104" s="49">
        <f>AVERAGE('26.07 KABUSU-RUBAGA-24h'!P104,'27.07 KABUSU-RUBAGA-24h'!P104)</f>
        <v>90.5</v>
      </c>
      <c r="R104" s="8"/>
      <c r="T104"/>
    </row>
    <row r="105" spans="2:20" ht="23.1" customHeight="1" x14ac:dyDescent="0.25">
      <c r="B105" s="23" t="s">
        <v>145</v>
      </c>
      <c r="C105" s="49">
        <f>AVERAGE('26.07 KABUSU-RUBAGA-24h'!C105,'27.07 KABUSU-RUBAGA-24h'!C105)</f>
        <v>22</v>
      </c>
      <c r="D105" s="49">
        <f>AVERAGE('26.07 KABUSU-RUBAGA-24h'!D105,'27.07 KABUSU-RUBAGA-24h'!D105)</f>
        <v>0</v>
      </c>
      <c r="E105" s="49">
        <f>AVERAGE('26.07 KABUSU-RUBAGA-24h'!E105,'27.07 KABUSU-RUBAGA-24h'!E105)</f>
        <v>3</v>
      </c>
      <c r="F105" s="49">
        <f>AVERAGE('26.07 KABUSU-RUBAGA-24h'!F105,'27.07 KABUSU-RUBAGA-24h'!F105)</f>
        <v>32.5</v>
      </c>
      <c r="G105" s="49">
        <f>AVERAGE('26.07 KABUSU-RUBAGA-24h'!G105,'27.07 KABUSU-RUBAGA-24h'!G105)</f>
        <v>0</v>
      </c>
      <c r="H105" s="49">
        <f>AVERAGE('26.07 KABUSU-RUBAGA-24h'!H105,'27.07 KABUSU-RUBAGA-24h'!H105)</f>
        <v>0</v>
      </c>
      <c r="I105" s="49">
        <f>AVERAGE('26.07 KABUSU-RUBAGA-24h'!I105,'27.07 KABUSU-RUBAGA-24h'!I105)</f>
        <v>1</v>
      </c>
      <c r="J105" s="49">
        <f>AVERAGE('26.07 KABUSU-RUBAGA-24h'!J105,'27.07 KABUSU-RUBAGA-24h'!J105)</f>
        <v>3</v>
      </c>
      <c r="K105" s="49">
        <f>AVERAGE('26.07 KABUSU-RUBAGA-24h'!K105,'27.07 KABUSU-RUBAGA-24h'!K105)</f>
        <v>0.5</v>
      </c>
      <c r="L105" s="49">
        <f>AVERAGE('26.07 KABUSU-RUBAGA-24h'!L105,'27.07 KABUSU-RUBAGA-24h'!L105)</f>
        <v>0</v>
      </c>
      <c r="M105" s="49">
        <f>AVERAGE('26.07 KABUSU-RUBAGA-24h'!M105,'27.07 KABUSU-RUBAGA-24h'!M105)</f>
        <v>48</v>
      </c>
      <c r="N105" s="49">
        <f>AVERAGE('26.07 KABUSU-RUBAGA-24h'!N105,'27.07 KABUSU-RUBAGA-24h'!N105)</f>
        <v>0</v>
      </c>
      <c r="O105" s="49">
        <f>AVERAGE('26.07 KABUSU-RUBAGA-24h'!O105,'27.07 KABUSU-RUBAGA-24h'!O105)</f>
        <v>62</v>
      </c>
      <c r="P105" s="49">
        <f>AVERAGE('26.07 KABUSU-RUBAGA-24h'!P105,'27.07 KABUSU-RUBAGA-24h'!P105)</f>
        <v>110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5">SUM(C10:C57)</f>
        <v>1508.2857142857142</v>
      </c>
      <c r="D106" s="16">
        <f t="shared" si="35"/>
        <v>1215.5714285714287</v>
      </c>
      <c r="E106" s="16">
        <f t="shared" si="35"/>
        <v>240.14285714285717</v>
      </c>
      <c r="F106" s="16">
        <f t="shared" si="35"/>
        <v>1307.666666666667</v>
      </c>
      <c r="G106" s="16">
        <f t="shared" si="35"/>
        <v>17.428571428571427</v>
      </c>
      <c r="H106" s="16">
        <f t="shared" si="35"/>
        <v>17.571428571428569</v>
      </c>
      <c r="I106" s="16">
        <f t="shared" si="35"/>
        <v>202.42857142857142</v>
      </c>
      <c r="J106" s="16">
        <f t="shared" si="35"/>
        <v>87.428571428571416</v>
      </c>
      <c r="K106" s="16">
        <f t="shared" si="35"/>
        <v>34.142857142857139</v>
      </c>
      <c r="L106" s="16">
        <f t="shared" si="35"/>
        <v>23.999999999999996</v>
      </c>
      <c r="M106" s="16">
        <f t="shared" si="35"/>
        <v>8961.7142857142862</v>
      </c>
      <c r="N106" s="16">
        <f t="shared" si="35"/>
        <v>2</v>
      </c>
      <c r="O106" s="16">
        <f t="shared" si="35"/>
        <v>4656.6666666666661</v>
      </c>
      <c r="P106" s="16">
        <f t="shared" si="35"/>
        <v>13618.38095238095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0.11075367325673285</v>
      </c>
      <c r="D107" s="43">
        <f t="shared" si="36"/>
        <v>8.9259614106984284E-2</v>
      </c>
      <c r="E107" s="43">
        <f t="shared" si="36"/>
        <v>1.7633730322463341E-2</v>
      </c>
      <c r="F107" s="43">
        <f t="shared" si="36"/>
        <v>9.602218290405827E-2</v>
      </c>
      <c r="G107" s="43">
        <f t="shared" si="36"/>
        <v>1.2797829264369585E-3</v>
      </c>
      <c r="H107" s="43">
        <f t="shared" si="36"/>
        <v>1.2902729504241466E-3</v>
      </c>
      <c r="I107" s="43">
        <f t="shared" si="36"/>
        <v>1.4864363989845659E-2</v>
      </c>
      <c r="J107" s="43">
        <f t="shared" si="36"/>
        <v>6.4198946801591683E-3</v>
      </c>
      <c r="K107" s="43">
        <f t="shared" si="36"/>
        <v>2.5071157329379762E-3</v>
      </c>
      <c r="L107" s="43">
        <f t="shared" si="36"/>
        <v>1.7623240298476148E-3</v>
      </c>
      <c r="M107" s="43">
        <f t="shared" si="36"/>
        <v>0.65806018476428929</v>
      </c>
      <c r="N107" s="43">
        <f t="shared" si="36"/>
        <v>1.4686033582063461E-4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0.32389814909499953</v>
      </c>
      <c r="D108" s="44">
        <f t="shared" ref="D108:N108" si="37">D106/$O$106</f>
        <v>0.26103896103896107</v>
      </c>
      <c r="E108" s="44">
        <f t="shared" si="37"/>
        <v>5.1569690152367328E-2</v>
      </c>
      <c r="F108" s="44">
        <f t="shared" si="37"/>
        <v>0.28081603435934155</v>
      </c>
      <c r="G108" s="44">
        <f t="shared" si="37"/>
        <v>3.7427139789344517E-3</v>
      </c>
      <c r="H108" s="44">
        <f t="shared" si="37"/>
        <v>3.7733919623683405E-3</v>
      </c>
      <c r="I108" s="44">
        <f t="shared" si="37"/>
        <v>4.3470702525820637E-2</v>
      </c>
      <c r="J108" s="44">
        <f t="shared" si="37"/>
        <v>1.8774925861540035E-2</v>
      </c>
      <c r="K108" s="44">
        <f t="shared" si="37"/>
        <v>7.3320380406994585E-3</v>
      </c>
      <c r="L108" s="44">
        <f t="shared" si="37"/>
        <v>5.1539012168933425E-3</v>
      </c>
      <c r="M108" s="44"/>
      <c r="N108" s="44">
        <f t="shared" si="37"/>
        <v>4.294917680744453E-4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M52" zoomScale="60" workbookViewId="0">
      <selection activeCell="AD59" sqref="AD5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KABUSU-RUBAGA'!C3:G3</f>
        <v>MCC - C1 - STN05 - KABUSU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169</v>
      </c>
      <c r="E5" s="66"/>
      <c r="F5" s="41" t="s">
        <v>1</v>
      </c>
      <c r="G5" s="63" t="str">
        <f>'Avg Week KABUSU-RUBAGA'!G5:H5</f>
        <v>CHAD SUPERMARKET</v>
      </c>
      <c r="H5" s="64"/>
      <c r="I5" s="14"/>
      <c r="J5" s="2" t="s">
        <v>5</v>
      </c>
      <c r="K5" s="63" t="str">
        <f>'Avg Week KABUSU-RUBAGA'!K5:L5</f>
        <v>MBERE IVAN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KABUSU-RUBAGA'!K6:L6</f>
        <v>DENIS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RUBAGA-KABUSU'!C10+'Avg Week KABUSU-RUBAGA'!C10</f>
        <v>80.428571428571416</v>
      </c>
      <c r="D10" s="49">
        <f>'Avg Week RUBAGA-KABUSU'!D10+'Avg Week KABUSU-RUBAGA'!D10</f>
        <v>48.142857142857139</v>
      </c>
      <c r="E10" s="49">
        <f>'Avg Week RUBAGA-KABUSU'!E10+'Avg Week KABUSU-RUBAGA'!E10</f>
        <v>9.4285714285714288</v>
      </c>
      <c r="F10" s="49">
        <f>'Avg Week RUBAGA-KABUSU'!F10+'Avg Week KABUSU-RUBAGA'!F10</f>
        <v>51.285714285714285</v>
      </c>
      <c r="G10" s="49">
        <f>'Avg Week RUBAGA-KABUSU'!G10+'Avg Week KABUSU-RUBAGA'!G10</f>
        <v>0.85714285714285721</v>
      </c>
      <c r="H10" s="49">
        <f>'Avg Week RUBAGA-KABUSU'!H10+'Avg Week KABUSU-RUBAGA'!H10</f>
        <v>0.8571428571428571</v>
      </c>
      <c r="I10" s="49">
        <f>'Avg Week RUBAGA-KABUSU'!I10+'Avg Week KABUSU-RUBAGA'!I10</f>
        <v>5.2857142857142856</v>
      </c>
      <c r="J10" s="49">
        <f>'Avg Week RUBAGA-KABUSU'!J10+'Avg Week KABUSU-RUBAGA'!J10</f>
        <v>1.5714285714285716</v>
      </c>
      <c r="K10" s="49">
        <f>'Avg Week RUBAGA-KABUSU'!K10+'Avg Week KABUSU-RUBAGA'!K10</f>
        <v>0.42857142857142855</v>
      </c>
      <c r="L10" s="49">
        <f>'Avg Week RUBAGA-KABUSU'!L10+'Avg Week KABUSU-RUBAGA'!L10</f>
        <v>0.42857142857142855</v>
      </c>
      <c r="M10" s="49">
        <f>'Avg Week RUBAGA-KABUSU'!M10+'Avg Week KABUSU-RUBAGA'!M10</f>
        <v>245</v>
      </c>
      <c r="N10" s="49">
        <f>'Avg Week RUBAGA-KABUSU'!N10+'Avg Week KABUSU-RUBAGA'!N10</f>
        <v>0</v>
      </c>
      <c r="O10" s="15">
        <f t="shared" ref="O10:O57" si="0">SUM(C10:L10,N10)</f>
        <v>198.71428571428567</v>
      </c>
      <c r="P10" s="15">
        <f t="shared" ref="P10:P57" si="1">SUM(C10:N10)</f>
        <v>443.71428571428567</v>
      </c>
      <c r="R10" s="1" t="s">
        <v>6</v>
      </c>
      <c r="S10" s="17">
        <f t="shared" ref="S10:AF10" si="2">SUM(C10:C13)</f>
        <v>303.14285714285711</v>
      </c>
      <c r="T10" s="17">
        <f t="shared" si="2"/>
        <v>177.42857142857144</v>
      </c>
      <c r="U10" s="17">
        <f t="shared" si="2"/>
        <v>27.857142857142854</v>
      </c>
      <c r="V10" s="17">
        <f t="shared" si="2"/>
        <v>252.95238095238096</v>
      </c>
      <c r="W10" s="17">
        <f t="shared" si="2"/>
        <v>3.2857142857142856</v>
      </c>
      <c r="X10" s="17">
        <f t="shared" si="2"/>
        <v>3.8571428571428572</v>
      </c>
      <c r="Y10" s="17">
        <f t="shared" si="2"/>
        <v>20</v>
      </c>
      <c r="Z10" s="17">
        <f t="shared" si="2"/>
        <v>8</v>
      </c>
      <c r="AA10" s="17">
        <f t="shared" si="2"/>
        <v>1.9999999999999998</v>
      </c>
      <c r="AB10" s="17">
        <f t="shared" si="2"/>
        <v>1.5714285714285714</v>
      </c>
      <c r="AC10" s="17">
        <f t="shared" si="2"/>
        <v>1312.4285714285716</v>
      </c>
      <c r="AD10" s="17">
        <f t="shared" si="2"/>
        <v>0</v>
      </c>
      <c r="AE10" s="31">
        <f t="shared" si="2"/>
        <v>800.09523809523807</v>
      </c>
      <c r="AF10" s="31">
        <f t="shared" si="2"/>
        <v>2112.5238095238092</v>
      </c>
    </row>
    <row r="11" spans="2:32" s="6" customFormat="1" ht="23.1" customHeight="1" x14ac:dyDescent="0.25">
      <c r="B11" s="23" t="s">
        <v>38</v>
      </c>
      <c r="C11" s="49">
        <f>'Avg Week RUBAGA-KABUSU'!C11+'Avg Week KABUSU-RUBAGA'!C11</f>
        <v>70.142857142857139</v>
      </c>
      <c r="D11" s="49">
        <f>'Avg Week RUBAGA-KABUSU'!D11+'Avg Week KABUSU-RUBAGA'!D11</f>
        <v>38.428571428571431</v>
      </c>
      <c r="E11" s="49">
        <f>'Avg Week RUBAGA-KABUSU'!E11+'Avg Week KABUSU-RUBAGA'!E11</f>
        <v>5.2857142857142856</v>
      </c>
      <c r="F11" s="49">
        <f>'Avg Week RUBAGA-KABUSU'!F11+'Avg Week KABUSU-RUBAGA'!F11</f>
        <v>56.714285714285708</v>
      </c>
      <c r="G11" s="49">
        <f>'Avg Week RUBAGA-KABUSU'!G11+'Avg Week KABUSU-RUBAGA'!G11</f>
        <v>0.42857142857142855</v>
      </c>
      <c r="H11" s="49">
        <f>'Avg Week RUBAGA-KABUSU'!H11+'Avg Week KABUSU-RUBAGA'!H11</f>
        <v>0.85714285714285721</v>
      </c>
      <c r="I11" s="49">
        <f>'Avg Week RUBAGA-KABUSU'!I11+'Avg Week KABUSU-RUBAGA'!I11</f>
        <v>3.8571428571428572</v>
      </c>
      <c r="J11" s="49">
        <f>'Avg Week RUBAGA-KABUSU'!J11+'Avg Week KABUSU-RUBAGA'!J11</f>
        <v>1.7142857142857142</v>
      </c>
      <c r="K11" s="49">
        <f>'Avg Week RUBAGA-KABUSU'!K11+'Avg Week KABUSU-RUBAGA'!K11</f>
        <v>0.2857142857142857</v>
      </c>
      <c r="L11" s="49">
        <f>'Avg Week RUBAGA-KABUSU'!L11+'Avg Week KABUSU-RUBAGA'!L11</f>
        <v>0.71428571428571419</v>
      </c>
      <c r="M11" s="49">
        <f>'Avg Week RUBAGA-KABUSU'!M11+'Avg Week KABUSU-RUBAGA'!M11</f>
        <v>298.71428571428572</v>
      </c>
      <c r="N11" s="49">
        <f>'Avg Week RUBAGA-KABUSU'!N11+'Avg Week KABUSU-RUBAGA'!N11</f>
        <v>0</v>
      </c>
      <c r="O11" s="15">
        <f t="shared" si="0"/>
        <v>178.42857142857142</v>
      </c>
      <c r="P11" s="15">
        <f t="shared" si="1"/>
        <v>477.14285714285711</v>
      </c>
      <c r="R11" s="1" t="s">
        <v>7</v>
      </c>
      <c r="S11" s="17">
        <f t="shared" ref="S11:AF11" si="3">SUM(C14:C17)</f>
        <v>247.57142857142858</v>
      </c>
      <c r="T11" s="17">
        <f t="shared" si="3"/>
        <v>159.85714285714286</v>
      </c>
      <c r="U11" s="17">
        <f t="shared" si="3"/>
        <v>31.142857142857139</v>
      </c>
      <c r="V11" s="17">
        <f t="shared" si="3"/>
        <v>217.42857142857144</v>
      </c>
      <c r="W11" s="17">
        <f t="shared" si="3"/>
        <v>2.8571428571428568</v>
      </c>
      <c r="X11" s="17">
        <f t="shared" si="3"/>
        <v>3.2857142857142851</v>
      </c>
      <c r="Y11" s="17">
        <f t="shared" si="3"/>
        <v>26.285714285714288</v>
      </c>
      <c r="Z11" s="17">
        <f t="shared" si="3"/>
        <v>12.428571428571429</v>
      </c>
      <c r="AA11" s="17">
        <f t="shared" si="3"/>
        <v>3</v>
      </c>
      <c r="AB11" s="17">
        <f t="shared" si="3"/>
        <v>2.4285714285714288</v>
      </c>
      <c r="AC11" s="17">
        <f t="shared" si="3"/>
        <v>1761.4285714285716</v>
      </c>
      <c r="AD11" s="17">
        <f t="shared" si="3"/>
        <v>0</v>
      </c>
      <c r="AE11" s="31">
        <f t="shared" si="3"/>
        <v>706.28571428571433</v>
      </c>
      <c r="AF11" s="31">
        <f t="shared" si="3"/>
        <v>2467.7142857142858</v>
      </c>
    </row>
    <row r="12" spans="2:32" ht="23.1" customHeight="1" x14ac:dyDescent="0.25">
      <c r="B12" s="23" t="s">
        <v>39</v>
      </c>
      <c r="C12" s="49">
        <f>'Avg Week RUBAGA-KABUSU'!C12+'Avg Week KABUSU-RUBAGA'!C12</f>
        <v>73.571428571428569</v>
      </c>
      <c r="D12" s="49">
        <f>'Avg Week RUBAGA-KABUSU'!D12+'Avg Week KABUSU-RUBAGA'!D12</f>
        <v>41</v>
      </c>
      <c r="E12" s="49">
        <f>'Avg Week RUBAGA-KABUSU'!E12+'Avg Week KABUSU-RUBAGA'!E12</f>
        <v>6.5714285714285712</v>
      </c>
      <c r="F12" s="49">
        <f>'Avg Week RUBAGA-KABUSU'!F12+'Avg Week KABUSU-RUBAGA'!F12</f>
        <v>80.666666666666657</v>
      </c>
      <c r="G12" s="49">
        <f>'Avg Week RUBAGA-KABUSU'!G12+'Avg Week KABUSU-RUBAGA'!G12</f>
        <v>1</v>
      </c>
      <c r="H12" s="49">
        <f>'Avg Week RUBAGA-KABUSU'!H12+'Avg Week KABUSU-RUBAGA'!H12</f>
        <v>1.7142857142857142</v>
      </c>
      <c r="I12" s="49">
        <f>'Avg Week RUBAGA-KABUSU'!I12+'Avg Week KABUSU-RUBAGA'!I12</f>
        <v>3.8571428571428572</v>
      </c>
      <c r="J12" s="49">
        <f>'Avg Week RUBAGA-KABUSU'!J12+'Avg Week KABUSU-RUBAGA'!J12</f>
        <v>2</v>
      </c>
      <c r="K12" s="49">
        <f>'Avg Week RUBAGA-KABUSU'!K12+'Avg Week KABUSU-RUBAGA'!K12</f>
        <v>0.71428571428571419</v>
      </c>
      <c r="L12" s="49">
        <f>'Avg Week RUBAGA-KABUSU'!L12+'Avg Week KABUSU-RUBAGA'!L12</f>
        <v>0.42857142857142855</v>
      </c>
      <c r="M12" s="49">
        <f>'Avg Week RUBAGA-KABUSU'!M12+'Avg Week KABUSU-RUBAGA'!M12</f>
        <v>359.57142857142856</v>
      </c>
      <c r="N12" s="49">
        <f>'Avg Week RUBAGA-KABUSU'!N12+'Avg Week KABUSU-RUBAGA'!N12</f>
        <v>0</v>
      </c>
      <c r="O12" s="15">
        <f t="shared" si="0"/>
        <v>211.52380952380952</v>
      </c>
      <c r="P12" s="15">
        <f t="shared" si="1"/>
        <v>571.09523809523807</v>
      </c>
      <c r="R12" s="1" t="s">
        <v>8</v>
      </c>
      <c r="S12" s="17">
        <f t="shared" ref="S12:AF12" si="4">SUM(C18:C21)</f>
        <v>240.85714285714286</v>
      </c>
      <c r="T12" s="17">
        <f t="shared" si="4"/>
        <v>140.42857142857142</v>
      </c>
      <c r="U12" s="17">
        <f t="shared" si="4"/>
        <v>37.714285714285715</v>
      </c>
      <c r="V12" s="17">
        <f t="shared" si="4"/>
        <v>196.42857142857144</v>
      </c>
      <c r="W12" s="17">
        <f t="shared" si="4"/>
        <v>3.5714285714285712</v>
      </c>
      <c r="X12" s="17">
        <f t="shared" si="4"/>
        <v>2</v>
      </c>
      <c r="Y12" s="17">
        <f t="shared" si="4"/>
        <v>26.571428571428573</v>
      </c>
      <c r="Z12" s="17">
        <f t="shared" si="4"/>
        <v>16.142857142857142</v>
      </c>
      <c r="AA12" s="17">
        <f t="shared" si="4"/>
        <v>4.2857142857142856</v>
      </c>
      <c r="AB12" s="17">
        <f t="shared" si="4"/>
        <v>26.571428571428569</v>
      </c>
      <c r="AC12" s="17">
        <f t="shared" si="4"/>
        <v>1522.5714285714284</v>
      </c>
      <c r="AD12" s="17">
        <f t="shared" si="4"/>
        <v>0</v>
      </c>
      <c r="AE12" s="31">
        <f t="shared" si="4"/>
        <v>694.57142857142856</v>
      </c>
      <c r="AF12" s="31">
        <f t="shared" si="4"/>
        <v>2217.1428571428569</v>
      </c>
    </row>
    <row r="13" spans="2:32" ht="23.1" customHeight="1" x14ac:dyDescent="0.25">
      <c r="B13" s="23" t="s">
        <v>40</v>
      </c>
      <c r="C13" s="49">
        <f>'Avg Week RUBAGA-KABUSU'!C13+'Avg Week KABUSU-RUBAGA'!C13</f>
        <v>79</v>
      </c>
      <c r="D13" s="49">
        <f>'Avg Week RUBAGA-KABUSU'!D13+'Avg Week KABUSU-RUBAGA'!D13</f>
        <v>49.857142857142861</v>
      </c>
      <c r="E13" s="49">
        <f>'Avg Week RUBAGA-KABUSU'!E13+'Avg Week KABUSU-RUBAGA'!E13</f>
        <v>6.5714285714285712</v>
      </c>
      <c r="F13" s="49">
        <f>'Avg Week RUBAGA-KABUSU'!F13+'Avg Week KABUSU-RUBAGA'!F13</f>
        <v>64.285714285714292</v>
      </c>
      <c r="G13" s="49">
        <f>'Avg Week RUBAGA-KABUSU'!G13+'Avg Week KABUSU-RUBAGA'!G13</f>
        <v>1</v>
      </c>
      <c r="H13" s="49">
        <f>'Avg Week RUBAGA-KABUSU'!H13+'Avg Week KABUSU-RUBAGA'!H13</f>
        <v>0.42857142857142855</v>
      </c>
      <c r="I13" s="49">
        <f>'Avg Week RUBAGA-KABUSU'!I13+'Avg Week KABUSU-RUBAGA'!I13</f>
        <v>7</v>
      </c>
      <c r="J13" s="49">
        <f>'Avg Week RUBAGA-KABUSU'!J13+'Avg Week KABUSU-RUBAGA'!J13</f>
        <v>2.7142857142857144</v>
      </c>
      <c r="K13" s="49">
        <f>'Avg Week RUBAGA-KABUSU'!K13+'Avg Week KABUSU-RUBAGA'!K13</f>
        <v>0.5714285714285714</v>
      </c>
      <c r="L13" s="49">
        <f>'Avg Week RUBAGA-KABUSU'!L13+'Avg Week KABUSU-RUBAGA'!L13</f>
        <v>0</v>
      </c>
      <c r="M13" s="49">
        <f>'Avg Week RUBAGA-KABUSU'!M13+'Avg Week KABUSU-RUBAGA'!M13</f>
        <v>409.14285714285717</v>
      </c>
      <c r="N13" s="49">
        <f>'Avg Week RUBAGA-KABUSU'!N13+'Avg Week KABUSU-RUBAGA'!N13</f>
        <v>0</v>
      </c>
      <c r="O13" s="15">
        <f t="shared" si="0"/>
        <v>211.42857142857144</v>
      </c>
      <c r="P13" s="15">
        <f t="shared" si="1"/>
        <v>620.57142857142867</v>
      </c>
      <c r="R13" s="1" t="s">
        <v>9</v>
      </c>
      <c r="S13" s="17">
        <f t="shared" ref="S13:AF13" si="5">SUM(C22:C25)</f>
        <v>214.71428571428569</v>
      </c>
      <c r="T13" s="17">
        <f t="shared" si="5"/>
        <v>126.28571428571428</v>
      </c>
      <c r="U13" s="17">
        <f t="shared" si="5"/>
        <v>38.571428571428569</v>
      </c>
      <c r="V13" s="17">
        <f t="shared" si="5"/>
        <v>170.00000000000003</v>
      </c>
      <c r="W13" s="17">
        <f t="shared" si="5"/>
        <v>3</v>
      </c>
      <c r="X13" s="17">
        <f t="shared" si="5"/>
        <v>1.9999999999999998</v>
      </c>
      <c r="Y13" s="17">
        <f t="shared" si="5"/>
        <v>29.857142857142858</v>
      </c>
      <c r="Z13" s="17">
        <f t="shared" si="5"/>
        <v>18.285714285714285</v>
      </c>
      <c r="AA13" s="17">
        <f t="shared" si="5"/>
        <v>5.1428571428571423</v>
      </c>
      <c r="AB13" s="17">
        <f t="shared" si="5"/>
        <v>3.2857142857142856</v>
      </c>
      <c r="AC13" s="17">
        <f t="shared" si="5"/>
        <v>1300</v>
      </c>
      <c r="AD13" s="17">
        <f t="shared" si="5"/>
        <v>0</v>
      </c>
      <c r="AE13" s="31">
        <f t="shared" si="5"/>
        <v>611.14285714285711</v>
      </c>
      <c r="AF13" s="31">
        <f t="shared" si="5"/>
        <v>1911.1428571428569</v>
      </c>
    </row>
    <row r="14" spans="2:32" ht="23.1" customHeight="1" x14ac:dyDescent="0.25">
      <c r="B14" s="23" t="s">
        <v>41</v>
      </c>
      <c r="C14" s="49">
        <f>'Avg Week RUBAGA-KABUSU'!C14+'Avg Week KABUSU-RUBAGA'!C14</f>
        <v>62.857142857142861</v>
      </c>
      <c r="D14" s="49">
        <f>'Avg Week RUBAGA-KABUSU'!D14+'Avg Week KABUSU-RUBAGA'!D14</f>
        <v>44.571428571428577</v>
      </c>
      <c r="E14" s="49">
        <f>'Avg Week RUBAGA-KABUSU'!E14+'Avg Week KABUSU-RUBAGA'!E14</f>
        <v>9</v>
      </c>
      <c r="F14" s="49">
        <f>'Avg Week RUBAGA-KABUSU'!F14+'Avg Week KABUSU-RUBAGA'!F14</f>
        <v>54.428571428571431</v>
      </c>
      <c r="G14" s="49">
        <f>'Avg Week RUBAGA-KABUSU'!G14+'Avg Week KABUSU-RUBAGA'!G14</f>
        <v>0.85714285714285721</v>
      </c>
      <c r="H14" s="49">
        <f>'Avg Week RUBAGA-KABUSU'!H14+'Avg Week KABUSU-RUBAGA'!H14</f>
        <v>0.5714285714285714</v>
      </c>
      <c r="I14" s="49">
        <f>'Avg Week RUBAGA-KABUSU'!I14+'Avg Week KABUSU-RUBAGA'!I14</f>
        <v>7.1428571428571432</v>
      </c>
      <c r="J14" s="49">
        <f>'Avg Week RUBAGA-KABUSU'!J14+'Avg Week KABUSU-RUBAGA'!J14</f>
        <v>3</v>
      </c>
      <c r="K14" s="49">
        <f>'Avg Week RUBAGA-KABUSU'!K14+'Avg Week KABUSU-RUBAGA'!K14</f>
        <v>0.42857142857142855</v>
      </c>
      <c r="L14" s="49">
        <f>'Avg Week RUBAGA-KABUSU'!L14+'Avg Week KABUSU-RUBAGA'!L14</f>
        <v>0.2857142857142857</v>
      </c>
      <c r="M14" s="49">
        <f>'Avg Week RUBAGA-KABUSU'!M14+'Avg Week KABUSU-RUBAGA'!M14</f>
        <v>417.42857142857144</v>
      </c>
      <c r="N14" s="49">
        <f>'Avg Week RUBAGA-KABUSU'!N14+'Avg Week KABUSU-RUBAGA'!N14</f>
        <v>0</v>
      </c>
      <c r="O14" s="15">
        <f t="shared" si="0"/>
        <v>183.14285714285717</v>
      </c>
      <c r="P14" s="15">
        <f t="shared" si="1"/>
        <v>600.57142857142867</v>
      </c>
      <c r="R14" s="1" t="s">
        <v>10</v>
      </c>
      <c r="S14" s="17">
        <f t="shared" ref="S14:AF14" si="6">SUM(C26:C29)</f>
        <v>226.57142857142856</v>
      </c>
      <c r="T14" s="17">
        <f t="shared" si="6"/>
        <v>119.85714285714286</v>
      </c>
      <c r="U14" s="17">
        <f t="shared" si="6"/>
        <v>34.428571428571431</v>
      </c>
      <c r="V14" s="17">
        <f t="shared" si="6"/>
        <v>167.71428571428572</v>
      </c>
      <c r="W14" s="17">
        <f t="shared" si="6"/>
        <v>2</v>
      </c>
      <c r="X14" s="17">
        <f t="shared" si="6"/>
        <v>1.5714285714285714</v>
      </c>
      <c r="Y14" s="17">
        <f t="shared" si="6"/>
        <v>31.428571428571427</v>
      </c>
      <c r="Z14" s="17">
        <f t="shared" si="6"/>
        <v>20</v>
      </c>
      <c r="AA14" s="17">
        <f t="shared" si="6"/>
        <v>7.8571428571428577</v>
      </c>
      <c r="AB14" s="17">
        <f t="shared" si="6"/>
        <v>3.7142857142857144</v>
      </c>
      <c r="AC14" s="17">
        <f t="shared" si="6"/>
        <v>1252.4285714285713</v>
      </c>
      <c r="AD14" s="17">
        <f t="shared" si="6"/>
        <v>0</v>
      </c>
      <c r="AE14" s="31">
        <f t="shared" si="6"/>
        <v>615.14285714285711</v>
      </c>
      <c r="AF14" s="31">
        <f t="shared" si="6"/>
        <v>1867.5714285714284</v>
      </c>
    </row>
    <row r="15" spans="2:32" ht="23.1" customHeight="1" x14ac:dyDescent="0.25">
      <c r="B15" s="23" t="s">
        <v>42</v>
      </c>
      <c r="C15" s="49">
        <f>'Avg Week RUBAGA-KABUSU'!C15+'Avg Week KABUSU-RUBAGA'!C15</f>
        <v>66.285714285714292</v>
      </c>
      <c r="D15" s="49">
        <f>'Avg Week RUBAGA-KABUSU'!D15+'Avg Week KABUSU-RUBAGA'!D15</f>
        <v>38.714285714285715</v>
      </c>
      <c r="E15" s="49">
        <f>'Avg Week RUBAGA-KABUSU'!E15+'Avg Week KABUSU-RUBAGA'!E15</f>
        <v>6.1428571428571423</v>
      </c>
      <c r="F15" s="49">
        <f>'Avg Week RUBAGA-KABUSU'!F15+'Avg Week KABUSU-RUBAGA'!F15</f>
        <v>54</v>
      </c>
      <c r="G15" s="49">
        <f>'Avg Week RUBAGA-KABUSU'!G15+'Avg Week KABUSU-RUBAGA'!G15</f>
        <v>1</v>
      </c>
      <c r="H15" s="49">
        <f>'Avg Week RUBAGA-KABUSU'!H15+'Avg Week KABUSU-RUBAGA'!H15</f>
        <v>1</v>
      </c>
      <c r="I15" s="49">
        <f>'Avg Week RUBAGA-KABUSU'!I15+'Avg Week KABUSU-RUBAGA'!I15</f>
        <v>6.5714285714285712</v>
      </c>
      <c r="J15" s="49">
        <f>'Avg Week RUBAGA-KABUSU'!J15+'Avg Week KABUSU-RUBAGA'!J15</f>
        <v>3</v>
      </c>
      <c r="K15" s="49">
        <f>'Avg Week RUBAGA-KABUSU'!K15+'Avg Week KABUSU-RUBAGA'!K15</f>
        <v>0.5714285714285714</v>
      </c>
      <c r="L15" s="49">
        <f>'Avg Week RUBAGA-KABUSU'!L15+'Avg Week KABUSU-RUBAGA'!L15</f>
        <v>0.5714285714285714</v>
      </c>
      <c r="M15" s="49">
        <f>'Avg Week RUBAGA-KABUSU'!M15+'Avg Week KABUSU-RUBAGA'!M15</f>
        <v>434.28571428571428</v>
      </c>
      <c r="N15" s="49">
        <f>'Avg Week RUBAGA-KABUSU'!N15+'Avg Week KABUSU-RUBAGA'!N15</f>
        <v>0</v>
      </c>
      <c r="O15" s="15">
        <f t="shared" si="0"/>
        <v>177.85714285714289</v>
      </c>
      <c r="P15" s="15">
        <f t="shared" si="1"/>
        <v>612.14285714285711</v>
      </c>
      <c r="R15" s="1" t="s">
        <v>11</v>
      </c>
      <c r="S15" s="17">
        <f t="shared" ref="S15:AF15" si="7">SUM(C30:C33)</f>
        <v>217.57142857142856</v>
      </c>
      <c r="T15" s="17">
        <f t="shared" si="7"/>
        <v>114.14285714285714</v>
      </c>
      <c r="U15" s="17">
        <f t="shared" si="7"/>
        <v>32.428571428571431</v>
      </c>
      <c r="V15" s="17">
        <f t="shared" si="7"/>
        <v>150</v>
      </c>
      <c r="W15" s="17">
        <f t="shared" si="7"/>
        <v>2.4285714285714284</v>
      </c>
      <c r="X15" s="17">
        <f t="shared" si="7"/>
        <v>1.857142857142857</v>
      </c>
      <c r="Y15" s="17">
        <f t="shared" si="7"/>
        <v>33.857142857142861</v>
      </c>
      <c r="Z15" s="17">
        <f t="shared" si="7"/>
        <v>21</v>
      </c>
      <c r="AA15" s="17">
        <f t="shared" si="7"/>
        <v>7.4285714285714288</v>
      </c>
      <c r="AB15" s="17">
        <f t="shared" si="7"/>
        <v>4</v>
      </c>
      <c r="AC15" s="17">
        <f t="shared" si="7"/>
        <v>1193.5714285714287</v>
      </c>
      <c r="AD15" s="17">
        <f t="shared" si="7"/>
        <v>0</v>
      </c>
      <c r="AE15" s="31">
        <f t="shared" si="7"/>
        <v>584.71428571428567</v>
      </c>
      <c r="AF15" s="31">
        <f t="shared" si="7"/>
        <v>1778.2857142857142</v>
      </c>
    </row>
    <row r="16" spans="2:32" ht="23.1" customHeight="1" x14ac:dyDescent="0.25">
      <c r="B16" s="23" t="s">
        <v>43</v>
      </c>
      <c r="C16" s="49">
        <f>'Avg Week RUBAGA-KABUSU'!C16+'Avg Week KABUSU-RUBAGA'!C16</f>
        <v>58.142857142857139</v>
      </c>
      <c r="D16" s="49">
        <f>'Avg Week RUBAGA-KABUSU'!D16+'Avg Week KABUSU-RUBAGA'!D16</f>
        <v>40.285714285714285</v>
      </c>
      <c r="E16" s="49">
        <f>'Avg Week RUBAGA-KABUSU'!E16+'Avg Week KABUSU-RUBAGA'!E16</f>
        <v>8.4285714285714288</v>
      </c>
      <c r="F16" s="49">
        <f>'Avg Week RUBAGA-KABUSU'!F16+'Avg Week KABUSU-RUBAGA'!F16</f>
        <v>59</v>
      </c>
      <c r="G16" s="49">
        <f>'Avg Week RUBAGA-KABUSU'!G16+'Avg Week KABUSU-RUBAGA'!G16</f>
        <v>0.42857142857142855</v>
      </c>
      <c r="H16" s="49">
        <f>'Avg Week RUBAGA-KABUSU'!H16+'Avg Week KABUSU-RUBAGA'!H16</f>
        <v>1.2857142857142856</v>
      </c>
      <c r="I16" s="49">
        <f>'Avg Week RUBAGA-KABUSU'!I16+'Avg Week KABUSU-RUBAGA'!I16</f>
        <v>7.7142857142857135</v>
      </c>
      <c r="J16" s="49">
        <f>'Avg Week RUBAGA-KABUSU'!J16+'Avg Week KABUSU-RUBAGA'!J16</f>
        <v>3.4285714285714288</v>
      </c>
      <c r="K16" s="49">
        <f>'Avg Week RUBAGA-KABUSU'!K16+'Avg Week KABUSU-RUBAGA'!K16</f>
        <v>1.2857142857142856</v>
      </c>
      <c r="L16" s="49">
        <f>'Avg Week RUBAGA-KABUSU'!L16+'Avg Week KABUSU-RUBAGA'!L16</f>
        <v>1</v>
      </c>
      <c r="M16" s="49">
        <f>'Avg Week RUBAGA-KABUSU'!M16+'Avg Week KABUSU-RUBAGA'!M16</f>
        <v>465.71428571428567</v>
      </c>
      <c r="N16" s="49">
        <f>'Avg Week RUBAGA-KABUSU'!N16+'Avg Week KABUSU-RUBAGA'!N16</f>
        <v>0</v>
      </c>
      <c r="O16" s="15">
        <f t="shared" si="0"/>
        <v>180.99999999999994</v>
      </c>
      <c r="P16" s="15">
        <f t="shared" si="1"/>
        <v>646.71428571428555</v>
      </c>
      <c r="R16" s="1" t="s">
        <v>12</v>
      </c>
      <c r="S16" s="17">
        <f t="shared" ref="S16:AF16" si="8">SUM(C34:C37)</f>
        <v>232.42857142857144</v>
      </c>
      <c r="T16" s="17">
        <f t="shared" si="8"/>
        <v>108</v>
      </c>
      <c r="U16" s="17">
        <f t="shared" si="8"/>
        <v>29.428571428571431</v>
      </c>
      <c r="V16" s="17">
        <f t="shared" si="8"/>
        <v>146.28571428571428</v>
      </c>
      <c r="W16" s="17">
        <f t="shared" si="8"/>
        <v>2.2857142857142856</v>
      </c>
      <c r="X16" s="17">
        <f t="shared" si="8"/>
        <v>3.1428571428571423</v>
      </c>
      <c r="Y16" s="17">
        <f t="shared" si="8"/>
        <v>28.714285714285715</v>
      </c>
      <c r="Z16" s="17">
        <f t="shared" si="8"/>
        <v>19</v>
      </c>
      <c r="AA16" s="17">
        <f t="shared" si="8"/>
        <v>7</v>
      </c>
      <c r="AB16" s="17">
        <f t="shared" si="8"/>
        <v>4.2857142857142856</v>
      </c>
      <c r="AC16" s="17">
        <f t="shared" si="8"/>
        <v>1035</v>
      </c>
      <c r="AD16" s="17">
        <f t="shared" si="8"/>
        <v>0</v>
      </c>
      <c r="AE16" s="31">
        <f t="shared" si="8"/>
        <v>580.57142857142856</v>
      </c>
      <c r="AF16" s="31">
        <f t="shared" si="8"/>
        <v>1615.5714285714284</v>
      </c>
    </row>
    <row r="17" spans="2:32" ht="23.1" customHeight="1" x14ac:dyDescent="0.25">
      <c r="B17" s="23" t="s">
        <v>44</v>
      </c>
      <c r="C17" s="49">
        <f>'Avg Week RUBAGA-KABUSU'!C17+'Avg Week KABUSU-RUBAGA'!C17</f>
        <v>60.285714285714285</v>
      </c>
      <c r="D17" s="49">
        <f>'Avg Week RUBAGA-KABUSU'!D17+'Avg Week KABUSU-RUBAGA'!D17</f>
        <v>36.285714285714285</v>
      </c>
      <c r="E17" s="49">
        <f>'Avg Week RUBAGA-KABUSU'!E17+'Avg Week KABUSU-RUBAGA'!E17</f>
        <v>7.5714285714285712</v>
      </c>
      <c r="F17" s="49">
        <f>'Avg Week RUBAGA-KABUSU'!F17+'Avg Week KABUSU-RUBAGA'!F17</f>
        <v>50</v>
      </c>
      <c r="G17" s="49">
        <f>'Avg Week RUBAGA-KABUSU'!G17+'Avg Week KABUSU-RUBAGA'!G17</f>
        <v>0.5714285714285714</v>
      </c>
      <c r="H17" s="49">
        <f>'Avg Week RUBAGA-KABUSU'!H17+'Avg Week KABUSU-RUBAGA'!H17</f>
        <v>0.42857142857142855</v>
      </c>
      <c r="I17" s="49">
        <f>'Avg Week RUBAGA-KABUSU'!I17+'Avg Week KABUSU-RUBAGA'!I17</f>
        <v>4.8571428571428577</v>
      </c>
      <c r="J17" s="49">
        <f>'Avg Week RUBAGA-KABUSU'!J17+'Avg Week KABUSU-RUBAGA'!J17</f>
        <v>3</v>
      </c>
      <c r="K17" s="49">
        <f>'Avg Week RUBAGA-KABUSU'!K17+'Avg Week KABUSU-RUBAGA'!K17</f>
        <v>0.71428571428571419</v>
      </c>
      <c r="L17" s="49">
        <f>'Avg Week RUBAGA-KABUSU'!L17+'Avg Week KABUSU-RUBAGA'!L17</f>
        <v>0.5714285714285714</v>
      </c>
      <c r="M17" s="49">
        <f>'Avg Week RUBAGA-KABUSU'!M17+'Avg Week KABUSU-RUBAGA'!M17</f>
        <v>444</v>
      </c>
      <c r="N17" s="49">
        <f>'Avg Week RUBAGA-KABUSU'!N17+'Avg Week KABUSU-RUBAGA'!N17</f>
        <v>0</v>
      </c>
      <c r="O17" s="15">
        <f t="shared" si="0"/>
        <v>164.28571428571431</v>
      </c>
      <c r="P17" s="15">
        <f t="shared" si="1"/>
        <v>608.28571428571433</v>
      </c>
      <c r="R17" s="1" t="s">
        <v>13</v>
      </c>
      <c r="S17" s="17">
        <f t="shared" ref="S17:AF17" si="9">SUM(C38:C41)</f>
        <v>232.28571428571431</v>
      </c>
      <c r="T17" s="17">
        <f t="shared" si="9"/>
        <v>93.285714285714278</v>
      </c>
      <c r="U17" s="17">
        <f t="shared" si="9"/>
        <v>30.714285714285715</v>
      </c>
      <c r="V17" s="17">
        <f t="shared" si="9"/>
        <v>124.85714285714286</v>
      </c>
      <c r="W17" s="17">
        <f t="shared" si="9"/>
        <v>2.7142857142857144</v>
      </c>
      <c r="X17" s="17">
        <f t="shared" si="9"/>
        <v>1.857142857142857</v>
      </c>
      <c r="Y17" s="17">
        <f t="shared" si="9"/>
        <v>31.714285714285715</v>
      </c>
      <c r="Z17" s="17">
        <f t="shared" si="9"/>
        <v>18.571428571428573</v>
      </c>
      <c r="AA17" s="17">
        <f t="shared" si="9"/>
        <v>6.4285714285714288</v>
      </c>
      <c r="AB17" s="17">
        <f t="shared" si="9"/>
        <v>4.8571428571428559</v>
      </c>
      <c r="AC17" s="17">
        <f t="shared" si="9"/>
        <v>1037.2857142857142</v>
      </c>
      <c r="AD17" s="17">
        <f t="shared" si="9"/>
        <v>0</v>
      </c>
      <c r="AE17" s="31">
        <f t="shared" si="9"/>
        <v>547.28571428571422</v>
      </c>
      <c r="AF17" s="31">
        <f t="shared" si="9"/>
        <v>1584.5714285714284</v>
      </c>
    </row>
    <row r="18" spans="2:32" ht="23.1" customHeight="1" x14ac:dyDescent="0.25">
      <c r="B18" s="23" t="s">
        <v>45</v>
      </c>
      <c r="C18" s="49">
        <f>'Avg Week RUBAGA-KABUSU'!C18+'Avg Week KABUSU-RUBAGA'!C18</f>
        <v>67.714285714285722</v>
      </c>
      <c r="D18" s="49">
        <f>'Avg Week RUBAGA-KABUSU'!D18+'Avg Week KABUSU-RUBAGA'!D18</f>
        <v>36.142857142857146</v>
      </c>
      <c r="E18" s="49">
        <f>'Avg Week RUBAGA-KABUSU'!E18+'Avg Week KABUSU-RUBAGA'!E18</f>
        <v>8.2857142857142847</v>
      </c>
      <c r="F18" s="49">
        <f>'Avg Week RUBAGA-KABUSU'!F18+'Avg Week KABUSU-RUBAGA'!F18</f>
        <v>50.714285714285708</v>
      </c>
      <c r="G18" s="49">
        <f>'Avg Week RUBAGA-KABUSU'!G18+'Avg Week KABUSU-RUBAGA'!G18</f>
        <v>1.1428571428571428</v>
      </c>
      <c r="H18" s="49">
        <f>'Avg Week RUBAGA-KABUSU'!H18+'Avg Week KABUSU-RUBAGA'!H18</f>
        <v>0.2857142857142857</v>
      </c>
      <c r="I18" s="49">
        <f>'Avg Week RUBAGA-KABUSU'!I18+'Avg Week KABUSU-RUBAGA'!I18</f>
        <v>5.8571428571428577</v>
      </c>
      <c r="J18" s="49">
        <f>'Avg Week RUBAGA-KABUSU'!J18+'Avg Week KABUSU-RUBAGA'!J18</f>
        <v>3.1428571428571432</v>
      </c>
      <c r="K18" s="49">
        <f>'Avg Week RUBAGA-KABUSU'!K18+'Avg Week KABUSU-RUBAGA'!K18</f>
        <v>1.1428571428571428</v>
      </c>
      <c r="L18" s="49">
        <f>'Avg Week RUBAGA-KABUSU'!L18+'Avg Week KABUSU-RUBAGA'!L18</f>
        <v>0.85714285714285721</v>
      </c>
      <c r="M18" s="49">
        <f>'Avg Week RUBAGA-KABUSU'!M18+'Avg Week KABUSU-RUBAGA'!M18</f>
        <v>453.71428571428572</v>
      </c>
      <c r="N18" s="49">
        <f>'Avg Week RUBAGA-KABUSU'!N18+'Avg Week KABUSU-RUBAGA'!N18</f>
        <v>0</v>
      </c>
      <c r="O18" s="15">
        <f t="shared" si="0"/>
        <v>175.28571428571425</v>
      </c>
      <c r="P18" s="15">
        <f t="shared" si="1"/>
        <v>629</v>
      </c>
      <c r="R18" s="1" t="s">
        <v>14</v>
      </c>
      <c r="S18" s="17">
        <f t="shared" ref="S18:AF18" si="10">SUM(C42:C45)</f>
        <v>258</v>
      </c>
      <c r="T18" s="17">
        <f t="shared" si="10"/>
        <v>111.28571428571428</v>
      </c>
      <c r="U18" s="17">
        <f t="shared" si="10"/>
        <v>34.571428571428569</v>
      </c>
      <c r="V18" s="17">
        <f t="shared" si="10"/>
        <v>134.14285714285714</v>
      </c>
      <c r="W18" s="17">
        <f t="shared" si="10"/>
        <v>2.2857142857142856</v>
      </c>
      <c r="X18" s="17">
        <f t="shared" si="10"/>
        <v>1.9999999999999998</v>
      </c>
      <c r="Y18" s="17">
        <f t="shared" si="10"/>
        <v>29.857142857142854</v>
      </c>
      <c r="Z18" s="17">
        <f t="shared" si="10"/>
        <v>18.857142857142858</v>
      </c>
      <c r="AA18" s="17">
        <f t="shared" si="10"/>
        <v>5.2857142857142847</v>
      </c>
      <c r="AB18" s="17">
        <f t="shared" si="10"/>
        <v>2.2857142857142856</v>
      </c>
      <c r="AC18" s="17">
        <f t="shared" si="10"/>
        <v>930.71428571428567</v>
      </c>
      <c r="AD18" s="17">
        <f t="shared" si="10"/>
        <v>2</v>
      </c>
      <c r="AE18" s="31">
        <f t="shared" si="10"/>
        <v>600.57142857142844</v>
      </c>
      <c r="AF18" s="31">
        <f t="shared" si="10"/>
        <v>1531.2857142857142</v>
      </c>
    </row>
    <row r="19" spans="2:32" ht="23.1" customHeight="1" x14ac:dyDescent="0.25">
      <c r="B19" s="23" t="s">
        <v>46</v>
      </c>
      <c r="C19" s="49">
        <f>'Avg Week RUBAGA-KABUSU'!C19+'Avg Week KABUSU-RUBAGA'!C19</f>
        <v>55.857142857142861</v>
      </c>
      <c r="D19" s="49">
        <f>'Avg Week RUBAGA-KABUSU'!D19+'Avg Week KABUSU-RUBAGA'!D19</f>
        <v>36.142857142857146</v>
      </c>
      <c r="E19" s="49">
        <f>'Avg Week RUBAGA-KABUSU'!E19+'Avg Week KABUSU-RUBAGA'!E19</f>
        <v>10.285714285714286</v>
      </c>
      <c r="F19" s="49">
        <f>'Avg Week RUBAGA-KABUSU'!F19+'Avg Week KABUSU-RUBAGA'!F19</f>
        <v>48.142857142857139</v>
      </c>
      <c r="G19" s="49">
        <f>'Avg Week RUBAGA-KABUSU'!G19+'Avg Week KABUSU-RUBAGA'!G19</f>
        <v>0.42857142857142855</v>
      </c>
      <c r="H19" s="49">
        <f>'Avg Week RUBAGA-KABUSU'!H19+'Avg Week KABUSU-RUBAGA'!H19</f>
        <v>0.2857142857142857</v>
      </c>
      <c r="I19" s="49">
        <f>'Avg Week RUBAGA-KABUSU'!I19+'Avg Week KABUSU-RUBAGA'!I19</f>
        <v>5.8571428571428577</v>
      </c>
      <c r="J19" s="49">
        <f>'Avg Week RUBAGA-KABUSU'!J19+'Avg Week KABUSU-RUBAGA'!J19</f>
        <v>4.7142857142857144</v>
      </c>
      <c r="K19" s="49">
        <f>'Avg Week RUBAGA-KABUSU'!K19+'Avg Week KABUSU-RUBAGA'!K19</f>
        <v>0.8571428571428571</v>
      </c>
      <c r="L19" s="49">
        <f>'Avg Week RUBAGA-KABUSU'!L19+'Avg Week KABUSU-RUBAGA'!L19</f>
        <v>0.7142857142857143</v>
      </c>
      <c r="M19" s="49">
        <f>'Avg Week RUBAGA-KABUSU'!M19+'Avg Week KABUSU-RUBAGA'!M19</f>
        <v>347.71428571428567</v>
      </c>
      <c r="N19" s="49">
        <f>'Avg Week RUBAGA-KABUSU'!N19+'Avg Week KABUSU-RUBAGA'!N19</f>
        <v>0</v>
      </c>
      <c r="O19" s="15">
        <f t="shared" si="0"/>
        <v>163.28571428571431</v>
      </c>
      <c r="P19" s="15">
        <f t="shared" si="1"/>
        <v>511</v>
      </c>
      <c r="R19" s="1" t="s">
        <v>15</v>
      </c>
      <c r="S19" s="17">
        <f t="shared" ref="S19:AF19" si="11">SUM(C46:C49)</f>
        <v>279.28571428571428</v>
      </c>
      <c r="T19" s="17">
        <f t="shared" si="11"/>
        <v>102.42857142857142</v>
      </c>
      <c r="U19" s="17">
        <f t="shared" si="11"/>
        <v>34.142857142857146</v>
      </c>
      <c r="V19" s="17">
        <f t="shared" si="11"/>
        <v>137.85714285714283</v>
      </c>
      <c r="W19" s="17">
        <f t="shared" si="11"/>
        <v>4.1428571428571432</v>
      </c>
      <c r="X19" s="17">
        <f t="shared" si="11"/>
        <v>3.8571428571428568</v>
      </c>
      <c r="Y19" s="17">
        <f t="shared" si="11"/>
        <v>33.428571428571431</v>
      </c>
      <c r="Z19" s="17">
        <f t="shared" si="11"/>
        <v>16</v>
      </c>
      <c r="AA19" s="17">
        <f t="shared" si="11"/>
        <v>4.7142857142857135</v>
      </c>
      <c r="AB19" s="17">
        <f t="shared" si="11"/>
        <v>4</v>
      </c>
      <c r="AC19" s="17">
        <f t="shared" si="11"/>
        <v>1160.5714285714287</v>
      </c>
      <c r="AD19" s="17">
        <f t="shared" si="11"/>
        <v>0.14285714285714285</v>
      </c>
      <c r="AE19" s="31">
        <f t="shared" si="11"/>
        <v>620</v>
      </c>
      <c r="AF19" s="31">
        <f t="shared" si="11"/>
        <v>1780.5714285714287</v>
      </c>
    </row>
    <row r="20" spans="2:32" ht="23.1" customHeight="1" x14ac:dyDescent="0.25">
      <c r="B20" s="23" t="s">
        <v>47</v>
      </c>
      <c r="C20" s="49">
        <f>'Avg Week RUBAGA-KABUSU'!C20+'Avg Week KABUSU-RUBAGA'!C20</f>
        <v>58.428571428571431</v>
      </c>
      <c r="D20" s="49">
        <f>'Avg Week RUBAGA-KABUSU'!D20+'Avg Week KABUSU-RUBAGA'!D20</f>
        <v>35.857142857142854</v>
      </c>
      <c r="E20" s="49">
        <f>'Avg Week RUBAGA-KABUSU'!E20+'Avg Week KABUSU-RUBAGA'!E20</f>
        <v>9.7142857142857135</v>
      </c>
      <c r="F20" s="49">
        <f>'Avg Week RUBAGA-KABUSU'!F20+'Avg Week KABUSU-RUBAGA'!F20</f>
        <v>49.857142857142861</v>
      </c>
      <c r="G20" s="49">
        <f>'Avg Week RUBAGA-KABUSU'!G20+'Avg Week KABUSU-RUBAGA'!G20</f>
        <v>0.5714285714285714</v>
      </c>
      <c r="H20" s="49">
        <f>'Avg Week RUBAGA-KABUSU'!H20+'Avg Week KABUSU-RUBAGA'!H20</f>
        <v>0.5714285714285714</v>
      </c>
      <c r="I20" s="49">
        <f>'Avg Week RUBAGA-KABUSU'!I20+'Avg Week KABUSU-RUBAGA'!I20</f>
        <v>8</v>
      </c>
      <c r="J20" s="49">
        <f>'Avg Week RUBAGA-KABUSU'!J20+'Avg Week KABUSU-RUBAGA'!J20</f>
        <v>4.1428571428571423</v>
      </c>
      <c r="K20" s="49">
        <f>'Avg Week RUBAGA-KABUSU'!K20+'Avg Week KABUSU-RUBAGA'!K20</f>
        <v>0.85714285714285721</v>
      </c>
      <c r="L20" s="49">
        <f>'Avg Week RUBAGA-KABUSU'!L20+'Avg Week KABUSU-RUBAGA'!L20</f>
        <v>0.2857142857142857</v>
      </c>
      <c r="M20" s="49">
        <f>'Avg Week RUBAGA-KABUSU'!M20+'Avg Week KABUSU-RUBAGA'!M20</f>
        <v>366.14285714285711</v>
      </c>
      <c r="N20" s="49">
        <f>'Avg Week RUBAGA-KABUSU'!N20+'Avg Week KABUSU-RUBAGA'!N20</f>
        <v>0</v>
      </c>
      <c r="O20" s="15">
        <f t="shared" si="0"/>
        <v>168.28571428571428</v>
      </c>
      <c r="P20" s="15">
        <f t="shared" si="1"/>
        <v>534.42857142857133</v>
      </c>
      <c r="R20" s="1" t="s">
        <v>16</v>
      </c>
      <c r="S20" s="17">
        <f t="shared" ref="S20:AF20" si="12">SUM(C50:C53)</f>
        <v>343.71428571428572</v>
      </c>
      <c r="T20" s="17">
        <f t="shared" si="12"/>
        <v>132.42857142857142</v>
      </c>
      <c r="U20" s="17">
        <f t="shared" si="12"/>
        <v>32.571428571428569</v>
      </c>
      <c r="V20" s="17">
        <f t="shared" si="12"/>
        <v>138.71428571428572</v>
      </c>
      <c r="W20" s="17">
        <f t="shared" si="12"/>
        <v>2.4285714285714284</v>
      </c>
      <c r="X20" s="17">
        <f t="shared" si="12"/>
        <v>2.7142857142857144</v>
      </c>
      <c r="Y20" s="17">
        <f t="shared" si="12"/>
        <v>30.285714285714285</v>
      </c>
      <c r="Z20" s="17">
        <f t="shared" si="12"/>
        <v>18.857142857142858</v>
      </c>
      <c r="AA20" s="17">
        <f t="shared" si="12"/>
        <v>5.2857142857142856</v>
      </c>
      <c r="AB20" s="17">
        <f t="shared" si="12"/>
        <v>3.2857142857142856</v>
      </c>
      <c r="AC20" s="17">
        <f t="shared" si="12"/>
        <v>1183.5714285714287</v>
      </c>
      <c r="AD20" s="17">
        <f t="shared" si="12"/>
        <v>0</v>
      </c>
      <c r="AE20" s="31">
        <f t="shared" si="12"/>
        <v>710.28571428571433</v>
      </c>
      <c r="AF20" s="31">
        <f t="shared" si="12"/>
        <v>1893.8571428571429</v>
      </c>
    </row>
    <row r="21" spans="2:32" ht="23.1" customHeight="1" x14ac:dyDescent="0.25">
      <c r="B21" s="23" t="s">
        <v>48</v>
      </c>
      <c r="C21" s="49">
        <f>'Avg Week RUBAGA-KABUSU'!C21+'Avg Week KABUSU-RUBAGA'!C21</f>
        <v>58.857142857142861</v>
      </c>
      <c r="D21" s="49">
        <f>'Avg Week RUBAGA-KABUSU'!D21+'Avg Week KABUSU-RUBAGA'!D21</f>
        <v>32.285714285714285</v>
      </c>
      <c r="E21" s="49">
        <f>'Avg Week RUBAGA-KABUSU'!E21+'Avg Week KABUSU-RUBAGA'!E21</f>
        <v>9.4285714285714288</v>
      </c>
      <c r="F21" s="49">
        <f>'Avg Week RUBAGA-KABUSU'!F21+'Avg Week KABUSU-RUBAGA'!F21</f>
        <v>47.714285714285715</v>
      </c>
      <c r="G21" s="49">
        <f>'Avg Week RUBAGA-KABUSU'!G21+'Avg Week KABUSU-RUBAGA'!G21</f>
        <v>1.4285714285714284</v>
      </c>
      <c r="H21" s="49">
        <f>'Avg Week RUBAGA-KABUSU'!H21+'Avg Week KABUSU-RUBAGA'!H21</f>
        <v>0.8571428571428571</v>
      </c>
      <c r="I21" s="49">
        <f>'Avg Week RUBAGA-KABUSU'!I21+'Avg Week KABUSU-RUBAGA'!I21</f>
        <v>6.8571428571428577</v>
      </c>
      <c r="J21" s="49">
        <f>'Avg Week RUBAGA-KABUSU'!J21+'Avg Week KABUSU-RUBAGA'!J21</f>
        <v>4.1428571428571432</v>
      </c>
      <c r="K21" s="49">
        <f>'Avg Week RUBAGA-KABUSU'!K21+'Avg Week KABUSU-RUBAGA'!K21</f>
        <v>1.4285714285714284</v>
      </c>
      <c r="L21" s="49">
        <f>'Avg Week RUBAGA-KABUSU'!L21+'Avg Week KABUSU-RUBAGA'!L21</f>
        <v>24.714285714285712</v>
      </c>
      <c r="M21" s="49">
        <f>'Avg Week RUBAGA-KABUSU'!M21+'Avg Week KABUSU-RUBAGA'!M21</f>
        <v>355</v>
      </c>
      <c r="N21" s="49">
        <f>'Avg Week RUBAGA-KABUSU'!N21+'Avg Week KABUSU-RUBAGA'!N21</f>
        <v>0</v>
      </c>
      <c r="O21" s="15">
        <f t="shared" si="0"/>
        <v>187.71428571428569</v>
      </c>
      <c r="P21" s="15">
        <f t="shared" si="1"/>
        <v>542.71428571428567</v>
      </c>
      <c r="R21" s="36" t="s">
        <v>20</v>
      </c>
      <c r="S21" s="34">
        <f t="shared" ref="S21:AF21" si="13">SUM(C54:C57)</f>
        <v>388.42857142857144</v>
      </c>
      <c r="T21" s="17">
        <f t="shared" si="13"/>
        <v>139.85714285714286</v>
      </c>
      <c r="U21" s="17">
        <f t="shared" si="13"/>
        <v>37.714285714285715</v>
      </c>
      <c r="V21" s="17">
        <f t="shared" si="13"/>
        <v>163.85714285714286</v>
      </c>
      <c r="W21" s="17">
        <f t="shared" si="13"/>
        <v>6.2857142857142847</v>
      </c>
      <c r="X21" s="17">
        <f t="shared" si="13"/>
        <v>4.7142857142857144</v>
      </c>
      <c r="Y21" s="17">
        <f t="shared" si="13"/>
        <v>24.285714285714285</v>
      </c>
      <c r="Z21" s="17">
        <f t="shared" si="13"/>
        <v>14</v>
      </c>
      <c r="AA21" s="17">
        <f t="shared" si="13"/>
        <v>4.2857142857142865</v>
      </c>
      <c r="AB21" s="17">
        <f t="shared" si="13"/>
        <v>3.2857142857142856</v>
      </c>
      <c r="AC21" s="17">
        <f t="shared" si="13"/>
        <v>1221.1428571428571</v>
      </c>
      <c r="AD21" s="17">
        <f t="shared" si="13"/>
        <v>0.42857142857142855</v>
      </c>
      <c r="AE21" s="31">
        <f t="shared" si="13"/>
        <v>787.14285714285722</v>
      </c>
      <c r="AF21" s="31">
        <f t="shared" si="13"/>
        <v>2008.2857142857142</v>
      </c>
    </row>
    <row r="22" spans="2:32" ht="23.1" customHeight="1" x14ac:dyDescent="0.25">
      <c r="B22" s="23" t="s">
        <v>49</v>
      </c>
      <c r="C22" s="49">
        <f>'Avg Week RUBAGA-KABUSU'!C22+'Avg Week KABUSU-RUBAGA'!C22</f>
        <v>54.142857142857139</v>
      </c>
      <c r="D22" s="49">
        <f>'Avg Week RUBAGA-KABUSU'!D22+'Avg Week KABUSU-RUBAGA'!D22</f>
        <v>32</v>
      </c>
      <c r="E22" s="49">
        <f>'Avg Week RUBAGA-KABUSU'!E22+'Avg Week KABUSU-RUBAGA'!E22</f>
        <v>10.285714285714286</v>
      </c>
      <c r="F22" s="49">
        <f>'Avg Week RUBAGA-KABUSU'!F22+'Avg Week KABUSU-RUBAGA'!F22</f>
        <v>48.714285714285715</v>
      </c>
      <c r="G22" s="49">
        <f>'Avg Week RUBAGA-KABUSU'!G22+'Avg Week KABUSU-RUBAGA'!G22</f>
        <v>0.5714285714285714</v>
      </c>
      <c r="H22" s="49">
        <f>'Avg Week RUBAGA-KABUSU'!H22+'Avg Week KABUSU-RUBAGA'!H22</f>
        <v>0.42857142857142855</v>
      </c>
      <c r="I22" s="49">
        <f>'Avg Week RUBAGA-KABUSU'!I22+'Avg Week KABUSU-RUBAGA'!I22</f>
        <v>6.5714285714285712</v>
      </c>
      <c r="J22" s="49">
        <f>'Avg Week RUBAGA-KABUSU'!J22+'Avg Week KABUSU-RUBAGA'!J22</f>
        <v>5</v>
      </c>
      <c r="K22" s="49">
        <f>'Avg Week RUBAGA-KABUSU'!K22+'Avg Week KABUSU-RUBAGA'!K22</f>
        <v>1.4285714285714284</v>
      </c>
      <c r="L22" s="49">
        <f>'Avg Week RUBAGA-KABUSU'!L22+'Avg Week KABUSU-RUBAGA'!L22</f>
        <v>0.42857142857142855</v>
      </c>
      <c r="M22" s="49">
        <f>'Avg Week RUBAGA-KABUSU'!M22+'Avg Week KABUSU-RUBAGA'!M22</f>
        <v>343.42857142857144</v>
      </c>
      <c r="N22" s="49">
        <f>'Avg Week RUBAGA-KABUSU'!N22+'Avg Week KABUSU-RUBAGA'!N22</f>
        <v>0</v>
      </c>
      <c r="O22" s="15">
        <f t="shared" si="0"/>
        <v>159.57142857142856</v>
      </c>
      <c r="P22" s="15">
        <f t="shared" si="1"/>
        <v>503</v>
      </c>
      <c r="R22" s="1" t="s">
        <v>146</v>
      </c>
      <c r="S22" s="34">
        <f>SUM(C58:C61)</f>
        <v>174</v>
      </c>
      <c r="T22" s="34">
        <f t="shared" ref="T22:AF22" si="14">SUM(D58:D61)</f>
        <v>27</v>
      </c>
      <c r="U22" s="34">
        <f t="shared" si="14"/>
        <v>11.5</v>
      </c>
      <c r="V22" s="34">
        <f t="shared" si="14"/>
        <v>72.5</v>
      </c>
      <c r="W22" s="34">
        <f t="shared" si="14"/>
        <v>3</v>
      </c>
      <c r="X22" s="34">
        <f t="shared" si="14"/>
        <v>1.5</v>
      </c>
      <c r="Y22" s="34">
        <f t="shared" si="14"/>
        <v>7</v>
      </c>
      <c r="Z22" s="34">
        <f t="shared" si="14"/>
        <v>3.5</v>
      </c>
      <c r="AA22" s="34">
        <f t="shared" si="14"/>
        <v>3.5</v>
      </c>
      <c r="AB22" s="34">
        <f t="shared" si="14"/>
        <v>0</v>
      </c>
      <c r="AC22" s="34">
        <f t="shared" si="14"/>
        <v>435</v>
      </c>
      <c r="AD22" s="34">
        <f t="shared" si="14"/>
        <v>0</v>
      </c>
      <c r="AE22" s="31">
        <f t="shared" si="14"/>
        <v>303.5</v>
      </c>
      <c r="AF22" s="31">
        <f t="shared" si="14"/>
        <v>738.5</v>
      </c>
    </row>
    <row r="23" spans="2:32" ht="23.1" customHeight="1" x14ac:dyDescent="0.25">
      <c r="B23" s="23" t="s">
        <v>50</v>
      </c>
      <c r="C23" s="49">
        <f>'Avg Week RUBAGA-KABUSU'!C23+'Avg Week KABUSU-RUBAGA'!C23</f>
        <v>49.857142857142854</v>
      </c>
      <c r="D23" s="49">
        <f>'Avg Week RUBAGA-KABUSU'!D23+'Avg Week KABUSU-RUBAGA'!D23</f>
        <v>33.285714285714285</v>
      </c>
      <c r="E23" s="49">
        <f>'Avg Week RUBAGA-KABUSU'!E23+'Avg Week KABUSU-RUBAGA'!E23</f>
        <v>7.2857142857142865</v>
      </c>
      <c r="F23" s="49">
        <f>'Avg Week RUBAGA-KABUSU'!F23+'Avg Week KABUSU-RUBAGA'!F23</f>
        <v>42.857142857142861</v>
      </c>
      <c r="G23" s="49">
        <f>'Avg Week RUBAGA-KABUSU'!G23+'Avg Week KABUSU-RUBAGA'!G23</f>
        <v>1.1428571428571428</v>
      </c>
      <c r="H23" s="49">
        <f>'Avg Week RUBAGA-KABUSU'!H23+'Avg Week KABUSU-RUBAGA'!H23</f>
        <v>0.2857142857142857</v>
      </c>
      <c r="I23" s="49">
        <f>'Avg Week RUBAGA-KABUSU'!I23+'Avg Week KABUSU-RUBAGA'!I23</f>
        <v>8</v>
      </c>
      <c r="J23" s="49">
        <f>'Avg Week RUBAGA-KABUSU'!J23+'Avg Week KABUSU-RUBAGA'!J23</f>
        <v>4.7142857142857144</v>
      </c>
      <c r="K23" s="49">
        <f>'Avg Week RUBAGA-KABUSU'!K23+'Avg Week KABUSU-RUBAGA'!K23</f>
        <v>1.1428571428571428</v>
      </c>
      <c r="L23" s="49">
        <f>'Avg Week RUBAGA-KABUSU'!L23+'Avg Week KABUSU-RUBAGA'!L23</f>
        <v>0.5714285714285714</v>
      </c>
      <c r="M23" s="49">
        <f>'Avg Week RUBAGA-KABUSU'!M23+'Avg Week KABUSU-RUBAGA'!M23</f>
        <v>345.71428571428567</v>
      </c>
      <c r="N23" s="49">
        <f>'Avg Week RUBAGA-KABUSU'!N23+'Avg Week KABUSU-RUBAGA'!N23</f>
        <v>0</v>
      </c>
      <c r="O23" s="15">
        <f t="shared" si="0"/>
        <v>149.14285714285714</v>
      </c>
      <c r="P23" s="15">
        <f t="shared" si="1"/>
        <v>494.85714285714278</v>
      </c>
      <c r="R23" s="1" t="s">
        <v>147</v>
      </c>
      <c r="S23" s="34">
        <f>SUM(C62:C65)</f>
        <v>188.5</v>
      </c>
      <c r="T23" s="34">
        <f t="shared" ref="T23:AF23" si="15">SUM(D62:D65)</f>
        <v>25</v>
      </c>
      <c r="U23" s="34">
        <f t="shared" si="15"/>
        <v>7.5</v>
      </c>
      <c r="V23" s="34">
        <f t="shared" si="15"/>
        <v>82</v>
      </c>
      <c r="W23" s="34">
        <f t="shared" si="15"/>
        <v>2.5</v>
      </c>
      <c r="X23" s="34">
        <f t="shared" si="15"/>
        <v>1</v>
      </c>
      <c r="Y23" s="34">
        <f t="shared" si="15"/>
        <v>9.5</v>
      </c>
      <c r="Z23" s="34">
        <f t="shared" si="15"/>
        <v>4</v>
      </c>
      <c r="AA23" s="34">
        <f t="shared" si="15"/>
        <v>1</v>
      </c>
      <c r="AB23" s="34">
        <f t="shared" si="15"/>
        <v>0.5</v>
      </c>
      <c r="AC23" s="34">
        <f t="shared" si="15"/>
        <v>454</v>
      </c>
      <c r="AD23" s="34">
        <f t="shared" si="15"/>
        <v>0</v>
      </c>
      <c r="AE23" s="31">
        <f t="shared" si="15"/>
        <v>321.5</v>
      </c>
      <c r="AF23" s="31">
        <f t="shared" si="15"/>
        <v>775.5</v>
      </c>
    </row>
    <row r="24" spans="2:32" ht="23.1" customHeight="1" x14ac:dyDescent="0.25">
      <c r="B24" s="23" t="s">
        <v>51</v>
      </c>
      <c r="C24" s="49">
        <f>'Avg Week RUBAGA-KABUSU'!C24+'Avg Week KABUSU-RUBAGA'!C24</f>
        <v>54.571428571428569</v>
      </c>
      <c r="D24" s="49">
        <f>'Avg Week RUBAGA-KABUSU'!D24+'Avg Week KABUSU-RUBAGA'!D24</f>
        <v>29.142857142857142</v>
      </c>
      <c r="E24" s="49">
        <f>'Avg Week RUBAGA-KABUSU'!E24+'Avg Week KABUSU-RUBAGA'!E24</f>
        <v>11.857142857142858</v>
      </c>
      <c r="F24" s="49">
        <f>'Avg Week RUBAGA-KABUSU'!F24+'Avg Week KABUSU-RUBAGA'!F24</f>
        <v>38.714285714285715</v>
      </c>
      <c r="G24" s="49">
        <f>'Avg Week RUBAGA-KABUSU'!G24+'Avg Week KABUSU-RUBAGA'!G24</f>
        <v>1</v>
      </c>
      <c r="H24" s="49">
        <f>'Avg Week RUBAGA-KABUSU'!H24+'Avg Week KABUSU-RUBAGA'!H24</f>
        <v>0.14285714285714285</v>
      </c>
      <c r="I24" s="49">
        <f>'Avg Week RUBAGA-KABUSU'!I24+'Avg Week KABUSU-RUBAGA'!I24</f>
        <v>6.5714285714285712</v>
      </c>
      <c r="J24" s="49">
        <f>'Avg Week RUBAGA-KABUSU'!J24+'Avg Week KABUSU-RUBAGA'!J24</f>
        <v>4.2857142857142856</v>
      </c>
      <c r="K24" s="49">
        <f>'Avg Week RUBAGA-KABUSU'!K24+'Avg Week KABUSU-RUBAGA'!K24</f>
        <v>1.5714285714285714</v>
      </c>
      <c r="L24" s="49">
        <f>'Avg Week RUBAGA-KABUSU'!L24+'Avg Week KABUSU-RUBAGA'!L24</f>
        <v>1</v>
      </c>
      <c r="M24" s="49">
        <f>'Avg Week RUBAGA-KABUSU'!M24+'Avg Week KABUSU-RUBAGA'!M24</f>
        <v>295.85714285714289</v>
      </c>
      <c r="N24" s="49">
        <f>'Avg Week RUBAGA-KABUSU'!N24+'Avg Week KABUSU-RUBAGA'!N24</f>
        <v>0</v>
      </c>
      <c r="O24" s="15">
        <f t="shared" si="0"/>
        <v>148.85714285714286</v>
      </c>
      <c r="P24" s="15">
        <f t="shared" si="1"/>
        <v>444.71428571428578</v>
      </c>
      <c r="R24" s="1" t="s">
        <v>148</v>
      </c>
      <c r="S24" s="34">
        <f>SUM(C66:C69)</f>
        <v>133</v>
      </c>
      <c r="T24" s="34">
        <f t="shared" ref="T24:AF24" si="16">SUM(D66:D69)</f>
        <v>8.5</v>
      </c>
      <c r="U24" s="34">
        <f t="shared" si="16"/>
        <v>9.5</v>
      </c>
      <c r="V24" s="34">
        <f t="shared" si="16"/>
        <v>59.5</v>
      </c>
      <c r="W24" s="34">
        <f t="shared" si="16"/>
        <v>8.5</v>
      </c>
      <c r="X24" s="34">
        <f t="shared" si="16"/>
        <v>1</v>
      </c>
      <c r="Y24" s="34">
        <f t="shared" si="16"/>
        <v>10.5</v>
      </c>
      <c r="Z24" s="34">
        <f t="shared" si="16"/>
        <v>8.5</v>
      </c>
      <c r="AA24" s="34">
        <f t="shared" si="16"/>
        <v>0.5</v>
      </c>
      <c r="AB24" s="34">
        <f t="shared" si="16"/>
        <v>0</v>
      </c>
      <c r="AC24" s="34">
        <f t="shared" si="16"/>
        <v>328.5</v>
      </c>
      <c r="AD24" s="34">
        <f t="shared" si="16"/>
        <v>0</v>
      </c>
      <c r="AE24" s="31">
        <f t="shared" si="16"/>
        <v>239.5</v>
      </c>
      <c r="AF24" s="31">
        <f t="shared" si="16"/>
        <v>568</v>
      </c>
    </row>
    <row r="25" spans="2:32" ht="23.1" customHeight="1" x14ac:dyDescent="0.25">
      <c r="B25" s="23" t="s">
        <v>52</v>
      </c>
      <c r="C25" s="49">
        <f>'Avg Week RUBAGA-KABUSU'!C25+'Avg Week KABUSU-RUBAGA'!C25</f>
        <v>56.142857142857146</v>
      </c>
      <c r="D25" s="49">
        <f>'Avg Week RUBAGA-KABUSU'!D25+'Avg Week KABUSU-RUBAGA'!D25</f>
        <v>31.857142857142858</v>
      </c>
      <c r="E25" s="49">
        <f>'Avg Week RUBAGA-KABUSU'!E25+'Avg Week KABUSU-RUBAGA'!E25</f>
        <v>9.1428571428571423</v>
      </c>
      <c r="F25" s="49">
        <f>'Avg Week RUBAGA-KABUSU'!F25+'Avg Week KABUSU-RUBAGA'!F25</f>
        <v>39.714285714285715</v>
      </c>
      <c r="G25" s="49">
        <f>'Avg Week RUBAGA-KABUSU'!G25+'Avg Week KABUSU-RUBAGA'!G25</f>
        <v>0.2857142857142857</v>
      </c>
      <c r="H25" s="49">
        <f>'Avg Week RUBAGA-KABUSU'!H25+'Avg Week KABUSU-RUBAGA'!H25</f>
        <v>1.1428571428571428</v>
      </c>
      <c r="I25" s="49">
        <f>'Avg Week RUBAGA-KABUSU'!I25+'Avg Week KABUSU-RUBAGA'!I25</f>
        <v>8.7142857142857153</v>
      </c>
      <c r="J25" s="49">
        <f>'Avg Week RUBAGA-KABUSU'!J25+'Avg Week KABUSU-RUBAGA'!J25</f>
        <v>4.2857142857142856</v>
      </c>
      <c r="K25" s="49">
        <f>'Avg Week RUBAGA-KABUSU'!K25+'Avg Week KABUSU-RUBAGA'!K25</f>
        <v>1</v>
      </c>
      <c r="L25" s="49">
        <f>'Avg Week RUBAGA-KABUSU'!L25+'Avg Week KABUSU-RUBAGA'!L25</f>
        <v>1.2857142857142856</v>
      </c>
      <c r="M25" s="49">
        <f>'Avg Week RUBAGA-KABUSU'!M25+'Avg Week KABUSU-RUBAGA'!M25</f>
        <v>315</v>
      </c>
      <c r="N25" s="49">
        <f>'Avg Week RUBAGA-KABUSU'!N25+'Avg Week KABUSU-RUBAGA'!N25</f>
        <v>0</v>
      </c>
      <c r="O25" s="15">
        <f t="shared" si="0"/>
        <v>153.57142857142856</v>
      </c>
      <c r="P25" s="15">
        <f t="shared" si="1"/>
        <v>468.57142857142856</v>
      </c>
      <c r="R25" s="1" t="s">
        <v>149</v>
      </c>
      <c r="S25" s="34">
        <f>SUM(C70:C73)</f>
        <v>265</v>
      </c>
      <c r="T25" s="34">
        <f t="shared" ref="T25:AF25" si="17">SUM(D70:D73)</f>
        <v>35.5</v>
      </c>
      <c r="U25" s="34">
        <f t="shared" si="17"/>
        <v>15.5</v>
      </c>
      <c r="V25" s="34">
        <f t="shared" si="17"/>
        <v>74</v>
      </c>
      <c r="W25" s="34">
        <f t="shared" si="17"/>
        <v>1.5</v>
      </c>
      <c r="X25" s="34">
        <f t="shared" si="17"/>
        <v>0.5</v>
      </c>
      <c r="Y25" s="34">
        <f t="shared" si="17"/>
        <v>9</v>
      </c>
      <c r="Z25" s="34">
        <f t="shared" si="17"/>
        <v>3</v>
      </c>
      <c r="AA25" s="34">
        <f t="shared" si="17"/>
        <v>2</v>
      </c>
      <c r="AB25" s="34">
        <f t="shared" si="17"/>
        <v>1.5</v>
      </c>
      <c r="AC25" s="34">
        <f t="shared" si="17"/>
        <v>673.5</v>
      </c>
      <c r="AD25" s="34">
        <f t="shared" si="17"/>
        <v>0</v>
      </c>
      <c r="AE25" s="31">
        <f t="shared" si="17"/>
        <v>407.5</v>
      </c>
      <c r="AF25" s="31">
        <f t="shared" si="17"/>
        <v>1081</v>
      </c>
    </row>
    <row r="26" spans="2:32" ht="23.1" customHeight="1" x14ac:dyDescent="0.25">
      <c r="B26" s="23" t="s">
        <v>53</v>
      </c>
      <c r="C26" s="49">
        <f>'Avg Week RUBAGA-KABUSU'!C26+'Avg Week KABUSU-RUBAGA'!C26</f>
        <v>59.285714285714285</v>
      </c>
      <c r="D26" s="49">
        <f>'Avg Week RUBAGA-KABUSU'!D26+'Avg Week KABUSU-RUBAGA'!D26</f>
        <v>28.142857142857142</v>
      </c>
      <c r="E26" s="49">
        <f>'Avg Week RUBAGA-KABUSU'!E26+'Avg Week KABUSU-RUBAGA'!E26</f>
        <v>10</v>
      </c>
      <c r="F26" s="49">
        <f>'Avg Week RUBAGA-KABUSU'!F26+'Avg Week KABUSU-RUBAGA'!F26</f>
        <v>45.857142857142854</v>
      </c>
      <c r="G26" s="49">
        <f>'Avg Week RUBAGA-KABUSU'!G26+'Avg Week KABUSU-RUBAGA'!G26</f>
        <v>0.5714285714285714</v>
      </c>
      <c r="H26" s="49">
        <f>'Avg Week RUBAGA-KABUSU'!H26+'Avg Week KABUSU-RUBAGA'!H26</f>
        <v>0.71428571428571419</v>
      </c>
      <c r="I26" s="49">
        <f>'Avg Week RUBAGA-KABUSU'!I26+'Avg Week KABUSU-RUBAGA'!I26</f>
        <v>9</v>
      </c>
      <c r="J26" s="49">
        <f>'Avg Week RUBAGA-KABUSU'!J26+'Avg Week KABUSU-RUBAGA'!J26</f>
        <v>4.8571428571428577</v>
      </c>
      <c r="K26" s="49">
        <f>'Avg Week RUBAGA-KABUSU'!K26+'Avg Week KABUSU-RUBAGA'!K26</f>
        <v>2.1428571428571428</v>
      </c>
      <c r="L26" s="49">
        <f>'Avg Week RUBAGA-KABUSU'!L26+'Avg Week KABUSU-RUBAGA'!L26</f>
        <v>0.8571428571428571</v>
      </c>
      <c r="M26" s="49">
        <f>'Avg Week RUBAGA-KABUSU'!M26+'Avg Week KABUSU-RUBAGA'!M26</f>
        <v>325.14285714285711</v>
      </c>
      <c r="N26" s="49">
        <f>'Avg Week RUBAGA-KABUSU'!N26+'Avg Week KABUSU-RUBAGA'!N26</f>
        <v>0</v>
      </c>
      <c r="O26" s="15">
        <f t="shared" si="0"/>
        <v>161.42857142857144</v>
      </c>
      <c r="P26" s="15">
        <f t="shared" si="1"/>
        <v>486.57142857142856</v>
      </c>
      <c r="R26" s="1" t="s">
        <v>150</v>
      </c>
      <c r="S26" s="34">
        <f>SUM(C74:C77)</f>
        <v>228</v>
      </c>
      <c r="T26" s="34">
        <f t="shared" ref="T26:AF26" si="18">SUM(D74:D77)</f>
        <v>26.5</v>
      </c>
      <c r="U26" s="34">
        <f t="shared" si="18"/>
        <v>19</v>
      </c>
      <c r="V26" s="34">
        <f t="shared" si="18"/>
        <v>40.5</v>
      </c>
      <c r="W26" s="34">
        <f t="shared" si="18"/>
        <v>2</v>
      </c>
      <c r="X26" s="34">
        <f t="shared" si="18"/>
        <v>4.5</v>
      </c>
      <c r="Y26" s="34">
        <f t="shared" si="18"/>
        <v>11</v>
      </c>
      <c r="Z26" s="34">
        <f t="shared" si="18"/>
        <v>5.5</v>
      </c>
      <c r="AA26" s="34">
        <f t="shared" si="18"/>
        <v>3.5</v>
      </c>
      <c r="AB26" s="34">
        <f t="shared" si="18"/>
        <v>1</v>
      </c>
      <c r="AC26" s="34">
        <f t="shared" si="18"/>
        <v>631</v>
      </c>
      <c r="AD26" s="34">
        <f t="shared" si="18"/>
        <v>0.5</v>
      </c>
      <c r="AE26" s="31">
        <f t="shared" si="18"/>
        <v>342</v>
      </c>
      <c r="AF26" s="31">
        <f t="shared" si="18"/>
        <v>973</v>
      </c>
    </row>
    <row r="27" spans="2:32" ht="23.1" customHeight="1" x14ac:dyDescent="0.25">
      <c r="B27" s="23" t="s">
        <v>54</v>
      </c>
      <c r="C27" s="49">
        <f>'Avg Week RUBAGA-KABUSU'!C27+'Avg Week KABUSU-RUBAGA'!C27</f>
        <v>52.714285714285715</v>
      </c>
      <c r="D27" s="49">
        <f>'Avg Week RUBAGA-KABUSU'!D27+'Avg Week KABUSU-RUBAGA'!D27</f>
        <v>29.142857142857146</v>
      </c>
      <c r="E27" s="49">
        <f>'Avg Week RUBAGA-KABUSU'!E27+'Avg Week KABUSU-RUBAGA'!E27</f>
        <v>8</v>
      </c>
      <c r="F27" s="49">
        <f>'Avg Week RUBAGA-KABUSU'!F27+'Avg Week KABUSU-RUBAGA'!F27</f>
        <v>42</v>
      </c>
      <c r="G27" s="49">
        <f>'Avg Week RUBAGA-KABUSU'!G27+'Avg Week KABUSU-RUBAGA'!G27</f>
        <v>0.42857142857142855</v>
      </c>
      <c r="H27" s="49">
        <f>'Avg Week RUBAGA-KABUSU'!H27+'Avg Week KABUSU-RUBAGA'!H27</f>
        <v>0.2857142857142857</v>
      </c>
      <c r="I27" s="49">
        <f>'Avg Week RUBAGA-KABUSU'!I27+'Avg Week KABUSU-RUBAGA'!I27</f>
        <v>6.7142857142857135</v>
      </c>
      <c r="J27" s="49">
        <f>'Avg Week RUBAGA-KABUSU'!J27+'Avg Week KABUSU-RUBAGA'!J27</f>
        <v>5.7142857142857144</v>
      </c>
      <c r="K27" s="49">
        <f>'Avg Week RUBAGA-KABUSU'!K27+'Avg Week KABUSU-RUBAGA'!K27</f>
        <v>1.7142857142857144</v>
      </c>
      <c r="L27" s="49">
        <f>'Avg Week RUBAGA-KABUSU'!L27+'Avg Week KABUSU-RUBAGA'!L27</f>
        <v>0.2857142857142857</v>
      </c>
      <c r="M27" s="49">
        <f>'Avg Week RUBAGA-KABUSU'!M27+'Avg Week KABUSU-RUBAGA'!M27</f>
        <v>308.14285714285711</v>
      </c>
      <c r="N27" s="49">
        <f>'Avg Week RUBAGA-KABUSU'!N27+'Avg Week KABUSU-RUBAGA'!N27</f>
        <v>0</v>
      </c>
      <c r="O27" s="15">
        <f t="shared" si="0"/>
        <v>147</v>
      </c>
      <c r="P27" s="15">
        <f t="shared" si="1"/>
        <v>455.14285714285711</v>
      </c>
      <c r="R27" s="1" t="s">
        <v>151</v>
      </c>
      <c r="S27" s="34">
        <f>SUM(C78:C81)</f>
        <v>189</v>
      </c>
      <c r="T27" s="34">
        <f t="shared" ref="T27:AF27" si="19">SUM(D78:D81)</f>
        <v>9.5</v>
      </c>
      <c r="U27" s="34">
        <f t="shared" si="19"/>
        <v>14</v>
      </c>
      <c r="V27" s="34">
        <f t="shared" si="19"/>
        <v>22.5</v>
      </c>
      <c r="W27" s="34">
        <f t="shared" si="19"/>
        <v>2.5</v>
      </c>
      <c r="X27" s="34">
        <f t="shared" si="19"/>
        <v>4</v>
      </c>
      <c r="Y27" s="34">
        <f t="shared" si="19"/>
        <v>7</v>
      </c>
      <c r="Z27" s="34">
        <f t="shared" si="19"/>
        <v>3</v>
      </c>
      <c r="AA27" s="34">
        <f t="shared" si="19"/>
        <v>5.5</v>
      </c>
      <c r="AB27" s="34">
        <f t="shared" si="19"/>
        <v>0</v>
      </c>
      <c r="AC27" s="34">
        <f t="shared" si="19"/>
        <v>409</v>
      </c>
      <c r="AD27" s="34">
        <f t="shared" si="19"/>
        <v>1</v>
      </c>
      <c r="AE27" s="31">
        <f t="shared" si="19"/>
        <v>258</v>
      </c>
      <c r="AF27" s="31">
        <f t="shared" si="19"/>
        <v>667</v>
      </c>
    </row>
    <row r="28" spans="2:32" ht="23.1" customHeight="1" x14ac:dyDescent="0.25">
      <c r="B28" s="23" t="s">
        <v>55</v>
      </c>
      <c r="C28" s="49">
        <f>'Avg Week RUBAGA-KABUSU'!C28+'Avg Week KABUSU-RUBAGA'!C28</f>
        <v>58.142857142857139</v>
      </c>
      <c r="D28" s="49">
        <f>'Avg Week RUBAGA-KABUSU'!D28+'Avg Week KABUSU-RUBAGA'!D28</f>
        <v>33.857142857142854</v>
      </c>
      <c r="E28" s="49">
        <f>'Avg Week RUBAGA-KABUSU'!E28+'Avg Week KABUSU-RUBAGA'!E28</f>
        <v>9.2857142857142847</v>
      </c>
      <c r="F28" s="49">
        <f>'Avg Week RUBAGA-KABUSU'!F28+'Avg Week KABUSU-RUBAGA'!F28</f>
        <v>43.142857142857146</v>
      </c>
      <c r="G28" s="49">
        <f>'Avg Week RUBAGA-KABUSU'!G28+'Avg Week KABUSU-RUBAGA'!G28</f>
        <v>0.5714285714285714</v>
      </c>
      <c r="H28" s="49">
        <f>'Avg Week RUBAGA-KABUSU'!H28+'Avg Week KABUSU-RUBAGA'!H28</f>
        <v>0.14285714285714285</v>
      </c>
      <c r="I28" s="49">
        <f>'Avg Week RUBAGA-KABUSU'!I28+'Avg Week KABUSU-RUBAGA'!I28</f>
        <v>8.4285714285714288</v>
      </c>
      <c r="J28" s="49">
        <f>'Avg Week RUBAGA-KABUSU'!J28+'Avg Week KABUSU-RUBAGA'!J28</f>
        <v>5.4285714285714288</v>
      </c>
      <c r="K28" s="49">
        <f>'Avg Week RUBAGA-KABUSU'!K28+'Avg Week KABUSU-RUBAGA'!K28</f>
        <v>1.8571428571428572</v>
      </c>
      <c r="L28" s="49">
        <f>'Avg Week RUBAGA-KABUSU'!L28+'Avg Week KABUSU-RUBAGA'!L28</f>
        <v>1.5714285714285714</v>
      </c>
      <c r="M28" s="49">
        <f>'Avg Week RUBAGA-KABUSU'!M28+'Avg Week KABUSU-RUBAGA'!M28</f>
        <v>298.42857142857144</v>
      </c>
      <c r="N28" s="49">
        <f>'Avg Week RUBAGA-KABUSU'!N28+'Avg Week KABUSU-RUBAGA'!N28</f>
        <v>0</v>
      </c>
      <c r="O28" s="15">
        <f t="shared" si="0"/>
        <v>162.42857142857142</v>
      </c>
      <c r="P28" s="15">
        <f t="shared" si="1"/>
        <v>460.85714285714289</v>
      </c>
      <c r="R28" s="1" t="s">
        <v>152</v>
      </c>
      <c r="S28" s="34">
        <f>SUM(C82:C85)</f>
        <v>112.5</v>
      </c>
      <c r="T28" s="34">
        <f t="shared" ref="T28:AF28" si="20">SUM(D82:D85)</f>
        <v>8</v>
      </c>
      <c r="U28" s="34">
        <f t="shared" si="20"/>
        <v>4.5</v>
      </c>
      <c r="V28" s="34">
        <f t="shared" si="20"/>
        <v>6</v>
      </c>
      <c r="W28" s="34">
        <f t="shared" si="20"/>
        <v>0</v>
      </c>
      <c r="X28" s="34">
        <f t="shared" si="20"/>
        <v>1</v>
      </c>
      <c r="Y28" s="34">
        <f t="shared" si="20"/>
        <v>6.5</v>
      </c>
      <c r="Z28" s="34">
        <f t="shared" si="20"/>
        <v>4.5</v>
      </c>
      <c r="AA28" s="34">
        <f t="shared" si="20"/>
        <v>0.5</v>
      </c>
      <c r="AB28" s="34">
        <f t="shared" si="20"/>
        <v>0.5</v>
      </c>
      <c r="AC28" s="34">
        <f t="shared" si="20"/>
        <v>274</v>
      </c>
      <c r="AD28" s="34">
        <f t="shared" si="20"/>
        <v>0</v>
      </c>
      <c r="AE28" s="31">
        <f t="shared" si="20"/>
        <v>144</v>
      </c>
      <c r="AF28" s="31">
        <f t="shared" si="20"/>
        <v>418</v>
      </c>
    </row>
    <row r="29" spans="2:32" ht="23.1" customHeight="1" x14ac:dyDescent="0.25">
      <c r="B29" s="23" t="s">
        <v>56</v>
      </c>
      <c r="C29" s="49">
        <f>'Avg Week RUBAGA-KABUSU'!C29+'Avg Week KABUSU-RUBAGA'!C29</f>
        <v>56.428571428571431</v>
      </c>
      <c r="D29" s="49">
        <f>'Avg Week RUBAGA-KABUSU'!D29+'Avg Week KABUSU-RUBAGA'!D29</f>
        <v>28.714285714285715</v>
      </c>
      <c r="E29" s="49">
        <f>'Avg Week RUBAGA-KABUSU'!E29+'Avg Week KABUSU-RUBAGA'!E29</f>
        <v>7.1428571428571423</v>
      </c>
      <c r="F29" s="49">
        <f>'Avg Week RUBAGA-KABUSU'!F29+'Avg Week KABUSU-RUBAGA'!F29</f>
        <v>36.714285714285715</v>
      </c>
      <c r="G29" s="49">
        <f>'Avg Week RUBAGA-KABUSU'!G29+'Avg Week KABUSU-RUBAGA'!G29</f>
        <v>0.42857142857142855</v>
      </c>
      <c r="H29" s="49">
        <f>'Avg Week RUBAGA-KABUSU'!H29+'Avg Week KABUSU-RUBAGA'!H29</f>
        <v>0.42857142857142855</v>
      </c>
      <c r="I29" s="49">
        <f>'Avg Week RUBAGA-KABUSU'!I29+'Avg Week KABUSU-RUBAGA'!I29</f>
        <v>7.2857142857142856</v>
      </c>
      <c r="J29" s="49">
        <f>'Avg Week RUBAGA-KABUSU'!J29+'Avg Week KABUSU-RUBAGA'!J29</f>
        <v>4</v>
      </c>
      <c r="K29" s="49">
        <f>'Avg Week RUBAGA-KABUSU'!K29+'Avg Week KABUSU-RUBAGA'!K29</f>
        <v>2.1428571428571428</v>
      </c>
      <c r="L29" s="49">
        <f>'Avg Week RUBAGA-KABUSU'!L29+'Avg Week KABUSU-RUBAGA'!L29</f>
        <v>1</v>
      </c>
      <c r="M29" s="49">
        <f>'Avg Week RUBAGA-KABUSU'!M29+'Avg Week KABUSU-RUBAGA'!M29</f>
        <v>320.71428571428572</v>
      </c>
      <c r="N29" s="49">
        <f>'Avg Week RUBAGA-KABUSU'!N29+'Avg Week KABUSU-RUBAGA'!N29</f>
        <v>0</v>
      </c>
      <c r="O29" s="15">
        <f t="shared" si="0"/>
        <v>144.28571428571425</v>
      </c>
      <c r="P29" s="15">
        <f t="shared" si="1"/>
        <v>465</v>
      </c>
      <c r="R29" s="1" t="s">
        <v>153</v>
      </c>
      <c r="S29" s="34">
        <f>SUM(C86:C89)</f>
        <v>93</v>
      </c>
      <c r="T29" s="34">
        <f t="shared" ref="T29:AF29" si="21">SUM(D86:D89)</f>
        <v>9.5</v>
      </c>
      <c r="U29" s="34">
        <f t="shared" si="21"/>
        <v>4</v>
      </c>
      <c r="V29" s="34">
        <f t="shared" si="21"/>
        <v>4</v>
      </c>
      <c r="W29" s="34">
        <f t="shared" si="21"/>
        <v>0.5</v>
      </c>
      <c r="X29" s="34">
        <f t="shared" si="21"/>
        <v>1.5</v>
      </c>
      <c r="Y29" s="34">
        <f t="shared" si="21"/>
        <v>3.5</v>
      </c>
      <c r="Z29" s="34">
        <f t="shared" si="21"/>
        <v>3</v>
      </c>
      <c r="AA29" s="34">
        <f t="shared" si="21"/>
        <v>2.5</v>
      </c>
      <c r="AB29" s="34">
        <f t="shared" si="21"/>
        <v>0.5</v>
      </c>
      <c r="AC29" s="34">
        <f t="shared" si="21"/>
        <v>197.5</v>
      </c>
      <c r="AD29" s="34">
        <f t="shared" si="21"/>
        <v>0.5</v>
      </c>
      <c r="AE29" s="31">
        <f t="shared" si="21"/>
        <v>122.5</v>
      </c>
      <c r="AF29" s="31">
        <f t="shared" si="21"/>
        <v>320</v>
      </c>
    </row>
    <row r="30" spans="2:32" ht="23.1" customHeight="1" x14ac:dyDescent="0.25">
      <c r="B30" s="23" t="s">
        <v>57</v>
      </c>
      <c r="C30" s="49">
        <f>'Avg Week RUBAGA-KABUSU'!C30+'Avg Week KABUSU-RUBAGA'!C30</f>
        <v>52.285714285714285</v>
      </c>
      <c r="D30" s="49">
        <f>'Avg Week RUBAGA-KABUSU'!D30+'Avg Week KABUSU-RUBAGA'!D30</f>
        <v>27.714285714285715</v>
      </c>
      <c r="E30" s="49">
        <f>'Avg Week RUBAGA-KABUSU'!E30+'Avg Week KABUSU-RUBAGA'!E30</f>
        <v>9.1428571428571423</v>
      </c>
      <c r="F30" s="49">
        <f>'Avg Week RUBAGA-KABUSU'!F30+'Avg Week KABUSU-RUBAGA'!F30</f>
        <v>39</v>
      </c>
      <c r="G30" s="49">
        <f>'Avg Week RUBAGA-KABUSU'!G30+'Avg Week KABUSU-RUBAGA'!G30</f>
        <v>0.5714285714285714</v>
      </c>
      <c r="H30" s="49">
        <f>'Avg Week RUBAGA-KABUSU'!H30+'Avg Week KABUSU-RUBAGA'!H30</f>
        <v>0.14285714285714285</v>
      </c>
      <c r="I30" s="49">
        <f>'Avg Week RUBAGA-KABUSU'!I30+'Avg Week KABUSU-RUBAGA'!I30</f>
        <v>9.8571428571428577</v>
      </c>
      <c r="J30" s="49">
        <f>'Avg Week RUBAGA-KABUSU'!J30+'Avg Week KABUSU-RUBAGA'!J30</f>
        <v>5.5714285714285712</v>
      </c>
      <c r="K30" s="49">
        <f>'Avg Week RUBAGA-KABUSU'!K30+'Avg Week KABUSU-RUBAGA'!K30</f>
        <v>0.71428571428571419</v>
      </c>
      <c r="L30" s="49">
        <f>'Avg Week RUBAGA-KABUSU'!L30+'Avg Week KABUSU-RUBAGA'!L30</f>
        <v>1</v>
      </c>
      <c r="M30" s="49">
        <f>'Avg Week RUBAGA-KABUSU'!M30+'Avg Week KABUSU-RUBAGA'!M30</f>
        <v>296.42857142857144</v>
      </c>
      <c r="N30" s="49">
        <f>'Avg Week RUBAGA-KABUSU'!N30+'Avg Week KABUSU-RUBAGA'!N30</f>
        <v>0</v>
      </c>
      <c r="O30" s="15">
        <f t="shared" si="0"/>
        <v>146.00000000000003</v>
      </c>
      <c r="P30" s="15">
        <f t="shared" si="1"/>
        <v>442.42857142857144</v>
      </c>
      <c r="R30" s="1" t="s">
        <v>154</v>
      </c>
      <c r="S30" s="34">
        <f>SUM(C90:C93)</f>
        <v>148.5</v>
      </c>
      <c r="T30" s="34">
        <f t="shared" ref="T30:AF30" si="22">SUM(D90:D93)</f>
        <v>4</v>
      </c>
      <c r="U30" s="34">
        <f t="shared" si="22"/>
        <v>2</v>
      </c>
      <c r="V30" s="34">
        <f t="shared" si="22"/>
        <v>18</v>
      </c>
      <c r="W30" s="34">
        <f t="shared" si="22"/>
        <v>0.5</v>
      </c>
      <c r="X30" s="34">
        <f t="shared" si="22"/>
        <v>1.5</v>
      </c>
      <c r="Y30" s="34">
        <f t="shared" si="22"/>
        <v>5</v>
      </c>
      <c r="Z30" s="34">
        <f t="shared" si="22"/>
        <v>4.5</v>
      </c>
      <c r="AA30" s="34">
        <f t="shared" si="22"/>
        <v>0</v>
      </c>
      <c r="AB30" s="34">
        <f t="shared" si="22"/>
        <v>0</v>
      </c>
      <c r="AC30" s="34">
        <f t="shared" si="22"/>
        <v>181.5</v>
      </c>
      <c r="AD30" s="34">
        <f t="shared" si="22"/>
        <v>0</v>
      </c>
      <c r="AE30" s="31">
        <f t="shared" si="22"/>
        <v>184</v>
      </c>
      <c r="AF30" s="31">
        <f t="shared" si="22"/>
        <v>365.5</v>
      </c>
    </row>
    <row r="31" spans="2:32" ht="23.1" customHeight="1" x14ac:dyDescent="0.25">
      <c r="B31" s="24" t="s">
        <v>58</v>
      </c>
      <c r="C31" s="49">
        <f>'Avg Week RUBAGA-KABUSU'!C31+'Avg Week KABUSU-RUBAGA'!C31</f>
        <v>58.285714285714285</v>
      </c>
      <c r="D31" s="49">
        <f>'Avg Week RUBAGA-KABUSU'!D31+'Avg Week KABUSU-RUBAGA'!D31</f>
        <v>31.142857142857142</v>
      </c>
      <c r="E31" s="49">
        <f>'Avg Week RUBAGA-KABUSU'!E31+'Avg Week KABUSU-RUBAGA'!E31</f>
        <v>7.8571428571428577</v>
      </c>
      <c r="F31" s="49">
        <f>'Avg Week RUBAGA-KABUSU'!F31+'Avg Week KABUSU-RUBAGA'!F31</f>
        <v>36.571428571428569</v>
      </c>
      <c r="G31" s="49">
        <f>'Avg Week RUBAGA-KABUSU'!G31+'Avg Week KABUSU-RUBAGA'!G31</f>
        <v>0.5714285714285714</v>
      </c>
      <c r="H31" s="49">
        <f>'Avg Week RUBAGA-KABUSU'!H31+'Avg Week KABUSU-RUBAGA'!H31</f>
        <v>0.42857142857142855</v>
      </c>
      <c r="I31" s="49">
        <f>'Avg Week RUBAGA-KABUSU'!I31+'Avg Week KABUSU-RUBAGA'!I31</f>
        <v>7.7142857142857153</v>
      </c>
      <c r="J31" s="49">
        <f>'Avg Week RUBAGA-KABUSU'!J31+'Avg Week KABUSU-RUBAGA'!J31</f>
        <v>6.4285714285714288</v>
      </c>
      <c r="K31" s="49">
        <f>'Avg Week RUBAGA-KABUSU'!K31+'Avg Week KABUSU-RUBAGA'!K31</f>
        <v>2.8571428571428572</v>
      </c>
      <c r="L31" s="49">
        <f>'Avg Week RUBAGA-KABUSU'!L31+'Avg Week KABUSU-RUBAGA'!L31</f>
        <v>1.1428571428571428</v>
      </c>
      <c r="M31" s="49">
        <f>'Avg Week RUBAGA-KABUSU'!M31+'Avg Week KABUSU-RUBAGA'!M31</f>
        <v>317</v>
      </c>
      <c r="N31" s="49">
        <f>'Avg Week RUBAGA-KABUSU'!N31+'Avg Week KABUSU-RUBAGA'!N31</f>
        <v>0</v>
      </c>
      <c r="O31" s="15">
        <f t="shared" si="0"/>
        <v>153</v>
      </c>
      <c r="P31" s="15">
        <f t="shared" si="1"/>
        <v>470</v>
      </c>
      <c r="R31" s="1" t="s">
        <v>155</v>
      </c>
      <c r="S31" s="34">
        <f>SUM(C94:C97)</f>
        <v>65</v>
      </c>
      <c r="T31" s="34">
        <f t="shared" ref="T31:AF31" si="23">SUM(D94:D97)</f>
        <v>5</v>
      </c>
      <c r="U31" s="34">
        <f t="shared" si="23"/>
        <v>2.5</v>
      </c>
      <c r="V31" s="34">
        <f t="shared" si="23"/>
        <v>15.5</v>
      </c>
      <c r="W31" s="34">
        <f t="shared" si="23"/>
        <v>0.5</v>
      </c>
      <c r="X31" s="34">
        <f t="shared" si="23"/>
        <v>4.5</v>
      </c>
      <c r="Y31" s="34">
        <f t="shared" si="23"/>
        <v>9</v>
      </c>
      <c r="Z31" s="34">
        <f t="shared" si="23"/>
        <v>4.5</v>
      </c>
      <c r="AA31" s="34">
        <f t="shared" si="23"/>
        <v>2</v>
      </c>
      <c r="AB31" s="34">
        <f t="shared" si="23"/>
        <v>0</v>
      </c>
      <c r="AC31" s="34">
        <f t="shared" si="23"/>
        <v>214</v>
      </c>
      <c r="AD31" s="34">
        <f t="shared" si="23"/>
        <v>0</v>
      </c>
      <c r="AE31" s="31">
        <f t="shared" si="23"/>
        <v>108.5</v>
      </c>
      <c r="AF31" s="31">
        <f t="shared" si="23"/>
        <v>322.5</v>
      </c>
    </row>
    <row r="32" spans="2:32" ht="23.1" customHeight="1" x14ac:dyDescent="0.25">
      <c r="B32" s="24" t="s">
        <v>59</v>
      </c>
      <c r="C32" s="49">
        <f>'Avg Week RUBAGA-KABUSU'!C32+'Avg Week KABUSU-RUBAGA'!C32</f>
        <v>52.714285714285708</v>
      </c>
      <c r="D32" s="49">
        <f>'Avg Week RUBAGA-KABUSU'!D32+'Avg Week KABUSU-RUBAGA'!D32</f>
        <v>33.142857142857139</v>
      </c>
      <c r="E32" s="49">
        <f>'Avg Week RUBAGA-KABUSU'!E32+'Avg Week KABUSU-RUBAGA'!E32</f>
        <v>7</v>
      </c>
      <c r="F32" s="49">
        <f>'Avg Week RUBAGA-KABUSU'!F32+'Avg Week KABUSU-RUBAGA'!F32</f>
        <v>39.571428571428569</v>
      </c>
      <c r="G32" s="49">
        <f>'Avg Week RUBAGA-KABUSU'!G32+'Avg Week KABUSU-RUBAGA'!G32</f>
        <v>0.5714285714285714</v>
      </c>
      <c r="H32" s="49">
        <f>'Avg Week RUBAGA-KABUSU'!H32+'Avg Week KABUSU-RUBAGA'!H32</f>
        <v>0.5714285714285714</v>
      </c>
      <c r="I32" s="49">
        <f>'Avg Week RUBAGA-KABUSU'!I32+'Avg Week KABUSU-RUBAGA'!I32</f>
        <v>7.2857142857142856</v>
      </c>
      <c r="J32" s="49">
        <f>'Avg Week RUBAGA-KABUSU'!J32+'Avg Week KABUSU-RUBAGA'!J32</f>
        <v>4.5714285714285712</v>
      </c>
      <c r="K32" s="49">
        <f>'Avg Week RUBAGA-KABUSU'!K32+'Avg Week KABUSU-RUBAGA'!K32</f>
        <v>1.4285714285714284</v>
      </c>
      <c r="L32" s="49">
        <f>'Avg Week RUBAGA-KABUSU'!L32+'Avg Week KABUSU-RUBAGA'!L32</f>
        <v>1.2857142857142856</v>
      </c>
      <c r="M32" s="49">
        <f>'Avg Week RUBAGA-KABUSU'!M32+'Avg Week KABUSU-RUBAGA'!M32</f>
        <v>289.14285714285717</v>
      </c>
      <c r="N32" s="49">
        <f>'Avg Week RUBAGA-KABUSU'!N32+'Avg Week KABUSU-RUBAGA'!N32</f>
        <v>0</v>
      </c>
      <c r="O32" s="15">
        <f t="shared" si="0"/>
        <v>148.14285714285714</v>
      </c>
      <c r="P32" s="15">
        <f t="shared" si="1"/>
        <v>437.28571428571433</v>
      </c>
      <c r="R32" s="1" t="s">
        <v>156</v>
      </c>
      <c r="S32" s="34">
        <f>SUM(C98:C101)</f>
        <v>85.5</v>
      </c>
      <c r="T32" s="34">
        <f>SUM(D98:D101)</f>
        <v>11.5</v>
      </c>
      <c r="U32" s="34">
        <f t="shared" ref="U32:AF32" si="24">SUM(E98:E101)</f>
        <v>6.5</v>
      </c>
      <c r="V32" s="34">
        <f t="shared" si="24"/>
        <v>94.5</v>
      </c>
      <c r="W32" s="34">
        <f t="shared" si="24"/>
        <v>2.5</v>
      </c>
      <c r="X32" s="34">
        <f t="shared" si="24"/>
        <v>5</v>
      </c>
      <c r="Y32" s="34">
        <f t="shared" si="24"/>
        <v>12</v>
      </c>
      <c r="Z32" s="34">
        <f t="shared" si="24"/>
        <v>6</v>
      </c>
      <c r="AA32" s="34">
        <f t="shared" si="24"/>
        <v>6.5</v>
      </c>
      <c r="AB32" s="34">
        <f t="shared" si="24"/>
        <v>2.5</v>
      </c>
      <c r="AC32" s="34">
        <f t="shared" si="24"/>
        <v>220</v>
      </c>
      <c r="AD32" s="34">
        <f t="shared" si="24"/>
        <v>0</v>
      </c>
      <c r="AE32" s="31">
        <f t="shared" si="24"/>
        <v>232.5</v>
      </c>
      <c r="AF32" s="31">
        <f t="shared" si="24"/>
        <v>452.5</v>
      </c>
    </row>
    <row r="33" spans="2:32" ht="23.1" customHeight="1" x14ac:dyDescent="0.25">
      <c r="B33" s="23" t="s">
        <v>60</v>
      </c>
      <c r="C33" s="49">
        <f>'Avg Week RUBAGA-KABUSU'!C33+'Avg Week KABUSU-RUBAGA'!C33</f>
        <v>54.285714285714285</v>
      </c>
      <c r="D33" s="49">
        <f>'Avg Week RUBAGA-KABUSU'!D33+'Avg Week KABUSU-RUBAGA'!D33</f>
        <v>22.142857142857142</v>
      </c>
      <c r="E33" s="49">
        <f>'Avg Week RUBAGA-KABUSU'!E33+'Avg Week KABUSU-RUBAGA'!E33</f>
        <v>8.4285714285714288</v>
      </c>
      <c r="F33" s="49">
        <f>'Avg Week RUBAGA-KABUSU'!F33+'Avg Week KABUSU-RUBAGA'!F33</f>
        <v>34.857142857142854</v>
      </c>
      <c r="G33" s="49">
        <f>'Avg Week RUBAGA-KABUSU'!G33+'Avg Week KABUSU-RUBAGA'!G33</f>
        <v>0.71428571428571419</v>
      </c>
      <c r="H33" s="49">
        <f>'Avg Week RUBAGA-KABUSU'!H33+'Avg Week KABUSU-RUBAGA'!H33</f>
        <v>0.71428571428571419</v>
      </c>
      <c r="I33" s="49">
        <f>'Avg Week RUBAGA-KABUSU'!I33+'Avg Week KABUSU-RUBAGA'!I33</f>
        <v>9</v>
      </c>
      <c r="J33" s="49">
        <f>'Avg Week RUBAGA-KABUSU'!J33+'Avg Week KABUSU-RUBAGA'!J33</f>
        <v>4.4285714285714288</v>
      </c>
      <c r="K33" s="49">
        <f>'Avg Week RUBAGA-KABUSU'!K33+'Avg Week KABUSU-RUBAGA'!K33</f>
        <v>2.4285714285714288</v>
      </c>
      <c r="L33" s="49">
        <f>'Avg Week RUBAGA-KABUSU'!L33+'Avg Week KABUSU-RUBAGA'!L33</f>
        <v>0.5714285714285714</v>
      </c>
      <c r="M33" s="49">
        <f>'Avg Week RUBAGA-KABUSU'!M33+'Avg Week KABUSU-RUBAGA'!M33</f>
        <v>291</v>
      </c>
      <c r="N33" s="49">
        <f>'Avg Week RUBAGA-KABUSU'!N33+'Avg Week KABUSU-RUBAGA'!N33</f>
        <v>0</v>
      </c>
      <c r="O33" s="15">
        <f t="shared" si="0"/>
        <v>137.57142857142856</v>
      </c>
      <c r="P33" s="15">
        <f t="shared" si="1"/>
        <v>428.57142857142856</v>
      </c>
      <c r="R33" s="1" t="s">
        <v>157</v>
      </c>
      <c r="S33" s="34">
        <f>SUM(C102:C105)</f>
        <v>141.5</v>
      </c>
      <c r="T33" s="34">
        <f t="shared" ref="T33:AF33" si="25">SUM(D102:D105)</f>
        <v>7</v>
      </c>
      <c r="U33" s="34">
        <f t="shared" si="25"/>
        <v>6.5</v>
      </c>
      <c r="V33" s="34">
        <f t="shared" si="25"/>
        <v>165.5</v>
      </c>
      <c r="W33" s="34">
        <f t="shared" si="25"/>
        <v>8.5</v>
      </c>
      <c r="X33" s="34">
        <f t="shared" si="25"/>
        <v>4.5</v>
      </c>
      <c r="Y33" s="34">
        <f t="shared" si="25"/>
        <v>17.5</v>
      </c>
      <c r="Z33" s="34">
        <f t="shared" si="25"/>
        <v>10.5</v>
      </c>
      <c r="AA33" s="34">
        <f t="shared" si="25"/>
        <v>4</v>
      </c>
      <c r="AB33" s="34">
        <f t="shared" si="25"/>
        <v>2.5</v>
      </c>
      <c r="AC33" s="34">
        <f t="shared" si="25"/>
        <v>314.5</v>
      </c>
      <c r="AD33" s="34">
        <f t="shared" si="25"/>
        <v>0</v>
      </c>
      <c r="AE33" s="31">
        <f t="shared" si="25"/>
        <v>368</v>
      </c>
      <c r="AF33" s="31">
        <f t="shared" si="25"/>
        <v>682.5</v>
      </c>
    </row>
    <row r="34" spans="2:32" ht="23.1" customHeight="1" x14ac:dyDescent="0.25">
      <c r="B34" s="24" t="s">
        <v>61</v>
      </c>
      <c r="C34" s="49">
        <f>'Avg Week RUBAGA-KABUSU'!C34+'Avg Week KABUSU-RUBAGA'!C34</f>
        <v>61.285714285714285</v>
      </c>
      <c r="D34" s="49">
        <f>'Avg Week RUBAGA-KABUSU'!D34+'Avg Week KABUSU-RUBAGA'!D34</f>
        <v>25.714285714285715</v>
      </c>
      <c r="E34" s="49">
        <f>'Avg Week RUBAGA-KABUSU'!E34+'Avg Week KABUSU-RUBAGA'!E34</f>
        <v>7</v>
      </c>
      <c r="F34" s="49">
        <f>'Avg Week RUBAGA-KABUSU'!F34+'Avg Week KABUSU-RUBAGA'!F34</f>
        <v>37.285714285714285</v>
      </c>
      <c r="G34" s="49">
        <f>'Avg Week RUBAGA-KABUSU'!G34+'Avg Week KABUSU-RUBAGA'!G34</f>
        <v>0.5714285714285714</v>
      </c>
      <c r="H34" s="49">
        <f>'Avg Week RUBAGA-KABUSU'!H34+'Avg Week KABUSU-RUBAGA'!H34</f>
        <v>0.71428571428571419</v>
      </c>
      <c r="I34" s="49">
        <f>'Avg Week RUBAGA-KABUSU'!I34+'Avg Week KABUSU-RUBAGA'!I34</f>
        <v>8</v>
      </c>
      <c r="J34" s="49">
        <f>'Avg Week RUBAGA-KABUSU'!J34+'Avg Week KABUSU-RUBAGA'!J34</f>
        <v>6.2857142857142865</v>
      </c>
      <c r="K34" s="49">
        <f>'Avg Week RUBAGA-KABUSU'!K34+'Avg Week KABUSU-RUBAGA'!K34</f>
        <v>1.8571428571428572</v>
      </c>
      <c r="L34" s="49">
        <f>'Avg Week RUBAGA-KABUSU'!L34+'Avg Week KABUSU-RUBAGA'!L34</f>
        <v>1</v>
      </c>
      <c r="M34" s="49">
        <f>'Avg Week RUBAGA-KABUSU'!M34+'Avg Week KABUSU-RUBAGA'!M34</f>
        <v>273</v>
      </c>
      <c r="N34" s="49">
        <f>'Avg Week RUBAGA-KABUSU'!N34+'Avg Week KABUSU-RUBAGA'!N34</f>
        <v>0</v>
      </c>
      <c r="O34" s="15">
        <f t="shared" si="0"/>
        <v>149.71428571428572</v>
      </c>
      <c r="P34" s="15">
        <f t="shared" si="1"/>
        <v>422.71428571428572</v>
      </c>
      <c r="R34" s="38" t="s">
        <v>90</v>
      </c>
      <c r="S34" s="39">
        <f t="shared" ref="S34:AF34" si="26">MAX(S10:S12)</f>
        <v>303.14285714285711</v>
      </c>
      <c r="T34" s="39">
        <f t="shared" si="26"/>
        <v>177.42857142857144</v>
      </c>
      <c r="U34" s="39">
        <f t="shared" si="26"/>
        <v>37.714285714285715</v>
      </c>
      <c r="V34" s="39">
        <f t="shared" si="26"/>
        <v>252.95238095238096</v>
      </c>
      <c r="W34" s="39">
        <f t="shared" si="26"/>
        <v>3.5714285714285712</v>
      </c>
      <c r="X34" s="39">
        <f t="shared" si="26"/>
        <v>3.8571428571428572</v>
      </c>
      <c r="Y34" s="39">
        <f t="shared" si="26"/>
        <v>26.571428571428573</v>
      </c>
      <c r="Z34" s="39">
        <f t="shared" si="26"/>
        <v>16.142857142857142</v>
      </c>
      <c r="AA34" s="39">
        <f t="shared" si="26"/>
        <v>4.2857142857142856</v>
      </c>
      <c r="AB34" s="39">
        <f t="shared" si="26"/>
        <v>26.571428571428569</v>
      </c>
      <c r="AC34" s="39">
        <f t="shared" si="26"/>
        <v>1761.4285714285716</v>
      </c>
      <c r="AD34" s="39">
        <f t="shared" si="26"/>
        <v>0</v>
      </c>
      <c r="AE34" s="40">
        <f t="shared" si="26"/>
        <v>800.09523809523807</v>
      </c>
      <c r="AF34" s="40">
        <f t="shared" si="26"/>
        <v>2467.7142857142858</v>
      </c>
    </row>
    <row r="35" spans="2:32" ht="23.1" customHeight="1" x14ac:dyDescent="0.25">
      <c r="B35" s="24" t="s">
        <v>62</v>
      </c>
      <c r="C35" s="49">
        <f>'Avg Week RUBAGA-KABUSU'!C35+'Avg Week KABUSU-RUBAGA'!C35</f>
        <v>56.714285714285708</v>
      </c>
      <c r="D35" s="49">
        <f>'Avg Week RUBAGA-KABUSU'!D35+'Avg Week KABUSU-RUBAGA'!D35</f>
        <v>28</v>
      </c>
      <c r="E35" s="49">
        <f>'Avg Week RUBAGA-KABUSU'!E35+'Avg Week KABUSU-RUBAGA'!E35</f>
        <v>7.1428571428571423</v>
      </c>
      <c r="F35" s="49">
        <f>'Avg Week RUBAGA-KABUSU'!F35+'Avg Week KABUSU-RUBAGA'!F35</f>
        <v>37.428571428571431</v>
      </c>
      <c r="G35" s="49">
        <f>'Avg Week RUBAGA-KABUSU'!G35+'Avg Week KABUSU-RUBAGA'!G35</f>
        <v>0</v>
      </c>
      <c r="H35" s="49">
        <f>'Avg Week RUBAGA-KABUSU'!H35+'Avg Week KABUSU-RUBAGA'!H35</f>
        <v>0.8571428571428571</v>
      </c>
      <c r="I35" s="49">
        <f>'Avg Week RUBAGA-KABUSU'!I35+'Avg Week KABUSU-RUBAGA'!I35</f>
        <v>6.5714285714285712</v>
      </c>
      <c r="J35" s="49">
        <f>'Avg Week RUBAGA-KABUSU'!J35+'Avg Week KABUSU-RUBAGA'!J35</f>
        <v>3.4285714285714288</v>
      </c>
      <c r="K35" s="49">
        <f>'Avg Week RUBAGA-KABUSU'!K35+'Avg Week KABUSU-RUBAGA'!K35</f>
        <v>1.4285714285714286</v>
      </c>
      <c r="L35" s="49">
        <f>'Avg Week RUBAGA-KABUSU'!L35+'Avg Week KABUSU-RUBAGA'!L35</f>
        <v>1</v>
      </c>
      <c r="M35" s="49">
        <f>'Avg Week RUBAGA-KABUSU'!M35+'Avg Week KABUSU-RUBAGA'!M35</f>
        <v>262.71428571428572</v>
      </c>
      <c r="N35" s="49">
        <f>'Avg Week RUBAGA-KABUSU'!N35+'Avg Week KABUSU-RUBAGA'!N35</f>
        <v>0</v>
      </c>
      <c r="O35" s="15">
        <f t="shared" si="0"/>
        <v>142.57142857142856</v>
      </c>
      <c r="P35" s="15">
        <f t="shared" si="1"/>
        <v>405.28571428571428</v>
      </c>
      <c r="R35" s="38" t="s">
        <v>91</v>
      </c>
      <c r="S35" s="39">
        <f t="shared" ref="S35:AF35" si="27">MAX(S13:S18)</f>
        <v>258</v>
      </c>
      <c r="T35" s="39">
        <f t="shared" si="27"/>
        <v>126.28571428571428</v>
      </c>
      <c r="U35" s="39">
        <f t="shared" si="27"/>
        <v>38.571428571428569</v>
      </c>
      <c r="V35" s="39">
        <f t="shared" si="27"/>
        <v>170.00000000000003</v>
      </c>
      <c r="W35" s="39">
        <f t="shared" si="27"/>
        <v>3</v>
      </c>
      <c r="X35" s="39">
        <f t="shared" si="27"/>
        <v>3.1428571428571423</v>
      </c>
      <c r="Y35" s="39">
        <f t="shared" si="27"/>
        <v>33.857142857142861</v>
      </c>
      <c r="Z35" s="39">
        <f t="shared" si="27"/>
        <v>21</v>
      </c>
      <c r="AA35" s="39">
        <f t="shared" si="27"/>
        <v>7.8571428571428577</v>
      </c>
      <c r="AB35" s="39">
        <f t="shared" si="27"/>
        <v>4.8571428571428559</v>
      </c>
      <c r="AC35" s="39">
        <f t="shared" si="27"/>
        <v>1300</v>
      </c>
      <c r="AD35" s="39">
        <f t="shared" si="27"/>
        <v>2</v>
      </c>
      <c r="AE35" s="40">
        <f t="shared" si="27"/>
        <v>615.14285714285711</v>
      </c>
      <c r="AF35" s="40">
        <f t="shared" si="27"/>
        <v>1911.1428571428569</v>
      </c>
    </row>
    <row r="36" spans="2:32" ht="23.1" customHeight="1" x14ac:dyDescent="0.25">
      <c r="B36" s="24" t="s">
        <v>63</v>
      </c>
      <c r="C36" s="49">
        <f>'Avg Week RUBAGA-KABUSU'!C36+'Avg Week KABUSU-RUBAGA'!C36</f>
        <v>54.714285714285715</v>
      </c>
      <c r="D36" s="49">
        <f>'Avg Week RUBAGA-KABUSU'!D36+'Avg Week KABUSU-RUBAGA'!D36</f>
        <v>25.714285714285715</v>
      </c>
      <c r="E36" s="49">
        <f>'Avg Week RUBAGA-KABUSU'!E36+'Avg Week KABUSU-RUBAGA'!E36</f>
        <v>7.7142857142857144</v>
      </c>
      <c r="F36" s="49">
        <f>'Avg Week RUBAGA-KABUSU'!F36+'Avg Week KABUSU-RUBAGA'!F36</f>
        <v>37.285714285714285</v>
      </c>
      <c r="G36" s="49">
        <f>'Avg Week RUBAGA-KABUSU'!G36+'Avg Week KABUSU-RUBAGA'!G36</f>
        <v>1</v>
      </c>
      <c r="H36" s="49">
        <f>'Avg Week RUBAGA-KABUSU'!H36+'Avg Week KABUSU-RUBAGA'!H36</f>
        <v>0.5714285714285714</v>
      </c>
      <c r="I36" s="49">
        <f>'Avg Week RUBAGA-KABUSU'!I36+'Avg Week KABUSU-RUBAGA'!I36</f>
        <v>5.5714285714285712</v>
      </c>
      <c r="J36" s="49">
        <f>'Avg Week RUBAGA-KABUSU'!J36+'Avg Week KABUSU-RUBAGA'!J36</f>
        <v>3.7142857142857144</v>
      </c>
      <c r="K36" s="49">
        <f>'Avg Week RUBAGA-KABUSU'!K36+'Avg Week KABUSU-RUBAGA'!K36</f>
        <v>2.1428571428571428</v>
      </c>
      <c r="L36" s="49">
        <f>'Avg Week RUBAGA-KABUSU'!L36+'Avg Week KABUSU-RUBAGA'!L36</f>
        <v>1.1428571428571428</v>
      </c>
      <c r="M36" s="49">
        <f>'Avg Week RUBAGA-KABUSU'!M36+'Avg Week KABUSU-RUBAGA'!M36</f>
        <v>254</v>
      </c>
      <c r="N36" s="49">
        <f>'Avg Week RUBAGA-KABUSU'!N36+'Avg Week KABUSU-RUBAGA'!N36</f>
        <v>0</v>
      </c>
      <c r="O36" s="15">
        <f t="shared" si="0"/>
        <v>139.57142857142856</v>
      </c>
      <c r="P36" s="15">
        <f t="shared" si="1"/>
        <v>393.57142857142856</v>
      </c>
      <c r="R36" s="38" t="s">
        <v>92</v>
      </c>
      <c r="S36" s="39">
        <f t="shared" ref="S36:AF36" si="28">MAX(S19:S21)</f>
        <v>388.42857142857144</v>
      </c>
      <c r="T36" s="39">
        <f t="shared" si="28"/>
        <v>139.85714285714286</v>
      </c>
      <c r="U36" s="39">
        <f t="shared" si="28"/>
        <v>37.714285714285715</v>
      </c>
      <c r="V36" s="39">
        <f t="shared" si="28"/>
        <v>163.85714285714286</v>
      </c>
      <c r="W36" s="39">
        <f t="shared" si="28"/>
        <v>6.2857142857142847</v>
      </c>
      <c r="X36" s="39">
        <f t="shared" si="28"/>
        <v>4.7142857142857144</v>
      </c>
      <c r="Y36" s="39">
        <f t="shared" si="28"/>
        <v>33.428571428571431</v>
      </c>
      <c r="Z36" s="39">
        <f t="shared" si="28"/>
        <v>18.857142857142858</v>
      </c>
      <c r="AA36" s="39">
        <f t="shared" si="28"/>
        <v>5.2857142857142856</v>
      </c>
      <c r="AB36" s="39">
        <f t="shared" si="28"/>
        <v>4</v>
      </c>
      <c r="AC36" s="39">
        <f t="shared" si="28"/>
        <v>1221.1428571428571</v>
      </c>
      <c r="AD36" s="39">
        <f t="shared" si="28"/>
        <v>0.42857142857142855</v>
      </c>
      <c r="AE36" s="40">
        <f t="shared" si="28"/>
        <v>787.14285714285722</v>
      </c>
      <c r="AF36" s="40">
        <f t="shared" si="28"/>
        <v>2008.2857142857142</v>
      </c>
    </row>
    <row r="37" spans="2:32" ht="23.1" customHeight="1" x14ac:dyDescent="0.25">
      <c r="B37" s="23" t="s">
        <v>64</v>
      </c>
      <c r="C37" s="49">
        <f>'Avg Week RUBAGA-KABUSU'!C37+'Avg Week KABUSU-RUBAGA'!C37</f>
        <v>59.714285714285708</v>
      </c>
      <c r="D37" s="49">
        <f>'Avg Week RUBAGA-KABUSU'!D37+'Avg Week KABUSU-RUBAGA'!D37</f>
        <v>28.571428571428573</v>
      </c>
      <c r="E37" s="49">
        <f>'Avg Week RUBAGA-KABUSU'!E37+'Avg Week KABUSU-RUBAGA'!E37</f>
        <v>7.5714285714285712</v>
      </c>
      <c r="F37" s="49">
        <f>'Avg Week RUBAGA-KABUSU'!F37+'Avg Week KABUSU-RUBAGA'!F37</f>
        <v>34.285714285714285</v>
      </c>
      <c r="G37" s="49">
        <f>'Avg Week RUBAGA-KABUSU'!G37+'Avg Week KABUSU-RUBAGA'!G37</f>
        <v>0.71428571428571419</v>
      </c>
      <c r="H37" s="49">
        <f>'Avg Week RUBAGA-KABUSU'!H37+'Avg Week KABUSU-RUBAGA'!H37</f>
        <v>1</v>
      </c>
      <c r="I37" s="49">
        <f>'Avg Week RUBAGA-KABUSU'!I37+'Avg Week KABUSU-RUBAGA'!I37</f>
        <v>8.5714285714285712</v>
      </c>
      <c r="J37" s="49">
        <f>'Avg Week RUBAGA-KABUSU'!J37+'Avg Week KABUSU-RUBAGA'!J37</f>
        <v>5.5714285714285712</v>
      </c>
      <c r="K37" s="49">
        <f>'Avg Week RUBAGA-KABUSU'!K37+'Avg Week KABUSU-RUBAGA'!K37</f>
        <v>1.5714285714285714</v>
      </c>
      <c r="L37" s="49">
        <f>'Avg Week RUBAGA-KABUSU'!L37+'Avg Week KABUSU-RUBAGA'!L37</f>
        <v>1.1428571428571428</v>
      </c>
      <c r="M37" s="49">
        <f>'Avg Week RUBAGA-KABUSU'!M37+'Avg Week KABUSU-RUBAGA'!M37</f>
        <v>245.28571428571428</v>
      </c>
      <c r="N37" s="49">
        <f>'Avg Week RUBAGA-KABUSU'!N37+'Avg Week KABUSU-RUBAGA'!N37</f>
        <v>0</v>
      </c>
      <c r="O37" s="15">
        <f t="shared" si="0"/>
        <v>148.71428571428575</v>
      </c>
      <c r="P37" s="15">
        <f t="shared" si="1"/>
        <v>394</v>
      </c>
      <c r="R37" s="37" t="s">
        <v>85</v>
      </c>
      <c r="S37" s="35">
        <f t="shared" ref="S37:AF37" si="29">SUM(S10:S12)</f>
        <v>791.57142857142856</v>
      </c>
      <c r="T37" s="16">
        <f t="shared" si="29"/>
        <v>477.71428571428578</v>
      </c>
      <c r="U37" s="16">
        <f t="shared" si="29"/>
        <v>96.714285714285708</v>
      </c>
      <c r="V37" s="16">
        <f t="shared" si="29"/>
        <v>666.80952380952385</v>
      </c>
      <c r="W37" s="16">
        <f t="shared" si="29"/>
        <v>9.7142857142857135</v>
      </c>
      <c r="X37" s="16">
        <f t="shared" si="29"/>
        <v>9.1428571428571423</v>
      </c>
      <c r="Y37" s="16">
        <f t="shared" si="29"/>
        <v>72.857142857142861</v>
      </c>
      <c r="Z37" s="16">
        <f t="shared" si="29"/>
        <v>36.571428571428569</v>
      </c>
      <c r="AA37" s="16">
        <f t="shared" si="29"/>
        <v>9.2857142857142847</v>
      </c>
      <c r="AB37" s="16">
        <f t="shared" si="29"/>
        <v>30.571428571428569</v>
      </c>
      <c r="AC37" s="16">
        <f t="shared" si="29"/>
        <v>4596.4285714285716</v>
      </c>
      <c r="AD37" s="16">
        <f t="shared" si="29"/>
        <v>0</v>
      </c>
      <c r="AE37" s="32">
        <f t="shared" si="29"/>
        <v>2200.9523809523807</v>
      </c>
      <c r="AF37" s="32">
        <f t="shared" si="29"/>
        <v>6797.3809523809523</v>
      </c>
    </row>
    <row r="38" spans="2:32" ht="23.1" customHeight="1" x14ac:dyDescent="0.25">
      <c r="B38" s="24" t="s">
        <v>65</v>
      </c>
      <c r="C38" s="49">
        <f>'Avg Week RUBAGA-KABUSU'!C38+'Avg Week KABUSU-RUBAGA'!C38</f>
        <v>51.857142857142861</v>
      </c>
      <c r="D38" s="49">
        <f>'Avg Week RUBAGA-KABUSU'!D38+'Avg Week KABUSU-RUBAGA'!D38</f>
        <v>20.285714285714285</v>
      </c>
      <c r="E38" s="49">
        <f>'Avg Week RUBAGA-KABUSU'!E38+'Avg Week KABUSU-RUBAGA'!E38</f>
        <v>6.4285714285714288</v>
      </c>
      <c r="F38" s="49">
        <f>'Avg Week RUBAGA-KABUSU'!F38+'Avg Week KABUSU-RUBAGA'!F38</f>
        <v>31.571428571428569</v>
      </c>
      <c r="G38" s="49">
        <f>'Avg Week RUBAGA-KABUSU'!G38+'Avg Week KABUSU-RUBAGA'!G38</f>
        <v>0.42857142857142855</v>
      </c>
      <c r="H38" s="49">
        <f>'Avg Week RUBAGA-KABUSU'!H38+'Avg Week KABUSU-RUBAGA'!H38</f>
        <v>0.42857142857142855</v>
      </c>
      <c r="I38" s="49">
        <f>'Avg Week RUBAGA-KABUSU'!I38+'Avg Week KABUSU-RUBAGA'!I38</f>
        <v>8.7142857142857153</v>
      </c>
      <c r="J38" s="49">
        <f>'Avg Week RUBAGA-KABUSU'!J38+'Avg Week KABUSU-RUBAGA'!J38</f>
        <v>3.7142857142857144</v>
      </c>
      <c r="K38" s="49">
        <f>'Avg Week RUBAGA-KABUSU'!K38+'Avg Week KABUSU-RUBAGA'!K38</f>
        <v>1.1428571428571428</v>
      </c>
      <c r="L38" s="49">
        <f>'Avg Week RUBAGA-KABUSU'!L38+'Avg Week KABUSU-RUBAGA'!L38</f>
        <v>1.1428571428571428</v>
      </c>
      <c r="M38" s="49">
        <f>'Avg Week RUBAGA-KABUSU'!M38+'Avg Week KABUSU-RUBAGA'!M38</f>
        <v>253.14285714285717</v>
      </c>
      <c r="N38" s="49">
        <f>'Avg Week RUBAGA-KABUSU'!N38+'Avg Week KABUSU-RUBAGA'!N38</f>
        <v>0</v>
      </c>
      <c r="O38" s="15">
        <f t="shared" si="0"/>
        <v>125.71428571428571</v>
      </c>
      <c r="P38" s="15">
        <f t="shared" si="1"/>
        <v>378.85714285714289</v>
      </c>
      <c r="R38" s="28" t="s">
        <v>86</v>
      </c>
      <c r="S38" s="16">
        <f t="shared" ref="S38:AF38" si="30">SUM(S13:S18)</f>
        <v>1381.5714285714284</v>
      </c>
      <c r="T38" s="16">
        <f t="shared" si="30"/>
        <v>672.85714285714289</v>
      </c>
      <c r="U38" s="16">
        <f t="shared" si="30"/>
        <v>200.14285714285717</v>
      </c>
      <c r="V38" s="16">
        <f t="shared" si="30"/>
        <v>893</v>
      </c>
      <c r="W38" s="16">
        <f t="shared" si="30"/>
        <v>14.714285714285715</v>
      </c>
      <c r="X38" s="16">
        <f t="shared" si="30"/>
        <v>12.428571428571427</v>
      </c>
      <c r="Y38" s="16">
        <f t="shared" si="30"/>
        <v>185.42857142857144</v>
      </c>
      <c r="Z38" s="16">
        <f t="shared" si="30"/>
        <v>115.71428571428571</v>
      </c>
      <c r="AA38" s="16">
        <f t="shared" si="30"/>
        <v>39.142857142857146</v>
      </c>
      <c r="AB38" s="16">
        <f t="shared" si="30"/>
        <v>22.428571428571423</v>
      </c>
      <c r="AC38" s="16">
        <f t="shared" si="30"/>
        <v>6748.9999999999991</v>
      </c>
      <c r="AD38" s="16">
        <f t="shared" si="30"/>
        <v>2</v>
      </c>
      <c r="AE38" s="32">
        <f t="shared" si="30"/>
        <v>3539.4285714285711</v>
      </c>
      <c r="AF38" s="32">
        <f t="shared" si="30"/>
        <v>10288.428571428571</v>
      </c>
    </row>
    <row r="39" spans="2:32" ht="23.1" customHeight="1" x14ac:dyDescent="0.25">
      <c r="B39" s="24" t="s">
        <v>66</v>
      </c>
      <c r="C39" s="49">
        <f>'Avg Week RUBAGA-KABUSU'!C39+'Avg Week KABUSU-RUBAGA'!C39</f>
        <v>62.428571428571431</v>
      </c>
      <c r="D39" s="49">
        <f>'Avg Week RUBAGA-KABUSU'!D39+'Avg Week KABUSU-RUBAGA'!D39</f>
        <v>23.714285714285715</v>
      </c>
      <c r="E39" s="49">
        <f>'Avg Week RUBAGA-KABUSU'!E39+'Avg Week KABUSU-RUBAGA'!E39</f>
        <v>7.5714285714285712</v>
      </c>
      <c r="F39" s="49">
        <f>'Avg Week RUBAGA-KABUSU'!F39+'Avg Week KABUSU-RUBAGA'!F39</f>
        <v>29.428571428571427</v>
      </c>
      <c r="G39" s="49">
        <f>'Avg Week RUBAGA-KABUSU'!G39+'Avg Week KABUSU-RUBAGA'!G39</f>
        <v>1.1428571428571428</v>
      </c>
      <c r="H39" s="49">
        <f>'Avg Week RUBAGA-KABUSU'!H39+'Avg Week KABUSU-RUBAGA'!H39</f>
        <v>0.2857142857142857</v>
      </c>
      <c r="I39" s="49">
        <f>'Avg Week RUBAGA-KABUSU'!I39+'Avg Week KABUSU-RUBAGA'!I39</f>
        <v>7.5714285714285712</v>
      </c>
      <c r="J39" s="49">
        <f>'Avg Week RUBAGA-KABUSU'!J39+'Avg Week KABUSU-RUBAGA'!J39</f>
        <v>5</v>
      </c>
      <c r="K39" s="49">
        <f>'Avg Week RUBAGA-KABUSU'!K39+'Avg Week KABUSU-RUBAGA'!K39</f>
        <v>1.2857142857142856</v>
      </c>
      <c r="L39" s="49">
        <f>'Avg Week RUBAGA-KABUSU'!L39+'Avg Week KABUSU-RUBAGA'!L39</f>
        <v>1.7142857142857142</v>
      </c>
      <c r="M39" s="49">
        <f>'Avg Week RUBAGA-KABUSU'!M39+'Avg Week KABUSU-RUBAGA'!M39</f>
        <v>253</v>
      </c>
      <c r="N39" s="49">
        <f>'Avg Week RUBAGA-KABUSU'!N39+'Avg Week KABUSU-RUBAGA'!N39</f>
        <v>0</v>
      </c>
      <c r="O39" s="15">
        <f t="shared" si="0"/>
        <v>140.14285714285714</v>
      </c>
      <c r="P39" s="15">
        <f t="shared" si="1"/>
        <v>393.14285714285711</v>
      </c>
      <c r="R39" s="29" t="s">
        <v>87</v>
      </c>
      <c r="S39" s="16">
        <f t="shared" ref="S39:AF39" si="31">SUM(S19:S21)</f>
        <v>1011.4285714285714</v>
      </c>
      <c r="T39" s="16">
        <f t="shared" si="31"/>
        <v>374.71428571428567</v>
      </c>
      <c r="U39" s="16">
        <f t="shared" si="31"/>
        <v>104.42857142857144</v>
      </c>
      <c r="V39" s="16">
        <f t="shared" si="31"/>
        <v>440.42857142857144</v>
      </c>
      <c r="W39" s="16">
        <f t="shared" si="31"/>
        <v>12.857142857142856</v>
      </c>
      <c r="X39" s="16">
        <f t="shared" si="31"/>
        <v>11.285714285714285</v>
      </c>
      <c r="Y39" s="16">
        <f t="shared" si="31"/>
        <v>88</v>
      </c>
      <c r="Z39" s="16">
        <f t="shared" si="31"/>
        <v>48.857142857142861</v>
      </c>
      <c r="AA39" s="16">
        <f t="shared" si="31"/>
        <v>14.285714285714286</v>
      </c>
      <c r="AB39" s="16">
        <f t="shared" si="31"/>
        <v>10.571428571428571</v>
      </c>
      <c r="AC39" s="16">
        <f t="shared" si="31"/>
        <v>3565.2857142857147</v>
      </c>
      <c r="AD39" s="16">
        <f t="shared" si="31"/>
        <v>0.5714285714285714</v>
      </c>
      <c r="AE39" s="32">
        <f t="shared" si="31"/>
        <v>2117.4285714285716</v>
      </c>
      <c r="AF39" s="32">
        <f t="shared" si="31"/>
        <v>5682.7142857142862</v>
      </c>
    </row>
    <row r="40" spans="2:32" ht="23.1" customHeight="1" x14ac:dyDescent="0.25">
      <c r="B40" s="24" t="s">
        <v>67</v>
      </c>
      <c r="C40" s="49">
        <f>'Avg Week RUBAGA-KABUSU'!C40+'Avg Week KABUSU-RUBAGA'!C40</f>
        <v>58.142857142857139</v>
      </c>
      <c r="D40" s="49">
        <f>'Avg Week RUBAGA-KABUSU'!D40+'Avg Week KABUSU-RUBAGA'!D40</f>
        <v>24.142857142857146</v>
      </c>
      <c r="E40" s="49">
        <f>'Avg Week RUBAGA-KABUSU'!E40+'Avg Week KABUSU-RUBAGA'!E40</f>
        <v>8.2857142857142865</v>
      </c>
      <c r="F40" s="49">
        <f>'Avg Week RUBAGA-KABUSU'!F40+'Avg Week KABUSU-RUBAGA'!F40</f>
        <v>29.571428571428569</v>
      </c>
      <c r="G40" s="49">
        <f>'Avg Week RUBAGA-KABUSU'!G40+'Avg Week KABUSU-RUBAGA'!G40</f>
        <v>0.5714285714285714</v>
      </c>
      <c r="H40" s="49">
        <f>'Avg Week RUBAGA-KABUSU'!H40+'Avg Week KABUSU-RUBAGA'!H40</f>
        <v>0.42857142857142855</v>
      </c>
      <c r="I40" s="49">
        <f>'Avg Week RUBAGA-KABUSU'!I40+'Avg Week KABUSU-RUBAGA'!I40</f>
        <v>8.7142857142857153</v>
      </c>
      <c r="J40" s="49">
        <f>'Avg Week RUBAGA-KABUSU'!J40+'Avg Week KABUSU-RUBAGA'!J40</f>
        <v>5.4285714285714288</v>
      </c>
      <c r="K40" s="49">
        <f>'Avg Week RUBAGA-KABUSU'!K40+'Avg Week KABUSU-RUBAGA'!K40</f>
        <v>2.1428571428571428</v>
      </c>
      <c r="L40" s="49">
        <f>'Avg Week RUBAGA-KABUSU'!L40+'Avg Week KABUSU-RUBAGA'!L40</f>
        <v>0.5714285714285714</v>
      </c>
      <c r="M40" s="49">
        <f>'Avg Week RUBAGA-KABUSU'!M40+'Avg Week KABUSU-RUBAGA'!M40</f>
        <v>284.14285714285711</v>
      </c>
      <c r="N40" s="49">
        <f>'Avg Week RUBAGA-KABUSU'!N40+'Avg Week KABUSU-RUBAGA'!N40</f>
        <v>0</v>
      </c>
      <c r="O40" s="15">
        <f t="shared" si="0"/>
        <v>138</v>
      </c>
      <c r="P40" s="15">
        <f t="shared" si="1"/>
        <v>422.14285714285711</v>
      </c>
      <c r="R40" s="5" t="s">
        <v>17</v>
      </c>
      <c r="S40" s="16">
        <f t="shared" ref="S40:AF40" si="32">SUM(S10:S21)</f>
        <v>3184.5714285714284</v>
      </c>
      <c r="T40" s="16">
        <f t="shared" si="32"/>
        <v>1525.285714285714</v>
      </c>
      <c r="U40" s="16">
        <f t="shared" si="32"/>
        <v>401.28571428571433</v>
      </c>
      <c r="V40" s="16">
        <f t="shared" si="32"/>
        <v>2000.2380952380954</v>
      </c>
      <c r="W40" s="16">
        <f t="shared" si="32"/>
        <v>37.285714285714278</v>
      </c>
      <c r="X40" s="16">
        <f t="shared" si="32"/>
        <v>32.857142857142861</v>
      </c>
      <c r="Y40" s="16">
        <f t="shared" si="32"/>
        <v>346.28571428571428</v>
      </c>
      <c r="Z40" s="16">
        <f t="shared" si="32"/>
        <v>201.14285714285717</v>
      </c>
      <c r="AA40" s="16">
        <f t="shared" si="32"/>
        <v>62.714285714285715</v>
      </c>
      <c r="AB40" s="16">
        <f t="shared" si="32"/>
        <v>63.571428571428562</v>
      </c>
      <c r="AC40" s="16">
        <f t="shared" si="32"/>
        <v>14910.714285714288</v>
      </c>
      <c r="AD40" s="16">
        <f t="shared" si="32"/>
        <v>2.5714285714285712</v>
      </c>
      <c r="AE40" s="32">
        <f t="shared" si="32"/>
        <v>7857.8095238095229</v>
      </c>
      <c r="AF40" s="32">
        <f t="shared" si="32"/>
        <v>22768.523809523802</v>
      </c>
    </row>
    <row r="41" spans="2:32" ht="23.1" customHeight="1" x14ac:dyDescent="0.25">
      <c r="B41" s="23" t="s">
        <v>68</v>
      </c>
      <c r="C41" s="49">
        <f>'Avg Week RUBAGA-KABUSU'!C41+'Avg Week KABUSU-RUBAGA'!C41</f>
        <v>59.857142857142861</v>
      </c>
      <c r="D41" s="49">
        <f>'Avg Week RUBAGA-KABUSU'!D41+'Avg Week KABUSU-RUBAGA'!D41</f>
        <v>25.142857142857142</v>
      </c>
      <c r="E41" s="49">
        <f>'Avg Week RUBAGA-KABUSU'!E41+'Avg Week KABUSU-RUBAGA'!E41</f>
        <v>8.4285714285714288</v>
      </c>
      <c r="F41" s="49">
        <f>'Avg Week RUBAGA-KABUSU'!F41+'Avg Week KABUSU-RUBAGA'!F41</f>
        <v>34.285714285714285</v>
      </c>
      <c r="G41" s="49">
        <f>'Avg Week RUBAGA-KABUSU'!G41+'Avg Week KABUSU-RUBAGA'!G41</f>
        <v>0.5714285714285714</v>
      </c>
      <c r="H41" s="49">
        <f>'Avg Week RUBAGA-KABUSU'!H41+'Avg Week KABUSU-RUBAGA'!H41</f>
        <v>0.71428571428571419</v>
      </c>
      <c r="I41" s="49">
        <f>'Avg Week RUBAGA-KABUSU'!I41+'Avg Week KABUSU-RUBAGA'!I41</f>
        <v>6.7142857142857135</v>
      </c>
      <c r="J41" s="49">
        <f>'Avg Week RUBAGA-KABUSU'!J41+'Avg Week KABUSU-RUBAGA'!J41</f>
        <v>4.4285714285714288</v>
      </c>
      <c r="K41" s="49">
        <f>'Avg Week RUBAGA-KABUSU'!K41+'Avg Week KABUSU-RUBAGA'!K41</f>
        <v>1.8571428571428572</v>
      </c>
      <c r="L41" s="49">
        <f>'Avg Week RUBAGA-KABUSU'!L41+'Avg Week KABUSU-RUBAGA'!L41</f>
        <v>1.4285714285714284</v>
      </c>
      <c r="M41" s="49">
        <f>'Avg Week RUBAGA-KABUSU'!M41+'Avg Week KABUSU-RUBAGA'!M41</f>
        <v>247</v>
      </c>
      <c r="N41" s="49">
        <f>'Avg Week RUBAGA-KABUSU'!N41+'Avg Week KABUSU-RUBAGA'!N41</f>
        <v>0</v>
      </c>
      <c r="O41" s="15">
        <f t="shared" si="0"/>
        <v>143.42857142857144</v>
      </c>
      <c r="P41" s="15">
        <f t="shared" si="1"/>
        <v>390.42857142857144</v>
      </c>
      <c r="R41" s="5" t="s">
        <v>178</v>
      </c>
      <c r="S41" s="51">
        <f>SUM(S10:S33)</f>
        <v>5008.0714285714284</v>
      </c>
      <c r="T41" s="51">
        <f t="shared" ref="T41:AD41" si="33">SUM(T10:T33)</f>
        <v>1702.285714285714</v>
      </c>
      <c r="U41" s="51">
        <f t="shared" si="33"/>
        <v>504.28571428571433</v>
      </c>
      <c r="V41" s="51">
        <f t="shared" si="33"/>
        <v>2654.7380952380954</v>
      </c>
      <c r="W41" s="51">
        <f t="shared" si="33"/>
        <v>69.785714285714278</v>
      </c>
      <c r="X41" s="51">
        <f t="shared" si="33"/>
        <v>63.357142857142861</v>
      </c>
      <c r="Y41" s="51">
        <f t="shared" si="33"/>
        <v>453.78571428571428</v>
      </c>
      <c r="Z41" s="51">
        <f t="shared" si="33"/>
        <v>261.64285714285717</v>
      </c>
      <c r="AA41" s="51">
        <f t="shared" si="33"/>
        <v>94.214285714285722</v>
      </c>
      <c r="AB41" s="51">
        <f t="shared" si="33"/>
        <v>72.571428571428555</v>
      </c>
      <c r="AC41" s="51">
        <f t="shared" si="33"/>
        <v>19243.21428571429</v>
      </c>
      <c r="AD41" s="51">
        <f t="shared" si="33"/>
        <v>4.5714285714285712</v>
      </c>
      <c r="AE41" s="52">
        <f>SUM(AE10:AE33)</f>
        <v>10889.309523809523</v>
      </c>
      <c r="AF41" s="52">
        <f>SUM(AF10:AF33)</f>
        <v>30132.523809523802</v>
      </c>
    </row>
    <row r="42" spans="2:32" ht="23.1" customHeight="1" x14ac:dyDescent="0.25">
      <c r="B42" s="24" t="s">
        <v>69</v>
      </c>
      <c r="C42" s="49">
        <f>'Avg Week RUBAGA-KABUSU'!C42+'Avg Week KABUSU-RUBAGA'!C42</f>
        <v>61</v>
      </c>
      <c r="D42" s="49">
        <f>'Avg Week RUBAGA-KABUSU'!D42+'Avg Week KABUSU-RUBAGA'!D42</f>
        <v>28.571428571428569</v>
      </c>
      <c r="E42" s="49">
        <f>'Avg Week RUBAGA-KABUSU'!E42+'Avg Week KABUSU-RUBAGA'!E42</f>
        <v>8.1428571428571423</v>
      </c>
      <c r="F42" s="49">
        <f>'Avg Week RUBAGA-KABUSU'!F42+'Avg Week KABUSU-RUBAGA'!F42</f>
        <v>30.571428571428569</v>
      </c>
      <c r="G42" s="49">
        <f>'Avg Week RUBAGA-KABUSU'!G42+'Avg Week KABUSU-RUBAGA'!G42</f>
        <v>0.42857142857142855</v>
      </c>
      <c r="H42" s="49">
        <f>'Avg Week RUBAGA-KABUSU'!H42+'Avg Week KABUSU-RUBAGA'!H42</f>
        <v>0</v>
      </c>
      <c r="I42" s="49">
        <f>'Avg Week RUBAGA-KABUSU'!I42+'Avg Week KABUSU-RUBAGA'!I42</f>
        <v>6.5714285714285712</v>
      </c>
      <c r="J42" s="49">
        <f>'Avg Week RUBAGA-KABUSU'!J42+'Avg Week KABUSU-RUBAGA'!J42</f>
        <v>3.8571428571428568</v>
      </c>
      <c r="K42" s="49">
        <f>'Avg Week RUBAGA-KABUSU'!K42+'Avg Week KABUSU-RUBAGA'!K42</f>
        <v>1.2857142857142856</v>
      </c>
      <c r="L42" s="49">
        <f>'Avg Week RUBAGA-KABUSU'!L42+'Avg Week KABUSU-RUBAGA'!L42</f>
        <v>0.42857142857142855</v>
      </c>
      <c r="M42" s="49">
        <f>'Avg Week RUBAGA-KABUSU'!M42+'Avg Week KABUSU-RUBAGA'!M42</f>
        <v>220.28571428571428</v>
      </c>
      <c r="N42" s="49">
        <f>'Avg Week RUBAGA-KABUSU'!N42+'Avg Week KABUSU-RUBAGA'!N42</f>
        <v>0</v>
      </c>
      <c r="O42" s="15">
        <f t="shared" si="0"/>
        <v>140.85714285714283</v>
      </c>
      <c r="P42" s="15">
        <f t="shared" si="1"/>
        <v>361.14285714285711</v>
      </c>
      <c r="R42" s="5" t="s">
        <v>160</v>
      </c>
      <c r="S42" s="48">
        <f>S41/S40</f>
        <v>1.5726045218015432</v>
      </c>
      <c r="T42" s="48">
        <f t="shared" ref="T42:AF42" si="34">T41/T40</f>
        <v>1.1160438325372295</v>
      </c>
      <c r="U42" s="48">
        <f t="shared" si="34"/>
        <v>1.2566749733001068</v>
      </c>
      <c r="V42" s="48">
        <f t="shared" si="34"/>
        <v>1.3272110463040114</v>
      </c>
      <c r="W42" s="48">
        <f t="shared" si="34"/>
        <v>1.8716475095785443</v>
      </c>
      <c r="X42" s="48">
        <f t="shared" si="34"/>
        <v>1.9282608695652173</v>
      </c>
      <c r="Y42" s="48">
        <f t="shared" si="34"/>
        <v>1.3104372937293729</v>
      </c>
      <c r="Z42" s="48">
        <f t="shared" si="34"/>
        <v>1.30078125</v>
      </c>
      <c r="AA42" s="48">
        <f t="shared" si="34"/>
        <v>1.5022779043280183</v>
      </c>
      <c r="AB42" s="48">
        <f t="shared" si="34"/>
        <v>1.1415730337078651</v>
      </c>
      <c r="AC42" s="48">
        <f t="shared" si="34"/>
        <v>1.2905628742514972</v>
      </c>
      <c r="AD42" s="48">
        <f t="shared" si="34"/>
        <v>1.7777777777777779</v>
      </c>
      <c r="AE42" s="53">
        <f t="shared" si="34"/>
        <v>1.385794538645206</v>
      </c>
      <c r="AF42" s="53">
        <f t="shared" si="34"/>
        <v>1.3234289610343437</v>
      </c>
    </row>
    <row r="43" spans="2:32" ht="23.1" customHeight="1" x14ac:dyDescent="0.25">
      <c r="B43" s="23" t="s">
        <v>70</v>
      </c>
      <c r="C43" s="49">
        <f>'Avg Week RUBAGA-KABUSU'!C43+'Avg Week KABUSU-RUBAGA'!C43</f>
        <v>69.857142857142861</v>
      </c>
      <c r="D43" s="49">
        <f>'Avg Week RUBAGA-KABUSU'!D43+'Avg Week KABUSU-RUBAGA'!D43</f>
        <v>25</v>
      </c>
      <c r="E43" s="49">
        <f>'Avg Week RUBAGA-KABUSU'!E43+'Avg Week KABUSU-RUBAGA'!E43</f>
        <v>6.7142857142857144</v>
      </c>
      <c r="F43" s="49">
        <f>'Avg Week RUBAGA-KABUSU'!F43+'Avg Week KABUSU-RUBAGA'!F43</f>
        <v>34.571428571428569</v>
      </c>
      <c r="G43" s="49">
        <f>'Avg Week RUBAGA-KABUSU'!G43+'Avg Week KABUSU-RUBAGA'!G43</f>
        <v>1.2857142857142856</v>
      </c>
      <c r="H43" s="49">
        <f>'Avg Week RUBAGA-KABUSU'!H43+'Avg Week KABUSU-RUBAGA'!H43</f>
        <v>0.5714285714285714</v>
      </c>
      <c r="I43" s="49">
        <f>'Avg Week RUBAGA-KABUSU'!I43+'Avg Week KABUSU-RUBAGA'!I43</f>
        <v>6.7142857142857135</v>
      </c>
      <c r="J43" s="49">
        <f>'Avg Week RUBAGA-KABUSU'!J43+'Avg Week KABUSU-RUBAGA'!J43</f>
        <v>5</v>
      </c>
      <c r="K43" s="49">
        <f>'Avg Week RUBAGA-KABUSU'!K43+'Avg Week KABUSU-RUBAGA'!K43</f>
        <v>1.5714285714285714</v>
      </c>
      <c r="L43" s="49">
        <f>'Avg Week RUBAGA-KABUSU'!L43+'Avg Week KABUSU-RUBAGA'!L43</f>
        <v>0.42857142857142855</v>
      </c>
      <c r="M43" s="49">
        <f>'Avg Week RUBAGA-KABUSU'!M43+'Avg Week KABUSU-RUBAGA'!M43</f>
        <v>243.14285714285711</v>
      </c>
      <c r="N43" s="49">
        <f>'Avg Week RUBAGA-KABUSU'!N43+'Avg Week KABUSU-RUBAGA'!N43</f>
        <v>0</v>
      </c>
      <c r="O43" s="15">
        <f t="shared" si="0"/>
        <v>151.71428571428572</v>
      </c>
      <c r="P43" s="15">
        <f t="shared" si="1"/>
        <v>394.85714285714283</v>
      </c>
    </row>
    <row r="44" spans="2:32" ht="23.1" customHeight="1" x14ac:dyDescent="0.25">
      <c r="B44" s="25" t="s">
        <v>71</v>
      </c>
      <c r="C44" s="49">
        <f>'Avg Week RUBAGA-KABUSU'!C44+'Avg Week KABUSU-RUBAGA'!C44</f>
        <v>65.142857142857139</v>
      </c>
      <c r="D44" s="49">
        <f>'Avg Week RUBAGA-KABUSU'!D44+'Avg Week KABUSU-RUBAGA'!D44</f>
        <v>28.857142857142858</v>
      </c>
      <c r="E44" s="49">
        <f>'Avg Week RUBAGA-KABUSU'!E44+'Avg Week KABUSU-RUBAGA'!E44</f>
        <v>11.571428571428573</v>
      </c>
      <c r="F44" s="49">
        <f>'Avg Week RUBAGA-KABUSU'!F44+'Avg Week KABUSU-RUBAGA'!F44</f>
        <v>34.428571428571431</v>
      </c>
      <c r="G44" s="49">
        <f>'Avg Week RUBAGA-KABUSU'!G44+'Avg Week KABUSU-RUBAGA'!G44</f>
        <v>0.2857142857142857</v>
      </c>
      <c r="H44" s="49">
        <f>'Avg Week RUBAGA-KABUSU'!H44+'Avg Week KABUSU-RUBAGA'!H44</f>
        <v>0.71428571428571419</v>
      </c>
      <c r="I44" s="49">
        <f>'Avg Week RUBAGA-KABUSU'!I44+'Avg Week KABUSU-RUBAGA'!I44</f>
        <v>8.1428571428571423</v>
      </c>
      <c r="J44" s="49">
        <f>'Avg Week RUBAGA-KABUSU'!J44+'Avg Week KABUSU-RUBAGA'!J44</f>
        <v>5.5714285714285712</v>
      </c>
      <c r="K44" s="49">
        <f>'Avg Week RUBAGA-KABUSU'!K44+'Avg Week KABUSU-RUBAGA'!K44</f>
        <v>1</v>
      </c>
      <c r="L44" s="49">
        <f>'Avg Week RUBAGA-KABUSU'!L44+'Avg Week KABUSU-RUBAGA'!L44</f>
        <v>0.8571428571428571</v>
      </c>
      <c r="M44" s="49">
        <f>'Avg Week RUBAGA-KABUSU'!M44+'Avg Week KABUSU-RUBAGA'!M44</f>
        <v>230.28571428571428</v>
      </c>
      <c r="N44" s="49">
        <f>'Avg Week RUBAGA-KABUSU'!N44+'Avg Week KABUSU-RUBAGA'!N44</f>
        <v>0</v>
      </c>
      <c r="O44" s="15">
        <f t="shared" si="0"/>
        <v>156.57142857142858</v>
      </c>
      <c r="P44" s="15">
        <f t="shared" si="1"/>
        <v>386.85714285714289</v>
      </c>
    </row>
    <row r="45" spans="2:32" ht="23.1" customHeight="1" x14ac:dyDescent="0.25">
      <c r="B45" s="23" t="s">
        <v>72</v>
      </c>
      <c r="C45" s="49">
        <f>'Avg Week RUBAGA-KABUSU'!C45+'Avg Week KABUSU-RUBAGA'!C45</f>
        <v>62</v>
      </c>
      <c r="D45" s="49">
        <f>'Avg Week RUBAGA-KABUSU'!D45+'Avg Week KABUSU-RUBAGA'!D45</f>
        <v>28.857142857142854</v>
      </c>
      <c r="E45" s="49">
        <f>'Avg Week RUBAGA-KABUSU'!E45+'Avg Week KABUSU-RUBAGA'!E45</f>
        <v>8.1428571428571423</v>
      </c>
      <c r="F45" s="49">
        <f>'Avg Week RUBAGA-KABUSU'!F45+'Avg Week KABUSU-RUBAGA'!F45</f>
        <v>34.571428571428569</v>
      </c>
      <c r="G45" s="49">
        <f>'Avg Week RUBAGA-KABUSU'!G45+'Avg Week KABUSU-RUBAGA'!G45</f>
        <v>0.2857142857142857</v>
      </c>
      <c r="H45" s="49">
        <f>'Avg Week RUBAGA-KABUSU'!H45+'Avg Week KABUSU-RUBAGA'!H45</f>
        <v>0.71428571428571419</v>
      </c>
      <c r="I45" s="49">
        <f>'Avg Week RUBAGA-KABUSU'!I45+'Avg Week KABUSU-RUBAGA'!I45</f>
        <v>8.4285714285714288</v>
      </c>
      <c r="J45" s="49">
        <f>'Avg Week RUBAGA-KABUSU'!J45+'Avg Week KABUSU-RUBAGA'!J45</f>
        <v>4.4285714285714288</v>
      </c>
      <c r="K45" s="49">
        <f>'Avg Week RUBAGA-KABUSU'!K45+'Avg Week KABUSU-RUBAGA'!K45</f>
        <v>1.4285714285714284</v>
      </c>
      <c r="L45" s="49">
        <f>'Avg Week RUBAGA-KABUSU'!L45+'Avg Week KABUSU-RUBAGA'!L45</f>
        <v>0.5714285714285714</v>
      </c>
      <c r="M45" s="49">
        <f>'Avg Week RUBAGA-KABUSU'!M45+'Avg Week KABUSU-RUBAGA'!M45</f>
        <v>237</v>
      </c>
      <c r="N45" s="49">
        <f>'Avg Week RUBAGA-KABUSU'!N45+'Avg Week KABUSU-RUBAGA'!N45</f>
        <v>2</v>
      </c>
      <c r="O45" s="15">
        <f t="shared" si="0"/>
        <v>151.42857142857139</v>
      </c>
      <c r="P45" s="15">
        <f t="shared" si="1"/>
        <v>388.42857142857139</v>
      </c>
    </row>
    <row r="46" spans="2:32" ht="23.1" customHeight="1" x14ac:dyDescent="0.25">
      <c r="B46" s="24" t="s">
        <v>73</v>
      </c>
      <c r="C46" s="49">
        <f>'Avg Week RUBAGA-KABUSU'!C46+'Avg Week KABUSU-RUBAGA'!C46</f>
        <v>66.142857142857139</v>
      </c>
      <c r="D46" s="49">
        <f>'Avg Week RUBAGA-KABUSU'!D46+'Avg Week KABUSU-RUBAGA'!D46</f>
        <v>21.285714285714285</v>
      </c>
      <c r="E46" s="49">
        <f>'Avg Week RUBAGA-KABUSU'!E46+'Avg Week KABUSU-RUBAGA'!E46</f>
        <v>8.5714285714285712</v>
      </c>
      <c r="F46" s="49">
        <f>'Avg Week RUBAGA-KABUSU'!F46+'Avg Week KABUSU-RUBAGA'!F46</f>
        <v>30.285714285714285</v>
      </c>
      <c r="G46" s="49">
        <f>'Avg Week RUBAGA-KABUSU'!G46+'Avg Week KABUSU-RUBAGA'!G46</f>
        <v>0.71428571428571419</v>
      </c>
      <c r="H46" s="49">
        <f>'Avg Week RUBAGA-KABUSU'!H46+'Avg Week KABUSU-RUBAGA'!H46</f>
        <v>0.8571428571428571</v>
      </c>
      <c r="I46" s="49">
        <f>'Avg Week RUBAGA-KABUSU'!I46+'Avg Week KABUSU-RUBAGA'!I46</f>
        <v>9</v>
      </c>
      <c r="J46" s="49">
        <f>'Avg Week RUBAGA-KABUSU'!J46+'Avg Week KABUSU-RUBAGA'!J46</f>
        <v>3.2857142857142856</v>
      </c>
      <c r="K46" s="49">
        <f>'Avg Week RUBAGA-KABUSU'!K46+'Avg Week KABUSU-RUBAGA'!K46</f>
        <v>1.1428571428571428</v>
      </c>
      <c r="L46" s="49">
        <f>'Avg Week RUBAGA-KABUSU'!L46+'Avg Week KABUSU-RUBAGA'!L46</f>
        <v>1</v>
      </c>
      <c r="M46" s="49">
        <f>'Avg Week RUBAGA-KABUSU'!M46+'Avg Week KABUSU-RUBAGA'!M46</f>
        <v>250</v>
      </c>
      <c r="N46" s="49">
        <f>'Avg Week RUBAGA-KABUSU'!N46+'Avg Week KABUSU-RUBAGA'!N46</f>
        <v>0</v>
      </c>
      <c r="O46" s="15">
        <f t="shared" si="0"/>
        <v>142.28571428571425</v>
      </c>
      <c r="P46" s="15">
        <f t="shared" si="1"/>
        <v>392.28571428571422</v>
      </c>
      <c r="R46" s="8"/>
      <c r="T46"/>
    </row>
    <row r="47" spans="2:32" ht="23.1" customHeight="1" x14ac:dyDescent="0.25">
      <c r="B47" s="24" t="s">
        <v>74</v>
      </c>
      <c r="C47" s="49">
        <f>'Avg Week RUBAGA-KABUSU'!C47+'Avg Week KABUSU-RUBAGA'!C47</f>
        <v>70</v>
      </c>
      <c r="D47" s="49">
        <f>'Avg Week RUBAGA-KABUSU'!D47+'Avg Week KABUSU-RUBAGA'!D47</f>
        <v>31.142857142857142</v>
      </c>
      <c r="E47" s="49">
        <f>'Avg Week RUBAGA-KABUSU'!E47+'Avg Week KABUSU-RUBAGA'!E47</f>
        <v>9.571428571428573</v>
      </c>
      <c r="F47" s="49">
        <f>'Avg Week RUBAGA-KABUSU'!F47+'Avg Week KABUSU-RUBAGA'!F47</f>
        <v>37</v>
      </c>
      <c r="G47" s="49">
        <f>'Avg Week RUBAGA-KABUSU'!G47+'Avg Week KABUSU-RUBAGA'!G47</f>
        <v>1.2857142857142856</v>
      </c>
      <c r="H47" s="49">
        <f>'Avg Week RUBAGA-KABUSU'!H47+'Avg Week KABUSU-RUBAGA'!H47</f>
        <v>0.8571428571428571</v>
      </c>
      <c r="I47" s="49">
        <f>'Avg Week RUBAGA-KABUSU'!I47+'Avg Week KABUSU-RUBAGA'!I47</f>
        <v>11</v>
      </c>
      <c r="J47" s="49">
        <f>'Avg Week RUBAGA-KABUSU'!J47+'Avg Week KABUSU-RUBAGA'!J47</f>
        <v>4.2857142857142856</v>
      </c>
      <c r="K47" s="49">
        <f>'Avg Week RUBAGA-KABUSU'!K47+'Avg Week KABUSU-RUBAGA'!K47</f>
        <v>0.71428571428571419</v>
      </c>
      <c r="L47" s="49">
        <f>'Avg Week RUBAGA-KABUSU'!L47+'Avg Week KABUSU-RUBAGA'!L47</f>
        <v>1.1428571428571428</v>
      </c>
      <c r="M47" s="49">
        <f>'Avg Week RUBAGA-KABUSU'!M47+'Avg Week KABUSU-RUBAGA'!M47</f>
        <v>288.42857142857144</v>
      </c>
      <c r="N47" s="49">
        <f>'Avg Week RUBAGA-KABUSU'!N47+'Avg Week KABUSU-RUBAGA'!N47</f>
        <v>0</v>
      </c>
      <c r="O47" s="15">
        <f t="shared" si="0"/>
        <v>167</v>
      </c>
      <c r="P47" s="15">
        <f t="shared" si="1"/>
        <v>455.42857142857144</v>
      </c>
      <c r="R47" s="8"/>
      <c r="T47"/>
    </row>
    <row r="48" spans="2:32" ht="23.1" customHeight="1" x14ac:dyDescent="0.25">
      <c r="B48" s="24" t="s">
        <v>75</v>
      </c>
      <c r="C48" s="49">
        <f>'Avg Week RUBAGA-KABUSU'!C48+'Avg Week KABUSU-RUBAGA'!C48</f>
        <v>72.142857142857139</v>
      </c>
      <c r="D48" s="49">
        <f>'Avg Week RUBAGA-KABUSU'!D48+'Avg Week KABUSU-RUBAGA'!D48</f>
        <v>24.714285714285715</v>
      </c>
      <c r="E48" s="49">
        <f>'Avg Week RUBAGA-KABUSU'!E48+'Avg Week KABUSU-RUBAGA'!E48</f>
        <v>8.4285714285714288</v>
      </c>
      <c r="F48" s="49">
        <f>'Avg Week RUBAGA-KABUSU'!F48+'Avg Week KABUSU-RUBAGA'!F48</f>
        <v>36</v>
      </c>
      <c r="G48" s="49">
        <f>'Avg Week RUBAGA-KABUSU'!G48+'Avg Week KABUSU-RUBAGA'!G48</f>
        <v>2</v>
      </c>
      <c r="H48" s="49">
        <f>'Avg Week RUBAGA-KABUSU'!H48+'Avg Week KABUSU-RUBAGA'!H48</f>
        <v>1.5714285714285714</v>
      </c>
      <c r="I48" s="49">
        <f>'Avg Week RUBAGA-KABUSU'!I48+'Avg Week KABUSU-RUBAGA'!I48</f>
        <v>7.5714285714285712</v>
      </c>
      <c r="J48" s="49">
        <f>'Avg Week RUBAGA-KABUSU'!J48+'Avg Week KABUSU-RUBAGA'!J48</f>
        <v>3.7142857142857144</v>
      </c>
      <c r="K48" s="49">
        <f>'Avg Week RUBAGA-KABUSU'!K48+'Avg Week KABUSU-RUBAGA'!K48</f>
        <v>1.5714285714285714</v>
      </c>
      <c r="L48" s="49">
        <f>'Avg Week RUBAGA-KABUSU'!L48+'Avg Week KABUSU-RUBAGA'!L48</f>
        <v>0.8571428571428571</v>
      </c>
      <c r="M48" s="49">
        <f>'Avg Week RUBAGA-KABUSU'!M48+'Avg Week KABUSU-RUBAGA'!M48</f>
        <v>309.42857142857144</v>
      </c>
      <c r="N48" s="49">
        <f>'Avg Week RUBAGA-KABUSU'!N48+'Avg Week KABUSU-RUBAGA'!N48</f>
        <v>0.14285714285714285</v>
      </c>
      <c r="O48" s="15">
        <f t="shared" si="0"/>
        <v>158.71428571428575</v>
      </c>
      <c r="P48" s="15">
        <f t="shared" si="1"/>
        <v>468.14285714285722</v>
      </c>
      <c r="R48" s="8"/>
      <c r="T48"/>
    </row>
    <row r="49" spans="2:20" ht="23.1" customHeight="1" x14ac:dyDescent="0.25">
      <c r="B49" s="23" t="s">
        <v>76</v>
      </c>
      <c r="C49" s="49">
        <f>'Avg Week RUBAGA-KABUSU'!C49+'Avg Week KABUSU-RUBAGA'!C49</f>
        <v>71</v>
      </c>
      <c r="D49" s="49">
        <f>'Avg Week RUBAGA-KABUSU'!D49+'Avg Week KABUSU-RUBAGA'!D49</f>
        <v>25.285714285714285</v>
      </c>
      <c r="E49" s="49">
        <f>'Avg Week RUBAGA-KABUSU'!E49+'Avg Week KABUSU-RUBAGA'!E49</f>
        <v>7.5714285714285712</v>
      </c>
      <c r="F49" s="49">
        <f>'Avg Week RUBAGA-KABUSU'!F49+'Avg Week KABUSU-RUBAGA'!F49</f>
        <v>34.571428571428569</v>
      </c>
      <c r="G49" s="49">
        <f>'Avg Week RUBAGA-KABUSU'!G49+'Avg Week KABUSU-RUBAGA'!G49</f>
        <v>0.14285714285714285</v>
      </c>
      <c r="H49" s="49">
        <f>'Avg Week RUBAGA-KABUSU'!H49+'Avg Week KABUSU-RUBAGA'!H49</f>
        <v>0.5714285714285714</v>
      </c>
      <c r="I49" s="49">
        <f>'Avg Week RUBAGA-KABUSU'!I49+'Avg Week KABUSU-RUBAGA'!I49</f>
        <v>5.8571428571428577</v>
      </c>
      <c r="J49" s="49">
        <f>'Avg Week RUBAGA-KABUSU'!J49+'Avg Week KABUSU-RUBAGA'!J49</f>
        <v>4.7142857142857144</v>
      </c>
      <c r="K49" s="49">
        <f>'Avg Week RUBAGA-KABUSU'!K49+'Avg Week KABUSU-RUBAGA'!K49</f>
        <v>1.2857142857142856</v>
      </c>
      <c r="L49" s="49">
        <f>'Avg Week RUBAGA-KABUSU'!L49+'Avg Week KABUSU-RUBAGA'!L49</f>
        <v>1</v>
      </c>
      <c r="M49" s="49">
        <f>'Avg Week RUBAGA-KABUSU'!M49+'Avg Week KABUSU-RUBAGA'!M49</f>
        <v>312.71428571428572</v>
      </c>
      <c r="N49" s="49">
        <f>'Avg Week RUBAGA-KABUSU'!N49+'Avg Week KABUSU-RUBAGA'!N49</f>
        <v>0</v>
      </c>
      <c r="O49" s="15">
        <f t="shared" si="0"/>
        <v>152</v>
      </c>
      <c r="P49" s="15">
        <f t="shared" si="1"/>
        <v>464.71428571428572</v>
      </c>
      <c r="R49" s="8"/>
      <c r="T49"/>
    </row>
    <row r="50" spans="2:20" ht="23.1" customHeight="1" x14ac:dyDescent="0.25">
      <c r="B50" s="24" t="s">
        <v>77</v>
      </c>
      <c r="C50" s="49">
        <f>'Avg Week RUBAGA-KABUSU'!C50+'Avg Week KABUSU-RUBAGA'!C50</f>
        <v>91</v>
      </c>
      <c r="D50" s="49">
        <f>'Avg Week RUBAGA-KABUSU'!D50+'Avg Week KABUSU-RUBAGA'!D50</f>
        <v>37</v>
      </c>
      <c r="E50" s="49">
        <f>'Avg Week RUBAGA-KABUSU'!E50+'Avg Week KABUSU-RUBAGA'!E50</f>
        <v>9.5714285714285712</v>
      </c>
      <c r="F50" s="49">
        <f>'Avg Week RUBAGA-KABUSU'!F50+'Avg Week KABUSU-RUBAGA'!F50</f>
        <v>32.857142857142854</v>
      </c>
      <c r="G50" s="49">
        <f>'Avg Week RUBAGA-KABUSU'!G50+'Avg Week KABUSU-RUBAGA'!G50</f>
        <v>0.5714285714285714</v>
      </c>
      <c r="H50" s="49">
        <f>'Avg Week RUBAGA-KABUSU'!H50+'Avg Week KABUSU-RUBAGA'!H50</f>
        <v>1.1428571428571428</v>
      </c>
      <c r="I50" s="49">
        <f>'Avg Week RUBAGA-KABUSU'!I50+'Avg Week KABUSU-RUBAGA'!I50</f>
        <v>8.7142857142857135</v>
      </c>
      <c r="J50" s="49">
        <f>'Avg Week RUBAGA-KABUSU'!J50+'Avg Week KABUSU-RUBAGA'!J50</f>
        <v>5.7142857142857144</v>
      </c>
      <c r="K50" s="49">
        <f>'Avg Week RUBAGA-KABUSU'!K50+'Avg Week KABUSU-RUBAGA'!K50</f>
        <v>1.4285714285714284</v>
      </c>
      <c r="L50" s="49">
        <f>'Avg Week RUBAGA-KABUSU'!L50+'Avg Week KABUSU-RUBAGA'!L50</f>
        <v>1</v>
      </c>
      <c r="M50" s="49">
        <f>'Avg Week RUBAGA-KABUSU'!M50+'Avg Week KABUSU-RUBAGA'!M50</f>
        <v>300.71428571428572</v>
      </c>
      <c r="N50" s="49">
        <f>'Avg Week RUBAGA-KABUSU'!N50+'Avg Week KABUSU-RUBAGA'!N50</f>
        <v>0</v>
      </c>
      <c r="O50" s="15">
        <f t="shared" si="0"/>
        <v>189.00000000000003</v>
      </c>
      <c r="P50" s="15">
        <f t="shared" si="1"/>
        <v>489.71428571428578</v>
      </c>
      <c r="R50" s="8"/>
      <c r="T50"/>
    </row>
    <row r="51" spans="2:20" ht="23.1" customHeight="1" x14ac:dyDescent="0.25">
      <c r="B51" s="24" t="s">
        <v>78</v>
      </c>
      <c r="C51" s="49">
        <f>'Avg Week RUBAGA-KABUSU'!C51+'Avg Week KABUSU-RUBAGA'!C51</f>
        <v>79.714285714285708</v>
      </c>
      <c r="D51" s="49">
        <f>'Avg Week RUBAGA-KABUSU'!D51+'Avg Week KABUSU-RUBAGA'!D51</f>
        <v>33.285714285714285</v>
      </c>
      <c r="E51" s="49">
        <f>'Avg Week RUBAGA-KABUSU'!E51+'Avg Week KABUSU-RUBAGA'!E51</f>
        <v>6</v>
      </c>
      <c r="F51" s="49">
        <f>'Avg Week RUBAGA-KABUSU'!F51+'Avg Week KABUSU-RUBAGA'!F51</f>
        <v>34</v>
      </c>
      <c r="G51" s="49">
        <f>'Avg Week RUBAGA-KABUSU'!G51+'Avg Week KABUSU-RUBAGA'!G51</f>
        <v>0</v>
      </c>
      <c r="H51" s="49">
        <f>'Avg Week RUBAGA-KABUSU'!H51+'Avg Week KABUSU-RUBAGA'!H51</f>
        <v>0.7142857142857143</v>
      </c>
      <c r="I51" s="49">
        <f>'Avg Week RUBAGA-KABUSU'!I51+'Avg Week KABUSU-RUBAGA'!I51</f>
        <v>8.4285714285714288</v>
      </c>
      <c r="J51" s="49">
        <f>'Avg Week RUBAGA-KABUSU'!J51+'Avg Week KABUSU-RUBAGA'!J51</f>
        <v>5</v>
      </c>
      <c r="K51" s="49">
        <f>'Avg Week RUBAGA-KABUSU'!K51+'Avg Week KABUSU-RUBAGA'!K51</f>
        <v>1</v>
      </c>
      <c r="L51" s="49">
        <f>'Avg Week RUBAGA-KABUSU'!L51+'Avg Week KABUSU-RUBAGA'!L51</f>
        <v>0.2857142857142857</v>
      </c>
      <c r="M51" s="49">
        <f>'Avg Week RUBAGA-KABUSU'!M51+'Avg Week KABUSU-RUBAGA'!M51</f>
        <v>296.71428571428572</v>
      </c>
      <c r="N51" s="49">
        <f>'Avg Week RUBAGA-KABUSU'!N51+'Avg Week KABUSU-RUBAGA'!N51</f>
        <v>0</v>
      </c>
      <c r="O51" s="15">
        <f t="shared" si="0"/>
        <v>168.42857142857142</v>
      </c>
      <c r="P51" s="15">
        <f t="shared" si="1"/>
        <v>465.14285714285711</v>
      </c>
      <c r="R51" s="8"/>
      <c r="T51"/>
    </row>
    <row r="52" spans="2:20" ht="23.1" customHeight="1" x14ac:dyDescent="0.25">
      <c r="B52" s="24" t="s">
        <v>79</v>
      </c>
      <c r="C52" s="49">
        <f>'Avg Week RUBAGA-KABUSU'!C52+'Avg Week KABUSU-RUBAGA'!C52</f>
        <v>90.285714285714278</v>
      </c>
      <c r="D52" s="49">
        <f>'Avg Week RUBAGA-KABUSU'!D52+'Avg Week KABUSU-RUBAGA'!D52</f>
        <v>34.857142857142861</v>
      </c>
      <c r="E52" s="49">
        <f>'Avg Week RUBAGA-KABUSU'!E52+'Avg Week KABUSU-RUBAGA'!E52</f>
        <v>8.2857142857142847</v>
      </c>
      <c r="F52" s="49">
        <f>'Avg Week RUBAGA-KABUSU'!F52+'Avg Week KABUSU-RUBAGA'!F52</f>
        <v>35.571428571428569</v>
      </c>
      <c r="G52" s="49">
        <f>'Avg Week RUBAGA-KABUSU'!G52+'Avg Week KABUSU-RUBAGA'!G52</f>
        <v>1.4285714285714286</v>
      </c>
      <c r="H52" s="49">
        <f>'Avg Week RUBAGA-KABUSU'!H52+'Avg Week KABUSU-RUBAGA'!H52</f>
        <v>0.8571428571428571</v>
      </c>
      <c r="I52" s="49">
        <f>'Avg Week RUBAGA-KABUSU'!I52+'Avg Week KABUSU-RUBAGA'!I52</f>
        <v>6.4285714285714288</v>
      </c>
      <c r="J52" s="49">
        <f>'Avg Week RUBAGA-KABUSU'!J52+'Avg Week KABUSU-RUBAGA'!J52</f>
        <v>4.2857142857142856</v>
      </c>
      <c r="K52" s="49">
        <f>'Avg Week RUBAGA-KABUSU'!K52+'Avg Week KABUSU-RUBAGA'!K52</f>
        <v>1.1428571428571428</v>
      </c>
      <c r="L52" s="49">
        <f>'Avg Week RUBAGA-KABUSU'!L52+'Avg Week KABUSU-RUBAGA'!L52</f>
        <v>0.85714285714285721</v>
      </c>
      <c r="M52" s="49">
        <f>'Avg Week RUBAGA-KABUSU'!M52+'Avg Week KABUSU-RUBAGA'!M52</f>
        <v>283.85714285714289</v>
      </c>
      <c r="N52" s="49">
        <f>'Avg Week RUBAGA-KABUSU'!N52+'Avg Week KABUSU-RUBAGA'!N52</f>
        <v>0</v>
      </c>
      <c r="O52" s="15">
        <f t="shared" si="0"/>
        <v>183.99999999999997</v>
      </c>
      <c r="P52" s="15">
        <f t="shared" si="1"/>
        <v>467.85714285714289</v>
      </c>
      <c r="R52" s="8"/>
      <c r="T52"/>
    </row>
    <row r="53" spans="2:20" ht="23.1" customHeight="1" x14ac:dyDescent="0.25">
      <c r="B53" s="23" t="s">
        <v>80</v>
      </c>
      <c r="C53" s="49">
        <f>'Avg Week RUBAGA-KABUSU'!C53+'Avg Week KABUSU-RUBAGA'!C53</f>
        <v>82.714285714285708</v>
      </c>
      <c r="D53" s="49">
        <f>'Avg Week RUBAGA-KABUSU'!D53+'Avg Week KABUSU-RUBAGA'!D53</f>
        <v>27.285714285714285</v>
      </c>
      <c r="E53" s="49">
        <f>'Avg Week RUBAGA-KABUSU'!E53+'Avg Week KABUSU-RUBAGA'!E53</f>
        <v>8.7142857142857153</v>
      </c>
      <c r="F53" s="49">
        <f>'Avg Week RUBAGA-KABUSU'!F53+'Avg Week KABUSU-RUBAGA'!F53</f>
        <v>36.285714285714285</v>
      </c>
      <c r="G53" s="49">
        <f>'Avg Week RUBAGA-KABUSU'!G53+'Avg Week KABUSU-RUBAGA'!G53</f>
        <v>0.42857142857142855</v>
      </c>
      <c r="H53" s="49">
        <f>'Avg Week RUBAGA-KABUSU'!H53+'Avg Week KABUSU-RUBAGA'!H53</f>
        <v>0</v>
      </c>
      <c r="I53" s="49">
        <f>'Avg Week RUBAGA-KABUSU'!I53+'Avg Week KABUSU-RUBAGA'!I53</f>
        <v>6.7142857142857144</v>
      </c>
      <c r="J53" s="49">
        <f>'Avg Week RUBAGA-KABUSU'!J53+'Avg Week KABUSU-RUBAGA'!J53</f>
        <v>3.8571428571428568</v>
      </c>
      <c r="K53" s="49">
        <f>'Avg Week RUBAGA-KABUSU'!K53+'Avg Week KABUSU-RUBAGA'!K53</f>
        <v>1.7142857142857142</v>
      </c>
      <c r="L53" s="49">
        <f>'Avg Week RUBAGA-KABUSU'!L53+'Avg Week KABUSU-RUBAGA'!L53</f>
        <v>1.1428571428571428</v>
      </c>
      <c r="M53" s="49">
        <f>'Avg Week RUBAGA-KABUSU'!M53+'Avg Week KABUSU-RUBAGA'!M53</f>
        <v>302.28571428571428</v>
      </c>
      <c r="N53" s="49">
        <f>'Avg Week RUBAGA-KABUSU'!N53+'Avg Week KABUSU-RUBAGA'!N53</f>
        <v>0</v>
      </c>
      <c r="O53" s="15">
        <f t="shared" si="0"/>
        <v>168.85714285714286</v>
      </c>
      <c r="P53" s="15">
        <f t="shared" si="1"/>
        <v>471.14285714285711</v>
      </c>
      <c r="R53" s="8"/>
      <c r="T53"/>
    </row>
    <row r="54" spans="2:20" ht="23.1" customHeight="1" x14ac:dyDescent="0.25">
      <c r="B54" s="23" t="s">
        <v>81</v>
      </c>
      <c r="C54" s="49">
        <f>'Avg Week RUBAGA-KABUSU'!C54+'Avg Week KABUSU-RUBAGA'!C54</f>
        <v>107.42857142857143</v>
      </c>
      <c r="D54" s="49">
        <f>'Avg Week RUBAGA-KABUSU'!D54+'Avg Week KABUSU-RUBAGA'!D54</f>
        <v>34.285714285714292</v>
      </c>
      <c r="E54" s="49">
        <f>'Avg Week RUBAGA-KABUSU'!E54+'Avg Week KABUSU-RUBAGA'!E54</f>
        <v>10.142857142857142</v>
      </c>
      <c r="F54" s="49">
        <f>'Avg Week RUBAGA-KABUSU'!F54+'Avg Week KABUSU-RUBAGA'!F54</f>
        <v>32</v>
      </c>
      <c r="G54" s="49">
        <f>'Avg Week RUBAGA-KABUSU'!G54+'Avg Week KABUSU-RUBAGA'!G54</f>
        <v>1.2857142857142856</v>
      </c>
      <c r="H54" s="49">
        <f>'Avg Week RUBAGA-KABUSU'!H54+'Avg Week KABUSU-RUBAGA'!H54</f>
        <v>1.2857142857142856</v>
      </c>
      <c r="I54" s="49">
        <f>'Avg Week RUBAGA-KABUSU'!I54+'Avg Week KABUSU-RUBAGA'!I54</f>
        <v>5.7142857142857135</v>
      </c>
      <c r="J54" s="49">
        <f>'Avg Week RUBAGA-KABUSU'!J54+'Avg Week KABUSU-RUBAGA'!J54</f>
        <v>3.5714285714285716</v>
      </c>
      <c r="K54" s="49">
        <f>'Avg Week RUBAGA-KABUSU'!K54+'Avg Week KABUSU-RUBAGA'!K54</f>
        <v>1</v>
      </c>
      <c r="L54" s="49">
        <f>'Avg Week RUBAGA-KABUSU'!L54+'Avg Week KABUSU-RUBAGA'!L54</f>
        <v>1.1428571428571428</v>
      </c>
      <c r="M54" s="49">
        <f>'Avg Week RUBAGA-KABUSU'!M54+'Avg Week KABUSU-RUBAGA'!M54</f>
        <v>341.57142857142856</v>
      </c>
      <c r="N54" s="49">
        <f>'Avg Week RUBAGA-KABUSU'!N54+'Avg Week KABUSU-RUBAGA'!N54</f>
        <v>0</v>
      </c>
      <c r="O54" s="15">
        <f t="shared" si="0"/>
        <v>197.85714285714286</v>
      </c>
      <c r="P54" s="15">
        <f t="shared" si="1"/>
        <v>539.42857142857144</v>
      </c>
      <c r="R54" s="8"/>
      <c r="T54"/>
    </row>
    <row r="55" spans="2:20" ht="23.1" customHeight="1" x14ac:dyDescent="0.25">
      <c r="B55" s="23" t="s">
        <v>82</v>
      </c>
      <c r="C55" s="49">
        <f>'Avg Week RUBAGA-KABUSU'!C55+'Avg Week KABUSU-RUBAGA'!C55</f>
        <v>94.857142857142861</v>
      </c>
      <c r="D55" s="49">
        <f>'Avg Week RUBAGA-KABUSU'!D55+'Avg Week KABUSU-RUBAGA'!D55</f>
        <v>30.285714285714285</v>
      </c>
      <c r="E55" s="49">
        <f>'Avg Week RUBAGA-KABUSU'!E55+'Avg Week KABUSU-RUBAGA'!E55</f>
        <v>6.8571428571428577</v>
      </c>
      <c r="F55" s="49">
        <f>'Avg Week RUBAGA-KABUSU'!F55+'Avg Week KABUSU-RUBAGA'!F55</f>
        <v>40.428571428571431</v>
      </c>
      <c r="G55" s="49">
        <f>'Avg Week RUBAGA-KABUSU'!G55+'Avg Week KABUSU-RUBAGA'!G55</f>
        <v>0.5714285714285714</v>
      </c>
      <c r="H55" s="49">
        <f>'Avg Week RUBAGA-KABUSU'!H55+'Avg Week KABUSU-RUBAGA'!H55</f>
        <v>0.85714285714285721</v>
      </c>
      <c r="I55" s="49">
        <f>'Avg Week RUBAGA-KABUSU'!I55+'Avg Week KABUSU-RUBAGA'!I55</f>
        <v>4.8571428571428577</v>
      </c>
      <c r="J55" s="49">
        <f>'Avg Week RUBAGA-KABUSU'!J55+'Avg Week KABUSU-RUBAGA'!J55</f>
        <v>3.1428571428571428</v>
      </c>
      <c r="K55" s="49">
        <f>'Avg Week RUBAGA-KABUSU'!K55+'Avg Week KABUSU-RUBAGA'!K55</f>
        <v>1</v>
      </c>
      <c r="L55" s="49">
        <f>'Avg Week RUBAGA-KABUSU'!L55+'Avg Week KABUSU-RUBAGA'!L55</f>
        <v>1.1428571428571428</v>
      </c>
      <c r="M55" s="49">
        <f>'Avg Week RUBAGA-KABUSU'!M55+'Avg Week KABUSU-RUBAGA'!M55</f>
        <v>284.42857142857144</v>
      </c>
      <c r="N55" s="49">
        <f>'Avg Week RUBAGA-KABUSU'!N55+'Avg Week KABUSU-RUBAGA'!N55</f>
        <v>0</v>
      </c>
      <c r="O55" s="15">
        <f t="shared" si="0"/>
        <v>184.00000000000003</v>
      </c>
      <c r="P55" s="15">
        <f t="shared" si="1"/>
        <v>468.42857142857144</v>
      </c>
      <c r="R55" s="8"/>
      <c r="T55"/>
    </row>
    <row r="56" spans="2:20" ht="23.1" customHeight="1" x14ac:dyDescent="0.25">
      <c r="B56" s="23" t="s">
        <v>83</v>
      </c>
      <c r="C56" s="49">
        <f>'Avg Week RUBAGA-KABUSU'!C56+'Avg Week KABUSU-RUBAGA'!C56</f>
        <v>97</v>
      </c>
      <c r="D56" s="49">
        <f>'Avg Week RUBAGA-KABUSU'!D56+'Avg Week KABUSU-RUBAGA'!D56</f>
        <v>38.142857142857139</v>
      </c>
      <c r="E56" s="49">
        <f>'Avg Week RUBAGA-KABUSU'!E56+'Avg Week KABUSU-RUBAGA'!E56</f>
        <v>9</v>
      </c>
      <c r="F56" s="49">
        <f>'Avg Week RUBAGA-KABUSU'!F56+'Avg Week KABUSU-RUBAGA'!F56</f>
        <v>48.714285714285715</v>
      </c>
      <c r="G56" s="49">
        <f>'Avg Week RUBAGA-KABUSU'!G56+'Avg Week KABUSU-RUBAGA'!G56</f>
        <v>3.2857142857142856</v>
      </c>
      <c r="H56" s="49">
        <f>'Avg Week RUBAGA-KABUSU'!H56+'Avg Week KABUSU-RUBAGA'!H56</f>
        <v>1.2857142857142858</v>
      </c>
      <c r="I56" s="49">
        <f>'Avg Week RUBAGA-KABUSU'!I56+'Avg Week KABUSU-RUBAGA'!I56</f>
        <v>6.1428571428571432</v>
      </c>
      <c r="J56" s="49">
        <f>'Avg Week RUBAGA-KABUSU'!J56+'Avg Week KABUSU-RUBAGA'!J56</f>
        <v>4.2857142857142856</v>
      </c>
      <c r="K56" s="49">
        <f>'Avg Week RUBAGA-KABUSU'!K56+'Avg Week KABUSU-RUBAGA'!K56</f>
        <v>0.71428571428571419</v>
      </c>
      <c r="L56" s="49">
        <f>'Avg Week RUBAGA-KABUSU'!L56+'Avg Week KABUSU-RUBAGA'!L56</f>
        <v>0.42857142857142855</v>
      </c>
      <c r="M56" s="49">
        <f>'Avg Week RUBAGA-KABUSU'!M56+'Avg Week KABUSU-RUBAGA'!M56</f>
        <v>296.42857142857144</v>
      </c>
      <c r="N56" s="49">
        <f>'Avg Week RUBAGA-KABUSU'!N56+'Avg Week KABUSU-RUBAGA'!N56</f>
        <v>0</v>
      </c>
      <c r="O56" s="15">
        <f t="shared" si="0"/>
        <v>208.99999999999997</v>
      </c>
      <c r="P56" s="15">
        <f t="shared" si="1"/>
        <v>505.42857142857144</v>
      </c>
      <c r="R56" s="8"/>
      <c r="T56"/>
    </row>
    <row r="57" spans="2:20" ht="23.1" customHeight="1" x14ac:dyDescent="0.25">
      <c r="B57" s="23" t="s">
        <v>84</v>
      </c>
      <c r="C57" s="49">
        <f>'Avg Week RUBAGA-KABUSU'!C57+'Avg Week KABUSU-RUBAGA'!C57</f>
        <v>89.142857142857139</v>
      </c>
      <c r="D57" s="49">
        <f>'Avg Week RUBAGA-KABUSU'!D57+'Avg Week KABUSU-RUBAGA'!D57</f>
        <v>37.142857142857139</v>
      </c>
      <c r="E57" s="49">
        <f>'Avg Week RUBAGA-KABUSU'!E57+'Avg Week KABUSU-RUBAGA'!E57</f>
        <v>11.714285714285715</v>
      </c>
      <c r="F57" s="49">
        <f>'Avg Week RUBAGA-KABUSU'!F57+'Avg Week KABUSU-RUBAGA'!F57</f>
        <v>42.714285714285715</v>
      </c>
      <c r="G57" s="49">
        <f>'Avg Week RUBAGA-KABUSU'!G57+'Avg Week KABUSU-RUBAGA'!G57</f>
        <v>1.1428571428571428</v>
      </c>
      <c r="H57" s="49">
        <f>'Avg Week RUBAGA-KABUSU'!H57+'Avg Week KABUSU-RUBAGA'!H57</f>
        <v>1.2857142857142858</v>
      </c>
      <c r="I57" s="49">
        <f>'Avg Week RUBAGA-KABUSU'!I57+'Avg Week KABUSU-RUBAGA'!I57</f>
        <v>7.5714285714285712</v>
      </c>
      <c r="J57" s="49">
        <f>'Avg Week RUBAGA-KABUSU'!J57+'Avg Week KABUSU-RUBAGA'!J57</f>
        <v>3</v>
      </c>
      <c r="K57" s="49">
        <f>'Avg Week RUBAGA-KABUSU'!K57+'Avg Week KABUSU-RUBAGA'!K57</f>
        <v>1.5714285714285716</v>
      </c>
      <c r="L57" s="49">
        <f>'Avg Week RUBAGA-KABUSU'!L57+'Avg Week KABUSU-RUBAGA'!L57</f>
        <v>0.5714285714285714</v>
      </c>
      <c r="M57" s="49">
        <f>'Avg Week RUBAGA-KABUSU'!M57+'Avg Week KABUSU-RUBAGA'!M57</f>
        <v>298.71428571428572</v>
      </c>
      <c r="N57" s="49">
        <f>'Avg Week RUBAGA-KABUSU'!N57+'Avg Week KABUSU-RUBAGA'!N57</f>
        <v>0.42857142857142855</v>
      </c>
      <c r="O57" s="15">
        <f t="shared" si="0"/>
        <v>196.28571428571431</v>
      </c>
      <c r="P57" s="15">
        <f t="shared" si="1"/>
        <v>495.00000000000006</v>
      </c>
      <c r="R57" s="8"/>
      <c r="T57"/>
    </row>
    <row r="58" spans="2:20" ht="23.1" customHeight="1" x14ac:dyDescent="0.25">
      <c r="B58" s="23" t="s">
        <v>99</v>
      </c>
      <c r="C58" s="49">
        <f>'Avg Week RUBAGA-KABUSU'!C58+'Avg Week KABUSU-RUBAGA'!C58</f>
        <v>42.5</v>
      </c>
      <c r="D58" s="49">
        <f>'Avg Week RUBAGA-KABUSU'!D58+'Avg Week KABUSU-RUBAGA'!D58</f>
        <v>9.5</v>
      </c>
      <c r="E58" s="49">
        <f>'Avg Week RUBAGA-KABUSU'!E58+'Avg Week KABUSU-RUBAGA'!E58</f>
        <v>3.5</v>
      </c>
      <c r="F58" s="49">
        <f>'Avg Week RUBAGA-KABUSU'!F58+'Avg Week KABUSU-RUBAGA'!F58</f>
        <v>22</v>
      </c>
      <c r="G58" s="49">
        <f>'Avg Week RUBAGA-KABUSU'!G58+'Avg Week KABUSU-RUBAGA'!G58</f>
        <v>0.5</v>
      </c>
      <c r="H58" s="49">
        <f>'Avg Week RUBAGA-KABUSU'!H58+'Avg Week KABUSU-RUBAGA'!H58</f>
        <v>0.5</v>
      </c>
      <c r="I58" s="49">
        <f>'Avg Week RUBAGA-KABUSU'!I58+'Avg Week KABUSU-RUBAGA'!I58</f>
        <v>1.5</v>
      </c>
      <c r="J58" s="49">
        <f>'Avg Week RUBAGA-KABUSU'!J58+'Avg Week KABUSU-RUBAGA'!J58</f>
        <v>1</v>
      </c>
      <c r="K58" s="49">
        <f>'Avg Week RUBAGA-KABUSU'!K58+'Avg Week KABUSU-RUBAGA'!K58</f>
        <v>1.5</v>
      </c>
      <c r="L58" s="49">
        <f>'Avg Week RUBAGA-KABUSU'!L58+'Avg Week KABUSU-RUBAGA'!L58</f>
        <v>0</v>
      </c>
      <c r="M58" s="49">
        <f>'Avg Week RUBAGA-KABUSU'!M58+'Avg Week KABUSU-RUBAGA'!M58</f>
        <v>82</v>
      </c>
      <c r="N58" s="49">
        <f>'Avg Week RUBAGA-KABUSU'!N58+'Avg Week KABUSU-RUBAGA'!N58</f>
        <v>0</v>
      </c>
      <c r="O58" s="49">
        <f>'Avg Week RUBAGA-KABUSU'!O58+'Avg Week KABUSU-RUBAGA'!O58</f>
        <v>82.5</v>
      </c>
      <c r="P58" s="49">
        <f>'Avg Week RUBAGA-KABUSU'!P58+'Avg Week KABUSU-RUBAGA'!P58</f>
        <v>164.5</v>
      </c>
      <c r="R58" s="8"/>
      <c r="T58"/>
    </row>
    <row r="59" spans="2:20" ht="23.1" customHeight="1" x14ac:dyDescent="0.25">
      <c r="B59" s="23" t="s">
        <v>100</v>
      </c>
      <c r="C59" s="49">
        <f>'Avg Week RUBAGA-KABUSU'!C59+'Avg Week KABUSU-RUBAGA'!C59</f>
        <v>45</v>
      </c>
      <c r="D59" s="49">
        <f>'Avg Week RUBAGA-KABUSU'!D59+'Avg Week KABUSU-RUBAGA'!D59</f>
        <v>2.5</v>
      </c>
      <c r="E59" s="49">
        <f>'Avg Week RUBAGA-KABUSU'!E59+'Avg Week KABUSU-RUBAGA'!E59</f>
        <v>3.5</v>
      </c>
      <c r="F59" s="49">
        <f>'Avg Week RUBAGA-KABUSU'!F59+'Avg Week KABUSU-RUBAGA'!F59</f>
        <v>13</v>
      </c>
      <c r="G59" s="49">
        <f>'Avg Week RUBAGA-KABUSU'!G59+'Avg Week KABUSU-RUBAGA'!G59</f>
        <v>1</v>
      </c>
      <c r="H59" s="49">
        <f>'Avg Week RUBAGA-KABUSU'!H59+'Avg Week KABUSU-RUBAGA'!H59</f>
        <v>0.5</v>
      </c>
      <c r="I59" s="49">
        <f>'Avg Week RUBAGA-KABUSU'!I59+'Avg Week KABUSU-RUBAGA'!I59</f>
        <v>1.5</v>
      </c>
      <c r="J59" s="49">
        <f>'Avg Week RUBAGA-KABUSU'!J59+'Avg Week KABUSU-RUBAGA'!J59</f>
        <v>0.5</v>
      </c>
      <c r="K59" s="49">
        <f>'Avg Week RUBAGA-KABUSU'!K59+'Avg Week KABUSU-RUBAGA'!K59</f>
        <v>2</v>
      </c>
      <c r="L59" s="49">
        <f>'Avg Week RUBAGA-KABUSU'!L59+'Avg Week KABUSU-RUBAGA'!L59</f>
        <v>0</v>
      </c>
      <c r="M59" s="49">
        <f>'Avg Week RUBAGA-KABUSU'!M59+'Avg Week KABUSU-RUBAGA'!M59</f>
        <v>97.5</v>
      </c>
      <c r="N59" s="49">
        <f>'Avg Week RUBAGA-KABUSU'!N59+'Avg Week KABUSU-RUBAGA'!N59</f>
        <v>0</v>
      </c>
      <c r="O59" s="49">
        <f>'Avg Week RUBAGA-KABUSU'!O59+'Avg Week KABUSU-RUBAGA'!O59</f>
        <v>69.5</v>
      </c>
      <c r="P59" s="49">
        <f>'Avg Week RUBAGA-KABUSU'!P59+'Avg Week KABUSU-RUBAGA'!P59</f>
        <v>167</v>
      </c>
      <c r="R59" s="8"/>
      <c r="T59"/>
    </row>
    <row r="60" spans="2:20" ht="23.1" customHeight="1" x14ac:dyDescent="0.25">
      <c r="B60" s="23" t="s">
        <v>101</v>
      </c>
      <c r="C60" s="49">
        <f>'Avg Week RUBAGA-KABUSU'!C60+'Avg Week KABUSU-RUBAGA'!C60</f>
        <v>36</v>
      </c>
      <c r="D60" s="49">
        <f>'Avg Week RUBAGA-KABUSU'!D60+'Avg Week KABUSU-RUBAGA'!D60</f>
        <v>10</v>
      </c>
      <c r="E60" s="49">
        <f>'Avg Week RUBAGA-KABUSU'!E60+'Avg Week KABUSU-RUBAGA'!E60</f>
        <v>2.5</v>
      </c>
      <c r="F60" s="49">
        <f>'Avg Week RUBAGA-KABUSU'!F60+'Avg Week KABUSU-RUBAGA'!F60</f>
        <v>16.5</v>
      </c>
      <c r="G60" s="49">
        <f>'Avg Week RUBAGA-KABUSU'!G60+'Avg Week KABUSU-RUBAGA'!G60</f>
        <v>1.5</v>
      </c>
      <c r="H60" s="49">
        <f>'Avg Week RUBAGA-KABUSU'!H60+'Avg Week KABUSU-RUBAGA'!H60</f>
        <v>0.5</v>
      </c>
      <c r="I60" s="49">
        <f>'Avg Week RUBAGA-KABUSU'!I60+'Avg Week KABUSU-RUBAGA'!I60</f>
        <v>3</v>
      </c>
      <c r="J60" s="49">
        <f>'Avg Week RUBAGA-KABUSU'!J60+'Avg Week KABUSU-RUBAGA'!J60</f>
        <v>1</v>
      </c>
      <c r="K60" s="49">
        <f>'Avg Week RUBAGA-KABUSU'!K60+'Avg Week KABUSU-RUBAGA'!K60</f>
        <v>0</v>
      </c>
      <c r="L60" s="49">
        <f>'Avg Week RUBAGA-KABUSU'!L60+'Avg Week KABUSU-RUBAGA'!L60</f>
        <v>0</v>
      </c>
      <c r="M60" s="49">
        <f>'Avg Week RUBAGA-KABUSU'!M60+'Avg Week KABUSU-RUBAGA'!M60</f>
        <v>104.5</v>
      </c>
      <c r="N60" s="49">
        <f>'Avg Week RUBAGA-KABUSU'!N60+'Avg Week KABUSU-RUBAGA'!N60</f>
        <v>0</v>
      </c>
      <c r="O60" s="49">
        <f>'Avg Week RUBAGA-KABUSU'!O60+'Avg Week KABUSU-RUBAGA'!O60</f>
        <v>71</v>
      </c>
      <c r="P60" s="49">
        <f>'Avg Week RUBAGA-KABUSU'!P60+'Avg Week KABUSU-RUBAGA'!P60</f>
        <v>175.5</v>
      </c>
      <c r="R60" s="8"/>
      <c r="T60"/>
    </row>
    <row r="61" spans="2:20" ht="23.1" customHeight="1" x14ac:dyDescent="0.25">
      <c r="B61" s="23" t="s">
        <v>102</v>
      </c>
      <c r="C61" s="49">
        <f>'Avg Week RUBAGA-KABUSU'!C61+'Avg Week KABUSU-RUBAGA'!C61</f>
        <v>50.5</v>
      </c>
      <c r="D61" s="49">
        <f>'Avg Week RUBAGA-KABUSU'!D61+'Avg Week KABUSU-RUBAGA'!D61</f>
        <v>5</v>
      </c>
      <c r="E61" s="49">
        <f>'Avg Week RUBAGA-KABUSU'!E61+'Avg Week KABUSU-RUBAGA'!E61</f>
        <v>2</v>
      </c>
      <c r="F61" s="49">
        <f>'Avg Week RUBAGA-KABUSU'!F61+'Avg Week KABUSU-RUBAGA'!F61</f>
        <v>21</v>
      </c>
      <c r="G61" s="49">
        <f>'Avg Week RUBAGA-KABUSU'!G61+'Avg Week KABUSU-RUBAGA'!G61</f>
        <v>0</v>
      </c>
      <c r="H61" s="49">
        <f>'Avg Week RUBAGA-KABUSU'!H61+'Avg Week KABUSU-RUBAGA'!H61</f>
        <v>0</v>
      </c>
      <c r="I61" s="49">
        <f>'Avg Week RUBAGA-KABUSU'!I61+'Avg Week KABUSU-RUBAGA'!I61</f>
        <v>1</v>
      </c>
      <c r="J61" s="49">
        <f>'Avg Week RUBAGA-KABUSU'!J61+'Avg Week KABUSU-RUBAGA'!J61</f>
        <v>1</v>
      </c>
      <c r="K61" s="49">
        <f>'Avg Week RUBAGA-KABUSU'!K61+'Avg Week KABUSU-RUBAGA'!K61</f>
        <v>0</v>
      </c>
      <c r="L61" s="49">
        <f>'Avg Week RUBAGA-KABUSU'!L61+'Avg Week KABUSU-RUBAGA'!L61</f>
        <v>0</v>
      </c>
      <c r="M61" s="49">
        <f>'Avg Week RUBAGA-KABUSU'!M61+'Avg Week KABUSU-RUBAGA'!M61</f>
        <v>151</v>
      </c>
      <c r="N61" s="49">
        <f>'Avg Week RUBAGA-KABUSU'!N61+'Avg Week KABUSU-RUBAGA'!N61</f>
        <v>0</v>
      </c>
      <c r="O61" s="49">
        <f>'Avg Week RUBAGA-KABUSU'!O61+'Avg Week KABUSU-RUBAGA'!O61</f>
        <v>80.5</v>
      </c>
      <c r="P61" s="49">
        <f>'Avg Week RUBAGA-KABUSU'!P61+'Avg Week KABUSU-RUBAGA'!P61</f>
        <v>231.5</v>
      </c>
      <c r="R61" s="8"/>
      <c r="T61"/>
    </row>
    <row r="62" spans="2:20" ht="23.1" customHeight="1" x14ac:dyDescent="0.25">
      <c r="B62" s="23" t="s">
        <v>107</v>
      </c>
      <c r="C62" s="49">
        <f>'Avg Week RUBAGA-KABUSU'!C62+'Avg Week KABUSU-RUBAGA'!C62</f>
        <v>41.5</v>
      </c>
      <c r="D62" s="49">
        <f>'Avg Week RUBAGA-KABUSU'!D62+'Avg Week KABUSU-RUBAGA'!D62</f>
        <v>4</v>
      </c>
      <c r="E62" s="49">
        <f>'Avg Week RUBAGA-KABUSU'!E62+'Avg Week KABUSU-RUBAGA'!E62</f>
        <v>3.5</v>
      </c>
      <c r="F62" s="49">
        <f>'Avg Week RUBAGA-KABUSU'!F62+'Avg Week KABUSU-RUBAGA'!F62</f>
        <v>26.5</v>
      </c>
      <c r="G62" s="49">
        <f>'Avg Week RUBAGA-KABUSU'!G62+'Avg Week KABUSU-RUBAGA'!G62</f>
        <v>0</v>
      </c>
      <c r="H62" s="49">
        <f>'Avg Week RUBAGA-KABUSU'!H62+'Avg Week KABUSU-RUBAGA'!H62</f>
        <v>0.5</v>
      </c>
      <c r="I62" s="49">
        <f>'Avg Week RUBAGA-KABUSU'!I62+'Avg Week KABUSU-RUBAGA'!I62</f>
        <v>2.5</v>
      </c>
      <c r="J62" s="49">
        <f>'Avg Week RUBAGA-KABUSU'!J62+'Avg Week KABUSU-RUBAGA'!J62</f>
        <v>1</v>
      </c>
      <c r="K62" s="49">
        <f>'Avg Week RUBAGA-KABUSU'!K62+'Avg Week KABUSU-RUBAGA'!K62</f>
        <v>0</v>
      </c>
      <c r="L62" s="49">
        <f>'Avg Week RUBAGA-KABUSU'!L62+'Avg Week KABUSU-RUBAGA'!L62</f>
        <v>0.5</v>
      </c>
      <c r="M62" s="49">
        <f>'Avg Week RUBAGA-KABUSU'!M62+'Avg Week KABUSU-RUBAGA'!M62</f>
        <v>128.5</v>
      </c>
      <c r="N62" s="49">
        <f>'Avg Week RUBAGA-KABUSU'!N62+'Avg Week KABUSU-RUBAGA'!N62</f>
        <v>0</v>
      </c>
      <c r="O62" s="49">
        <f>'Avg Week RUBAGA-KABUSU'!O62+'Avg Week KABUSU-RUBAGA'!O62</f>
        <v>80</v>
      </c>
      <c r="P62" s="49">
        <f>'Avg Week RUBAGA-KABUSU'!P62+'Avg Week KABUSU-RUBAGA'!P62</f>
        <v>208.5</v>
      </c>
      <c r="R62" s="8"/>
      <c r="T62"/>
    </row>
    <row r="63" spans="2:20" ht="23.1" customHeight="1" x14ac:dyDescent="0.25">
      <c r="B63" s="23" t="s">
        <v>108</v>
      </c>
      <c r="C63" s="49">
        <f>'Avg Week RUBAGA-KABUSU'!C63+'Avg Week KABUSU-RUBAGA'!C63</f>
        <v>49.5</v>
      </c>
      <c r="D63" s="49">
        <f>'Avg Week RUBAGA-KABUSU'!D63+'Avg Week KABUSU-RUBAGA'!D63</f>
        <v>5</v>
      </c>
      <c r="E63" s="49">
        <f>'Avg Week RUBAGA-KABUSU'!E63+'Avg Week KABUSU-RUBAGA'!E63</f>
        <v>2</v>
      </c>
      <c r="F63" s="49">
        <f>'Avg Week RUBAGA-KABUSU'!F63+'Avg Week KABUSU-RUBAGA'!F63</f>
        <v>16</v>
      </c>
      <c r="G63" s="49">
        <f>'Avg Week RUBAGA-KABUSU'!G63+'Avg Week KABUSU-RUBAGA'!G63</f>
        <v>1</v>
      </c>
      <c r="H63" s="49">
        <f>'Avg Week RUBAGA-KABUSU'!H63+'Avg Week KABUSU-RUBAGA'!H63</f>
        <v>0</v>
      </c>
      <c r="I63" s="49">
        <f>'Avg Week RUBAGA-KABUSU'!I63+'Avg Week KABUSU-RUBAGA'!I63</f>
        <v>3.5</v>
      </c>
      <c r="J63" s="49">
        <f>'Avg Week RUBAGA-KABUSU'!J63+'Avg Week KABUSU-RUBAGA'!J63</f>
        <v>1</v>
      </c>
      <c r="K63" s="49">
        <f>'Avg Week RUBAGA-KABUSU'!K63+'Avg Week KABUSU-RUBAGA'!K63</f>
        <v>0.5</v>
      </c>
      <c r="L63" s="49">
        <f>'Avg Week RUBAGA-KABUSU'!L63+'Avg Week KABUSU-RUBAGA'!L63</f>
        <v>0</v>
      </c>
      <c r="M63" s="49">
        <f>'Avg Week RUBAGA-KABUSU'!M63+'Avg Week KABUSU-RUBAGA'!M63</f>
        <v>118</v>
      </c>
      <c r="N63" s="49">
        <f>'Avg Week RUBAGA-KABUSU'!N63+'Avg Week KABUSU-RUBAGA'!N63</f>
        <v>0</v>
      </c>
      <c r="O63" s="49">
        <f>'Avg Week RUBAGA-KABUSU'!O63+'Avg Week KABUSU-RUBAGA'!O63</f>
        <v>78.5</v>
      </c>
      <c r="P63" s="49">
        <f>'Avg Week RUBAGA-KABUSU'!P63+'Avg Week KABUSU-RUBAGA'!P63</f>
        <v>196.5</v>
      </c>
      <c r="R63" s="8"/>
      <c r="T63"/>
    </row>
    <row r="64" spans="2:20" ht="23.1" customHeight="1" x14ac:dyDescent="0.25">
      <c r="B64" s="23" t="s">
        <v>109</v>
      </c>
      <c r="C64" s="49">
        <f>'Avg Week RUBAGA-KABUSU'!C64+'Avg Week KABUSU-RUBAGA'!C64</f>
        <v>59.5</v>
      </c>
      <c r="D64" s="49">
        <f>'Avg Week RUBAGA-KABUSU'!D64+'Avg Week KABUSU-RUBAGA'!D64</f>
        <v>8.5</v>
      </c>
      <c r="E64" s="49">
        <f>'Avg Week RUBAGA-KABUSU'!E64+'Avg Week KABUSU-RUBAGA'!E64</f>
        <v>0.5</v>
      </c>
      <c r="F64" s="49">
        <f>'Avg Week RUBAGA-KABUSU'!F64+'Avg Week KABUSU-RUBAGA'!F64</f>
        <v>20</v>
      </c>
      <c r="G64" s="49">
        <f>'Avg Week RUBAGA-KABUSU'!G64+'Avg Week KABUSU-RUBAGA'!G64</f>
        <v>0.5</v>
      </c>
      <c r="H64" s="49">
        <f>'Avg Week RUBAGA-KABUSU'!H64+'Avg Week KABUSU-RUBAGA'!H64</f>
        <v>0.5</v>
      </c>
      <c r="I64" s="49">
        <f>'Avg Week RUBAGA-KABUSU'!I64+'Avg Week KABUSU-RUBAGA'!I64</f>
        <v>3</v>
      </c>
      <c r="J64" s="49">
        <f>'Avg Week RUBAGA-KABUSU'!J64+'Avg Week KABUSU-RUBAGA'!J64</f>
        <v>1.5</v>
      </c>
      <c r="K64" s="49">
        <f>'Avg Week RUBAGA-KABUSU'!K64+'Avg Week KABUSU-RUBAGA'!K64</f>
        <v>0</v>
      </c>
      <c r="L64" s="49">
        <f>'Avg Week RUBAGA-KABUSU'!L64+'Avg Week KABUSU-RUBAGA'!L64</f>
        <v>0</v>
      </c>
      <c r="M64" s="49">
        <f>'Avg Week RUBAGA-KABUSU'!M64+'Avg Week KABUSU-RUBAGA'!M64</f>
        <v>102.5</v>
      </c>
      <c r="N64" s="49">
        <f>'Avg Week RUBAGA-KABUSU'!N64+'Avg Week KABUSU-RUBAGA'!N64</f>
        <v>0</v>
      </c>
      <c r="O64" s="49">
        <f>'Avg Week RUBAGA-KABUSU'!O64+'Avg Week KABUSU-RUBAGA'!O64</f>
        <v>94</v>
      </c>
      <c r="P64" s="49">
        <f>'Avg Week RUBAGA-KABUSU'!P64+'Avg Week KABUSU-RUBAGA'!P64</f>
        <v>196.5</v>
      </c>
      <c r="R64" s="8"/>
      <c r="T64"/>
    </row>
    <row r="65" spans="2:20" ht="23.1" customHeight="1" x14ac:dyDescent="0.25">
      <c r="B65" s="23" t="s">
        <v>158</v>
      </c>
      <c r="C65" s="49">
        <f>'Avg Week RUBAGA-KABUSU'!C65+'Avg Week KABUSU-RUBAGA'!C65</f>
        <v>38</v>
      </c>
      <c r="D65" s="49">
        <f>'Avg Week RUBAGA-KABUSU'!D65+'Avg Week KABUSU-RUBAGA'!D65</f>
        <v>7.5</v>
      </c>
      <c r="E65" s="49">
        <f>'Avg Week RUBAGA-KABUSU'!E65+'Avg Week KABUSU-RUBAGA'!E65</f>
        <v>1.5</v>
      </c>
      <c r="F65" s="49">
        <f>'Avg Week RUBAGA-KABUSU'!F65+'Avg Week KABUSU-RUBAGA'!F65</f>
        <v>19.5</v>
      </c>
      <c r="G65" s="49">
        <f>'Avg Week RUBAGA-KABUSU'!G65+'Avg Week KABUSU-RUBAGA'!G65</f>
        <v>1</v>
      </c>
      <c r="H65" s="49">
        <f>'Avg Week RUBAGA-KABUSU'!H65+'Avg Week KABUSU-RUBAGA'!H65</f>
        <v>0</v>
      </c>
      <c r="I65" s="49">
        <f>'Avg Week RUBAGA-KABUSU'!I65+'Avg Week KABUSU-RUBAGA'!I65</f>
        <v>0.5</v>
      </c>
      <c r="J65" s="49">
        <f>'Avg Week RUBAGA-KABUSU'!J65+'Avg Week KABUSU-RUBAGA'!J65</f>
        <v>0.5</v>
      </c>
      <c r="K65" s="49">
        <f>'Avg Week RUBAGA-KABUSU'!K65+'Avg Week KABUSU-RUBAGA'!K65</f>
        <v>0.5</v>
      </c>
      <c r="L65" s="49">
        <f>'Avg Week RUBAGA-KABUSU'!L65+'Avg Week KABUSU-RUBAGA'!L65</f>
        <v>0</v>
      </c>
      <c r="M65" s="49">
        <f>'Avg Week RUBAGA-KABUSU'!M65+'Avg Week KABUSU-RUBAGA'!M65</f>
        <v>105</v>
      </c>
      <c r="N65" s="49">
        <f>'Avg Week RUBAGA-KABUSU'!N65+'Avg Week KABUSU-RUBAGA'!N65</f>
        <v>0</v>
      </c>
      <c r="O65" s="49">
        <f>'Avg Week RUBAGA-KABUSU'!O65+'Avg Week KABUSU-RUBAGA'!O65</f>
        <v>69</v>
      </c>
      <c r="P65" s="49">
        <f>'Avg Week RUBAGA-KABUSU'!P65+'Avg Week KABUSU-RUBAGA'!P65</f>
        <v>174</v>
      </c>
      <c r="R65" s="8"/>
      <c r="T65"/>
    </row>
    <row r="66" spans="2:20" ht="23.1" customHeight="1" x14ac:dyDescent="0.25">
      <c r="B66" s="23" t="s">
        <v>103</v>
      </c>
      <c r="C66" s="49">
        <f>'Avg Week RUBAGA-KABUSU'!C66+'Avg Week KABUSU-RUBAGA'!C66</f>
        <v>35</v>
      </c>
      <c r="D66" s="49">
        <f>'Avg Week RUBAGA-KABUSU'!D66+'Avg Week KABUSU-RUBAGA'!D66</f>
        <v>4.5</v>
      </c>
      <c r="E66" s="49">
        <f>'Avg Week RUBAGA-KABUSU'!E66+'Avg Week KABUSU-RUBAGA'!E66</f>
        <v>4</v>
      </c>
      <c r="F66" s="49">
        <f>'Avg Week RUBAGA-KABUSU'!F66+'Avg Week KABUSU-RUBAGA'!F66</f>
        <v>16</v>
      </c>
      <c r="G66" s="49">
        <f>'Avg Week RUBAGA-KABUSU'!G66+'Avg Week KABUSU-RUBAGA'!G66</f>
        <v>0.5</v>
      </c>
      <c r="H66" s="49">
        <f>'Avg Week RUBAGA-KABUSU'!H66+'Avg Week KABUSU-RUBAGA'!H66</f>
        <v>0.5</v>
      </c>
      <c r="I66" s="49">
        <f>'Avg Week RUBAGA-KABUSU'!I66+'Avg Week KABUSU-RUBAGA'!I66</f>
        <v>2</v>
      </c>
      <c r="J66" s="49">
        <f>'Avg Week RUBAGA-KABUSU'!J66+'Avg Week KABUSU-RUBAGA'!J66</f>
        <v>1.5</v>
      </c>
      <c r="K66" s="49">
        <f>'Avg Week RUBAGA-KABUSU'!K66+'Avg Week KABUSU-RUBAGA'!K66</f>
        <v>0.5</v>
      </c>
      <c r="L66" s="49">
        <f>'Avg Week RUBAGA-KABUSU'!L66+'Avg Week KABUSU-RUBAGA'!L66</f>
        <v>0</v>
      </c>
      <c r="M66" s="49">
        <f>'Avg Week RUBAGA-KABUSU'!M66+'Avg Week KABUSU-RUBAGA'!M66</f>
        <v>97.5</v>
      </c>
      <c r="N66" s="49">
        <f>'Avg Week RUBAGA-KABUSU'!N66+'Avg Week KABUSU-RUBAGA'!N66</f>
        <v>0</v>
      </c>
      <c r="O66" s="49">
        <f>'Avg Week RUBAGA-KABUSU'!O66+'Avg Week KABUSU-RUBAGA'!O66</f>
        <v>64.5</v>
      </c>
      <c r="P66" s="49">
        <f>'Avg Week RUBAGA-KABUSU'!P66+'Avg Week KABUSU-RUBAGA'!P66</f>
        <v>162</v>
      </c>
      <c r="R66" s="8"/>
      <c r="T66"/>
    </row>
    <row r="67" spans="2:20" ht="23.1" customHeight="1" x14ac:dyDescent="0.25">
      <c r="B67" s="23" t="s">
        <v>104</v>
      </c>
      <c r="C67" s="49">
        <f>'Avg Week RUBAGA-KABUSU'!C67+'Avg Week KABUSU-RUBAGA'!C67</f>
        <v>29</v>
      </c>
      <c r="D67" s="49">
        <f>'Avg Week RUBAGA-KABUSU'!D67+'Avg Week KABUSU-RUBAGA'!D67</f>
        <v>1</v>
      </c>
      <c r="E67" s="49">
        <f>'Avg Week RUBAGA-KABUSU'!E67+'Avg Week KABUSU-RUBAGA'!E67</f>
        <v>1</v>
      </c>
      <c r="F67" s="49">
        <f>'Avg Week RUBAGA-KABUSU'!F67+'Avg Week KABUSU-RUBAGA'!F67</f>
        <v>14.5</v>
      </c>
      <c r="G67" s="49">
        <f>'Avg Week RUBAGA-KABUSU'!G67+'Avg Week KABUSU-RUBAGA'!G67</f>
        <v>6</v>
      </c>
      <c r="H67" s="49">
        <f>'Avg Week RUBAGA-KABUSU'!H67+'Avg Week KABUSU-RUBAGA'!H67</f>
        <v>0.5</v>
      </c>
      <c r="I67" s="49">
        <f>'Avg Week RUBAGA-KABUSU'!I67+'Avg Week KABUSU-RUBAGA'!I67</f>
        <v>3</v>
      </c>
      <c r="J67" s="49">
        <f>'Avg Week RUBAGA-KABUSU'!J67+'Avg Week KABUSU-RUBAGA'!J67</f>
        <v>2</v>
      </c>
      <c r="K67" s="49">
        <f>'Avg Week RUBAGA-KABUSU'!K67+'Avg Week KABUSU-RUBAGA'!K67</f>
        <v>0</v>
      </c>
      <c r="L67" s="49">
        <f>'Avg Week RUBAGA-KABUSU'!L67+'Avg Week KABUSU-RUBAGA'!L67</f>
        <v>0</v>
      </c>
      <c r="M67" s="49">
        <f>'Avg Week RUBAGA-KABUSU'!M67+'Avg Week KABUSU-RUBAGA'!M67</f>
        <v>64</v>
      </c>
      <c r="N67" s="49">
        <f>'Avg Week RUBAGA-KABUSU'!N67+'Avg Week KABUSU-RUBAGA'!N67</f>
        <v>0</v>
      </c>
      <c r="O67" s="49">
        <f>'Avg Week RUBAGA-KABUSU'!O67+'Avg Week KABUSU-RUBAGA'!O67</f>
        <v>57</v>
      </c>
      <c r="P67" s="49">
        <f>'Avg Week RUBAGA-KABUSU'!P67+'Avg Week KABUSU-RUBAGA'!P67</f>
        <v>121</v>
      </c>
      <c r="R67" s="8"/>
      <c r="T67"/>
    </row>
    <row r="68" spans="2:20" ht="23.1" customHeight="1" x14ac:dyDescent="0.25">
      <c r="B68" s="23" t="s">
        <v>105</v>
      </c>
      <c r="C68" s="49">
        <f>'Avg Week RUBAGA-KABUSU'!C68+'Avg Week KABUSU-RUBAGA'!C68</f>
        <v>34</v>
      </c>
      <c r="D68" s="49">
        <f>'Avg Week RUBAGA-KABUSU'!D68+'Avg Week KABUSU-RUBAGA'!D68</f>
        <v>1.5</v>
      </c>
      <c r="E68" s="49">
        <f>'Avg Week RUBAGA-KABUSU'!E68+'Avg Week KABUSU-RUBAGA'!E68</f>
        <v>1</v>
      </c>
      <c r="F68" s="49">
        <f>'Avg Week RUBAGA-KABUSU'!F68+'Avg Week KABUSU-RUBAGA'!F68</f>
        <v>13</v>
      </c>
      <c r="G68" s="49">
        <f>'Avg Week RUBAGA-KABUSU'!G68+'Avg Week KABUSU-RUBAGA'!G68</f>
        <v>0</v>
      </c>
      <c r="H68" s="49">
        <f>'Avg Week RUBAGA-KABUSU'!H68+'Avg Week KABUSU-RUBAGA'!H68</f>
        <v>0</v>
      </c>
      <c r="I68" s="49">
        <f>'Avg Week RUBAGA-KABUSU'!I68+'Avg Week KABUSU-RUBAGA'!I68</f>
        <v>4</v>
      </c>
      <c r="J68" s="49">
        <f>'Avg Week RUBAGA-KABUSU'!J68+'Avg Week KABUSU-RUBAGA'!J68</f>
        <v>1.5</v>
      </c>
      <c r="K68" s="49">
        <f>'Avg Week RUBAGA-KABUSU'!K68+'Avg Week KABUSU-RUBAGA'!K68</f>
        <v>0</v>
      </c>
      <c r="L68" s="49">
        <f>'Avg Week RUBAGA-KABUSU'!L68+'Avg Week KABUSU-RUBAGA'!L68</f>
        <v>0</v>
      </c>
      <c r="M68" s="49">
        <f>'Avg Week RUBAGA-KABUSU'!M68+'Avg Week KABUSU-RUBAGA'!M68</f>
        <v>81.5</v>
      </c>
      <c r="N68" s="49">
        <f>'Avg Week RUBAGA-KABUSU'!N68+'Avg Week KABUSU-RUBAGA'!N68</f>
        <v>0</v>
      </c>
      <c r="O68" s="49">
        <f>'Avg Week RUBAGA-KABUSU'!O68+'Avg Week KABUSU-RUBAGA'!O68</f>
        <v>55</v>
      </c>
      <c r="P68" s="49">
        <f>'Avg Week RUBAGA-KABUSU'!P68+'Avg Week KABUSU-RUBAGA'!P68</f>
        <v>136.5</v>
      </c>
      <c r="R68" s="8"/>
      <c r="T68"/>
    </row>
    <row r="69" spans="2:20" ht="23.1" customHeight="1" x14ac:dyDescent="0.25">
      <c r="B69" s="23" t="s">
        <v>106</v>
      </c>
      <c r="C69" s="49">
        <f>'Avg Week RUBAGA-KABUSU'!C69+'Avg Week KABUSU-RUBAGA'!C69</f>
        <v>35</v>
      </c>
      <c r="D69" s="49">
        <f>'Avg Week RUBAGA-KABUSU'!D69+'Avg Week KABUSU-RUBAGA'!D69</f>
        <v>1.5</v>
      </c>
      <c r="E69" s="49">
        <f>'Avg Week RUBAGA-KABUSU'!E69+'Avg Week KABUSU-RUBAGA'!E69</f>
        <v>3.5</v>
      </c>
      <c r="F69" s="49">
        <f>'Avg Week RUBAGA-KABUSU'!F69+'Avg Week KABUSU-RUBAGA'!F69</f>
        <v>16</v>
      </c>
      <c r="G69" s="49">
        <f>'Avg Week RUBAGA-KABUSU'!G69+'Avg Week KABUSU-RUBAGA'!G69</f>
        <v>2</v>
      </c>
      <c r="H69" s="49">
        <f>'Avg Week RUBAGA-KABUSU'!H69+'Avg Week KABUSU-RUBAGA'!H69</f>
        <v>0</v>
      </c>
      <c r="I69" s="49">
        <f>'Avg Week RUBAGA-KABUSU'!I69+'Avg Week KABUSU-RUBAGA'!I69</f>
        <v>1.5</v>
      </c>
      <c r="J69" s="49">
        <f>'Avg Week RUBAGA-KABUSU'!J69+'Avg Week KABUSU-RUBAGA'!J69</f>
        <v>3.5</v>
      </c>
      <c r="K69" s="49">
        <f>'Avg Week RUBAGA-KABUSU'!K69+'Avg Week KABUSU-RUBAGA'!K69</f>
        <v>0</v>
      </c>
      <c r="L69" s="49">
        <f>'Avg Week RUBAGA-KABUSU'!L69+'Avg Week KABUSU-RUBAGA'!L69</f>
        <v>0</v>
      </c>
      <c r="M69" s="49">
        <f>'Avg Week RUBAGA-KABUSU'!M69+'Avg Week KABUSU-RUBAGA'!M69</f>
        <v>85.5</v>
      </c>
      <c r="N69" s="49">
        <f>'Avg Week RUBAGA-KABUSU'!N69+'Avg Week KABUSU-RUBAGA'!N69</f>
        <v>0</v>
      </c>
      <c r="O69" s="49">
        <f>'Avg Week RUBAGA-KABUSU'!O69+'Avg Week KABUSU-RUBAGA'!O69</f>
        <v>63</v>
      </c>
      <c r="P69" s="49">
        <f>'Avg Week RUBAGA-KABUSU'!P69+'Avg Week KABUSU-RUBAGA'!P69</f>
        <v>148.5</v>
      </c>
      <c r="R69" s="8"/>
      <c r="T69"/>
    </row>
    <row r="70" spans="2:20" ht="23.1" customHeight="1" x14ac:dyDescent="0.25">
      <c r="B70" s="23" t="s">
        <v>110</v>
      </c>
      <c r="C70" s="49">
        <f>'Avg Week RUBAGA-KABUSU'!C70+'Avg Week KABUSU-RUBAGA'!C70</f>
        <v>51.5</v>
      </c>
      <c r="D70" s="49">
        <f>'Avg Week RUBAGA-KABUSU'!D70+'Avg Week KABUSU-RUBAGA'!D70</f>
        <v>9.5</v>
      </c>
      <c r="E70" s="49">
        <f>'Avg Week RUBAGA-KABUSU'!E70+'Avg Week KABUSU-RUBAGA'!E70</f>
        <v>0.5</v>
      </c>
      <c r="F70" s="49">
        <f>'Avg Week RUBAGA-KABUSU'!F70+'Avg Week KABUSU-RUBAGA'!F70</f>
        <v>16.5</v>
      </c>
      <c r="G70" s="49">
        <f>'Avg Week RUBAGA-KABUSU'!G70+'Avg Week KABUSU-RUBAGA'!G70</f>
        <v>0.5</v>
      </c>
      <c r="H70" s="49">
        <f>'Avg Week RUBAGA-KABUSU'!H70+'Avg Week KABUSU-RUBAGA'!H70</f>
        <v>0</v>
      </c>
      <c r="I70" s="49">
        <f>'Avg Week RUBAGA-KABUSU'!I70+'Avg Week KABUSU-RUBAGA'!I70</f>
        <v>2</v>
      </c>
      <c r="J70" s="49">
        <f>'Avg Week RUBAGA-KABUSU'!J70+'Avg Week KABUSU-RUBAGA'!J70</f>
        <v>1</v>
      </c>
      <c r="K70" s="49">
        <f>'Avg Week RUBAGA-KABUSU'!K70+'Avg Week KABUSU-RUBAGA'!K70</f>
        <v>0.5</v>
      </c>
      <c r="L70" s="49">
        <f>'Avg Week RUBAGA-KABUSU'!L70+'Avg Week KABUSU-RUBAGA'!L70</f>
        <v>0.5</v>
      </c>
      <c r="M70" s="49">
        <f>'Avg Week RUBAGA-KABUSU'!M70+'Avg Week KABUSU-RUBAGA'!M70</f>
        <v>130.5</v>
      </c>
      <c r="N70" s="49">
        <f>'Avg Week RUBAGA-KABUSU'!N70+'Avg Week KABUSU-RUBAGA'!N70</f>
        <v>0</v>
      </c>
      <c r="O70" s="49">
        <f>'Avg Week RUBAGA-KABUSU'!O70+'Avg Week KABUSU-RUBAGA'!O70</f>
        <v>82.5</v>
      </c>
      <c r="P70" s="49">
        <f>'Avg Week RUBAGA-KABUSU'!P70+'Avg Week KABUSU-RUBAGA'!P70</f>
        <v>213</v>
      </c>
      <c r="R70" s="8"/>
      <c r="T70"/>
    </row>
    <row r="71" spans="2:20" ht="23.1" customHeight="1" x14ac:dyDescent="0.25">
      <c r="B71" s="23" t="s">
        <v>111</v>
      </c>
      <c r="C71" s="49">
        <f>'Avg Week RUBAGA-KABUSU'!C71+'Avg Week KABUSU-RUBAGA'!C71</f>
        <v>66</v>
      </c>
      <c r="D71" s="49">
        <f>'Avg Week RUBAGA-KABUSU'!D71+'Avg Week KABUSU-RUBAGA'!D71</f>
        <v>10.5</v>
      </c>
      <c r="E71" s="49">
        <f>'Avg Week RUBAGA-KABUSU'!E71+'Avg Week KABUSU-RUBAGA'!E71</f>
        <v>2</v>
      </c>
      <c r="F71" s="49">
        <f>'Avg Week RUBAGA-KABUSU'!F71+'Avg Week KABUSU-RUBAGA'!F71</f>
        <v>20.5</v>
      </c>
      <c r="G71" s="49">
        <f>'Avg Week RUBAGA-KABUSU'!G71+'Avg Week KABUSU-RUBAGA'!G71</f>
        <v>0.5</v>
      </c>
      <c r="H71" s="49">
        <f>'Avg Week RUBAGA-KABUSU'!H71+'Avg Week KABUSU-RUBAGA'!H71</f>
        <v>0.5</v>
      </c>
      <c r="I71" s="49">
        <f>'Avg Week RUBAGA-KABUSU'!I71+'Avg Week KABUSU-RUBAGA'!I71</f>
        <v>2.5</v>
      </c>
      <c r="J71" s="49">
        <f>'Avg Week RUBAGA-KABUSU'!J71+'Avg Week KABUSU-RUBAGA'!J71</f>
        <v>1</v>
      </c>
      <c r="K71" s="49">
        <f>'Avg Week RUBAGA-KABUSU'!K71+'Avg Week KABUSU-RUBAGA'!K71</f>
        <v>1</v>
      </c>
      <c r="L71" s="49">
        <f>'Avg Week RUBAGA-KABUSU'!L71+'Avg Week KABUSU-RUBAGA'!L71</f>
        <v>0.5</v>
      </c>
      <c r="M71" s="49">
        <f>'Avg Week RUBAGA-KABUSU'!M71+'Avg Week KABUSU-RUBAGA'!M71</f>
        <v>162</v>
      </c>
      <c r="N71" s="49">
        <f>'Avg Week RUBAGA-KABUSU'!N71+'Avg Week KABUSU-RUBAGA'!N71</f>
        <v>0</v>
      </c>
      <c r="O71" s="49">
        <f>'Avg Week RUBAGA-KABUSU'!O71+'Avg Week KABUSU-RUBAGA'!O71</f>
        <v>105</v>
      </c>
      <c r="P71" s="49">
        <f>'Avg Week RUBAGA-KABUSU'!P71+'Avg Week KABUSU-RUBAGA'!P71</f>
        <v>267</v>
      </c>
      <c r="R71" s="8"/>
      <c r="T71"/>
    </row>
    <row r="72" spans="2:20" ht="23.1" customHeight="1" x14ac:dyDescent="0.25">
      <c r="B72" s="23" t="s">
        <v>112</v>
      </c>
      <c r="C72" s="49">
        <f>'Avg Week RUBAGA-KABUSU'!C72+'Avg Week KABUSU-RUBAGA'!C72</f>
        <v>63.5</v>
      </c>
      <c r="D72" s="49">
        <f>'Avg Week RUBAGA-KABUSU'!D72+'Avg Week KABUSU-RUBAGA'!D72</f>
        <v>10.5</v>
      </c>
      <c r="E72" s="49">
        <f>'Avg Week RUBAGA-KABUSU'!E72+'Avg Week KABUSU-RUBAGA'!E72</f>
        <v>4</v>
      </c>
      <c r="F72" s="49">
        <f>'Avg Week RUBAGA-KABUSU'!F72+'Avg Week KABUSU-RUBAGA'!F72</f>
        <v>14</v>
      </c>
      <c r="G72" s="49">
        <f>'Avg Week RUBAGA-KABUSU'!G72+'Avg Week KABUSU-RUBAGA'!G72</f>
        <v>0</v>
      </c>
      <c r="H72" s="49">
        <f>'Avg Week RUBAGA-KABUSU'!H72+'Avg Week KABUSU-RUBAGA'!H72</f>
        <v>0</v>
      </c>
      <c r="I72" s="49">
        <f>'Avg Week RUBAGA-KABUSU'!I72+'Avg Week KABUSU-RUBAGA'!I72</f>
        <v>3.5</v>
      </c>
      <c r="J72" s="49">
        <f>'Avg Week RUBAGA-KABUSU'!J72+'Avg Week KABUSU-RUBAGA'!J72</f>
        <v>0.5</v>
      </c>
      <c r="K72" s="49">
        <f>'Avg Week RUBAGA-KABUSU'!K72+'Avg Week KABUSU-RUBAGA'!K72</f>
        <v>0</v>
      </c>
      <c r="L72" s="49">
        <f>'Avg Week RUBAGA-KABUSU'!L72+'Avg Week KABUSU-RUBAGA'!L72</f>
        <v>0.5</v>
      </c>
      <c r="M72" s="49">
        <f>'Avg Week RUBAGA-KABUSU'!M72+'Avg Week KABUSU-RUBAGA'!M72</f>
        <v>180</v>
      </c>
      <c r="N72" s="49">
        <f>'Avg Week RUBAGA-KABUSU'!N72+'Avg Week KABUSU-RUBAGA'!N72</f>
        <v>0</v>
      </c>
      <c r="O72" s="49">
        <f>'Avg Week RUBAGA-KABUSU'!O72+'Avg Week KABUSU-RUBAGA'!O72</f>
        <v>96.5</v>
      </c>
      <c r="P72" s="49">
        <f>'Avg Week RUBAGA-KABUSU'!P72+'Avg Week KABUSU-RUBAGA'!P72</f>
        <v>276.5</v>
      </c>
      <c r="R72" s="8"/>
      <c r="T72"/>
    </row>
    <row r="73" spans="2:20" ht="23.1" customHeight="1" x14ac:dyDescent="0.25">
      <c r="B73" s="23" t="s">
        <v>113</v>
      </c>
      <c r="C73" s="49">
        <f>'Avg Week RUBAGA-KABUSU'!C73+'Avg Week KABUSU-RUBAGA'!C73</f>
        <v>84</v>
      </c>
      <c r="D73" s="49">
        <f>'Avg Week RUBAGA-KABUSU'!D73+'Avg Week KABUSU-RUBAGA'!D73</f>
        <v>5</v>
      </c>
      <c r="E73" s="49">
        <f>'Avg Week RUBAGA-KABUSU'!E73+'Avg Week KABUSU-RUBAGA'!E73</f>
        <v>9</v>
      </c>
      <c r="F73" s="49">
        <f>'Avg Week RUBAGA-KABUSU'!F73+'Avg Week KABUSU-RUBAGA'!F73</f>
        <v>23</v>
      </c>
      <c r="G73" s="49">
        <f>'Avg Week RUBAGA-KABUSU'!G73+'Avg Week KABUSU-RUBAGA'!G73</f>
        <v>0.5</v>
      </c>
      <c r="H73" s="49">
        <f>'Avg Week RUBAGA-KABUSU'!H73+'Avg Week KABUSU-RUBAGA'!H73</f>
        <v>0</v>
      </c>
      <c r="I73" s="49">
        <f>'Avg Week RUBAGA-KABUSU'!I73+'Avg Week KABUSU-RUBAGA'!I73</f>
        <v>1</v>
      </c>
      <c r="J73" s="49">
        <f>'Avg Week RUBAGA-KABUSU'!J73+'Avg Week KABUSU-RUBAGA'!J73</f>
        <v>0.5</v>
      </c>
      <c r="K73" s="49">
        <f>'Avg Week RUBAGA-KABUSU'!K73+'Avg Week KABUSU-RUBAGA'!K73</f>
        <v>0.5</v>
      </c>
      <c r="L73" s="49">
        <f>'Avg Week RUBAGA-KABUSU'!L73+'Avg Week KABUSU-RUBAGA'!L73</f>
        <v>0</v>
      </c>
      <c r="M73" s="49">
        <f>'Avg Week RUBAGA-KABUSU'!M73+'Avg Week KABUSU-RUBAGA'!M73</f>
        <v>201</v>
      </c>
      <c r="N73" s="49">
        <f>'Avg Week RUBAGA-KABUSU'!N73+'Avg Week KABUSU-RUBAGA'!N73</f>
        <v>0</v>
      </c>
      <c r="O73" s="49">
        <f>'Avg Week RUBAGA-KABUSU'!O73+'Avg Week KABUSU-RUBAGA'!O73</f>
        <v>123.5</v>
      </c>
      <c r="P73" s="49">
        <f>'Avg Week RUBAGA-KABUSU'!P73+'Avg Week KABUSU-RUBAGA'!P73</f>
        <v>324.5</v>
      </c>
      <c r="R73" s="8"/>
      <c r="T73"/>
    </row>
    <row r="74" spans="2:20" ht="23.1" customHeight="1" x14ac:dyDescent="0.25">
      <c r="B74" s="23" t="s">
        <v>114</v>
      </c>
      <c r="C74" s="49">
        <f>'Avg Week RUBAGA-KABUSU'!C74+'Avg Week KABUSU-RUBAGA'!C74</f>
        <v>53.5</v>
      </c>
      <c r="D74" s="49">
        <f>'Avg Week RUBAGA-KABUSU'!D74+'Avg Week KABUSU-RUBAGA'!D74</f>
        <v>6</v>
      </c>
      <c r="E74" s="49">
        <f>'Avg Week RUBAGA-KABUSU'!E74+'Avg Week KABUSU-RUBAGA'!E74</f>
        <v>6</v>
      </c>
      <c r="F74" s="49">
        <f>'Avg Week RUBAGA-KABUSU'!F74+'Avg Week KABUSU-RUBAGA'!F74</f>
        <v>15</v>
      </c>
      <c r="G74" s="49">
        <f>'Avg Week RUBAGA-KABUSU'!G74+'Avg Week KABUSU-RUBAGA'!G74</f>
        <v>1.5</v>
      </c>
      <c r="H74" s="49">
        <f>'Avg Week RUBAGA-KABUSU'!H74+'Avg Week KABUSU-RUBAGA'!H74</f>
        <v>1</v>
      </c>
      <c r="I74" s="49">
        <f>'Avg Week RUBAGA-KABUSU'!I74+'Avg Week KABUSU-RUBAGA'!I74</f>
        <v>4.5</v>
      </c>
      <c r="J74" s="49">
        <f>'Avg Week RUBAGA-KABUSU'!J74+'Avg Week KABUSU-RUBAGA'!J74</f>
        <v>1.5</v>
      </c>
      <c r="K74" s="49">
        <f>'Avg Week RUBAGA-KABUSU'!K74+'Avg Week KABUSU-RUBAGA'!K74</f>
        <v>0.5</v>
      </c>
      <c r="L74" s="49">
        <f>'Avg Week RUBAGA-KABUSU'!L74+'Avg Week KABUSU-RUBAGA'!L74</f>
        <v>1</v>
      </c>
      <c r="M74" s="49">
        <f>'Avg Week RUBAGA-KABUSU'!M74+'Avg Week KABUSU-RUBAGA'!M74</f>
        <v>165.5</v>
      </c>
      <c r="N74" s="49">
        <f>'Avg Week RUBAGA-KABUSU'!N74+'Avg Week KABUSU-RUBAGA'!N74</f>
        <v>0</v>
      </c>
      <c r="O74" s="49">
        <f>'Avg Week RUBAGA-KABUSU'!O74+'Avg Week KABUSU-RUBAGA'!O74</f>
        <v>90.5</v>
      </c>
      <c r="P74" s="49">
        <f>'Avg Week RUBAGA-KABUSU'!P74+'Avg Week KABUSU-RUBAGA'!P74</f>
        <v>256</v>
      </c>
      <c r="R74" s="8"/>
      <c r="T74"/>
    </row>
    <row r="75" spans="2:20" ht="23.1" customHeight="1" x14ac:dyDescent="0.25">
      <c r="B75" s="23" t="s">
        <v>115</v>
      </c>
      <c r="C75" s="49">
        <f>'Avg Week RUBAGA-KABUSU'!C75+'Avg Week KABUSU-RUBAGA'!C75</f>
        <v>64</v>
      </c>
      <c r="D75" s="49">
        <f>'Avg Week RUBAGA-KABUSU'!D75+'Avg Week KABUSU-RUBAGA'!D75</f>
        <v>8.5</v>
      </c>
      <c r="E75" s="49">
        <f>'Avg Week RUBAGA-KABUSU'!E75+'Avg Week KABUSU-RUBAGA'!E75</f>
        <v>6.5</v>
      </c>
      <c r="F75" s="49">
        <f>'Avg Week RUBAGA-KABUSU'!F75+'Avg Week KABUSU-RUBAGA'!F75</f>
        <v>8.5</v>
      </c>
      <c r="G75" s="49">
        <f>'Avg Week RUBAGA-KABUSU'!G75+'Avg Week KABUSU-RUBAGA'!G75</f>
        <v>0.5</v>
      </c>
      <c r="H75" s="49">
        <f>'Avg Week RUBAGA-KABUSU'!H75+'Avg Week KABUSU-RUBAGA'!H75</f>
        <v>2</v>
      </c>
      <c r="I75" s="49">
        <f>'Avg Week RUBAGA-KABUSU'!I75+'Avg Week KABUSU-RUBAGA'!I75</f>
        <v>2.5</v>
      </c>
      <c r="J75" s="49">
        <f>'Avg Week RUBAGA-KABUSU'!J75+'Avg Week KABUSU-RUBAGA'!J75</f>
        <v>1.5</v>
      </c>
      <c r="K75" s="49">
        <f>'Avg Week RUBAGA-KABUSU'!K75+'Avg Week KABUSU-RUBAGA'!K75</f>
        <v>1.5</v>
      </c>
      <c r="L75" s="49">
        <f>'Avg Week RUBAGA-KABUSU'!L75+'Avg Week KABUSU-RUBAGA'!L75</f>
        <v>0</v>
      </c>
      <c r="M75" s="49">
        <f>'Avg Week RUBAGA-KABUSU'!M75+'Avg Week KABUSU-RUBAGA'!M75</f>
        <v>166.5</v>
      </c>
      <c r="N75" s="49">
        <f>'Avg Week RUBAGA-KABUSU'!N75+'Avg Week KABUSU-RUBAGA'!N75</f>
        <v>0.5</v>
      </c>
      <c r="O75" s="49">
        <f>'Avg Week RUBAGA-KABUSU'!O75+'Avg Week KABUSU-RUBAGA'!O75</f>
        <v>96</v>
      </c>
      <c r="P75" s="49">
        <f>'Avg Week RUBAGA-KABUSU'!P75+'Avg Week KABUSU-RUBAGA'!P75</f>
        <v>262.5</v>
      </c>
      <c r="R75" s="8"/>
      <c r="T75"/>
    </row>
    <row r="76" spans="2:20" ht="23.1" customHeight="1" x14ac:dyDescent="0.25">
      <c r="B76" s="23" t="s">
        <v>116</v>
      </c>
      <c r="C76" s="49">
        <f>'Avg Week RUBAGA-KABUSU'!C76+'Avg Week KABUSU-RUBAGA'!C76</f>
        <v>64.5</v>
      </c>
      <c r="D76" s="49">
        <f>'Avg Week RUBAGA-KABUSU'!D76+'Avg Week KABUSU-RUBAGA'!D76</f>
        <v>6</v>
      </c>
      <c r="E76" s="49">
        <f>'Avg Week RUBAGA-KABUSU'!E76+'Avg Week KABUSU-RUBAGA'!E76</f>
        <v>5</v>
      </c>
      <c r="F76" s="49">
        <f>'Avg Week RUBAGA-KABUSU'!F76+'Avg Week KABUSU-RUBAGA'!F76</f>
        <v>9</v>
      </c>
      <c r="G76" s="49">
        <f>'Avg Week RUBAGA-KABUSU'!G76+'Avg Week KABUSU-RUBAGA'!G76</f>
        <v>0</v>
      </c>
      <c r="H76" s="49">
        <f>'Avg Week RUBAGA-KABUSU'!H76+'Avg Week KABUSU-RUBAGA'!H76</f>
        <v>1.5</v>
      </c>
      <c r="I76" s="49">
        <f>'Avg Week RUBAGA-KABUSU'!I76+'Avg Week KABUSU-RUBAGA'!I76</f>
        <v>1.5</v>
      </c>
      <c r="J76" s="49">
        <f>'Avg Week RUBAGA-KABUSU'!J76+'Avg Week KABUSU-RUBAGA'!J76</f>
        <v>2</v>
      </c>
      <c r="K76" s="49">
        <f>'Avg Week RUBAGA-KABUSU'!K76+'Avg Week KABUSU-RUBAGA'!K76</f>
        <v>1</v>
      </c>
      <c r="L76" s="49">
        <f>'Avg Week RUBAGA-KABUSU'!L76+'Avg Week KABUSU-RUBAGA'!L76</f>
        <v>0</v>
      </c>
      <c r="M76" s="49">
        <f>'Avg Week RUBAGA-KABUSU'!M76+'Avg Week KABUSU-RUBAGA'!M76</f>
        <v>164</v>
      </c>
      <c r="N76" s="49">
        <f>'Avg Week RUBAGA-KABUSU'!N76+'Avg Week KABUSU-RUBAGA'!N76</f>
        <v>0</v>
      </c>
      <c r="O76" s="49">
        <f>'Avg Week RUBAGA-KABUSU'!O76+'Avg Week KABUSU-RUBAGA'!O76</f>
        <v>90.5</v>
      </c>
      <c r="P76" s="49">
        <f>'Avg Week RUBAGA-KABUSU'!P76+'Avg Week KABUSU-RUBAGA'!P76</f>
        <v>254.5</v>
      </c>
      <c r="R76" s="8"/>
      <c r="T76"/>
    </row>
    <row r="77" spans="2:20" ht="23.1" customHeight="1" x14ac:dyDescent="0.25">
      <c r="B77" s="23" t="s">
        <v>117</v>
      </c>
      <c r="C77" s="49">
        <f>'Avg Week RUBAGA-KABUSU'!C77+'Avg Week KABUSU-RUBAGA'!C77</f>
        <v>46</v>
      </c>
      <c r="D77" s="49">
        <f>'Avg Week RUBAGA-KABUSU'!D77+'Avg Week KABUSU-RUBAGA'!D77</f>
        <v>6</v>
      </c>
      <c r="E77" s="49">
        <f>'Avg Week RUBAGA-KABUSU'!E77+'Avg Week KABUSU-RUBAGA'!E77</f>
        <v>1.5</v>
      </c>
      <c r="F77" s="49">
        <f>'Avg Week RUBAGA-KABUSU'!F77+'Avg Week KABUSU-RUBAGA'!F77</f>
        <v>8</v>
      </c>
      <c r="G77" s="49">
        <f>'Avg Week RUBAGA-KABUSU'!G77+'Avg Week KABUSU-RUBAGA'!G77</f>
        <v>0</v>
      </c>
      <c r="H77" s="49">
        <f>'Avg Week RUBAGA-KABUSU'!H77+'Avg Week KABUSU-RUBAGA'!H77</f>
        <v>0</v>
      </c>
      <c r="I77" s="49">
        <f>'Avg Week RUBAGA-KABUSU'!I77+'Avg Week KABUSU-RUBAGA'!I77</f>
        <v>2.5</v>
      </c>
      <c r="J77" s="49">
        <f>'Avg Week RUBAGA-KABUSU'!J77+'Avg Week KABUSU-RUBAGA'!J77</f>
        <v>0.5</v>
      </c>
      <c r="K77" s="49">
        <f>'Avg Week RUBAGA-KABUSU'!K77+'Avg Week KABUSU-RUBAGA'!K77</f>
        <v>0.5</v>
      </c>
      <c r="L77" s="49">
        <f>'Avg Week RUBAGA-KABUSU'!L77+'Avg Week KABUSU-RUBAGA'!L77</f>
        <v>0</v>
      </c>
      <c r="M77" s="49">
        <f>'Avg Week RUBAGA-KABUSU'!M77+'Avg Week KABUSU-RUBAGA'!M77</f>
        <v>135</v>
      </c>
      <c r="N77" s="49">
        <f>'Avg Week RUBAGA-KABUSU'!N77+'Avg Week KABUSU-RUBAGA'!N77</f>
        <v>0</v>
      </c>
      <c r="O77" s="49">
        <f>'Avg Week RUBAGA-KABUSU'!O77+'Avg Week KABUSU-RUBAGA'!O77</f>
        <v>65</v>
      </c>
      <c r="P77" s="49">
        <f>'Avg Week RUBAGA-KABUSU'!P77+'Avg Week KABUSU-RUBAGA'!P77</f>
        <v>200</v>
      </c>
      <c r="R77" s="8"/>
      <c r="T77"/>
    </row>
    <row r="78" spans="2:20" ht="23.1" customHeight="1" x14ac:dyDescent="0.25">
      <c r="B78" s="24" t="s">
        <v>118</v>
      </c>
      <c r="C78" s="49">
        <f>'Avg Week RUBAGA-KABUSU'!C78+'Avg Week KABUSU-RUBAGA'!C78</f>
        <v>60.5</v>
      </c>
      <c r="D78" s="49">
        <f>'Avg Week RUBAGA-KABUSU'!D78+'Avg Week KABUSU-RUBAGA'!D78</f>
        <v>3</v>
      </c>
      <c r="E78" s="49">
        <f>'Avg Week RUBAGA-KABUSU'!E78+'Avg Week KABUSU-RUBAGA'!E78</f>
        <v>6.5</v>
      </c>
      <c r="F78" s="49">
        <f>'Avg Week RUBAGA-KABUSU'!F78+'Avg Week KABUSU-RUBAGA'!F78</f>
        <v>10.5</v>
      </c>
      <c r="G78" s="49">
        <f>'Avg Week RUBAGA-KABUSU'!G78+'Avg Week KABUSU-RUBAGA'!G78</f>
        <v>0.5</v>
      </c>
      <c r="H78" s="49">
        <f>'Avg Week RUBAGA-KABUSU'!H78+'Avg Week KABUSU-RUBAGA'!H78</f>
        <v>2</v>
      </c>
      <c r="I78" s="49">
        <f>'Avg Week RUBAGA-KABUSU'!I78+'Avg Week KABUSU-RUBAGA'!I78</f>
        <v>1.5</v>
      </c>
      <c r="J78" s="49">
        <f>'Avg Week RUBAGA-KABUSU'!J78+'Avg Week KABUSU-RUBAGA'!J78</f>
        <v>0.5</v>
      </c>
      <c r="K78" s="49">
        <f>'Avg Week RUBAGA-KABUSU'!K78+'Avg Week KABUSU-RUBAGA'!K78</f>
        <v>2</v>
      </c>
      <c r="L78" s="49">
        <f>'Avg Week RUBAGA-KABUSU'!L78+'Avg Week KABUSU-RUBAGA'!L78</f>
        <v>0</v>
      </c>
      <c r="M78" s="49">
        <f>'Avg Week RUBAGA-KABUSU'!M78+'Avg Week KABUSU-RUBAGA'!M78</f>
        <v>118.5</v>
      </c>
      <c r="N78" s="49">
        <f>'Avg Week RUBAGA-KABUSU'!N78+'Avg Week KABUSU-RUBAGA'!N78</f>
        <v>0.5</v>
      </c>
      <c r="O78" s="49">
        <f>'Avg Week RUBAGA-KABUSU'!O78+'Avg Week KABUSU-RUBAGA'!O78</f>
        <v>87.5</v>
      </c>
      <c r="P78" s="49">
        <f>'Avg Week RUBAGA-KABUSU'!P78+'Avg Week KABUSU-RUBAGA'!P78</f>
        <v>206</v>
      </c>
      <c r="R78" s="8"/>
      <c r="T78"/>
    </row>
    <row r="79" spans="2:20" ht="23.1" customHeight="1" x14ac:dyDescent="0.25">
      <c r="B79" s="23" t="s">
        <v>119</v>
      </c>
      <c r="C79" s="49">
        <f>'Avg Week RUBAGA-KABUSU'!C79+'Avg Week KABUSU-RUBAGA'!C79</f>
        <v>48.5</v>
      </c>
      <c r="D79" s="49">
        <f>'Avg Week RUBAGA-KABUSU'!D79+'Avg Week KABUSU-RUBAGA'!D79</f>
        <v>1.5</v>
      </c>
      <c r="E79" s="49">
        <f>'Avg Week RUBAGA-KABUSU'!E79+'Avg Week KABUSU-RUBAGA'!E79</f>
        <v>3</v>
      </c>
      <c r="F79" s="49">
        <f>'Avg Week RUBAGA-KABUSU'!F79+'Avg Week KABUSU-RUBAGA'!F79</f>
        <v>5</v>
      </c>
      <c r="G79" s="49">
        <f>'Avg Week RUBAGA-KABUSU'!G79+'Avg Week KABUSU-RUBAGA'!G79</f>
        <v>1</v>
      </c>
      <c r="H79" s="49">
        <f>'Avg Week RUBAGA-KABUSU'!H79+'Avg Week KABUSU-RUBAGA'!H79</f>
        <v>0.5</v>
      </c>
      <c r="I79" s="49">
        <f>'Avg Week RUBAGA-KABUSU'!I79+'Avg Week KABUSU-RUBAGA'!I79</f>
        <v>0.5</v>
      </c>
      <c r="J79" s="49">
        <f>'Avg Week RUBAGA-KABUSU'!J79+'Avg Week KABUSU-RUBAGA'!J79</f>
        <v>0.5</v>
      </c>
      <c r="K79" s="49">
        <f>'Avg Week RUBAGA-KABUSU'!K79+'Avg Week KABUSU-RUBAGA'!K79</f>
        <v>0</v>
      </c>
      <c r="L79" s="49">
        <f>'Avg Week RUBAGA-KABUSU'!L79+'Avg Week KABUSU-RUBAGA'!L79</f>
        <v>0</v>
      </c>
      <c r="M79" s="49">
        <f>'Avg Week RUBAGA-KABUSU'!M79+'Avg Week KABUSU-RUBAGA'!M79</f>
        <v>114</v>
      </c>
      <c r="N79" s="49">
        <f>'Avg Week RUBAGA-KABUSU'!N79+'Avg Week KABUSU-RUBAGA'!N79</f>
        <v>0.5</v>
      </c>
      <c r="O79" s="49">
        <f>'Avg Week RUBAGA-KABUSU'!O79+'Avg Week KABUSU-RUBAGA'!O79</f>
        <v>61</v>
      </c>
      <c r="P79" s="49">
        <f>'Avg Week RUBAGA-KABUSU'!P79+'Avg Week KABUSU-RUBAGA'!P79</f>
        <v>175</v>
      </c>
      <c r="R79" s="8"/>
      <c r="T79"/>
    </row>
    <row r="80" spans="2:20" ht="23.1" customHeight="1" x14ac:dyDescent="0.25">
      <c r="B80" s="25" t="s">
        <v>120</v>
      </c>
      <c r="C80" s="49">
        <f>'Avg Week RUBAGA-KABUSU'!C80+'Avg Week KABUSU-RUBAGA'!C80</f>
        <v>48</v>
      </c>
      <c r="D80" s="49">
        <f>'Avg Week RUBAGA-KABUSU'!D80+'Avg Week KABUSU-RUBAGA'!D80</f>
        <v>2.5</v>
      </c>
      <c r="E80" s="49">
        <f>'Avg Week RUBAGA-KABUSU'!E80+'Avg Week KABUSU-RUBAGA'!E80</f>
        <v>1</v>
      </c>
      <c r="F80" s="49">
        <f>'Avg Week RUBAGA-KABUSU'!F80+'Avg Week KABUSU-RUBAGA'!F80</f>
        <v>3.5</v>
      </c>
      <c r="G80" s="49">
        <f>'Avg Week RUBAGA-KABUSU'!G80+'Avg Week KABUSU-RUBAGA'!G80</f>
        <v>1</v>
      </c>
      <c r="H80" s="49">
        <f>'Avg Week RUBAGA-KABUSU'!H80+'Avg Week KABUSU-RUBAGA'!H80</f>
        <v>0.5</v>
      </c>
      <c r="I80" s="49">
        <f>'Avg Week RUBAGA-KABUSU'!I80+'Avg Week KABUSU-RUBAGA'!I80</f>
        <v>2</v>
      </c>
      <c r="J80" s="49">
        <f>'Avg Week RUBAGA-KABUSU'!J80+'Avg Week KABUSU-RUBAGA'!J80</f>
        <v>1.5</v>
      </c>
      <c r="K80" s="49">
        <f>'Avg Week RUBAGA-KABUSU'!K80+'Avg Week KABUSU-RUBAGA'!K80</f>
        <v>2</v>
      </c>
      <c r="L80" s="49">
        <f>'Avg Week RUBAGA-KABUSU'!L80+'Avg Week KABUSU-RUBAGA'!L80</f>
        <v>0</v>
      </c>
      <c r="M80" s="49">
        <f>'Avg Week RUBAGA-KABUSU'!M80+'Avg Week KABUSU-RUBAGA'!M80</f>
        <v>101.5</v>
      </c>
      <c r="N80" s="49">
        <f>'Avg Week RUBAGA-KABUSU'!N80+'Avg Week KABUSU-RUBAGA'!N80</f>
        <v>0</v>
      </c>
      <c r="O80" s="49">
        <f>'Avg Week RUBAGA-KABUSU'!O80+'Avg Week KABUSU-RUBAGA'!O80</f>
        <v>62</v>
      </c>
      <c r="P80" s="49">
        <f>'Avg Week RUBAGA-KABUSU'!P80+'Avg Week KABUSU-RUBAGA'!P80</f>
        <v>163.5</v>
      </c>
      <c r="R80" s="8"/>
      <c r="T80"/>
    </row>
    <row r="81" spans="2:20" ht="23.1" customHeight="1" x14ac:dyDescent="0.25">
      <c r="B81" s="23" t="s">
        <v>121</v>
      </c>
      <c r="C81" s="49">
        <f>'Avg Week RUBAGA-KABUSU'!C81+'Avg Week KABUSU-RUBAGA'!C81</f>
        <v>32</v>
      </c>
      <c r="D81" s="49">
        <f>'Avg Week RUBAGA-KABUSU'!D81+'Avg Week KABUSU-RUBAGA'!D81</f>
        <v>2.5</v>
      </c>
      <c r="E81" s="49">
        <f>'Avg Week RUBAGA-KABUSU'!E81+'Avg Week KABUSU-RUBAGA'!E81</f>
        <v>3.5</v>
      </c>
      <c r="F81" s="49">
        <f>'Avg Week RUBAGA-KABUSU'!F81+'Avg Week KABUSU-RUBAGA'!F81</f>
        <v>3.5</v>
      </c>
      <c r="G81" s="49">
        <f>'Avg Week RUBAGA-KABUSU'!G81+'Avg Week KABUSU-RUBAGA'!G81</f>
        <v>0</v>
      </c>
      <c r="H81" s="49">
        <f>'Avg Week RUBAGA-KABUSU'!H81+'Avg Week KABUSU-RUBAGA'!H81</f>
        <v>1</v>
      </c>
      <c r="I81" s="49">
        <f>'Avg Week RUBAGA-KABUSU'!I81+'Avg Week KABUSU-RUBAGA'!I81</f>
        <v>3</v>
      </c>
      <c r="J81" s="49">
        <f>'Avg Week RUBAGA-KABUSU'!J81+'Avg Week KABUSU-RUBAGA'!J81</f>
        <v>0.5</v>
      </c>
      <c r="K81" s="49">
        <f>'Avg Week RUBAGA-KABUSU'!K81+'Avg Week KABUSU-RUBAGA'!K81</f>
        <v>1.5</v>
      </c>
      <c r="L81" s="49">
        <f>'Avg Week RUBAGA-KABUSU'!L81+'Avg Week KABUSU-RUBAGA'!L81</f>
        <v>0</v>
      </c>
      <c r="M81" s="49">
        <f>'Avg Week RUBAGA-KABUSU'!M81+'Avg Week KABUSU-RUBAGA'!M81</f>
        <v>75</v>
      </c>
      <c r="N81" s="49">
        <f>'Avg Week RUBAGA-KABUSU'!N81+'Avg Week KABUSU-RUBAGA'!N81</f>
        <v>0</v>
      </c>
      <c r="O81" s="49">
        <f>'Avg Week RUBAGA-KABUSU'!O81+'Avg Week KABUSU-RUBAGA'!O81</f>
        <v>47.5</v>
      </c>
      <c r="P81" s="49">
        <f>'Avg Week RUBAGA-KABUSU'!P81+'Avg Week KABUSU-RUBAGA'!P81</f>
        <v>122.5</v>
      </c>
      <c r="R81" s="8"/>
      <c r="T81"/>
    </row>
    <row r="82" spans="2:20" ht="23.1" customHeight="1" x14ac:dyDescent="0.25">
      <c r="B82" s="24" t="s">
        <v>122</v>
      </c>
      <c r="C82" s="49">
        <f>'Avg Week RUBAGA-KABUSU'!C82+'Avg Week KABUSU-RUBAGA'!C82</f>
        <v>31</v>
      </c>
      <c r="D82" s="49">
        <f>'Avg Week RUBAGA-KABUSU'!D82+'Avg Week KABUSU-RUBAGA'!D82</f>
        <v>5</v>
      </c>
      <c r="E82" s="49">
        <f>'Avg Week RUBAGA-KABUSU'!E82+'Avg Week KABUSU-RUBAGA'!E82</f>
        <v>1.5</v>
      </c>
      <c r="F82" s="49">
        <f>'Avg Week RUBAGA-KABUSU'!F82+'Avg Week KABUSU-RUBAGA'!F82</f>
        <v>1.5</v>
      </c>
      <c r="G82" s="49">
        <f>'Avg Week RUBAGA-KABUSU'!G82+'Avg Week KABUSU-RUBAGA'!G82</f>
        <v>0</v>
      </c>
      <c r="H82" s="49">
        <f>'Avg Week RUBAGA-KABUSU'!H82+'Avg Week KABUSU-RUBAGA'!H82</f>
        <v>0</v>
      </c>
      <c r="I82" s="49">
        <f>'Avg Week RUBAGA-KABUSU'!I82+'Avg Week KABUSU-RUBAGA'!I82</f>
        <v>2</v>
      </c>
      <c r="J82" s="49">
        <f>'Avg Week RUBAGA-KABUSU'!J82+'Avg Week KABUSU-RUBAGA'!J82</f>
        <v>2</v>
      </c>
      <c r="K82" s="49">
        <f>'Avg Week RUBAGA-KABUSU'!K82+'Avg Week KABUSU-RUBAGA'!K82</f>
        <v>0.5</v>
      </c>
      <c r="L82" s="49">
        <f>'Avg Week RUBAGA-KABUSU'!L82+'Avg Week KABUSU-RUBAGA'!L82</f>
        <v>0.5</v>
      </c>
      <c r="M82" s="49">
        <f>'Avg Week RUBAGA-KABUSU'!M82+'Avg Week KABUSU-RUBAGA'!M82</f>
        <v>90</v>
      </c>
      <c r="N82" s="49">
        <f>'Avg Week RUBAGA-KABUSU'!N82+'Avg Week KABUSU-RUBAGA'!N82</f>
        <v>0</v>
      </c>
      <c r="O82" s="49">
        <f>'Avg Week RUBAGA-KABUSU'!O82+'Avg Week KABUSU-RUBAGA'!O82</f>
        <v>44</v>
      </c>
      <c r="P82" s="49">
        <f>'Avg Week RUBAGA-KABUSU'!P82+'Avg Week KABUSU-RUBAGA'!P82</f>
        <v>134</v>
      </c>
      <c r="R82" s="8"/>
      <c r="T82"/>
    </row>
    <row r="83" spans="2:20" ht="23.1" customHeight="1" x14ac:dyDescent="0.25">
      <c r="B83" s="23" t="s">
        <v>123</v>
      </c>
      <c r="C83" s="49">
        <f>'Avg Week RUBAGA-KABUSU'!C83+'Avg Week KABUSU-RUBAGA'!C83</f>
        <v>33</v>
      </c>
      <c r="D83" s="49">
        <f>'Avg Week RUBAGA-KABUSU'!D83+'Avg Week KABUSU-RUBAGA'!D83</f>
        <v>2</v>
      </c>
      <c r="E83" s="49">
        <f>'Avg Week RUBAGA-KABUSU'!E83+'Avg Week KABUSU-RUBAGA'!E83</f>
        <v>1.5</v>
      </c>
      <c r="F83" s="49">
        <f>'Avg Week RUBAGA-KABUSU'!F83+'Avg Week KABUSU-RUBAGA'!F83</f>
        <v>1.5</v>
      </c>
      <c r="G83" s="49">
        <f>'Avg Week RUBAGA-KABUSU'!G83+'Avg Week KABUSU-RUBAGA'!G83</f>
        <v>0</v>
      </c>
      <c r="H83" s="49">
        <f>'Avg Week RUBAGA-KABUSU'!H83+'Avg Week KABUSU-RUBAGA'!H83</f>
        <v>0.5</v>
      </c>
      <c r="I83" s="49">
        <f>'Avg Week RUBAGA-KABUSU'!I83+'Avg Week KABUSU-RUBAGA'!I83</f>
        <v>1.5</v>
      </c>
      <c r="J83" s="49">
        <f>'Avg Week RUBAGA-KABUSU'!J83+'Avg Week KABUSU-RUBAGA'!J83</f>
        <v>1</v>
      </c>
      <c r="K83" s="49">
        <f>'Avg Week RUBAGA-KABUSU'!K83+'Avg Week KABUSU-RUBAGA'!K83</f>
        <v>0</v>
      </c>
      <c r="L83" s="49">
        <f>'Avg Week RUBAGA-KABUSU'!L83+'Avg Week KABUSU-RUBAGA'!L83</f>
        <v>0</v>
      </c>
      <c r="M83" s="49">
        <f>'Avg Week RUBAGA-KABUSU'!M83+'Avg Week KABUSU-RUBAGA'!M83</f>
        <v>87</v>
      </c>
      <c r="N83" s="49">
        <f>'Avg Week RUBAGA-KABUSU'!N83+'Avg Week KABUSU-RUBAGA'!N83</f>
        <v>0</v>
      </c>
      <c r="O83" s="49">
        <f>'Avg Week RUBAGA-KABUSU'!O83+'Avg Week KABUSU-RUBAGA'!O83</f>
        <v>41</v>
      </c>
      <c r="P83" s="49">
        <f>'Avg Week RUBAGA-KABUSU'!P83+'Avg Week KABUSU-RUBAGA'!P83</f>
        <v>128</v>
      </c>
      <c r="R83" s="8"/>
      <c r="T83"/>
    </row>
    <row r="84" spans="2:20" ht="23.1" customHeight="1" x14ac:dyDescent="0.25">
      <c r="B84" s="25" t="s">
        <v>124</v>
      </c>
      <c r="C84" s="49">
        <f>'Avg Week RUBAGA-KABUSU'!C84+'Avg Week KABUSU-RUBAGA'!C84</f>
        <v>29</v>
      </c>
      <c r="D84" s="49">
        <f>'Avg Week RUBAGA-KABUSU'!D84+'Avg Week KABUSU-RUBAGA'!D84</f>
        <v>0.5</v>
      </c>
      <c r="E84" s="49">
        <f>'Avg Week RUBAGA-KABUSU'!E84+'Avg Week KABUSU-RUBAGA'!E84</f>
        <v>0.5</v>
      </c>
      <c r="F84" s="49">
        <f>'Avg Week RUBAGA-KABUSU'!F84+'Avg Week KABUSU-RUBAGA'!F84</f>
        <v>2</v>
      </c>
      <c r="G84" s="49">
        <f>'Avg Week RUBAGA-KABUSU'!G84+'Avg Week KABUSU-RUBAGA'!G84</f>
        <v>0</v>
      </c>
      <c r="H84" s="49">
        <f>'Avg Week RUBAGA-KABUSU'!H84+'Avg Week KABUSU-RUBAGA'!H84</f>
        <v>0</v>
      </c>
      <c r="I84" s="49">
        <f>'Avg Week RUBAGA-KABUSU'!I84+'Avg Week KABUSU-RUBAGA'!I84</f>
        <v>1.5</v>
      </c>
      <c r="J84" s="49">
        <f>'Avg Week RUBAGA-KABUSU'!J84+'Avg Week KABUSU-RUBAGA'!J84</f>
        <v>1</v>
      </c>
      <c r="K84" s="49">
        <f>'Avg Week RUBAGA-KABUSU'!K84+'Avg Week KABUSU-RUBAGA'!K84</f>
        <v>0</v>
      </c>
      <c r="L84" s="49">
        <f>'Avg Week RUBAGA-KABUSU'!L84+'Avg Week KABUSU-RUBAGA'!L84</f>
        <v>0</v>
      </c>
      <c r="M84" s="49">
        <f>'Avg Week RUBAGA-KABUSU'!M84+'Avg Week KABUSU-RUBAGA'!M84</f>
        <v>53</v>
      </c>
      <c r="N84" s="49">
        <f>'Avg Week RUBAGA-KABUSU'!N84+'Avg Week KABUSU-RUBAGA'!N84</f>
        <v>0</v>
      </c>
      <c r="O84" s="49">
        <f>'Avg Week RUBAGA-KABUSU'!O84+'Avg Week KABUSU-RUBAGA'!O84</f>
        <v>34.5</v>
      </c>
      <c r="P84" s="49">
        <f>'Avg Week RUBAGA-KABUSU'!P84+'Avg Week KABUSU-RUBAGA'!P84</f>
        <v>87.5</v>
      </c>
      <c r="R84" s="8"/>
      <c r="T84"/>
    </row>
    <row r="85" spans="2:20" ht="23.1" customHeight="1" x14ac:dyDescent="0.25">
      <c r="B85" s="23" t="s">
        <v>125</v>
      </c>
      <c r="C85" s="49">
        <f>'Avg Week RUBAGA-KABUSU'!C85+'Avg Week KABUSU-RUBAGA'!C85</f>
        <v>19.5</v>
      </c>
      <c r="D85" s="49">
        <f>'Avg Week RUBAGA-KABUSU'!D85+'Avg Week KABUSU-RUBAGA'!D85</f>
        <v>0.5</v>
      </c>
      <c r="E85" s="49">
        <f>'Avg Week RUBAGA-KABUSU'!E85+'Avg Week KABUSU-RUBAGA'!E85</f>
        <v>1</v>
      </c>
      <c r="F85" s="49">
        <f>'Avg Week RUBAGA-KABUSU'!F85+'Avg Week KABUSU-RUBAGA'!F85</f>
        <v>1</v>
      </c>
      <c r="G85" s="49">
        <f>'Avg Week RUBAGA-KABUSU'!G85+'Avg Week KABUSU-RUBAGA'!G85</f>
        <v>0</v>
      </c>
      <c r="H85" s="49">
        <f>'Avg Week RUBAGA-KABUSU'!H85+'Avg Week KABUSU-RUBAGA'!H85</f>
        <v>0.5</v>
      </c>
      <c r="I85" s="49">
        <f>'Avg Week RUBAGA-KABUSU'!I85+'Avg Week KABUSU-RUBAGA'!I85</f>
        <v>1.5</v>
      </c>
      <c r="J85" s="49">
        <f>'Avg Week RUBAGA-KABUSU'!J85+'Avg Week KABUSU-RUBAGA'!J85</f>
        <v>0.5</v>
      </c>
      <c r="K85" s="49">
        <f>'Avg Week RUBAGA-KABUSU'!K85+'Avg Week KABUSU-RUBAGA'!K85</f>
        <v>0</v>
      </c>
      <c r="L85" s="49">
        <f>'Avg Week RUBAGA-KABUSU'!L85+'Avg Week KABUSU-RUBAGA'!L85</f>
        <v>0</v>
      </c>
      <c r="M85" s="49">
        <f>'Avg Week RUBAGA-KABUSU'!M85+'Avg Week KABUSU-RUBAGA'!M85</f>
        <v>44</v>
      </c>
      <c r="N85" s="49">
        <f>'Avg Week RUBAGA-KABUSU'!N85+'Avg Week KABUSU-RUBAGA'!N85</f>
        <v>0</v>
      </c>
      <c r="O85" s="49">
        <f>'Avg Week RUBAGA-KABUSU'!O85+'Avg Week KABUSU-RUBAGA'!O85</f>
        <v>24.5</v>
      </c>
      <c r="P85" s="49">
        <f>'Avg Week RUBAGA-KABUSU'!P85+'Avg Week KABUSU-RUBAGA'!P85</f>
        <v>68.5</v>
      </c>
      <c r="R85" s="8"/>
      <c r="T85"/>
    </row>
    <row r="86" spans="2:20" ht="23.1" customHeight="1" x14ac:dyDescent="0.25">
      <c r="B86" s="24" t="s">
        <v>126</v>
      </c>
      <c r="C86" s="49">
        <f>'Avg Week RUBAGA-KABUSU'!C86+'Avg Week KABUSU-RUBAGA'!C86</f>
        <v>21</v>
      </c>
      <c r="D86" s="49">
        <f>'Avg Week RUBAGA-KABUSU'!D86+'Avg Week KABUSU-RUBAGA'!D86</f>
        <v>0.5</v>
      </c>
      <c r="E86" s="49">
        <f>'Avg Week RUBAGA-KABUSU'!E86+'Avg Week KABUSU-RUBAGA'!E86</f>
        <v>1</v>
      </c>
      <c r="F86" s="49">
        <f>'Avg Week RUBAGA-KABUSU'!F86+'Avg Week KABUSU-RUBAGA'!F86</f>
        <v>0.5</v>
      </c>
      <c r="G86" s="49">
        <f>'Avg Week RUBAGA-KABUSU'!G86+'Avg Week KABUSU-RUBAGA'!G86</f>
        <v>0.5</v>
      </c>
      <c r="H86" s="49">
        <f>'Avg Week RUBAGA-KABUSU'!H86+'Avg Week KABUSU-RUBAGA'!H86</f>
        <v>1</v>
      </c>
      <c r="I86" s="49">
        <f>'Avg Week RUBAGA-KABUSU'!I86+'Avg Week KABUSU-RUBAGA'!I86</f>
        <v>1</v>
      </c>
      <c r="J86" s="49">
        <f>'Avg Week RUBAGA-KABUSU'!J86+'Avg Week KABUSU-RUBAGA'!J86</f>
        <v>1.5</v>
      </c>
      <c r="K86" s="49">
        <f>'Avg Week RUBAGA-KABUSU'!K86+'Avg Week KABUSU-RUBAGA'!K86</f>
        <v>1</v>
      </c>
      <c r="L86" s="49">
        <f>'Avg Week RUBAGA-KABUSU'!L86+'Avg Week KABUSU-RUBAGA'!L86</f>
        <v>0</v>
      </c>
      <c r="M86" s="49">
        <f>'Avg Week RUBAGA-KABUSU'!M86+'Avg Week KABUSU-RUBAGA'!M86</f>
        <v>48</v>
      </c>
      <c r="N86" s="49">
        <f>'Avg Week RUBAGA-KABUSU'!N86+'Avg Week KABUSU-RUBAGA'!N86</f>
        <v>0.5</v>
      </c>
      <c r="O86" s="49">
        <f>'Avg Week RUBAGA-KABUSU'!O86+'Avg Week KABUSU-RUBAGA'!O86</f>
        <v>28.5</v>
      </c>
      <c r="P86" s="49">
        <f>'Avg Week RUBAGA-KABUSU'!P86+'Avg Week KABUSU-RUBAGA'!P86</f>
        <v>76.5</v>
      </c>
      <c r="R86" s="8"/>
      <c r="T86"/>
    </row>
    <row r="87" spans="2:20" ht="23.1" customHeight="1" x14ac:dyDescent="0.25">
      <c r="B87" s="23" t="s">
        <v>127</v>
      </c>
      <c r="C87" s="49">
        <f>'Avg Week RUBAGA-KABUSU'!C87+'Avg Week KABUSU-RUBAGA'!C87</f>
        <v>25.5</v>
      </c>
      <c r="D87" s="49">
        <f>'Avg Week RUBAGA-KABUSU'!D87+'Avg Week KABUSU-RUBAGA'!D87</f>
        <v>3.5</v>
      </c>
      <c r="E87" s="49">
        <f>'Avg Week RUBAGA-KABUSU'!E87+'Avg Week KABUSU-RUBAGA'!E87</f>
        <v>1</v>
      </c>
      <c r="F87" s="49">
        <f>'Avg Week RUBAGA-KABUSU'!F87+'Avg Week KABUSU-RUBAGA'!F87</f>
        <v>2</v>
      </c>
      <c r="G87" s="49">
        <f>'Avg Week RUBAGA-KABUSU'!G87+'Avg Week KABUSU-RUBAGA'!G87</f>
        <v>0</v>
      </c>
      <c r="H87" s="49">
        <f>'Avg Week RUBAGA-KABUSU'!H87+'Avg Week KABUSU-RUBAGA'!H87</f>
        <v>0</v>
      </c>
      <c r="I87" s="49">
        <f>'Avg Week RUBAGA-KABUSU'!I87+'Avg Week KABUSU-RUBAGA'!I87</f>
        <v>0.5</v>
      </c>
      <c r="J87" s="49">
        <f>'Avg Week RUBAGA-KABUSU'!J87+'Avg Week KABUSU-RUBAGA'!J87</f>
        <v>0</v>
      </c>
      <c r="K87" s="49">
        <f>'Avg Week RUBAGA-KABUSU'!K87+'Avg Week KABUSU-RUBAGA'!K87</f>
        <v>0</v>
      </c>
      <c r="L87" s="49">
        <f>'Avg Week RUBAGA-KABUSU'!L87+'Avg Week KABUSU-RUBAGA'!L87</f>
        <v>0</v>
      </c>
      <c r="M87" s="49">
        <f>'Avg Week RUBAGA-KABUSU'!M87+'Avg Week KABUSU-RUBAGA'!M87</f>
        <v>55</v>
      </c>
      <c r="N87" s="49">
        <f>'Avg Week RUBAGA-KABUSU'!N87+'Avg Week KABUSU-RUBAGA'!N87</f>
        <v>0</v>
      </c>
      <c r="O87" s="49">
        <f>'Avg Week RUBAGA-KABUSU'!O87+'Avg Week KABUSU-RUBAGA'!O87</f>
        <v>32.5</v>
      </c>
      <c r="P87" s="49">
        <f>'Avg Week RUBAGA-KABUSU'!P87+'Avg Week KABUSU-RUBAGA'!P87</f>
        <v>87.5</v>
      </c>
      <c r="R87" s="8"/>
      <c r="T87"/>
    </row>
    <row r="88" spans="2:20" ht="23.1" customHeight="1" x14ac:dyDescent="0.25">
      <c r="B88" s="25" t="s">
        <v>128</v>
      </c>
      <c r="C88" s="49">
        <f>'Avg Week RUBAGA-KABUSU'!C88+'Avg Week KABUSU-RUBAGA'!C88</f>
        <v>22</v>
      </c>
      <c r="D88" s="49">
        <f>'Avg Week RUBAGA-KABUSU'!D88+'Avg Week KABUSU-RUBAGA'!D88</f>
        <v>3</v>
      </c>
      <c r="E88" s="49">
        <f>'Avg Week RUBAGA-KABUSU'!E88+'Avg Week KABUSU-RUBAGA'!E88</f>
        <v>0.5</v>
      </c>
      <c r="F88" s="49">
        <f>'Avg Week RUBAGA-KABUSU'!F88+'Avg Week KABUSU-RUBAGA'!F88</f>
        <v>1.5</v>
      </c>
      <c r="G88" s="49">
        <f>'Avg Week RUBAGA-KABUSU'!G88+'Avg Week KABUSU-RUBAGA'!G88</f>
        <v>0</v>
      </c>
      <c r="H88" s="49">
        <f>'Avg Week RUBAGA-KABUSU'!H88+'Avg Week KABUSU-RUBAGA'!H88</f>
        <v>0.5</v>
      </c>
      <c r="I88" s="49">
        <f>'Avg Week RUBAGA-KABUSU'!I88+'Avg Week KABUSU-RUBAGA'!I88</f>
        <v>1.5</v>
      </c>
      <c r="J88" s="49">
        <f>'Avg Week RUBAGA-KABUSU'!J88+'Avg Week KABUSU-RUBAGA'!J88</f>
        <v>1</v>
      </c>
      <c r="K88" s="49">
        <f>'Avg Week RUBAGA-KABUSU'!K88+'Avg Week KABUSU-RUBAGA'!K88</f>
        <v>0</v>
      </c>
      <c r="L88" s="49">
        <f>'Avg Week RUBAGA-KABUSU'!L88+'Avg Week KABUSU-RUBAGA'!L88</f>
        <v>0.5</v>
      </c>
      <c r="M88" s="49">
        <f>'Avg Week RUBAGA-KABUSU'!M88+'Avg Week KABUSU-RUBAGA'!M88</f>
        <v>46.5</v>
      </c>
      <c r="N88" s="49">
        <f>'Avg Week RUBAGA-KABUSU'!N88+'Avg Week KABUSU-RUBAGA'!N88</f>
        <v>0</v>
      </c>
      <c r="O88" s="49">
        <f>'Avg Week RUBAGA-KABUSU'!O88+'Avg Week KABUSU-RUBAGA'!O88</f>
        <v>30.5</v>
      </c>
      <c r="P88" s="49">
        <f>'Avg Week RUBAGA-KABUSU'!P88+'Avg Week KABUSU-RUBAGA'!P88</f>
        <v>77</v>
      </c>
      <c r="R88" s="8"/>
      <c r="T88"/>
    </row>
    <row r="89" spans="2:20" ht="23.1" customHeight="1" x14ac:dyDescent="0.25">
      <c r="B89" s="23" t="s">
        <v>129</v>
      </c>
      <c r="C89" s="49">
        <f>'Avg Week RUBAGA-KABUSU'!C89+'Avg Week KABUSU-RUBAGA'!C89</f>
        <v>24.5</v>
      </c>
      <c r="D89" s="49">
        <f>'Avg Week RUBAGA-KABUSU'!D89+'Avg Week KABUSU-RUBAGA'!D89</f>
        <v>2.5</v>
      </c>
      <c r="E89" s="49">
        <f>'Avg Week RUBAGA-KABUSU'!E89+'Avg Week KABUSU-RUBAGA'!E89</f>
        <v>1.5</v>
      </c>
      <c r="F89" s="49">
        <f>'Avg Week RUBAGA-KABUSU'!F89+'Avg Week KABUSU-RUBAGA'!F89</f>
        <v>0</v>
      </c>
      <c r="G89" s="49">
        <f>'Avg Week RUBAGA-KABUSU'!G89+'Avg Week KABUSU-RUBAGA'!G89</f>
        <v>0</v>
      </c>
      <c r="H89" s="49">
        <f>'Avg Week RUBAGA-KABUSU'!H89+'Avg Week KABUSU-RUBAGA'!H89</f>
        <v>0</v>
      </c>
      <c r="I89" s="49">
        <f>'Avg Week RUBAGA-KABUSU'!I89+'Avg Week KABUSU-RUBAGA'!I89</f>
        <v>0.5</v>
      </c>
      <c r="J89" s="49">
        <f>'Avg Week RUBAGA-KABUSU'!J89+'Avg Week KABUSU-RUBAGA'!J89</f>
        <v>0.5</v>
      </c>
      <c r="K89" s="49">
        <f>'Avg Week RUBAGA-KABUSU'!K89+'Avg Week KABUSU-RUBAGA'!K89</f>
        <v>1.5</v>
      </c>
      <c r="L89" s="49">
        <f>'Avg Week RUBAGA-KABUSU'!L89+'Avg Week KABUSU-RUBAGA'!L89</f>
        <v>0</v>
      </c>
      <c r="M89" s="49">
        <f>'Avg Week RUBAGA-KABUSU'!M89+'Avg Week KABUSU-RUBAGA'!M89</f>
        <v>48</v>
      </c>
      <c r="N89" s="49">
        <f>'Avg Week RUBAGA-KABUSU'!N89+'Avg Week KABUSU-RUBAGA'!N89</f>
        <v>0</v>
      </c>
      <c r="O89" s="49">
        <f>'Avg Week RUBAGA-KABUSU'!O89+'Avg Week KABUSU-RUBAGA'!O89</f>
        <v>31</v>
      </c>
      <c r="P89" s="49">
        <f>'Avg Week RUBAGA-KABUSU'!P89+'Avg Week KABUSU-RUBAGA'!P89</f>
        <v>79</v>
      </c>
      <c r="R89" s="8"/>
      <c r="T89"/>
    </row>
    <row r="90" spans="2:20" ht="23.1" customHeight="1" x14ac:dyDescent="0.25">
      <c r="B90" s="24" t="s">
        <v>130</v>
      </c>
      <c r="C90" s="49">
        <f>'Avg Week RUBAGA-KABUSU'!C90+'Avg Week KABUSU-RUBAGA'!C90</f>
        <v>77.5</v>
      </c>
      <c r="D90" s="49">
        <f>'Avg Week RUBAGA-KABUSU'!D90+'Avg Week KABUSU-RUBAGA'!D90</f>
        <v>0</v>
      </c>
      <c r="E90" s="49">
        <f>'Avg Week RUBAGA-KABUSU'!E90+'Avg Week KABUSU-RUBAGA'!E90</f>
        <v>0.5</v>
      </c>
      <c r="F90" s="49">
        <f>'Avg Week RUBAGA-KABUSU'!F90+'Avg Week KABUSU-RUBAGA'!F90</f>
        <v>3</v>
      </c>
      <c r="G90" s="49">
        <f>'Avg Week RUBAGA-KABUSU'!G90+'Avg Week KABUSU-RUBAGA'!G90</f>
        <v>0</v>
      </c>
      <c r="H90" s="49">
        <f>'Avg Week RUBAGA-KABUSU'!H90+'Avg Week KABUSU-RUBAGA'!H90</f>
        <v>0</v>
      </c>
      <c r="I90" s="49">
        <f>'Avg Week RUBAGA-KABUSU'!I90+'Avg Week KABUSU-RUBAGA'!I90</f>
        <v>2.5</v>
      </c>
      <c r="J90" s="49">
        <f>'Avg Week RUBAGA-KABUSU'!J90+'Avg Week KABUSU-RUBAGA'!J90</f>
        <v>1</v>
      </c>
      <c r="K90" s="49">
        <f>'Avg Week RUBAGA-KABUSU'!K90+'Avg Week KABUSU-RUBAGA'!K90</f>
        <v>0</v>
      </c>
      <c r="L90" s="49">
        <f>'Avg Week RUBAGA-KABUSU'!L90+'Avg Week KABUSU-RUBAGA'!L90</f>
        <v>0</v>
      </c>
      <c r="M90" s="49">
        <f>'Avg Week RUBAGA-KABUSU'!M90+'Avg Week KABUSU-RUBAGA'!M90</f>
        <v>54</v>
      </c>
      <c r="N90" s="49">
        <f>'Avg Week RUBAGA-KABUSU'!N90+'Avg Week KABUSU-RUBAGA'!N90</f>
        <v>0</v>
      </c>
      <c r="O90" s="49">
        <f>'Avg Week RUBAGA-KABUSU'!O90+'Avg Week KABUSU-RUBAGA'!O90</f>
        <v>84.5</v>
      </c>
      <c r="P90" s="49">
        <f>'Avg Week RUBAGA-KABUSU'!P90+'Avg Week KABUSU-RUBAGA'!P90</f>
        <v>138.5</v>
      </c>
      <c r="R90" s="8"/>
      <c r="T90"/>
    </row>
    <row r="91" spans="2:20" ht="23.1" customHeight="1" x14ac:dyDescent="0.25">
      <c r="B91" s="23" t="s">
        <v>131</v>
      </c>
      <c r="C91" s="49">
        <f>'Avg Week RUBAGA-KABUSU'!C91+'Avg Week KABUSU-RUBAGA'!C91</f>
        <v>29</v>
      </c>
      <c r="D91" s="49">
        <f>'Avg Week RUBAGA-KABUSU'!D91+'Avg Week KABUSU-RUBAGA'!D91</f>
        <v>1</v>
      </c>
      <c r="E91" s="49">
        <f>'Avg Week RUBAGA-KABUSU'!E91+'Avg Week KABUSU-RUBAGA'!E91</f>
        <v>0.5</v>
      </c>
      <c r="F91" s="49">
        <f>'Avg Week RUBAGA-KABUSU'!F91+'Avg Week KABUSU-RUBAGA'!F91</f>
        <v>7</v>
      </c>
      <c r="G91" s="49">
        <f>'Avg Week RUBAGA-KABUSU'!G91+'Avg Week KABUSU-RUBAGA'!G91</f>
        <v>0.5</v>
      </c>
      <c r="H91" s="49">
        <f>'Avg Week RUBAGA-KABUSU'!H91+'Avg Week KABUSU-RUBAGA'!H91</f>
        <v>0.5</v>
      </c>
      <c r="I91" s="49">
        <f>'Avg Week RUBAGA-KABUSU'!I91+'Avg Week KABUSU-RUBAGA'!I91</f>
        <v>0.5</v>
      </c>
      <c r="J91" s="49">
        <f>'Avg Week RUBAGA-KABUSU'!J91+'Avg Week KABUSU-RUBAGA'!J91</f>
        <v>1.5</v>
      </c>
      <c r="K91" s="49">
        <f>'Avg Week RUBAGA-KABUSU'!K91+'Avg Week KABUSU-RUBAGA'!K91</f>
        <v>0</v>
      </c>
      <c r="L91" s="49">
        <f>'Avg Week RUBAGA-KABUSU'!L91+'Avg Week KABUSU-RUBAGA'!L91</f>
        <v>0</v>
      </c>
      <c r="M91" s="49">
        <f>'Avg Week RUBAGA-KABUSU'!M91+'Avg Week KABUSU-RUBAGA'!M91</f>
        <v>55.5</v>
      </c>
      <c r="N91" s="49">
        <f>'Avg Week RUBAGA-KABUSU'!N91+'Avg Week KABUSU-RUBAGA'!N91</f>
        <v>0</v>
      </c>
      <c r="O91" s="49">
        <f>'Avg Week RUBAGA-KABUSU'!O91+'Avg Week KABUSU-RUBAGA'!O91</f>
        <v>40.5</v>
      </c>
      <c r="P91" s="49">
        <f>'Avg Week RUBAGA-KABUSU'!P91+'Avg Week KABUSU-RUBAGA'!P91</f>
        <v>96</v>
      </c>
      <c r="R91" s="8"/>
      <c r="T91"/>
    </row>
    <row r="92" spans="2:20" ht="23.1" customHeight="1" x14ac:dyDescent="0.25">
      <c r="B92" s="25" t="s">
        <v>132</v>
      </c>
      <c r="C92" s="49">
        <f>'Avg Week RUBAGA-KABUSU'!C92+'Avg Week KABUSU-RUBAGA'!C92</f>
        <v>25</v>
      </c>
      <c r="D92" s="49">
        <f>'Avg Week RUBAGA-KABUSU'!D92+'Avg Week KABUSU-RUBAGA'!D92</f>
        <v>2</v>
      </c>
      <c r="E92" s="49">
        <f>'Avg Week RUBAGA-KABUSU'!E92+'Avg Week KABUSU-RUBAGA'!E92</f>
        <v>1</v>
      </c>
      <c r="F92" s="49">
        <f>'Avg Week RUBAGA-KABUSU'!F92+'Avg Week KABUSU-RUBAGA'!F92</f>
        <v>4</v>
      </c>
      <c r="G92" s="49">
        <f>'Avg Week RUBAGA-KABUSU'!G92+'Avg Week KABUSU-RUBAGA'!G92</f>
        <v>0</v>
      </c>
      <c r="H92" s="49">
        <f>'Avg Week RUBAGA-KABUSU'!H92+'Avg Week KABUSU-RUBAGA'!H92</f>
        <v>1</v>
      </c>
      <c r="I92" s="49">
        <f>'Avg Week RUBAGA-KABUSU'!I92+'Avg Week KABUSU-RUBAGA'!I92</f>
        <v>1</v>
      </c>
      <c r="J92" s="49">
        <f>'Avg Week RUBAGA-KABUSU'!J92+'Avg Week KABUSU-RUBAGA'!J92</f>
        <v>0.5</v>
      </c>
      <c r="K92" s="49">
        <f>'Avg Week RUBAGA-KABUSU'!K92+'Avg Week KABUSU-RUBAGA'!K92</f>
        <v>0</v>
      </c>
      <c r="L92" s="49">
        <f>'Avg Week RUBAGA-KABUSU'!L92+'Avg Week KABUSU-RUBAGA'!L92</f>
        <v>0</v>
      </c>
      <c r="M92" s="49">
        <f>'Avg Week RUBAGA-KABUSU'!M92+'Avg Week KABUSU-RUBAGA'!M92</f>
        <v>34.5</v>
      </c>
      <c r="N92" s="49">
        <f>'Avg Week RUBAGA-KABUSU'!N92+'Avg Week KABUSU-RUBAGA'!N92</f>
        <v>0</v>
      </c>
      <c r="O92" s="49">
        <f>'Avg Week RUBAGA-KABUSU'!O92+'Avg Week KABUSU-RUBAGA'!O92</f>
        <v>34.5</v>
      </c>
      <c r="P92" s="49">
        <f>'Avg Week RUBAGA-KABUSU'!P92+'Avg Week KABUSU-RUBAGA'!P92</f>
        <v>69</v>
      </c>
      <c r="R92" s="8"/>
      <c r="T92"/>
    </row>
    <row r="93" spans="2:20" ht="23.1" customHeight="1" x14ac:dyDescent="0.25">
      <c r="B93" s="23" t="s">
        <v>133</v>
      </c>
      <c r="C93" s="49">
        <f>'Avg Week RUBAGA-KABUSU'!C93+'Avg Week KABUSU-RUBAGA'!C93</f>
        <v>17</v>
      </c>
      <c r="D93" s="49">
        <f>'Avg Week RUBAGA-KABUSU'!D93+'Avg Week KABUSU-RUBAGA'!D93</f>
        <v>1</v>
      </c>
      <c r="E93" s="49">
        <f>'Avg Week RUBAGA-KABUSU'!E93+'Avg Week KABUSU-RUBAGA'!E93</f>
        <v>0</v>
      </c>
      <c r="F93" s="49">
        <f>'Avg Week RUBAGA-KABUSU'!F93+'Avg Week KABUSU-RUBAGA'!F93</f>
        <v>4</v>
      </c>
      <c r="G93" s="49">
        <f>'Avg Week RUBAGA-KABUSU'!G93+'Avg Week KABUSU-RUBAGA'!G93</f>
        <v>0</v>
      </c>
      <c r="H93" s="49">
        <f>'Avg Week RUBAGA-KABUSU'!H93+'Avg Week KABUSU-RUBAGA'!H93</f>
        <v>0</v>
      </c>
      <c r="I93" s="49">
        <f>'Avg Week RUBAGA-KABUSU'!I93+'Avg Week KABUSU-RUBAGA'!I93</f>
        <v>1</v>
      </c>
      <c r="J93" s="49">
        <f>'Avg Week RUBAGA-KABUSU'!J93+'Avg Week KABUSU-RUBAGA'!J93</f>
        <v>1.5</v>
      </c>
      <c r="K93" s="49">
        <f>'Avg Week RUBAGA-KABUSU'!K93+'Avg Week KABUSU-RUBAGA'!K93</f>
        <v>0</v>
      </c>
      <c r="L93" s="49">
        <f>'Avg Week RUBAGA-KABUSU'!L93+'Avg Week KABUSU-RUBAGA'!L93</f>
        <v>0</v>
      </c>
      <c r="M93" s="49">
        <f>'Avg Week RUBAGA-KABUSU'!M93+'Avg Week KABUSU-RUBAGA'!M93</f>
        <v>37.5</v>
      </c>
      <c r="N93" s="49">
        <f>'Avg Week RUBAGA-KABUSU'!N93+'Avg Week KABUSU-RUBAGA'!N93</f>
        <v>0</v>
      </c>
      <c r="O93" s="49">
        <f>'Avg Week RUBAGA-KABUSU'!O93+'Avg Week KABUSU-RUBAGA'!O93</f>
        <v>24.5</v>
      </c>
      <c r="P93" s="49">
        <f>'Avg Week RUBAGA-KABUSU'!P93+'Avg Week KABUSU-RUBAGA'!P93</f>
        <v>62</v>
      </c>
      <c r="R93" s="8"/>
      <c r="T93"/>
    </row>
    <row r="94" spans="2:20" ht="23.1" customHeight="1" x14ac:dyDescent="0.25">
      <c r="B94" s="24" t="s">
        <v>134</v>
      </c>
      <c r="C94" s="49">
        <f>'Avg Week RUBAGA-KABUSU'!C94+'Avg Week KABUSU-RUBAGA'!C94</f>
        <v>21</v>
      </c>
      <c r="D94" s="49">
        <f>'Avg Week RUBAGA-KABUSU'!D94+'Avg Week KABUSU-RUBAGA'!D94</f>
        <v>1.5</v>
      </c>
      <c r="E94" s="49">
        <f>'Avg Week RUBAGA-KABUSU'!E94+'Avg Week KABUSU-RUBAGA'!E94</f>
        <v>1</v>
      </c>
      <c r="F94" s="49">
        <f>'Avg Week RUBAGA-KABUSU'!F94+'Avg Week KABUSU-RUBAGA'!F94</f>
        <v>4.5</v>
      </c>
      <c r="G94" s="49">
        <f>'Avg Week RUBAGA-KABUSU'!G94+'Avg Week KABUSU-RUBAGA'!G94</f>
        <v>0</v>
      </c>
      <c r="H94" s="49">
        <f>'Avg Week RUBAGA-KABUSU'!H94+'Avg Week KABUSU-RUBAGA'!H94</f>
        <v>0.5</v>
      </c>
      <c r="I94" s="49">
        <f>'Avg Week RUBAGA-KABUSU'!I94+'Avg Week KABUSU-RUBAGA'!I94</f>
        <v>1</v>
      </c>
      <c r="J94" s="49">
        <f>'Avg Week RUBAGA-KABUSU'!J94+'Avg Week KABUSU-RUBAGA'!J94</f>
        <v>2.5</v>
      </c>
      <c r="K94" s="49">
        <f>'Avg Week RUBAGA-KABUSU'!K94+'Avg Week KABUSU-RUBAGA'!K94</f>
        <v>0</v>
      </c>
      <c r="L94" s="49">
        <f>'Avg Week RUBAGA-KABUSU'!L94+'Avg Week KABUSU-RUBAGA'!L94</f>
        <v>0</v>
      </c>
      <c r="M94" s="49">
        <f>'Avg Week RUBAGA-KABUSU'!M94+'Avg Week KABUSU-RUBAGA'!M94</f>
        <v>64</v>
      </c>
      <c r="N94" s="49">
        <f>'Avg Week RUBAGA-KABUSU'!N94+'Avg Week KABUSU-RUBAGA'!N94</f>
        <v>0</v>
      </c>
      <c r="O94" s="49">
        <f>'Avg Week RUBAGA-KABUSU'!O94+'Avg Week KABUSU-RUBAGA'!O94</f>
        <v>32</v>
      </c>
      <c r="P94" s="49">
        <f>'Avg Week RUBAGA-KABUSU'!P94+'Avg Week KABUSU-RUBAGA'!P94</f>
        <v>96</v>
      </c>
      <c r="R94" s="8"/>
      <c r="T94"/>
    </row>
    <row r="95" spans="2:20" ht="23.1" customHeight="1" x14ac:dyDescent="0.25">
      <c r="B95" s="23" t="s">
        <v>135</v>
      </c>
      <c r="C95" s="49">
        <f>'Avg Week RUBAGA-KABUSU'!C95+'Avg Week KABUSU-RUBAGA'!C95</f>
        <v>11</v>
      </c>
      <c r="D95" s="49">
        <f>'Avg Week RUBAGA-KABUSU'!D95+'Avg Week KABUSU-RUBAGA'!D95</f>
        <v>2</v>
      </c>
      <c r="E95" s="49">
        <f>'Avg Week RUBAGA-KABUSU'!E95+'Avg Week KABUSU-RUBAGA'!E95</f>
        <v>0</v>
      </c>
      <c r="F95" s="49">
        <f>'Avg Week RUBAGA-KABUSU'!F95+'Avg Week KABUSU-RUBAGA'!F95</f>
        <v>2.5</v>
      </c>
      <c r="G95" s="49">
        <f>'Avg Week RUBAGA-KABUSU'!G95+'Avg Week KABUSU-RUBAGA'!G95</f>
        <v>0.5</v>
      </c>
      <c r="H95" s="49">
        <f>'Avg Week RUBAGA-KABUSU'!H95+'Avg Week KABUSU-RUBAGA'!H95</f>
        <v>1</v>
      </c>
      <c r="I95" s="49">
        <f>'Avg Week RUBAGA-KABUSU'!I95+'Avg Week KABUSU-RUBAGA'!I95</f>
        <v>2</v>
      </c>
      <c r="J95" s="49">
        <f>'Avg Week RUBAGA-KABUSU'!J95+'Avg Week KABUSU-RUBAGA'!J95</f>
        <v>0</v>
      </c>
      <c r="K95" s="49">
        <f>'Avg Week RUBAGA-KABUSU'!K95+'Avg Week KABUSU-RUBAGA'!K95</f>
        <v>0.5</v>
      </c>
      <c r="L95" s="49">
        <f>'Avg Week RUBAGA-KABUSU'!L95+'Avg Week KABUSU-RUBAGA'!L95</f>
        <v>0</v>
      </c>
      <c r="M95" s="49">
        <f>'Avg Week RUBAGA-KABUSU'!M95+'Avg Week KABUSU-RUBAGA'!M95</f>
        <v>43.5</v>
      </c>
      <c r="N95" s="49">
        <f>'Avg Week RUBAGA-KABUSU'!N95+'Avg Week KABUSU-RUBAGA'!N95</f>
        <v>0</v>
      </c>
      <c r="O95" s="49">
        <f>'Avg Week RUBAGA-KABUSU'!O95+'Avg Week KABUSU-RUBAGA'!O95</f>
        <v>19.5</v>
      </c>
      <c r="P95" s="49">
        <f>'Avg Week RUBAGA-KABUSU'!P95+'Avg Week KABUSU-RUBAGA'!P95</f>
        <v>63</v>
      </c>
      <c r="R95" s="8"/>
      <c r="T95"/>
    </row>
    <row r="96" spans="2:20" ht="23.1" customHeight="1" x14ac:dyDescent="0.25">
      <c r="B96" s="25" t="s">
        <v>136</v>
      </c>
      <c r="C96" s="49">
        <f>'Avg Week RUBAGA-KABUSU'!C96+'Avg Week KABUSU-RUBAGA'!C96</f>
        <v>16.5</v>
      </c>
      <c r="D96" s="49">
        <f>'Avg Week RUBAGA-KABUSU'!D96+'Avg Week KABUSU-RUBAGA'!D96</f>
        <v>0.5</v>
      </c>
      <c r="E96" s="49">
        <f>'Avg Week RUBAGA-KABUSU'!E96+'Avg Week KABUSU-RUBAGA'!E96</f>
        <v>0.5</v>
      </c>
      <c r="F96" s="49">
        <f>'Avg Week RUBAGA-KABUSU'!F96+'Avg Week KABUSU-RUBAGA'!F96</f>
        <v>4</v>
      </c>
      <c r="G96" s="49">
        <f>'Avg Week RUBAGA-KABUSU'!G96+'Avg Week KABUSU-RUBAGA'!G96</f>
        <v>0</v>
      </c>
      <c r="H96" s="49">
        <f>'Avg Week RUBAGA-KABUSU'!H96+'Avg Week KABUSU-RUBAGA'!H96</f>
        <v>3</v>
      </c>
      <c r="I96" s="49">
        <f>'Avg Week RUBAGA-KABUSU'!I96+'Avg Week KABUSU-RUBAGA'!I96</f>
        <v>3.5</v>
      </c>
      <c r="J96" s="49">
        <f>'Avg Week RUBAGA-KABUSU'!J96+'Avg Week KABUSU-RUBAGA'!J96</f>
        <v>0.5</v>
      </c>
      <c r="K96" s="49">
        <f>'Avg Week RUBAGA-KABUSU'!K96+'Avg Week KABUSU-RUBAGA'!K96</f>
        <v>1</v>
      </c>
      <c r="L96" s="49">
        <f>'Avg Week RUBAGA-KABUSU'!L96+'Avg Week KABUSU-RUBAGA'!L96</f>
        <v>0</v>
      </c>
      <c r="M96" s="49">
        <f>'Avg Week RUBAGA-KABUSU'!M96+'Avg Week KABUSU-RUBAGA'!M96</f>
        <v>51.5</v>
      </c>
      <c r="N96" s="49">
        <f>'Avg Week RUBAGA-KABUSU'!N96+'Avg Week KABUSU-RUBAGA'!N96</f>
        <v>0</v>
      </c>
      <c r="O96" s="49">
        <f>'Avg Week RUBAGA-KABUSU'!O96+'Avg Week KABUSU-RUBAGA'!O96</f>
        <v>29.5</v>
      </c>
      <c r="P96" s="49">
        <f>'Avg Week RUBAGA-KABUSU'!P96+'Avg Week KABUSU-RUBAGA'!P96</f>
        <v>81</v>
      </c>
      <c r="R96" s="8"/>
      <c r="T96"/>
    </row>
    <row r="97" spans="2:20" ht="23.1" customHeight="1" x14ac:dyDescent="0.25">
      <c r="B97" s="23" t="s">
        <v>137</v>
      </c>
      <c r="C97" s="49">
        <f>'Avg Week RUBAGA-KABUSU'!C97+'Avg Week KABUSU-RUBAGA'!C97</f>
        <v>16.5</v>
      </c>
      <c r="D97" s="49">
        <f>'Avg Week RUBAGA-KABUSU'!D97+'Avg Week KABUSU-RUBAGA'!D97</f>
        <v>1</v>
      </c>
      <c r="E97" s="49">
        <f>'Avg Week RUBAGA-KABUSU'!E97+'Avg Week KABUSU-RUBAGA'!E97</f>
        <v>1</v>
      </c>
      <c r="F97" s="49">
        <f>'Avg Week RUBAGA-KABUSU'!F97+'Avg Week KABUSU-RUBAGA'!F97</f>
        <v>4.5</v>
      </c>
      <c r="G97" s="49">
        <f>'Avg Week RUBAGA-KABUSU'!G97+'Avg Week KABUSU-RUBAGA'!G97</f>
        <v>0</v>
      </c>
      <c r="H97" s="49">
        <f>'Avg Week RUBAGA-KABUSU'!H97+'Avg Week KABUSU-RUBAGA'!H97</f>
        <v>0</v>
      </c>
      <c r="I97" s="49">
        <f>'Avg Week RUBAGA-KABUSU'!I97+'Avg Week KABUSU-RUBAGA'!I97</f>
        <v>2.5</v>
      </c>
      <c r="J97" s="49">
        <f>'Avg Week RUBAGA-KABUSU'!J97+'Avg Week KABUSU-RUBAGA'!J97</f>
        <v>1.5</v>
      </c>
      <c r="K97" s="49">
        <f>'Avg Week RUBAGA-KABUSU'!K97+'Avg Week KABUSU-RUBAGA'!K97</f>
        <v>0.5</v>
      </c>
      <c r="L97" s="49">
        <f>'Avg Week RUBAGA-KABUSU'!L97+'Avg Week KABUSU-RUBAGA'!L97</f>
        <v>0</v>
      </c>
      <c r="M97" s="49">
        <f>'Avg Week RUBAGA-KABUSU'!M97+'Avg Week KABUSU-RUBAGA'!M97</f>
        <v>55</v>
      </c>
      <c r="N97" s="49">
        <f>'Avg Week RUBAGA-KABUSU'!N97+'Avg Week KABUSU-RUBAGA'!N97</f>
        <v>0</v>
      </c>
      <c r="O97" s="49">
        <f>'Avg Week RUBAGA-KABUSU'!O97+'Avg Week KABUSU-RUBAGA'!O97</f>
        <v>27.5</v>
      </c>
      <c r="P97" s="49">
        <f>'Avg Week RUBAGA-KABUSU'!P97+'Avg Week KABUSU-RUBAGA'!P97</f>
        <v>82.5</v>
      </c>
      <c r="R97" s="8"/>
      <c r="T97"/>
    </row>
    <row r="98" spans="2:20" ht="23.1" customHeight="1" x14ac:dyDescent="0.25">
      <c r="B98" s="24" t="s">
        <v>138</v>
      </c>
      <c r="C98" s="49">
        <f>'Avg Week RUBAGA-KABUSU'!C98+'Avg Week KABUSU-RUBAGA'!C98</f>
        <v>16</v>
      </c>
      <c r="D98" s="49">
        <f>'Avg Week RUBAGA-KABUSU'!D98+'Avg Week KABUSU-RUBAGA'!D98</f>
        <v>2</v>
      </c>
      <c r="E98" s="49">
        <f>'Avg Week RUBAGA-KABUSU'!E98+'Avg Week KABUSU-RUBAGA'!E98</f>
        <v>1.5</v>
      </c>
      <c r="F98" s="49">
        <f>'Avg Week RUBAGA-KABUSU'!F98+'Avg Week KABUSU-RUBAGA'!F98</f>
        <v>11.5</v>
      </c>
      <c r="G98" s="49">
        <f>'Avg Week RUBAGA-KABUSU'!G98+'Avg Week KABUSU-RUBAGA'!G98</f>
        <v>0.5</v>
      </c>
      <c r="H98" s="49">
        <f>'Avg Week RUBAGA-KABUSU'!H98+'Avg Week KABUSU-RUBAGA'!H98</f>
        <v>1</v>
      </c>
      <c r="I98" s="49">
        <f>'Avg Week RUBAGA-KABUSU'!I98+'Avg Week KABUSU-RUBAGA'!I98</f>
        <v>1</v>
      </c>
      <c r="J98" s="49">
        <f>'Avg Week RUBAGA-KABUSU'!J98+'Avg Week KABUSU-RUBAGA'!J98</f>
        <v>3</v>
      </c>
      <c r="K98" s="49">
        <f>'Avg Week RUBAGA-KABUSU'!K98+'Avg Week KABUSU-RUBAGA'!K98</f>
        <v>1</v>
      </c>
      <c r="L98" s="49">
        <f>'Avg Week RUBAGA-KABUSU'!L98+'Avg Week KABUSU-RUBAGA'!L98</f>
        <v>0</v>
      </c>
      <c r="M98" s="49">
        <f>'Avg Week RUBAGA-KABUSU'!M98+'Avg Week KABUSU-RUBAGA'!M98</f>
        <v>34.5</v>
      </c>
      <c r="N98" s="49">
        <f>'Avg Week RUBAGA-KABUSU'!N98+'Avg Week KABUSU-RUBAGA'!N98</f>
        <v>0</v>
      </c>
      <c r="O98" s="49">
        <f>'Avg Week RUBAGA-KABUSU'!O98+'Avg Week KABUSU-RUBAGA'!O98</f>
        <v>37.5</v>
      </c>
      <c r="P98" s="49">
        <f>'Avg Week RUBAGA-KABUSU'!P98+'Avg Week KABUSU-RUBAGA'!P98</f>
        <v>72</v>
      </c>
      <c r="R98" s="8"/>
      <c r="T98"/>
    </row>
    <row r="99" spans="2:20" ht="23.1" customHeight="1" x14ac:dyDescent="0.25">
      <c r="B99" s="23" t="s">
        <v>139</v>
      </c>
      <c r="C99" s="49">
        <f>'Avg Week RUBAGA-KABUSU'!C99+'Avg Week KABUSU-RUBAGA'!C99</f>
        <v>25</v>
      </c>
      <c r="D99" s="49">
        <f>'Avg Week RUBAGA-KABUSU'!D99+'Avg Week KABUSU-RUBAGA'!D99</f>
        <v>1.5</v>
      </c>
      <c r="E99" s="49">
        <f>'Avg Week RUBAGA-KABUSU'!E99+'Avg Week KABUSU-RUBAGA'!E99</f>
        <v>1</v>
      </c>
      <c r="F99" s="49">
        <f>'Avg Week RUBAGA-KABUSU'!F99+'Avg Week KABUSU-RUBAGA'!F99</f>
        <v>17.5</v>
      </c>
      <c r="G99" s="49">
        <f>'Avg Week RUBAGA-KABUSU'!G99+'Avg Week KABUSU-RUBAGA'!G99</f>
        <v>0.5</v>
      </c>
      <c r="H99" s="49">
        <f>'Avg Week RUBAGA-KABUSU'!H99+'Avg Week KABUSU-RUBAGA'!H99</f>
        <v>1.5</v>
      </c>
      <c r="I99" s="49">
        <f>'Avg Week RUBAGA-KABUSU'!I99+'Avg Week KABUSU-RUBAGA'!I99</f>
        <v>3</v>
      </c>
      <c r="J99" s="49">
        <f>'Avg Week RUBAGA-KABUSU'!J99+'Avg Week KABUSU-RUBAGA'!J99</f>
        <v>0.5</v>
      </c>
      <c r="K99" s="49">
        <f>'Avg Week RUBAGA-KABUSU'!K99+'Avg Week KABUSU-RUBAGA'!K99</f>
        <v>1.5</v>
      </c>
      <c r="L99" s="49">
        <f>'Avg Week RUBAGA-KABUSU'!L99+'Avg Week KABUSU-RUBAGA'!L99</f>
        <v>1</v>
      </c>
      <c r="M99" s="49">
        <f>'Avg Week RUBAGA-KABUSU'!M99+'Avg Week KABUSU-RUBAGA'!M99</f>
        <v>53</v>
      </c>
      <c r="N99" s="49">
        <f>'Avg Week RUBAGA-KABUSU'!N99+'Avg Week KABUSU-RUBAGA'!N99</f>
        <v>0</v>
      </c>
      <c r="O99" s="49">
        <f>'Avg Week RUBAGA-KABUSU'!O99+'Avg Week KABUSU-RUBAGA'!O99</f>
        <v>53</v>
      </c>
      <c r="P99" s="49">
        <f>'Avg Week RUBAGA-KABUSU'!P99+'Avg Week KABUSU-RUBAGA'!P99</f>
        <v>106</v>
      </c>
      <c r="R99" s="8"/>
      <c r="T99"/>
    </row>
    <row r="100" spans="2:20" ht="23.1" customHeight="1" x14ac:dyDescent="0.25">
      <c r="B100" s="25" t="s">
        <v>140</v>
      </c>
      <c r="C100" s="49">
        <f>'Avg Week RUBAGA-KABUSU'!C100+'Avg Week KABUSU-RUBAGA'!C100</f>
        <v>25</v>
      </c>
      <c r="D100" s="49">
        <f>'Avg Week RUBAGA-KABUSU'!D100+'Avg Week KABUSU-RUBAGA'!D100</f>
        <v>3</v>
      </c>
      <c r="E100" s="49">
        <f>'Avg Week RUBAGA-KABUSU'!E100+'Avg Week KABUSU-RUBAGA'!E100</f>
        <v>2.5</v>
      </c>
      <c r="F100" s="49">
        <f>'Avg Week RUBAGA-KABUSU'!F100+'Avg Week KABUSU-RUBAGA'!F100</f>
        <v>30.5</v>
      </c>
      <c r="G100" s="49">
        <f>'Avg Week RUBAGA-KABUSU'!G100+'Avg Week KABUSU-RUBAGA'!G100</f>
        <v>0.5</v>
      </c>
      <c r="H100" s="49">
        <f>'Avg Week RUBAGA-KABUSU'!H100+'Avg Week KABUSU-RUBAGA'!H100</f>
        <v>0.5</v>
      </c>
      <c r="I100" s="49">
        <f>'Avg Week RUBAGA-KABUSU'!I100+'Avg Week KABUSU-RUBAGA'!I100</f>
        <v>4</v>
      </c>
      <c r="J100" s="49">
        <f>'Avg Week RUBAGA-KABUSU'!J100+'Avg Week KABUSU-RUBAGA'!J100</f>
        <v>1</v>
      </c>
      <c r="K100" s="49">
        <f>'Avg Week RUBAGA-KABUSU'!K100+'Avg Week KABUSU-RUBAGA'!K100</f>
        <v>1.5</v>
      </c>
      <c r="L100" s="49">
        <f>'Avg Week RUBAGA-KABUSU'!L100+'Avg Week KABUSU-RUBAGA'!L100</f>
        <v>0.5</v>
      </c>
      <c r="M100" s="49">
        <f>'Avg Week RUBAGA-KABUSU'!M100+'Avg Week KABUSU-RUBAGA'!M100</f>
        <v>64</v>
      </c>
      <c r="N100" s="49">
        <f>'Avg Week RUBAGA-KABUSU'!N100+'Avg Week KABUSU-RUBAGA'!N100</f>
        <v>0</v>
      </c>
      <c r="O100" s="49">
        <f>'Avg Week RUBAGA-KABUSU'!O100+'Avg Week KABUSU-RUBAGA'!O100</f>
        <v>69</v>
      </c>
      <c r="P100" s="49">
        <f>'Avg Week RUBAGA-KABUSU'!P100+'Avg Week KABUSU-RUBAGA'!P100</f>
        <v>133</v>
      </c>
      <c r="R100" s="8"/>
      <c r="T100"/>
    </row>
    <row r="101" spans="2:20" ht="23.1" customHeight="1" x14ac:dyDescent="0.25">
      <c r="B101" s="23" t="s">
        <v>141</v>
      </c>
      <c r="C101" s="49">
        <f>'Avg Week RUBAGA-KABUSU'!C101+'Avg Week KABUSU-RUBAGA'!C101</f>
        <v>19.5</v>
      </c>
      <c r="D101" s="49">
        <f>'Avg Week RUBAGA-KABUSU'!D101+'Avg Week KABUSU-RUBAGA'!D101</f>
        <v>5</v>
      </c>
      <c r="E101" s="49">
        <f>'Avg Week RUBAGA-KABUSU'!E101+'Avg Week KABUSU-RUBAGA'!E101</f>
        <v>1.5</v>
      </c>
      <c r="F101" s="49">
        <f>'Avg Week RUBAGA-KABUSU'!F101+'Avg Week KABUSU-RUBAGA'!F101</f>
        <v>35</v>
      </c>
      <c r="G101" s="49">
        <f>'Avg Week RUBAGA-KABUSU'!G101+'Avg Week KABUSU-RUBAGA'!G101</f>
        <v>1</v>
      </c>
      <c r="H101" s="49">
        <f>'Avg Week RUBAGA-KABUSU'!H101+'Avg Week KABUSU-RUBAGA'!H101</f>
        <v>2</v>
      </c>
      <c r="I101" s="49">
        <f>'Avg Week RUBAGA-KABUSU'!I101+'Avg Week KABUSU-RUBAGA'!I101</f>
        <v>4</v>
      </c>
      <c r="J101" s="49">
        <f>'Avg Week RUBAGA-KABUSU'!J101+'Avg Week KABUSU-RUBAGA'!J101</f>
        <v>1.5</v>
      </c>
      <c r="K101" s="49">
        <f>'Avg Week RUBAGA-KABUSU'!K101+'Avg Week KABUSU-RUBAGA'!K101</f>
        <v>2.5</v>
      </c>
      <c r="L101" s="49">
        <f>'Avg Week RUBAGA-KABUSU'!L101+'Avg Week KABUSU-RUBAGA'!L101</f>
        <v>1</v>
      </c>
      <c r="M101" s="49">
        <f>'Avg Week RUBAGA-KABUSU'!M101+'Avg Week KABUSU-RUBAGA'!M101</f>
        <v>68.5</v>
      </c>
      <c r="N101" s="49">
        <f>'Avg Week RUBAGA-KABUSU'!N101+'Avg Week KABUSU-RUBAGA'!N101</f>
        <v>0</v>
      </c>
      <c r="O101" s="49">
        <f>'Avg Week RUBAGA-KABUSU'!O101+'Avg Week KABUSU-RUBAGA'!O101</f>
        <v>73</v>
      </c>
      <c r="P101" s="49">
        <f>'Avg Week RUBAGA-KABUSU'!P101+'Avg Week KABUSU-RUBAGA'!P101</f>
        <v>141.5</v>
      </c>
      <c r="R101" s="8"/>
      <c r="T101"/>
    </row>
    <row r="102" spans="2:20" ht="23.1" customHeight="1" x14ac:dyDescent="0.25">
      <c r="B102" s="24" t="s">
        <v>142</v>
      </c>
      <c r="C102" s="49">
        <f>'Avg Week RUBAGA-KABUSU'!C102+'Avg Week KABUSU-RUBAGA'!C102</f>
        <v>35</v>
      </c>
      <c r="D102" s="49">
        <f>'Avg Week RUBAGA-KABUSU'!D102+'Avg Week KABUSU-RUBAGA'!D102</f>
        <v>1</v>
      </c>
      <c r="E102" s="49">
        <f>'Avg Week RUBAGA-KABUSU'!E102+'Avg Week KABUSU-RUBAGA'!E102</f>
        <v>1.5</v>
      </c>
      <c r="F102" s="49">
        <f>'Avg Week RUBAGA-KABUSU'!F102+'Avg Week KABUSU-RUBAGA'!F102</f>
        <v>41</v>
      </c>
      <c r="G102" s="49">
        <f>'Avg Week RUBAGA-KABUSU'!G102+'Avg Week KABUSU-RUBAGA'!G102</f>
        <v>1.5</v>
      </c>
      <c r="H102" s="49">
        <f>'Avg Week RUBAGA-KABUSU'!H102+'Avg Week KABUSU-RUBAGA'!H102</f>
        <v>2</v>
      </c>
      <c r="I102" s="49">
        <f>'Avg Week RUBAGA-KABUSU'!I102+'Avg Week KABUSU-RUBAGA'!I102</f>
        <v>3</v>
      </c>
      <c r="J102" s="49">
        <f>'Avg Week RUBAGA-KABUSU'!J102+'Avg Week KABUSU-RUBAGA'!J102</f>
        <v>2.5</v>
      </c>
      <c r="K102" s="49">
        <f>'Avg Week RUBAGA-KABUSU'!K102+'Avg Week KABUSU-RUBAGA'!K102</f>
        <v>2</v>
      </c>
      <c r="L102" s="49">
        <f>'Avg Week RUBAGA-KABUSU'!L102+'Avg Week KABUSU-RUBAGA'!L102</f>
        <v>1</v>
      </c>
      <c r="M102" s="49">
        <f>'Avg Week RUBAGA-KABUSU'!M102+'Avg Week KABUSU-RUBAGA'!M102</f>
        <v>76</v>
      </c>
      <c r="N102" s="49">
        <f>'Avg Week RUBAGA-KABUSU'!N102+'Avg Week KABUSU-RUBAGA'!N102</f>
        <v>0</v>
      </c>
      <c r="O102" s="49">
        <f>'Avg Week RUBAGA-KABUSU'!O102+'Avg Week KABUSU-RUBAGA'!O102</f>
        <v>90.5</v>
      </c>
      <c r="P102" s="49">
        <f>'Avg Week RUBAGA-KABUSU'!P102+'Avg Week KABUSU-RUBAGA'!P102</f>
        <v>166.5</v>
      </c>
      <c r="R102" s="8"/>
      <c r="T102"/>
    </row>
    <row r="103" spans="2:20" ht="23.1" customHeight="1" x14ac:dyDescent="0.25">
      <c r="B103" s="23" t="s">
        <v>143</v>
      </c>
      <c r="C103" s="49">
        <f>'Avg Week RUBAGA-KABUSU'!C103+'Avg Week KABUSU-RUBAGA'!C103</f>
        <v>40</v>
      </c>
      <c r="D103" s="49">
        <f>'Avg Week RUBAGA-KABUSU'!D103+'Avg Week KABUSU-RUBAGA'!D103</f>
        <v>3</v>
      </c>
      <c r="E103" s="49">
        <f>'Avg Week RUBAGA-KABUSU'!E103+'Avg Week KABUSU-RUBAGA'!E103</f>
        <v>0</v>
      </c>
      <c r="F103" s="49">
        <f>'Avg Week RUBAGA-KABUSU'!F103+'Avg Week KABUSU-RUBAGA'!F103</f>
        <v>43</v>
      </c>
      <c r="G103" s="49">
        <f>'Avg Week RUBAGA-KABUSU'!G103+'Avg Week KABUSU-RUBAGA'!G103</f>
        <v>3</v>
      </c>
      <c r="H103" s="49">
        <f>'Avg Week RUBAGA-KABUSU'!H103+'Avg Week KABUSU-RUBAGA'!H103</f>
        <v>1</v>
      </c>
      <c r="I103" s="49">
        <f>'Avg Week RUBAGA-KABUSU'!I103+'Avg Week KABUSU-RUBAGA'!I103</f>
        <v>7.5</v>
      </c>
      <c r="J103" s="49">
        <f>'Avg Week RUBAGA-KABUSU'!J103+'Avg Week KABUSU-RUBAGA'!J103</f>
        <v>1.5</v>
      </c>
      <c r="K103" s="49">
        <f>'Avg Week RUBAGA-KABUSU'!K103+'Avg Week KABUSU-RUBAGA'!K103</f>
        <v>0</v>
      </c>
      <c r="L103" s="49">
        <f>'Avg Week RUBAGA-KABUSU'!L103+'Avg Week KABUSU-RUBAGA'!L103</f>
        <v>1</v>
      </c>
      <c r="M103" s="49">
        <f>'Avg Week RUBAGA-KABUSU'!M103+'Avg Week KABUSU-RUBAGA'!M103</f>
        <v>87.5</v>
      </c>
      <c r="N103" s="49">
        <f>'Avg Week RUBAGA-KABUSU'!N103+'Avg Week KABUSU-RUBAGA'!N103</f>
        <v>0</v>
      </c>
      <c r="O103" s="49">
        <f>'Avg Week RUBAGA-KABUSU'!O103+'Avg Week KABUSU-RUBAGA'!O103</f>
        <v>100</v>
      </c>
      <c r="P103" s="49">
        <f>'Avg Week RUBAGA-KABUSU'!P103+'Avg Week KABUSU-RUBAGA'!P103</f>
        <v>187.5</v>
      </c>
      <c r="R103" s="8"/>
      <c r="T103"/>
    </row>
    <row r="104" spans="2:20" ht="23.1" customHeight="1" x14ac:dyDescent="0.25">
      <c r="B104" s="25" t="s">
        <v>144</v>
      </c>
      <c r="C104" s="49">
        <f>'Avg Week RUBAGA-KABUSU'!C104+'Avg Week KABUSU-RUBAGA'!C104</f>
        <v>30.5</v>
      </c>
      <c r="D104" s="49">
        <f>'Avg Week RUBAGA-KABUSU'!D104+'Avg Week KABUSU-RUBAGA'!D104</f>
        <v>1.5</v>
      </c>
      <c r="E104" s="49">
        <f>'Avg Week RUBAGA-KABUSU'!E104+'Avg Week KABUSU-RUBAGA'!E104</f>
        <v>1</v>
      </c>
      <c r="F104" s="49">
        <f>'Avg Week RUBAGA-KABUSU'!F104+'Avg Week KABUSU-RUBAGA'!F104</f>
        <v>37.5</v>
      </c>
      <c r="G104" s="49">
        <f>'Avg Week RUBAGA-KABUSU'!G104+'Avg Week KABUSU-RUBAGA'!G104</f>
        <v>1</v>
      </c>
      <c r="H104" s="49">
        <f>'Avg Week RUBAGA-KABUSU'!H104+'Avg Week KABUSU-RUBAGA'!H104</f>
        <v>1</v>
      </c>
      <c r="I104" s="49">
        <f>'Avg Week RUBAGA-KABUSU'!I104+'Avg Week KABUSU-RUBAGA'!I104</f>
        <v>1.5</v>
      </c>
      <c r="J104" s="49">
        <f>'Avg Week RUBAGA-KABUSU'!J104+'Avg Week KABUSU-RUBAGA'!J104</f>
        <v>2.5</v>
      </c>
      <c r="K104" s="49">
        <f>'Avg Week RUBAGA-KABUSU'!K104+'Avg Week KABUSU-RUBAGA'!K104</f>
        <v>1.5</v>
      </c>
      <c r="L104" s="49">
        <f>'Avg Week RUBAGA-KABUSU'!L104+'Avg Week KABUSU-RUBAGA'!L104</f>
        <v>0.5</v>
      </c>
      <c r="M104" s="49">
        <f>'Avg Week RUBAGA-KABUSU'!M104+'Avg Week KABUSU-RUBAGA'!M104</f>
        <v>64.5</v>
      </c>
      <c r="N104" s="49">
        <f>'Avg Week RUBAGA-KABUSU'!N104+'Avg Week KABUSU-RUBAGA'!N104</f>
        <v>0</v>
      </c>
      <c r="O104" s="49">
        <f>'Avg Week RUBAGA-KABUSU'!O104+'Avg Week KABUSU-RUBAGA'!O104</f>
        <v>78.5</v>
      </c>
      <c r="P104" s="49">
        <f>'Avg Week RUBAGA-KABUSU'!P104+'Avg Week KABUSU-RUBAGA'!P104</f>
        <v>143</v>
      </c>
      <c r="R104" s="8"/>
      <c r="T104"/>
    </row>
    <row r="105" spans="2:20" ht="23.1" customHeight="1" x14ac:dyDescent="0.25">
      <c r="B105" s="23" t="s">
        <v>145</v>
      </c>
      <c r="C105" s="49">
        <f>'Avg Week RUBAGA-KABUSU'!C105+'Avg Week KABUSU-RUBAGA'!C105</f>
        <v>36</v>
      </c>
      <c r="D105" s="49">
        <f>'Avg Week RUBAGA-KABUSU'!D105+'Avg Week KABUSU-RUBAGA'!D105</f>
        <v>1.5</v>
      </c>
      <c r="E105" s="49">
        <f>'Avg Week RUBAGA-KABUSU'!E105+'Avg Week KABUSU-RUBAGA'!E105</f>
        <v>4</v>
      </c>
      <c r="F105" s="49">
        <f>'Avg Week RUBAGA-KABUSU'!F105+'Avg Week KABUSU-RUBAGA'!F105</f>
        <v>44</v>
      </c>
      <c r="G105" s="49">
        <f>'Avg Week RUBAGA-KABUSU'!G105+'Avg Week KABUSU-RUBAGA'!G105</f>
        <v>3</v>
      </c>
      <c r="H105" s="49">
        <f>'Avg Week RUBAGA-KABUSU'!H105+'Avg Week KABUSU-RUBAGA'!H105</f>
        <v>0.5</v>
      </c>
      <c r="I105" s="49">
        <f>'Avg Week RUBAGA-KABUSU'!I105+'Avg Week KABUSU-RUBAGA'!I105</f>
        <v>5.5</v>
      </c>
      <c r="J105" s="49">
        <f>'Avg Week RUBAGA-KABUSU'!J105+'Avg Week KABUSU-RUBAGA'!J105</f>
        <v>4</v>
      </c>
      <c r="K105" s="49">
        <f>'Avg Week RUBAGA-KABUSU'!K105+'Avg Week KABUSU-RUBAGA'!K105</f>
        <v>0.5</v>
      </c>
      <c r="L105" s="49">
        <f>'Avg Week RUBAGA-KABUSU'!L105+'Avg Week KABUSU-RUBAGA'!L105</f>
        <v>0</v>
      </c>
      <c r="M105" s="49">
        <f>'Avg Week RUBAGA-KABUSU'!M105+'Avg Week KABUSU-RUBAGA'!M105</f>
        <v>86.5</v>
      </c>
      <c r="N105" s="49">
        <f>'Avg Week RUBAGA-KABUSU'!N105+'Avg Week KABUSU-RUBAGA'!N105</f>
        <v>0</v>
      </c>
      <c r="O105" s="49">
        <f>'Avg Week RUBAGA-KABUSU'!O105+'Avg Week KABUSU-RUBAGA'!O105</f>
        <v>99</v>
      </c>
      <c r="P105" s="49">
        <f>'Avg Week RUBAGA-KABUSU'!P105+'Avg Week KABUSU-RUBAGA'!P105</f>
        <v>185.5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5">SUM(C10:C57)</f>
        <v>3184.5714285714294</v>
      </c>
      <c r="D106" s="16">
        <f t="shared" si="35"/>
        <v>1525.2857142857138</v>
      </c>
      <c r="E106" s="16">
        <f t="shared" si="35"/>
        <v>401.28571428571428</v>
      </c>
      <c r="F106" s="16">
        <f t="shared" si="35"/>
        <v>2000.2380952380952</v>
      </c>
      <c r="G106" s="16">
        <f t="shared" si="35"/>
        <v>37.285714285714285</v>
      </c>
      <c r="H106" s="16">
        <f t="shared" si="35"/>
        <v>32.857142857142861</v>
      </c>
      <c r="I106" s="16">
        <f t="shared" si="35"/>
        <v>346.28571428571439</v>
      </c>
      <c r="J106" s="16">
        <f t="shared" si="35"/>
        <v>201.14285714285714</v>
      </c>
      <c r="K106" s="16">
        <f t="shared" si="35"/>
        <v>62.714285714285722</v>
      </c>
      <c r="L106" s="16">
        <f t="shared" si="35"/>
        <v>63.571428571428577</v>
      </c>
      <c r="M106" s="16">
        <f t="shared" si="35"/>
        <v>14910.714285714283</v>
      </c>
      <c r="N106" s="16">
        <f t="shared" si="35"/>
        <v>2.5714285714285712</v>
      </c>
      <c r="O106" s="16">
        <f t="shared" si="35"/>
        <v>7857.8095238095229</v>
      </c>
      <c r="P106" s="16">
        <f t="shared" si="35"/>
        <v>22768.523809523816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0.13986727708888</v>
      </c>
      <c r="D107" s="43">
        <f t="shared" si="36"/>
        <v>6.6990979610531617E-2</v>
      </c>
      <c r="E107" s="43">
        <f t="shared" si="36"/>
        <v>1.7624581973024574E-2</v>
      </c>
      <c r="F107" s="43">
        <f t="shared" si="36"/>
        <v>8.7851022401435538E-2</v>
      </c>
      <c r="G107" s="43">
        <f t="shared" si="36"/>
        <v>1.6375991082091185E-3</v>
      </c>
      <c r="H107" s="43">
        <f t="shared" si="36"/>
        <v>1.4430949995712541E-3</v>
      </c>
      <c r="I107" s="43">
        <f t="shared" si="36"/>
        <v>1.5208966430264002E-2</v>
      </c>
      <c r="J107" s="43">
        <f t="shared" si="36"/>
        <v>8.834251127810111E-3</v>
      </c>
      <c r="K107" s="43">
        <f t="shared" si="36"/>
        <v>2.7544291513555675E-3</v>
      </c>
      <c r="L107" s="43">
        <f t="shared" si="36"/>
        <v>2.792075107866122E-3</v>
      </c>
      <c r="M107" s="43">
        <f t="shared" si="36"/>
        <v>0.65488278513151998</v>
      </c>
      <c r="N107" s="43">
        <f t="shared" si="36"/>
        <v>1.1293786953166334E-4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0.40527470396451226</v>
      </c>
      <c r="D108" s="44">
        <f t="shared" ref="D108:N108" si="37">D106/$O$106</f>
        <v>0.19411080271976919</v>
      </c>
      <c r="E108" s="44">
        <f t="shared" si="37"/>
        <v>5.1068394196856028E-2</v>
      </c>
      <c r="F108" s="44">
        <f t="shared" si="37"/>
        <v>0.25455415904105111</v>
      </c>
      <c r="G108" s="44">
        <f t="shared" si="37"/>
        <v>4.7450519349873351E-3</v>
      </c>
      <c r="H108" s="44">
        <f t="shared" si="37"/>
        <v>4.1814633909850081E-3</v>
      </c>
      <c r="I108" s="44">
        <f t="shared" si="37"/>
        <v>4.4068988085859399E-2</v>
      </c>
      <c r="J108" s="44">
        <f t="shared" si="37"/>
        <v>2.5597828063073438E-2</v>
      </c>
      <c r="K108" s="44">
        <f t="shared" si="37"/>
        <v>7.9811409940974722E-3</v>
      </c>
      <c r="L108" s="44">
        <f t="shared" si="37"/>
        <v>8.0902226477753414E-3</v>
      </c>
      <c r="M108" s="44"/>
      <c r="N108" s="44">
        <f t="shared" si="37"/>
        <v>3.2724496103360927E-4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RUBAGA-KABUSU</vt:lpstr>
      <vt:lpstr>22.07 KABUSU-RUBAGA</vt:lpstr>
      <vt:lpstr>23.07 RUBAGA-KABUSU</vt:lpstr>
      <vt:lpstr>23.07 KABUSU-RUBAGA</vt:lpstr>
      <vt:lpstr>24.07 RUBAGA-KABUSU</vt:lpstr>
      <vt:lpstr>24.07 KABUSU-RUBAGA</vt:lpstr>
      <vt:lpstr>25.07 RUBAGA-KABUSU</vt:lpstr>
      <vt:lpstr>25.07 KABUSU-RUBAGA</vt:lpstr>
      <vt:lpstr>26.07 RUBAGA-KABUSU-24h</vt:lpstr>
      <vt:lpstr>26.07 KABUSU-RUBAGA-24h</vt:lpstr>
      <vt:lpstr>27.07 RUBAGA-KABUSU-24h</vt:lpstr>
      <vt:lpstr>27.07 KABUSU-RUBAGA-24h</vt:lpstr>
      <vt:lpstr>28.07 RUBAGA-KABUSU</vt:lpstr>
      <vt:lpstr>28.07 KABUSU-RUBAGA</vt:lpstr>
      <vt:lpstr>Avg Week RUBAGA-KABUSU</vt:lpstr>
      <vt:lpstr>Avg Week KABUSU-RUBAGA</vt:lpstr>
      <vt:lpstr>Avg Week RUBAGA-KABUSU-2Dir</vt:lpstr>
      <vt:lpstr>'22.07 KABUSU-RUBAGA'!Print_Area</vt:lpstr>
      <vt:lpstr>'22.07 RUBAGA-KABUSU'!Print_Area</vt:lpstr>
      <vt:lpstr>'23.07 KABUSU-RUBAGA'!Print_Area</vt:lpstr>
      <vt:lpstr>'23.07 RUBAGA-KABUSU'!Print_Area</vt:lpstr>
      <vt:lpstr>'24.07 KABUSU-RUBAGA'!Print_Area</vt:lpstr>
      <vt:lpstr>'24.07 RUBAGA-KABUSU'!Print_Area</vt:lpstr>
      <vt:lpstr>'25.07 KABUSU-RUBAGA'!Print_Area</vt:lpstr>
      <vt:lpstr>'25.07 RUBAGA-KABUSU'!Print_Area</vt:lpstr>
      <vt:lpstr>'26.07 KABUSU-RUBAGA-24h'!Print_Area</vt:lpstr>
      <vt:lpstr>'26.07 RUBAGA-KABUSU-24h'!Print_Area</vt:lpstr>
      <vt:lpstr>'27.07 KABUSU-RUBAGA-24h'!Print_Area</vt:lpstr>
      <vt:lpstr>'27.07 RUBAGA-KABUSU-24h'!Print_Area</vt:lpstr>
      <vt:lpstr>'28.07 KABUSU-RUBAGA'!Print_Area</vt:lpstr>
      <vt:lpstr>'28.07 RUBAGA-KABUSU'!Print_Area</vt:lpstr>
      <vt:lpstr>'Avg Week KABUSU-RUBAGA'!Print_Area</vt:lpstr>
      <vt:lpstr>'Avg Week RUBAGA-KABUSU'!Print_Area</vt:lpstr>
      <vt:lpstr>'Avg Week RUBAGA-KABUSU-2Dir'!Print_Area</vt:lpstr>
      <vt:lpstr>'22.07 KABUSU-RUBAGA'!Print_Titles</vt:lpstr>
      <vt:lpstr>'22.07 RUBAGA-KABUSU'!Print_Titles</vt:lpstr>
      <vt:lpstr>'23.07 KABUSU-RUBAGA'!Print_Titles</vt:lpstr>
      <vt:lpstr>'23.07 RUBAGA-KABUSU'!Print_Titles</vt:lpstr>
      <vt:lpstr>'24.07 KABUSU-RUBAGA'!Print_Titles</vt:lpstr>
      <vt:lpstr>'24.07 RUBAGA-KABUSU'!Print_Titles</vt:lpstr>
      <vt:lpstr>'25.07 KABUSU-RUBAGA'!Print_Titles</vt:lpstr>
      <vt:lpstr>'25.07 RUBAGA-KABUSU'!Print_Titles</vt:lpstr>
      <vt:lpstr>'26.07 KABUSU-RUBAGA-24h'!Print_Titles</vt:lpstr>
      <vt:lpstr>'26.07 RUBAGA-KABUSU-24h'!Print_Titles</vt:lpstr>
      <vt:lpstr>'27.07 KABUSU-RUBAGA-24h'!Print_Titles</vt:lpstr>
      <vt:lpstr>'27.07 RUBAGA-KABUSU-24h'!Print_Titles</vt:lpstr>
      <vt:lpstr>'28.07 KABUSU-RUBAGA'!Print_Titles</vt:lpstr>
      <vt:lpstr>'28.07 RUBAGA-KABUSU'!Print_Titles</vt:lpstr>
      <vt:lpstr>'Avg Week KABUSU-RUBAGA'!Print_Titles</vt:lpstr>
      <vt:lpstr>'Avg Week RUBAGA-KABUSU'!Print_Titles</vt:lpstr>
      <vt:lpstr>'Avg Week RUBAGA-KABUSU-2Dir'!Print_Titles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2020-01-15T18:55:55Z</dcterms:modified>
</cp:coreProperties>
</file>