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17.xml" ContentType="application/vnd.openxmlformats-officedocument.drawing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23-BOMBO ROAD (NORTH)\MCC DATA\"/>
    </mc:Choice>
  </mc:AlternateContent>
  <bookViews>
    <workbookView xWindow="0" yWindow="0" windowWidth="15600" windowHeight="10920" tabRatio="760" firstSheet="14" activeTab="16"/>
  </bookViews>
  <sheets>
    <sheet name="22.07 Bwaise-Kawempe" sheetId="93" r:id="rId1"/>
    <sheet name="22.07 kawempe-Bwaise" sheetId="94" r:id="rId2"/>
    <sheet name="23.07 Bwaise-Kawempe" sheetId="95" r:id="rId3"/>
    <sheet name="23.07 Kawempe-Bwaise" sheetId="96" r:id="rId4"/>
    <sheet name="24.07 Bwaise-Kawempe" sheetId="97" r:id="rId5"/>
    <sheet name="24.07 Kawempe-Bwaise" sheetId="98" r:id="rId6"/>
    <sheet name="25.07 Bwaise-Kawempe" sheetId="99" r:id="rId7"/>
    <sheet name="25.07 Kawempe-Bwaise" sheetId="100" r:id="rId8"/>
    <sheet name="26.07 Bwaise-Kawempe-24h" sheetId="101" r:id="rId9"/>
    <sheet name="26.07 Kawempe-Bwaise-24h" sheetId="109" r:id="rId10"/>
    <sheet name="27.07 Bwaise-Kawempe-24h" sheetId="105" r:id="rId11"/>
    <sheet name="27.07 Kawempe-Bwaise-24h" sheetId="110" r:id="rId12"/>
    <sheet name="28.07 Bwaise-Kawempe" sheetId="103" r:id="rId13"/>
    <sheet name="28.07 Kawempe-Bwaise" sheetId="104" r:id="rId14"/>
    <sheet name="Avg Week Bwaise-Kawempe" sheetId="107" r:id="rId15"/>
    <sheet name="Avg Week Kawempe-Bwaise" sheetId="108" r:id="rId16"/>
    <sheet name="Avg Week Kawempe-Bwaise-2Dir" sheetId="111" r:id="rId17"/>
  </sheets>
  <definedNames>
    <definedName name="_xlnm.Print_Area" localSheetId="0">'22.07 Bwaise-Kawempe'!$A$1:$AF$60</definedName>
    <definedName name="_xlnm.Print_Area" localSheetId="1">'22.07 kawempe-Bwaise'!$A$1:$AF$60</definedName>
    <definedName name="_xlnm.Print_Area" localSheetId="2">'23.07 Bwaise-Kawempe'!$A$1:$AF$60</definedName>
    <definedName name="_xlnm.Print_Area" localSheetId="3">'23.07 Kawempe-Bwaise'!$A$1:$AF$60</definedName>
    <definedName name="_xlnm.Print_Area" localSheetId="4">'24.07 Bwaise-Kawempe'!$A$1:$AF$60</definedName>
    <definedName name="_xlnm.Print_Area" localSheetId="5">'24.07 Kawempe-Bwaise'!$A$1:$AF$60</definedName>
    <definedName name="_xlnm.Print_Area" localSheetId="6">'25.07 Bwaise-Kawempe'!$A$1:$AF$60</definedName>
    <definedName name="_xlnm.Print_Area" localSheetId="7">'25.07 Kawempe-Bwaise'!$A$1:$AF$60</definedName>
    <definedName name="_xlnm.Print_Area" localSheetId="8">'26.07 Bwaise-Kawempe-24h'!$A$1:$AF$108</definedName>
    <definedName name="_xlnm.Print_Area" localSheetId="9">'26.07 Kawempe-Bwaise-24h'!$A$1:$AF$108</definedName>
    <definedName name="_xlnm.Print_Area" localSheetId="10">'27.07 Bwaise-Kawempe-24h'!$A$1:$AF$108</definedName>
    <definedName name="_xlnm.Print_Area" localSheetId="11">'27.07 Kawempe-Bwaise-24h'!$A$1:$AF$108</definedName>
    <definedName name="_xlnm.Print_Area" localSheetId="12">'28.07 Bwaise-Kawempe'!$A$1:$AF$60</definedName>
    <definedName name="_xlnm.Print_Area" localSheetId="13">'28.07 Kawempe-Bwaise'!$A$1:$AF$60</definedName>
    <definedName name="_xlnm.Print_Area" localSheetId="14">'Avg Week Bwaise-Kawempe'!$A$1:$AF$126</definedName>
    <definedName name="_xlnm.Print_Area" localSheetId="15">'Avg Week Kawempe-Bwaise'!$A$1:$AF$130</definedName>
    <definedName name="_xlnm.Print_Area" localSheetId="16">'Avg Week Kawempe-Bwaise-2Dir'!$A$1:$AF$130</definedName>
    <definedName name="_xlnm.Print_Titles" localSheetId="0">'22.07 Bwaise-Kawempe'!$1:$8</definedName>
    <definedName name="_xlnm.Print_Titles" localSheetId="1">'22.07 kawempe-Bwaise'!$1:$8</definedName>
    <definedName name="_xlnm.Print_Titles" localSheetId="2">'23.07 Bwaise-Kawempe'!$1:$8</definedName>
    <definedName name="_xlnm.Print_Titles" localSheetId="3">'23.07 Kawempe-Bwaise'!$1:$8</definedName>
    <definedName name="_xlnm.Print_Titles" localSheetId="4">'24.07 Bwaise-Kawempe'!$1:$8</definedName>
    <definedName name="_xlnm.Print_Titles" localSheetId="5">'24.07 Kawempe-Bwaise'!$1:$8</definedName>
    <definedName name="_xlnm.Print_Titles" localSheetId="6">'25.07 Bwaise-Kawempe'!$1:$8</definedName>
    <definedName name="_xlnm.Print_Titles" localSheetId="7">'25.07 Kawempe-Bwaise'!$1:$8</definedName>
    <definedName name="_xlnm.Print_Titles" localSheetId="8">'26.07 Bwaise-Kawempe-24h'!$1:$8</definedName>
    <definedName name="_xlnm.Print_Titles" localSheetId="9">'26.07 Kawempe-Bwaise-24h'!$1:$8</definedName>
    <definedName name="_xlnm.Print_Titles" localSheetId="10">'27.07 Bwaise-Kawempe-24h'!$1:$8</definedName>
    <definedName name="_xlnm.Print_Titles" localSheetId="11">'27.07 Kawempe-Bwaise-24h'!$1:$8</definedName>
    <definedName name="_xlnm.Print_Titles" localSheetId="12">'28.07 Bwaise-Kawempe'!$1:$8</definedName>
    <definedName name="_xlnm.Print_Titles" localSheetId="13">'28.07 Kawempe-Bwaise'!$1:$8</definedName>
    <definedName name="_xlnm.Print_Titles" localSheetId="14">'Avg Week Bwaise-Kawempe'!$1:$8</definedName>
    <definedName name="_xlnm.Print_Titles" localSheetId="15">'Avg Week Kawempe-Bwaise'!$1:$8</definedName>
    <definedName name="_xlnm.Print_Titles" localSheetId="16">'Avg Week Kawempe-Bwaise-2Dir'!$1:$8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E30" i="111" l="1"/>
  <c r="M58" i="111" l="1"/>
  <c r="I60" i="111"/>
  <c r="F63" i="111"/>
  <c r="K64" i="111"/>
  <c r="K67" i="111"/>
  <c r="E69" i="111"/>
  <c r="G71" i="111"/>
  <c r="L72" i="111"/>
  <c r="K75" i="111"/>
  <c r="D77" i="111"/>
  <c r="K80" i="111"/>
  <c r="J81" i="111"/>
  <c r="D85" i="111"/>
  <c r="H89" i="111"/>
  <c r="N93" i="111"/>
  <c r="K101" i="111"/>
  <c r="D102" i="111"/>
  <c r="M103" i="111"/>
  <c r="J104" i="111"/>
  <c r="C67" i="111"/>
  <c r="C99" i="111"/>
  <c r="V33" i="108"/>
  <c r="AB30" i="108"/>
  <c r="Z30" i="108"/>
  <c r="T28" i="108"/>
  <c r="X26" i="108"/>
  <c r="Z25" i="108"/>
  <c r="Z24" i="108"/>
  <c r="AC23" i="108"/>
  <c r="AB23" i="108"/>
  <c r="Y23" i="108"/>
  <c r="D58" i="108"/>
  <c r="E58" i="108"/>
  <c r="U22" i="108" s="1"/>
  <c r="F58" i="108"/>
  <c r="G58" i="108"/>
  <c r="W22" i="108" s="1"/>
  <c r="H58" i="108"/>
  <c r="I58" i="108"/>
  <c r="J58" i="108"/>
  <c r="K58" i="108"/>
  <c r="L58" i="108"/>
  <c r="AB22" i="108" s="1"/>
  <c r="M58" i="108"/>
  <c r="AC22" i="108" s="1"/>
  <c r="N58" i="108"/>
  <c r="D59" i="108"/>
  <c r="E59" i="108"/>
  <c r="F59" i="108"/>
  <c r="G59" i="108"/>
  <c r="H59" i="108"/>
  <c r="I59" i="108"/>
  <c r="J59" i="108"/>
  <c r="Z22" i="108" s="1"/>
  <c r="K59" i="108"/>
  <c r="L59" i="108"/>
  <c r="M59" i="108"/>
  <c r="N59" i="108"/>
  <c r="AD22" i="108" s="1"/>
  <c r="D60" i="108"/>
  <c r="E60" i="108"/>
  <c r="F60" i="108"/>
  <c r="V22" i="108" s="1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Z23" i="108" s="1"/>
  <c r="K62" i="108"/>
  <c r="AA23" i="108" s="1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AD23" i="108" s="1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T23" i="108" s="1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U24" i="108" s="1"/>
  <c r="F66" i="108"/>
  <c r="V24" i="108" s="1"/>
  <c r="G66" i="108"/>
  <c r="W24" i="108" s="1"/>
  <c r="H66" i="108"/>
  <c r="I66" i="108"/>
  <c r="J66" i="108"/>
  <c r="K66" i="108"/>
  <c r="L66" i="108"/>
  <c r="M66" i="108"/>
  <c r="AC24" i="108" s="1"/>
  <c r="N66" i="108"/>
  <c r="AD24" i="108" s="1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AA24" i="108" s="1"/>
  <c r="L68" i="108"/>
  <c r="M68" i="108"/>
  <c r="N68" i="108"/>
  <c r="D69" i="108"/>
  <c r="E69" i="108"/>
  <c r="F69" i="108"/>
  <c r="F69" i="111" s="1"/>
  <c r="G69" i="108"/>
  <c r="H69" i="108"/>
  <c r="X24" i="108" s="1"/>
  <c r="I69" i="108"/>
  <c r="J69" i="108"/>
  <c r="K69" i="108"/>
  <c r="L69" i="108"/>
  <c r="M69" i="108"/>
  <c r="N69" i="108"/>
  <c r="D70" i="108"/>
  <c r="E70" i="108"/>
  <c r="F70" i="108"/>
  <c r="G70" i="108"/>
  <c r="H70" i="108"/>
  <c r="X25" i="108" s="1"/>
  <c r="I70" i="108"/>
  <c r="Y25" i="108" s="1"/>
  <c r="J70" i="108"/>
  <c r="K70" i="108"/>
  <c r="AA25" i="108" s="1"/>
  <c r="L70" i="108"/>
  <c r="M70" i="108"/>
  <c r="N70" i="108"/>
  <c r="D71" i="108"/>
  <c r="E71" i="108"/>
  <c r="F71" i="108"/>
  <c r="V25" i="108" s="1"/>
  <c r="G71" i="108"/>
  <c r="W25" i="108" s="1"/>
  <c r="H71" i="108"/>
  <c r="I71" i="108"/>
  <c r="J71" i="108"/>
  <c r="K71" i="108"/>
  <c r="L71" i="108"/>
  <c r="M71" i="108"/>
  <c r="N71" i="108"/>
  <c r="AD25" i="108" s="1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T25" i="108" s="1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V26" i="108" s="1"/>
  <c r="G74" i="108"/>
  <c r="W26" i="108" s="1"/>
  <c r="H74" i="108"/>
  <c r="I74" i="108"/>
  <c r="Y26" i="108" s="1"/>
  <c r="J74" i="108"/>
  <c r="K74" i="108"/>
  <c r="L74" i="108"/>
  <c r="M74" i="108"/>
  <c r="N74" i="108"/>
  <c r="AD26" i="108" s="1"/>
  <c r="D75" i="108"/>
  <c r="T26" i="108" s="1"/>
  <c r="E75" i="108"/>
  <c r="F75" i="108"/>
  <c r="G75" i="108"/>
  <c r="H75" i="108"/>
  <c r="I75" i="108"/>
  <c r="J75" i="108"/>
  <c r="Z26" i="108" s="1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E77" i="111" s="1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Z27" i="108" s="1"/>
  <c r="K78" i="108"/>
  <c r="AA27" i="108" s="1"/>
  <c r="L78" i="108"/>
  <c r="M78" i="108"/>
  <c r="N78" i="108"/>
  <c r="D79" i="108"/>
  <c r="E79" i="108"/>
  <c r="F79" i="108"/>
  <c r="V27" i="108" s="1"/>
  <c r="G79" i="108"/>
  <c r="W27" i="108" s="1"/>
  <c r="H79" i="108"/>
  <c r="I79" i="108"/>
  <c r="J79" i="108"/>
  <c r="K79" i="108"/>
  <c r="L79" i="108"/>
  <c r="M79" i="108"/>
  <c r="N79" i="108"/>
  <c r="AD27" i="108" s="1"/>
  <c r="D80" i="108"/>
  <c r="E80" i="108"/>
  <c r="F80" i="108"/>
  <c r="G80" i="108"/>
  <c r="H80" i="108"/>
  <c r="I80" i="108"/>
  <c r="J80" i="108"/>
  <c r="K80" i="108"/>
  <c r="L80" i="108"/>
  <c r="AB27" i="108" s="1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V28" i="108" s="1"/>
  <c r="G82" i="108"/>
  <c r="W28" i="108" s="1"/>
  <c r="H82" i="108"/>
  <c r="I82" i="108"/>
  <c r="J82" i="108"/>
  <c r="K82" i="108"/>
  <c r="L82" i="108"/>
  <c r="M82" i="108"/>
  <c r="N82" i="108"/>
  <c r="AD28" i="108" s="1"/>
  <c r="D83" i="108"/>
  <c r="E83" i="108"/>
  <c r="F83" i="108"/>
  <c r="G83" i="108"/>
  <c r="H83" i="108"/>
  <c r="I83" i="108"/>
  <c r="J83" i="108"/>
  <c r="Z28" i="108" s="1"/>
  <c r="K83" i="108"/>
  <c r="L83" i="108"/>
  <c r="AB28" i="108" s="1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F85" i="111" s="1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Z29" i="108" s="1"/>
  <c r="K86" i="108"/>
  <c r="AA29" i="108" s="1"/>
  <c r="L86" i="108"/>
  <c r="M86" i="108"/>
  <c r="N86" i="108"/>
  <c r="D87" i="108"/>
  <c r="E87" i="108"/>
  <c r="U29" i="108" s="1"/>
  <c r="F87" i="108"/>
  <c r="V29" i="108" s="1"/>
  <c r="G87" i="108"/>
  <c r="H87" i="108"/>
  <c r="I87" i="108"/>
  <c r="J87" i="108"/>
  <c r="K87" i="108"/>
  <c r="L87" i="108"/>
  <c r="M87" i="108"/>
  <c r="N87" i="108"/>
  <c r="AD29" i="108" s="1"/>
  <c r="D88" i="108"/>
  <c r="T29" i="108" s="1"/>
  <c r="E88" i="108"/>
  <c r="F88" i="108"/>
  <c r="G88" i="108"/>
  <c r="H88" i="108"/>
  <c r="I88" i="108"/>
  <c r="J88" i="108"/>
  <c r="K88" i="108"/>
  <c r="L88" i="108"/>
  <c r="AB29" i="108" s="1"/>
  <c r="M88" i="108"/>
  <c r="N88" i="108"/>
  <c r="D89" i="108"/>
  <c r="E89" i="108"/>
  <c r="F89" i="108"/>
  <c r="G89" i="108"/>
  <c r="H89" i="108"/>
  <c r="I89" i="108"/>
  <c r="J89" i="108"/>
  <c r="J89" i="111" s="1"/>
  <c r="K89" i="108"/>
  <c r="L89" i="108"/>
  <c r="M89" i="108"/>
  <c r="N89" i="108"/>
  <c r="D90" i="108"/>
  <c r="E90" i="108"/>
  <c r="F90" i="108"/>
  <c r="V30" i="108" s="1"/>
  <c r="G90" i="108"/>
  <c r="W30" i="108" s="1"/>
  <c r="H90" i="108"/>
  <c r="I90" i="108"/>
  <c r="J90" i="108"/>
  <c r="K90" i="108"/>
  <c r="L90" i="108"/>
  <c r="M90" i="108"/>
  <c r="N90" i="108"/>
  <c r="AD30" i="108" s="1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X30" i="108" s="1"/>
  <c r="I92" i="108"/>
  <c r="J92" i="108"/>
  <c r="K92" i="108"/>
  <c r="L92" i="108"/>
  <c r="M92" i="108"/>
  <c r="N92" i="108"/>
  <c r="D93" i="108"/>
  <c r="E93" i="108"/>
  <c r="E93" i="111" s="1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X31" i="108" s="1"/>
  <c r="I94" i="108"/>
  <c r="J94" i="108"/>
  <c r="Z31" i="108" s="1"/>
  <c r="K94" i="108"/>
  <c r="AA31" i="108" s="1"/>
  <c r="L94" i="108"/>
  <c r="M94" i="108"/>
  <c r="AC31" i="108" s="1"/>
  <c r="N94" i="108"/>
  <c r="D95" i="108"/>
  <c r="E95" i="108"/>
  <c r="F95" i="108"/>
  <c r="V31" i="108" s="1"/>
  <c r="G95" i="108"/>
  <c r="H95" i="108"/>
  <c r="I95" i="108"/>
  <c r="J95" i="108"/>
  <c r="K95" i="108"/>
  <c r="L95" i="108"/>
  <c r="M95" i="108"/>
  <c r="N95" i="108"/>
  <c r="AD31" i="108" s="1"/>
  <c r="D96" i="108"/>
  <c r="E96" i="108"/>
  <c r="F96" i="108"/>
  <c r="G96" i="108"/>
  <c r="H96" i="108"/>
  <c r="I96" i="108"/>
  <c r="J96" i="108"/>
  <c r="K96" i="108"/>
  <c r="L96" i="108"/>
  <c r="AB31" i="108" s="1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V32" i="108" s="1"/>
  <c r="G98" i="108"/>
  <c r="W32" i="108" s="1"/>
  <c r="H98" i="108"/>
  <c r="I98" i="108"/>
  <c r="Y32" i="108" s="1"/>
  <c r="J98" i="108"/>
  <c r="K98" i="108"/>
  <c r="L98" i="108"/>
  <c r="M98" i="108"/>
  <c r="N98" i="108"/>
  <c r="AD32" i="108" s="1"/>
  <c r="D99" i="108"/>
  <c r="E99" i="108"/>
  <c r="F99" i="108"/>
  <c r="G99" i="108"/>
  <c r="H99" i="108"/>
  <c r="I99" i="108"/>
  <c r="J99" i="108"/>
  <c r="Z32" i="108" s="1"/>
  <c r="K99" i="108"/>
  <c r="AA32" i="108" s="1"/>
  <c r="L99" i="108"/>
  <c r="M99" i="108"/>
  <c r="N99" i="108"/>
  <c r="D100" i="108"/>
  <c r="E100" i="108"/>
  <c r="F100" i="108"/>
  <c r="G100" i="108"/>
  <c r="H100" i="108"/>
  <c r="X32" i="108" s="1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U33" i="108" s="1"/>
  <c r="F102" i="108"/>
  <c r="G102" i="108"/>
  <c r="H102" i="108"/>
  <c r="I102" i="108"/>
  <c r="J102" i="108"/>
  <c r="Z33" i="108" s="1"/>
  <c r="K102" i="108"/>
  <c r="AA33" i="108" s="1"/>
  <c r="L102" i="108"/>
  <c r="M102" i="108"/>
  <c r="AC33" i="108" s="1"/>
  <c r="N102" i="108"/>
  <c r="D103" i="108"/>
  <c r="E103" i="108"/>
  <c r="F103" i="108"/>
  <c r="G103" i="108"/>
  <c r="H103" i="108"/>
  <c r="X33" i="108" s="1"/>
  <c r="I103" i="108"/>
  <c r="J103" i="108"/>
  <c r="K103" i="108"/>
  <c r="L103" i="108"/>
  <c r="M103" i="108"/>
  <c r="N103" i="108"/>
  <c r="AD33" i="108" s="1"/>
  <c r="D104" i="108"/>
  <c r="T33" i="108" s="1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S22" i="108" s="1"/>
  <c r="C62" i="108"/>
  <c r="C63" i="108"/>
  <c r="C64" i="108"/>
  <c r="P64" i="108" s="1"/>
  <c r="C65" i="108"/>
  <c r="C66" i="108"/>
  <c r="C67" i="108"/>
  <c r="C68" i="108"/>
  <c r="C69" i="108"/>
  <c r="C70" i="108"/>
  <c r="C71" i="108"/>
  <c r="C72" i="108"/>
  <c r="P72" i="108" s="1"/>
  <c r="C73" i="108"/>
  <c r="C74" i="108"/>
  <c r="C75" i="108"/>
  <c r="C75" i="111" s="1"/>
  <c r="C76" i="108"/>
  <c r="C77" i="108"/>
  <c r="C78" i="108"/>
  <c r="C79" i="108"/>
  <c r="C80" i="108"/>
  <c r="P80" i="108" s="1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Z31" i="107"/>
  <c r="D58" i="107"/>
  <c r="E58" i="107"/>
  <c r="E58" i="111" s="1"/>
  <c r="F58" i="107"/>
  <c r="F58" i="111" s="1"/>
  <c r="G58" i="107"/>
  <c r="G58" i="111" s="1"/>
  <c r="H58" i="107"/>
  <c r="H58" i="111" s="1"/>
  <c r="I58" i="107"/>
  <c r="J58" i="107"/>
  <c r="K58" i="107"/>
  <c r="K58" i="111" s="1"/>
  <c r="L58" i="107"/>
  <c r="M58" i="107"/>
  <c r="N58" i="107"/>
  <c r="N58" i="111" s="1"/>
  <c r="D59" i="107"/>
  <c r="E59" i="107"/>
  <c r="E59" i="111" s="1"/>
  <c r="F59" i="107"/>
  <c r="G59" i="107"/>
  <c r="G59" i="111" s="1"/>
  <c r="H59" i="107"/>
  <c r="H59" i="111" s="1"/>
  <c r="I59" i="107"/>
  <c r="J59" i="107"/>
  <c r="J59" i="111" s="1"/>
  <c r="K59" i="107"/>
  <c r="K59" i="111" s="1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G60" i="107"/>
  <c r="G60" i="111" s="1"/>
  <c r="H60" i="107"/>
  <c r="H60" i="111" s="1"/>
  <c r="I60" i="107"/>
  <c r="J60" i="107"/>
  <c r="J60" i="111" s="1"/>
  <c r="K60" i="107"/>
  <c r="K60" i="111" s="1"/>
  <c r="L60" i="107"/>
  <c r="L60" i="111" s="1"/>
  <c r="M60" i="107"/>
  <c r="M60" i="111" s="1"/>
  <c r="N60" i="107"/>
  <c r="D61" i="107"/>
  <c r="D61" i="111" s="1"/>
  <c r="E61" i="107"/>
  <c r="E61" i="111" s="1"/>
  <c r="F61" i="107"/>
  <c r="G61" i="107"/>
  <c r="G61" i="111" s="1"/>
  <c r="H61" i="107"/>
  <c r="H61" i="111" s="1"/>
  <c r="I61" i="107"/>
  <c r="I61" i="111" s="1"/>
  <c r="J61" i="107"/>
  <c r="J61" i="111" s="1"/>
  <c r="K61" i="107"/>
  <c r="L61" i="107"/>
  <c r="L61" i="111" s="1"/>
  <c r="M61" i="107"/>
  <c r="M61" i="111" s="1"/>
  <c r="N61" i="107"/>
  <c r="N61" i="111" s="1"/>
  <c r="D62" i="107"/>
  <c r="E62" i="107"/>
  <c r="F62" i="107"/>
  <c r="F62" i="111" s="1"/>
  <c r="G62" i="107"/>
  <c r="G62" i="111" s="1"/>
  <c r="H62" i="107"/>
  <c r="I62" i="107"/>
  <c r="I62" i="111" s="1"/>
  <c r="J62" i="107"/>
  <c r="J62" i="111" s="1"/>
  <c r="K62" i="107"/>
  <c r="L62" i="107"/>
  <c r="M62" i="107"/>
  <c r="N62" i="107"/>
  <c r="D63" i="107"/>
  <c r="D63" i="111" s="1"/>
  <c r="E63" i="107"/>
  <c r="F63" i="107"/>
  <c r="G63" i="107"/>
  <c r="G63" i="111" s="1"/>
  <c r="H63" i="107"/>
  <c r="H63" i="111" s="1"/>
  <c r="I63" i="107"/>
  <c r="I63" i="111" s="1"/>
  <c r="J63" i="107"/>
  <c r="K63" i="107"/>
  <c r="K63" i="111" s="1"/>
  <c r="L63" i="107"/>
  <c r="L63" i="111" s="1"/>
  <c r="M63" i="107"/>
  <c r="N63" i="107"/>
  <c r="N63" i="111" s="1"/>
  <c r="D64" i="107"/>
  <c r="D64" i="111" s="1"/>
  <c r="E64" i="107"/>
  <c r="F64" i="107"/>
  <c r="F64" i="111" s="1"/>
  <c r="G64" i="107"/>
  <c r="G64" i="111" s="1"/>
  <c r="H64" i="107"/>
  <c r="H64" i="111" s="1"/>
  <c r="I64" i="107"/>
  <c r="I64" i="111" s="1"/>
  <c r="J64" i="107"/>
  <c r="K64" i="107"/>
  <c r="L64" i="107"/>
  <c r="L64" i="111" s="1"/>
  <c r="M64" i="107"/>
  <c r="N64" i="107"/>
  <c r="N64" i="111" s="1"/>
  <c r="D65" i="107"/>
  <c r="D65" i="111" s="1"/>
  <c r="E65" i="107"/>
  <c r="E65" i="111" s="1"/>
  <c r="F65" i="107"/>
  <c r="F65" i="111" s="1"/>
  <c r="G65" i="107"/>
  <c r="H65" i="107"/>
  <c r="H65" i="111" s="1"/>
  <c r="I65" i="107"/>
  <c r="I65" i="111" s="1"/>
  <c r="J65" i="107"/>
  <c r="K65" i="107"/>
  <c r="K65" i="111" s="1"/>
  <c r="L65" i="107"/>
  <c r="L65" i="111" s="1"/>
  <c r="M65" i="107"/>
  <c r="M65" i="111" s="1"/>
  <c r="N65" i="107"/>
  <c r="N65" i="111" s="1"/>
  <c r="D66" i="107"/>
  <c r="E66" i="107"/>
  <c r="E66" i="111" s="1"/>
  <c r="F66" i="107"/>
  <c r="G66" i="107"/>
  <c r="G66" i="111" s="1"/>
  <c r="H66" i="107"/>
  <c r="H66" i="111" s="1"/>
  <c r="I66" i="107"/>
  <c r="J66" i="107"/>
  <c r="J66" i="111" s="1"/>
  <c r="K66" i="107"/>
  <c r="K66" i="111" s="1"/>
  <c r="L66" i="107"/>
  <c r="M66" i="107"/>
  <c r="M66" i="111" s="1"/>
  <c r="N66" i="107"/>
  <c r="D67" i="107"/>
  <c r="E67" i="107"/>
  <c r="E67" i="111" s="1"/>
  <c r="F67" i="107"/>
  <c r="F67" i="111" s="1"/>
  <c r="G67" i="107"/>
  <c r="G67" i="111" s="1"/>
  <c r="H67" i="107"/>
  <c r="H67" i="111" s="1"/>
  <c r="I67" i="107"/>
  <c r="J67" i="107"/>
  <c r="J67" i="111" s="1"/>
  <c r="K67" i="107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G68" i="107"/>
  <c r="G68" i="111" s="1"/>
  <c r="H68" i="107"/>
  <c r="H68" i="111" s="1"/>
  <c r="I68" i="107"/>
  <c r="J68" i="107"/>
  <c r="J68" i="111" s="1"/>
  <c r="K68" i="107"/>
  <c r="K68" i="111" s="1"/>
  <c r="L68" i="107"/>
  <c r="L68" i="111" s="1"/>
  <c r="M68" i="107"/>
  <c r="M68" i="111" s="1"/>
  <c r="N68" i="107"/>
  <c r="D69" i="107"/>
  <c r="D69" i="111" s="1"/>
  <c r="E69" i="107"/>
  <c r="F69" i="107"/>
  <c r="G69" i="107"/>
  <c r="G69" i="111" s="1"/>
  <c r="H69" i="107"/>
  <c r="H69" i="111" s="1"/>
  <c r="I69" i="107"/>
  <c r="I69" i="111" s="1"/>
  <c r="J69" i="107"/>
  <c r="J69" i="111" s="1"/>
  <c r="K69" i="107"/>
  <c r="L69" i="107"/>
  <c r="L69" i="111" s="1"/>
  <c r="M69" i="107"/>
  <c r="M69" i="111" s="1"/>
  <c r="N69" i="107"/>
  <c r="D70" i="107"/>
  <c r="D70" i="111" s="1"/>
  <c r="E70" i="107"/>
  <c r="E70" i="111" s="1"/>
  <c r="F70" i="107"/>
  <c r="F70" i="111" s="1"/>
  <c r="G70" i="107"/>
  <c r="G70" i="111" s="1"/>
  <c r="H70" i="107"/>
  <c r="I70" i="107"/>
  <c r="I70" i="111" s="1"/>
  <c r="J70" i="107"/>
  <c r="J70" i="111" s="1"/>
  <c r="K70" i="107"/>
  <c r="K70" i="111" s="1"/>
  <c r="L70" i="107"/>
  <c r="L70" i="111" s="1"/>
  <c r="M70" i="107"/>
  <c r="N70" i="107"/>
  <c r="N70" i="111" s="1"/>
  <c r="D71" i="107"/>
  <c r="D71" i="111" s="1"/>
  <c r="E71" i="107"/>
  <c r="F71" i="107"/>
  <c r="F71" i="111" s="1"/>
  <c r="G71" i="107"/>
  <c r="H71" i="107"/>
  <c r="I71" i="107"/>
  <c r="I71" i="111" s="1"/>
  <c r="J71" i="107"/>
  <c r="K71" i="107"/>
  <c r="K71" i="111" s="1"/>
  <c r="L71" i="107"/>
  <c r="L71" i="111" s="1"/>
  <c r="M71" i="107"/>
  <c r="N71" i="107"/>
  <c r="N71" i="111" s="1"/>
  <c r="D72" i="107"/>
  <c r="D72" i="111" s="1"/>
  <c r="E72" i="107"/>
  <c r="F72" i="107"/>
  <c r="F72" i="111" s="1"/>
  <c r="G72" i="107"/>
  <c r="G72" i="111" s="1"/>
  <c r="H72" i="107"/>
  <c r="H72" i="111" s="1"/>
  <c r="I72" i="107"/>
  <c r="Y25" i="107" s="1"/>
  <c r="J72" i="107"/>
  <c r="K72" i="107"/>
  <c r="K72" i="111" s="1"/>
  <c r="L72" i="107"/>
  <c r="M72" i="107"/>
  <c r="N72" i="107"/>
  <c r="N72" i="111" s="1"/>
  <c r="D73" i="107"/>
  <c r="D73" i="111" s="1"/>
  <c r="E73" i="107"/>
  <c r="E73" i="111" s="1"/>
  <c r="F73" i="107"/>
  <c r="F73" i="111" s="1"/>
  <c r="G73" i="107"/>
  <c r="H73" i="107"/>
  <c r="H73" i="111" s="1"/>
  <c r="I73" i="107"/>
  <c r="I73" i="111" s="1"/>
  <c r="J73" i="107"/>
  <c r="K73" i="107"/>
  <c r="K73" i="111" s="1"/>
  <c r="L73" i="107"/>
  <c r="L73" i="111" s="1"/>
  <c r="M73" i="107"/>
  <c r="M73" i="111" s="1"/>
  <c r="N73" i="107"/>
  <c r="N73" i="111" s="1"/>
  <c r="D74" i="107"/>
  <c r="E74" i="107"/>
  <c r="E74" i="111" s="1"/>
  <c r="F74" i="107"/>
  <c r="F74" i="111" s="1"/>
  <c r="G74" i="107"/>
  <c r="H74" i="107"/>
  <c r="H74" i="111" s="1"/>
  <c r="I74" i="107"/>
  <c r="I74" i="111" s="1"/>
  <c r="J74" i="107"/>
  <c r="K74" i="107"/>
  <c r="K74" i="111" s="1"/>
  <c r="L74" i="107"/>
  <c r="M74" i="107"/>
  <c r="M74" i="111" s="1"/>
  <c r="N74" i="107"/>
  <c r="N74" i="111" s="1"/>
  <c r="D75" i="107"/>
  <c r="E75" i="107"/>
  <c r="E75" i="111" s="1"/>
  <c r="F75" i="107"/>
  <c r="G75" i="107"/>
  <c r="G75" i="111" s="1"/>
  <c r="H75" i="107"/>
  <c r="H75" i="111" s="1"/>
  <c r="I75" i="107"/>
  <c r="J75" i="107"/>
  <c r="J75" i="111" s="1"/>
  <c r="K75" i="107"/>
  <c r="L75" i="107"/>
  <c r="M75" i="107"/>
  <c r="M75" i="111" s="1"/>
  <c r="N75" i="107"/>
  <c r="D76" i="107"/>
  <c r="D76" i="111" s="1"/>
  <c r="E76" i="107"/>
  <c r="E76" i="111" s="1"/>
  <c r="U26" i="111" s="1"/>
  <c r="F76" i="107"/>
  <c r="G76" i="107"/>
  <c r="G76" i="111" s="1"/>
  <c r="H76" i="107"/>
  <c r="H76" i="111" s="1"/>
  <c r="I76" i="107"/>
  <c r="J76" i="107"/>
  <c r="J76" i="111" s="1"/>
  <c r="K76" i="107"/>
  <c r="K76" i="111" s="1"/>
  <c r="L76" i="107"/>
  <c r="L76" i="111" s="1"/>
  <c r="M76" i="107"/>
  <c r="M76" i="111" s="1"/>
  <c r="N76" i="107"/>
  <c r="D77" i="107"/>
  <c r="E77" i="107"/>
  <c r="F77" i="107"/>
  <c r="G77" i="107"/>
  <c r="G77" i="111" s="1"/>
  <c r="H77" i="107"/>
  <c r="H77" i="111" s="1"/>
  <c r="I77" i="107"/>
  <c r="I77" i="111" s="1"/>
  <c r="J77" i="107"/>
  <c r="J77" i="111" s="1"/>
  <c r="K77" i="107"/>
  <c r="L77" i="107"/>
  <c r="L77" i="111" s="1"/>
  <c r="M77" i="107"/>
  <c r="N77" i="107"/>
  <c r="D78" i="107"/>
  <c r="E78" i="107"/>
  <c r="E78" i="111" s="1"/>
  <c r="F78" i="107"/>
  <c r="F78" i="111" s="1"/>
  <c r="G78" i="107"/>
  <c r="G78" i="111" s="1"/>
  <c r="H78" i="107"/>
  <c r="I78" i="107"/>
  <c r="I78" i="111" s="1"/>
  <c r="J78" i="107"/>
  <c r="J78" i="111" s="1"/>
  <c r="K78" i="107"/>
  <c r="L78" i="107"/>
  <c r="M78" i="107"/>
  <c r="N78" i="107"/>
  <c r="N78" i="111" s="1"/>
  <c r="D79" i="107"/>
  <c r="D79" i="111" s="1"/>
  <c r="E79" i="107"/>
  <c r="F79" i="107"/>
  <c r="F79" i="111" s="1"/>
  <c r="G79" i="107"/>
  <c r="H79" i="107"/>
  <c r="I79" i="107"/>
  <c r="I79" i="111" s="1"/>
  <c r="J79" i="107"/>
  <c r="K79" i="107"/>
  <c r="K79" i="111" s="1"/>
  <c r="L79" i="107"/>
  <c r="L79" i="111" s="1"/>
  <c r="M79" i="107"/>
  <c r="N79" i="107"/>
  <c r="N79" i="111" s="1"/>
  <c r="D80" i="107"/>
  <c r="E80" i="107"/>
  <c r="F80" i="107"/>
  <c r="F80" i="111" s="1"/>
  <c r="G80" i="107"/>
  <c r="G80" i="111" s="1"/>
  <c r="H80" i="107"/>
  <c r="H80" i="111" s="1"/>
  <c r="I80" i="107"/>
  <c r="I80" i="111" s="1"/>
  <c r="J80" i="107"/>
  <c r="K80" i="107"/>
  <c r="L80" i="107"/>
  <c r="M80" i="107"/>
  <c r="N80" i="107"/>
  <c r="N80" i="111" s="1"/>
  <c r="D81" i="107"/>
  <c r="D81" i="111" s="1"/>
  <c r="E81" i="107"/>
  <c r="E81" i="111" s="1"/>
  <c r="F81" i="107"/>
  <c r="F81" i="111" s="1"/>
  <c r="G81" i="107"/>
  <c r="H81" i="107"/>
  <c r="H81" i="111" s="1"/>
  <c r="I81" i="107"/>
  <c r="J81" i="107"/>
  <c r="K81" i="107"/>
  <c r="K81" i="111" s="1"/>
  <c r="L81" i="107"/>
  <c r="L81" i="111" s="1"/>
  <c r="M81" i="107"/>
  <c r="M81" i="111" s="1"/>
  <c r="N81" i="107"/>
  <c r="N81" i="111" s="1"/>
  <c r="D82" i="107"/>
  <c r="E82" i="107"/>
  <c r="E82" i="111" s="1"/>
  <c r="F82" i="107"/>
  <c r="G82" i="107"/>
  <c r="H82" i="107"/>
  <c r="H82" i="111" s="1"/>
  <c r="I82" i="107"/>
  <c r="I82" i="111" s="1"/>
  <c r="J82" i="107"/>
  <c r="J82" i="111" s="1"/>
  <c r="K82" i="107"/>
  <c r="K82" i="111" s="1"/>
  <c r="L82" i="107"/>
  <c r="M82" i="107"/>
  <c r="N82" i="107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J83" i="107"/>
  <c r="J83" i="111" s="1"/>
  <c r="K83" i="107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G84" i="107"/>
  <c r="G84" i="111" s="1"/>
  <c r="H84" i="107"/>
  <c r="I84" i="107"/>
  <c r="J84" i="107"/>
  <c r="J84" i="111" s="1"/>
  <c r="K84" i="107"/>
  <c r="K84" i="111" s="1"/>
  <c r="L84" i="107"/>
  <c r="L84" i="111" s="1"/>
  <c r="M84" i="107"/>
  <c r="M84" i="111" s="1"/>
  <c r="N84" i="107"/>
  <c r="D85" i="107"/>
  <c r="E85" i="107"/>
  <c r="F85" i="107"/>
  <c r="G85" i="107"/>
  <c r="G85" i="111" s="1"/>
  <c r="H85" i="107"/>
  <c r="H85" i="111" s="1"/>
  <c r="I85" i="107"/>
  <c r="I85" i="111" s="1"/>
  <c r="J85" i="107"/>
  <c r="J85" i="111" s="1"/>
  <c r="K85" i="107"/>
  <c r="L85" i="107"/>
  <c r="L85" i="111" s="1"/>
  <c r="M85" i="107"/>
  <c r="N85" i="107"/>
  <c r="D86" i="107"/>
  <c r="D86" i="111" s="1"/>
  <c r="E86" i="107"/>
  <c r="E86" i="111" s="1"/>
  <c r="F86" i="107"/>
  <c r="F86" i="111" s="1"/>
  <c r="G86" i="107"/>
  <c r="W29" i="107" s="1"/>
  <c r="H86" i="107"/>
  <c r="I86" i="107"/>
  <c r="I86" i="111" s="1"/>
  <c r="J86" i="107"/>
  <c r="K86" i="107"/>
  <c r="K86" i="111" s="1"/>
  <c r="L86" i="107"/>
  <c r="L86" i="111" s="1"/>
  <c r="M86" i="107"/>
  <c r="N86" i="107"/>
  <c r="D87" i="107"/>
  <c r="D87" i="111" s="1"/>
  <c r="E87" i="107"/>
  <c r="F87" i="107"/>
  <c r="F87" i="111" s="1"/>
  <c r="G87" i="107"/>
  <c r="H87" i="107"/>
  <c r="I87" i="107"/>
  <c r="I87" i="111" s="1"/>
  <c r="J87" i="107"/>
  <c r="J87" i="111" s="1"/>
  <c r="K87" i="107"/>
  <c r="K87" i="111" s="1"/>
  <c r="L87" i="107"/>
  <c r="L87" i="111" s="1"/>
  <c r="M87" i="107"/>
  <c r="N87" i="107"/>
  <c r="N87" i="111" s="1"/>
  <c r="D88" i="107"/>
  <c r="E88" i="107"/>
  <c r="F88" i="107"/>
  <c r="F88" i="111" s="1"/>
  <c r="G88" i="107"/>
  <c r="G88" i="111" s="1"/>
  <c r="H88" i="107"/>
  <c r="H88" i="111" s="1"/>
  <c r="I88" i="107"/>
  <c r="I88" i="111" s="1"/>
  <c r="J88" i="107"/>
  <c r="K88" i="107"/>
  <c r="K88" i="111" s="1"/>
  <c r="L88" i="107"/>
  <c r="M88" i="107"/>
  <c r="N88" i="107"/>
  <c r="N88" i="111" s="1"/>
  <c r="D89" i="107"/>
  <c r="D89" i="111" s="1"/>
  <c r="E89" i="107"/>
  <c r="E89" i="111" s="1"/>
  <c r="F89" i="107"/>
  <c r="F89" i="111" s="1"/>
  <c r="G89" i="107"/>
  <c r="H89" i="107"/>
  <c r="I89" i="107"/>
  <c r="J89" i="107"/>
  <c r="K89" i="107"/>
  <c r="K89" i="111" s="1"/>
  <c r="L89" i="107"/>
  <c r="L89" i="111" s="1"/>
  <c r="M89" i="107"/>
  <c r="M89" i="111" s="1"/>
  <c r="N89" i="107"/>
  <c r="N89" i="111" s="1"/>
  <c r="D90" i="107"/>
  <c r="E90" i="107"/>
  <c r="E90" i="111" s="1"/>
  <c r="F90" i="107"/>
  <c r="G90" i="107"/>
  <c r="H90" i="107"/>
  <c r="H90" i="111" s="1"/>
  <c r="I90" i="107"/>
  <c r="J90" i="107"/>
  <c r="K90" i="107"/>
  <c r="L90" i="107"/>
  <c r="M90" i="107"/>
  <c r="M90" i="111" s="1"/>
  <c r="N90" i="107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J91" i="107"/>
  <c r="J91" i="111" s="1"/>
  <c r="K91" i="107"/>
  <c r="L91" i="107"/>
  <c r="M91" i="107"/>
  <c r="M91" i="111" s="1"/>
  <c r="N91" i="107"/>
  <c r="N91" i="111" s="1"/>
  <c r="D92" i="107"/>
  <c r="D92" i="111" s="1"/>
  <c r="E92" i="107"/>
  <c r="E92" i="111" s="1"/>
  <c r="U30" i="111" s="1"/>
  <c r="F92" i="107"/>
  <c r="G92" i="107"/>
  <c r="G92" i="111" s="1"/>
  <c r="H92" i="107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D93" i="107"/>
  <c r="D93" i="111" s="1"/>
  <c r="E93" i="107"/>
  <c r="F93" i="107"/>
  <c r="G93" i="107"/>
  <c r="G93" i="111" s="1"/>
  <c r="H93" i="107"/>
  <c r="H93" i="111" s="1"/>
  <c r="I93" i="107"/>
  <c r="I93" i="111" s="1"/>
  <c r="J93" i="107"/>
  <c r="J93" i="111" s="1"/>
  <c r="K93" i="107"/>
  <c r="L93" i="107"/>
  <c r="L93" i="111" s="1"/>
  <c r="M93" i="107"/>
  <c r="N93" i="107"/>
  <c r="D94" i="107"/>
  <c r="E94" i="107"/>
  <c r="F94" i="107"/>
  <c r="G94" i="107"/>
  <c r="W31" i="107" s="1"/>
  <c r="H94" i="107"/>
  <c r="I94" i="107"/>
  <c r="I94" i="111" s="1"/>
  <c r="J94" i="107"/>
  <c r="K94" i="107"/>
  <c r="L94" i="107"/>
  <c r="M94" i="107"/>
  <c r="M94" i="111" s="1"/>
  <c r="N94" i="107"/>
  <c r="N94" i="111" s="1"/>
  <c r="D95" i="107"/>
  <c r="D95" i="111" s="1"/>
  <c r="E95" i="107"/>
  <c r="F95" i="107"/>
  <c r="F95" i="111" s="1"/>
  <c r="G95" i="107"/>
  <c r="H95" i="107"/>
  <c r="I95" i="107"/>
  <c r="I95" i="111" s="1"/>
  <c r="J95" i="107"/>
  <c r="J95" i="111" s="1"/>
  <c r="K95" i="107"/>
  <c r="K95" i="111" s="1"/>
  <c r="L95" i="107"/>
  <c r="L95" i="111" s="1"/>
  <c r="M95" i="107"/>
  <c r="N95" i="107"/>
  <c r="N95" i="111" s="1"/>
  <c r="D96" i="107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K96" i="107"/>
  <c r="K96" i="111" s="1"/>
  <c r="L96" i="107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H97" i="107"/>
  <c r="H97" i="111" s="1"/>
  <c r="I97" i="107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E98" i="107"/>
  <c r="F98" i="107"/>
  <c r="G98" i="107"/>
  <c r="G98" i="111" s="1"/>
  <c r="H98" i="107"/>
  <c r="H98" i="111" s="1"/>
  <c r="I98" i="107"/>
  <c r="I98" i="111" s="1"/>
  <c r="J98" i="107"/>
  <c r="J98" i="111" s="1"/>
  <c r="K98" i="107"/>
  <c r="AA32" i="107" s="1"/>
  <c r="L98" i="107"/>
  <c r="M98" i="107"/>
  <c r="N98" i="107"/>
  <c r="D99" i="107"/>
  <c r="E99" i="107"/>
  <c r="E99" i="111" s="1"/>
  <c r="F99" i="107"/>
  <c r="F99" i="111" s="1"/>
  <c r="G99" i="107"/>
  <c r="G99" i="111" s="1"/>
  <c r="H99" i="107"/>
  <c r="H99" i="111" s="1"/>
  <c r="I99" i="107"/>
  <c r="J99" i="107"/>
  <c r="J99" i="111" s="1"/>
  <c r="K99" i="107"/>
  <c r="L99" i="107"/>
  <c r="M99" i="107"/>
  <c r="M99" i="111" s="1"/>
  <c r="N99" i="107"/>
  <c r="N99" i="111" s="1"/>
  <c r="D100" i="107"/>
  <c r="D100" i="111" s="1"/>
  <c r="E100" i="107"/>
  <c r="E100" i="111" s="1"/>
  <c r="F100" i="107"/>
  <c r="G100" i="107"/>
  <c r="G100" i="111" s="1"/>
  <c r="H100" i="107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L101" i="107"/>
  <c r="L101" i="111" s="1"/>
  <c r="M101" i="107"/>
  <c r="N101" i="107"/>
  <c r="N101" i="111" s="1"/>
  <c r="D102" i="107"/>
  <c r="E102" i="107"/>
  <c r="E102" i="111" s="1"/>
  <c r="U33" i="111" s="1"/>
  <c r="F102" i="107"/>
  <c r="F102" i="111" s="1"/>
  <c r="G102" i="107"/>
  <c r="H102" i="107"/>
  <c r="I102" i="107"/>
  <c r="I102" i="111" s="1"/>
  <c r="J102" i="107"/>
  <c r="K102" i="107"/>
  <c r="L102" i="107"/>
  <c r="M102" i="107"/>
  <c r="M102" i="111" s="1"/>
  <c r="N102" i="107"/>
  <c r="N102" i="111" s="1"/>
  <c r="D103" i="107"/>
  <c r="D103" i="111" s="1"/>
  <c r="E103" i="107"/>
  <c r="E103" i="111" s="1"/>
  <c r="F103" i="107"/>
  <c r="F103" i="111" s="1"/>
  <c r="G103" i="107"/>
  <c r="H103" i="107"/>
  <c r="H103" i="111" s="1"/>
  <c r="I103" i="107"/>
  <c r="I103" i="111" s="1"/>
  <c r="J103" i="107"/>
  <c r="K103" i="107"/>
  <c r="K103" i="111" s="1"/>
  <c r="L103" i="107"/>
  <c r="L103" i="111" s="1"/>
  <c r="M103" i="107"/>
  <c r="N103" i="107"/>
  <c r="N103" i="111" s="1"/>
  <c r="D104" i="107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K104" i="107"/>
  <c r="K104" i="111" s="1"/>
  <c r="L104" i="107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J105" i="107"/>
  <c r="J105" i="111" s="1"/>
  <c r="K105" i="107"/>
  <c r="K105" i="111" s="1"/>
  <c r="L105" i="107"/>
  <c r="M105" i="107"/>
  <c r="M105" i="111" s="1"/>
  <c r="N105" i="107"/>
  <c r="N105" i="111" s="1"/>
  <c r="C59" i="107"/>
  <c r="C60" i="107"/>
  <c r="C61" i="107"/>
  <c r="C62" i="107"/>
  <c r="C63" i="107"/>
  <c r="C64" i="107"/>
  <c r="C65" i="107"/>
  <c r="P65" i="107" s="1"/>
  <c r="C66" i="107"/>
  <c r="C67" i="107"/>
  <c r="C68" i="107"/>
  <c r="C69" i="107"/>
  <c r="C70" i="107"/>
  <c r="C71" i="107"/>
  <c r="C72" i="107"/>
  <c r="C73" i="107"/>
  <c r="C74" i="107"/>
  <c r="P74" i="107" s="1"/>
  <c r="C75" i="107"/>
  <c r="C76" i="107"/>
  <c r="C77" i="107"/>
  <c r="C78" i="107"/>
  <c r="C79" i="107"/>
  <c r="C79" i="111" s="1"/>
  <c r="C80" i="107"/>
  <c r="C81" i="107"/>
  <c r="C81" i="111" s="1"/>
  <c r="C82" i="107"/>
  <c r="C83" i="107"/>
  <c r="C83" i="111" s="1"/>
  <c r="C84" i="107"/>
  <c r="C85" i="107"/>
  <c r="C86" i="107"/>
  <c r="C87" i="107"/>
  <c r="C87" i="111" s="1"/>
  <c r="C88" i="107"/>
  <c r="C89" i="107"/>
  <c r="C89" i="111" s="1"/>
  <c r="C90" i="107"/>
  <c r="C91" i="107"/>
  <c r="C91" i="111" s="1"/>
  <c r="C92" i="107"/>
  <c r="C93" i="107"/>
  <c r="C94" i="107"/>
  <c r="C95" i="107"/>
  <c r="C95" i="111" s="1"/>
  <c r="C96" i="107"/>
  <c r="C97" i="107"/>
  <c r="C97" i="111" s="1"/>
  <c r="C98" i="107"/>
  <c r="C99" i="107"/>
  <c r="C100" i="107"/>
  <c r="C101" i="107"/>
  <c r="C102" i="107"/>
  <c r="C103" i="107"/>
  <c r="C103" i="111" s="1"/>
  <c r="C104" i="107"/>
  <c r="C105" i="107"/>
  <c r="C105" i="111" s="1"/>
  <c r="C58" i="107"/>
  <c r="P58" i="107" l="1"/>
  <c r="C58" i="111"/>
  <c r="G102" i="111"/>
  <c r="W33" i="111" s="1"/>
  <c r="W33" i="107"/>
  <c r="AD33" i="111"/>
  <c r="F94" i="111"/>
  <c r="V31" i="111" s="1"/>
  <c r="V31" i="107"/>
  <c r="J90" i="111"/>
  <c r="Z30" i="111" s="1"/>
  <c r="Z30" i="107"/>
  <c r="V29" i="111"/>
  <c r="V27" i="111"/>
  <c r="Z26" i="107"/>
  <c r="J74" i="111"/>
  <c r="Z26" i="111" s="1"/>
  <c r="AD25" i="111"/>
  <c r="Z24" i="111"/>
  <c r="N62" i="111"/>
  <c r="AD23" i="111" s="1"/>
  <c r="AD23" i="107"/>
  <c r="T22" i="107"/>
  <c r="S26" i="107"/>
  <c r="U30" i="107"/>
  <c r="P96" i="107"/>
  <c r="P72" i="107"/>
  <c r="C72" i="111"/>
  <c r="L105" i="111"/>
  <c r="AC33" i="111"/>
  <c r="Y32" i="111"/>
  <c r="M86" i="111"/>
  <c r="AC29" i="107"/>
  <c r="J79" i="111"/>
  <c r="Z27" i="107"/>
  <c r="M78" i="111"/>
  <c r="AC27" i="107"/>
  <c r="N75" i="111"/>
  <c r="AD26" i="107"/>
  <c r="F75" i="111"/>
  <c r="V26" i="111" s="1"/>
  <c r="V26" i="107"/>
  <c r="J71" i="111"/>
  <c r="Z25" i="107"/>
  <c r="M70" i="111"/>
  <c r="AC25" i="107"/>
  <c r="U25" i="111"/>
  <c r="I66" i="111"/>
  <c r="Y24" i="107"/>
  <c r="J63" i="111"/>
  <c r="Z23" i="107"/>
  <c r="M62" i="111"/>
  <c r="AC23" i="107"/>
  <c r="E62" i="111"/>
  <c r="U23" i="107"/>
  <c r="F59" i="111"/>
  <c r="V22" i="107"/>
  <c r="I58" i="111"/>
  <c r="Y22" i="107"/>
  <c r="U22" i="107"/>
  <c r="Y23" i="107"/>
  <c r="AC24" i="107"/>
  <c r="T26" i="107"/>
  <c r="X27" i="107"/>
  <c r="AB28" i="107"/>
  <c r="V30" i="107"/>
  <c r="AD31" i="107"/>
  <c r="V33" i="107"/>
  <c r="S30" i="108"/>
  <c r="T33" i="111"/>
  <c r="I72" i="111"/>
  <c r="Y25" i="111" s="1"/>
  <c r="P103" i="111"/>
  <c r="P71" i="107"/>
  <c r="C71" i="111"/>
  <c r="P63" i="107"/>
  <c r="C63" i="111"/>
  <c r="L102" i="111"/>
  <c r="AB33" i="111" s="1"/>
  <c r="AB33" i="107"/>
  <c r="L94" i="111"/>
  <c r="AB31" i="107"/>
  <c r="D94" i="111"/>
  <c r="T31" i="107"/>
  <c r="AA22" i="107"/>
  <c r="U25" i="107"/>
  <c r="Y26" i="107"/>
  <c r="AD27" i="107"/>
  <c r="U29" i="107"/>
  <c r="AC30" i="107"/>
  <c r="W32" i="107"/>
  <c r="AC33" i="107"/>
  <c r="C96" i="111"/>
  <c r="P98" i="107"/>
  <c r="C98" i="111"/>
  <c r="S32" i="107"/>
  <c r="P82" i="107"/>
  <c r="C82" i="111"/>
  <c r="P66" i="107"/>
  <c r="C66" i="111"/>
  <c r="K90" i="111"/>
  <c r="AA30" i="107"/>
  <c r="P73" i="107"/>
  <c r="C73" i="111"/>
  <c r="V33" i="111"/>
  <c r="AD31" i="111"/>
  <c r="AD27" i="111"/>
  <c r="Z22" i="107"/>
  <c r="J58" i="111"/>
  <c r="Z22" i="111" s="1"/>
  <c r="AB24" i="107"/>
  <c r="AA28" i="107"/>
  <c r="AC31" i="107"/>
  <c r="P104" i="107"/>
  <c r="C104" i="111"/>
  <c r="P104" i="111" s="1"/>
  <c r="P80" i="107"/>
  <c r="C80" i="111"/>
  <c r="Z33" i="107"/>
  <c r="J103" i="111"/>
  <c r="E94" i="111"/>
  <c r="U31" i="107"/>
  <c r="I90" i="111"/>
  <c r="Y30" i="111" s="1"/>
  <c r="Y30" i="107"/>
  <c r="P102" i="107"/>
  <c r="AF33" i="107" s="1"/>
  <c r="C102" i="111"/>
  <c r="P94" i="107"/>
  <c r="C94" i="111"/>
  <c r="S31" i="107"/>
  <c r="P86" i="107"/>
  <c r="C86" i="111"/>
  <c r="S29" i="107"/>
  <c r="P78" i="107"/>
  <c r="C78" i="111"/>
  <c r="S27" i="107"/>
  <c r="P70" i="107"/>
  <c r="C70" i="111"/>
  <c r="S25" i="107"/>
  <c r="P62" i="107"/>
  <c r="C62" i="111"/>
  <c r="S23" i="107"/>
  <c r="K102" i="111"/>
  <c r="AA33" i="111" s="1"/>
  <c r="AA33" i="107"/>
  <c r="L99" i="111"/>
  <c r="AB32" i="107"/>
  <c r="D99" i="111"/>
  <c r="T32" i="107"/>
  <c r="W32" i="111"/>
  <c r="H95" i="111"/>
  <c r="X31" i="107"/>
  <c r="W30" i="107"/>
  <c r="AA29" i="111"/>
  <c r="W28" i="107"/>
  <c r="W26" i="107"/>
  <c r="AA25" i="111"/>
  <c r="W24" i="111"/>
  <c r="AA23" i="107"/>
  <c r="W22" i="111"/>
  <c r="AB22" i="107"/>
  <c r="V25" i="107"/>
  <c r="AA26" i="107"/>
  <c r="V29" i="107"/>
  <c r="AD30" i="107"/>
  <c r="X32" i="107"/>
  <c r="AD33" i="107"/>
  <c r="C74" i="111"/>
  <c r="K98" i="111"/>
  <c r="U24" i="111"/>
  <c r="AD22" i="107"/>
  <c r="T24" i="107"/>
  <c r="AC26" i="107"/>
  <c r="S28" i="107"/>
  <c r="Z29" i="107"/>
  <c r="Z32" i="107"/>
  <c r="C65" i="111"/>
  <c r="G86" i="111"/>
  <c r="P90" i="107"/>
  <c r="C90" i="111"/>
  <c r="P81" i="111"/>
  <c r="Z32" i="111"/>
  <c r="N86" i="111"/>
  <c r="AD29" i="111" s="1"/>
  <c r="AD29" i="107"/>
  <c r="Z28" i="111"/>
  <c r="V25" i="111"/>
  <c r="V23" i="111"/>
  <c r="X23" i="107"/>
  <c r="W27" i="107"/>
  <c r="U33" i="107"/>
  <c r="P88" i="107"/>
  <c r="C88" i="111"/>
  <c r="P64" i="107"/>
  <c r="C64" i="111"/>
  <c r="C85" i="111"/>
  <c r="I105" i="111"/>
  <c r="O105" i="111" s="1"/>
  <c r="J102" i="111"/>
  <c r="H100" i="111"/>
  <c r="X32" i="111" s="1"/>
  <c r="D96" i="111"/>
  <c r="J94" i="111"/>
  <c r="H92" i="111"/>
  <c r="N90" i="111"/>
  <c r="AD30" i="111" s="1"/>
  <c r="AD26" i="111"/>
  <c r="AC22" i="107"/>
  <c r="S24" i="107"/>
  <c r="W25" i="107"/>
  <c r="AB26" i="107"/>
  <c r="Y29" i="107"/>
  <c r="Y32" i="107"/>
  <c r="P104" i="108"/>
  <c r="P96" i="108"/>
  <c r="P88" i="108"/>
  <c r="X33" i="107"/>
  <c r="V23" i="107"/>
  <c r="Z24" i="107"/>
  <c r="AD25" i="107"/>
  <c r="U27" i="107"/>
  <c r="Y28" i="107"/>
  <c r="S30" i="107"/>
  <c r="Y31" i="107"/>
  <c r="S33" i="107"/>
  <c r="P102" i="108"/>
  <c r="S33" i="108"/>
  <c r="P94" i="108"/>
  <c r="S31" i="108"/>
  <c r="P86" i="108"/>
  <c r="S29" i="108"/>
  <c r="P78" i="108"/>
  <c r="S27" i="108"/>
  <c r="P70" i="108"/>
  <c r="S25" i="108"/>
  <c r="P62" i="108"/>
  <c r="S23" i="108"/>
  <c r="S22" i="107"/>
  <c r="W23" i="107"/>
  <c r="AA24" i="107"/>
  <c r="V27" i="107"/>
  <c r="Z28" i="107"/>
  <c r="T30" i="107"/>
  <c r="T33" i="107"/>
  <c r="D80" i="111"/>
  <c r="T27" i="108"/>
  <c r="G94" i="111"/>
  <c r="X30" i="111"/>
  <c r="AB29" i="111"/>
  <c r="T29" i="111"/>
  <c r="X28" i="111"/>
  <c r="L78" i="111"/>
  <c r="AB27" i="107"/>
  <c r="D78" i="111"/>
  <c r="T27" i="111" s="1"/>
  <c r="T27" i="107"/>
  <c r="X26" i="111"/>
  <c r="AB25" i="111"/>
  <c r="T25" i="111"/>
  <c r="X24" i="111"/>
  <c r="L62" i="111"/>
  <c r="AB23" i="111" s="1"/>
  <c r="AB23" i="107"/>
  <c r="D62" i="111"/>
  <c r="T23" i="111" s="1"/>
  <c r="T23" i="107"/>
  <c r="X22" i="111"/>
  <c r="U24" i="107"/>
  <c r="U26" i="107"/>
  <c r="Y27" i="107"/>
  <c r="T28" i="107"/>
  <c r="AA29" i="107"/>
  <c r="Y33" i="107"/>
  <c r="P100" i="108"/>
  <c r="P92" i="108"/>
  <c r="P84" i="108"/>
  <c r="P76" i="108"/>
  <c r="P68" i="108"/>
  <c r="P60" i="108"/>
  <c r="Y33" i="108"/>
  <c r="AC32" i="108"/>
  <c r="U32" i="108"/>
  <c r="Y31" i="108"/>
  <c r="AC30" i="108"/>
  <c r="U30" i="108"/>
  <c r="Y29" i="108"/>
  <c r="AC28" i="108"/>
  <c r="U28" i="108"/>
  <c r="Y27" i="108"/>
  <c r="AC26" i="108"/>
  <c r="U26" i="108"/>
  <c r="G90" i="111"/>
  <c r="W30" i="111" s="1"/>
  <c r="M72" i="111"/>
  <c r="M64" i="111"/>
  <c r="T30" i="108"/>
  <c r="X29" i="108"/>
  <c r="X27" i="108"/>
  <c r="AB26" i="108"/>
  <c r="AB24" i="108"/>
  <c r="T24" i="108"/>
  <c r="X23" i="108"/>
  <c r="Y22" i="108"/>
  <c r="T22" i="108"/>
  <c r="AC22" i="111"/>
  <c r="K94" i="111"/>
  <c r="AA31" i="111" s="1"/>
  <c r="AA31" i="107"/>
  <c r="M88" i="111"/>
  <c r="H87" i="111"/>
  <c r="O87" i="111" s="1"/>
  <c r="M80" i="111"/>
  <c r="E80" i="111"/>
  <c r="K78" i="111"/>
  <c r="AA27" i="111" s="1"/>
  <c r="F77" i="111"/>
  <c r="D75" i="111"/>
  <c r="P75" i="111" s="1"/>
  <c r="J73" i="111"/>
  <c r="H71" i="111"/>
  <c r="N69" i="111"/>
  <c r="O69" i="111" s="1"/>
  <c r="E64" i="111"/>
  <c r="D59" i="111"/>
  <c r="W22" i="107"/>
  <c r="U28" i="107"/>
  <c r="AB29" i="107"/>
  <c r="T32" i="108"/>
  <c r="C93" i="111"/>
  <c r="P77" i="107"/>
  <c r="C77" i="111"/>
  <c r="P61" i="107"/>
  <c r="C61" i="111"/>
  <c r="D104" i="111"/>
  <c r="G103" i="111"/>
  <c r="M101" i="111"/>
  <c r="E101" i="111"/>
  <c r="K99" i="111"/>
  <c r="O99" i="111" s="1"/>
  <c r="AD32" i="107"/>
  <c r="F98" i="111"/>
  <c r="V32" i="111" s="1"/>
  <c r="V32" i="107"/>
  <c r="I97" i="111"/>
  <c r="L96" i="111"/>
  <c r="G95" i="111"/>
  <c r="M93" i="111"/>
  <c r="K91" i="111"/>
  <c r="O91" i="111" s="1"/>
  <c r="F90" i="111"/>
  <c r="I89" i="111"/>
  <c r="Y29" i="111" s="1"/>
  <c r="L88" i="111"/>
  <c r="D88" i="111"/>
  <c r="G87" i="111"/>
  <c r="J86" i="111"/>
  <c r="Z29" i="111" s="1"/>
  <c r="M85" i="111"/>
  <c r="E85" i="111"/>
  <c r="U28" i="111" s="1"/>
  <c r="H84" i="111"/>
  <c r="K83" i="111"/>
  <c r="AA28" i="111" s="1"/>
  <c r="AD28" i="107"/>
  <c r="N82" i="111"/>
  <c r="F82" i="111"/>
  <c r="V28" i="107"/>
  <c r="I81" i="111"/>
  <c r="Y27" i="111" s="1"/>
  <c r="L80" i="111"/>
  <c r="G79" i="111"/>
  <c r="W27" i="111" s="1"/>
  <c r="M77" i="111"/>
  <c r="N66" i="111"/>
  <c r="AD24" i="107"/>
  <c r="F66" i="111"/>
  <c r="V24" i="111" s="1"/>
  <c r="V24" i="107"/>
  <c r="X22" i="107"/>
  <c r="X24" i="107"/>
  <c r="AB25" i="107"/>
  <c r="AA27" i="107"/>
  <c r="S28" i="108"/>
  <c r="AB33" i="108"/>
  <c r="W33" i="108"/>
  <c r="T31" i="108"/>
  <c r="W31" i="108"/>
  <c r="AA30" i="108"/>
  <c r="W29" i="108"/>
  <c r="X28" i="108"/>
  <c r="AA28" i="108"/>
  <c r="AA26" i="108"/>
  <c r="AB25" i="108"/>
  <c r="X22" i="108"/>
  <c r="AA22" i="108"/>
  <c r="F93" i="111"/>
  <c r="L91" i="111"/>
  <c r="E88" i="111"/>
  <c r="N85" i="111"/>
  <c r="I84" i="111"/>
  <c r="G82" i="111"/>
  <c r="W28" i="111" s="1"/>
  <c r="H79" i="111"/>
  <c r="N77" i="111"/>
  <c r="I76" i="111"/>
  <c r="L75" i="111"/>
  <c r="G74" i="111"/>
  <c r="W26" i="111" s="1"/>
  <c r="E72" i="111"/>
  <c r="I68" i="111"/>
  <c r="O68" i="111" s="1"/>
  <c r="D67" i="111"/>
  <c r="O67" i="111" s="1"/>
  <c r="J65" i="111"/>
  <c r="O65" i="111" s="1"/>
  <c r="K62" i="111"/>
  <c r="AA23" i="111" s="1"/>
  <c r="F61" i="111"/>
  <c r="W24" i="107"/>
  <c r="AA25" i="107"/>
  <c r="X30" i="107"/>
  <c r="AB32" i="108"/>
  <c r="C101" i="111"/>
  <c r="P69" i="107"/>
  <c r="C69" i="111"/>
  <c r="L104" i="111"/>
  <c r="P100" i="107"/>
  <c r="C100" i="111"/>
  <c r="P100" i="111" s="1"/>
  <c r="P92" i="107"/>
  <c r="C92" i="111"/>
  <c r="P92" i="111" s="1"/>
  <c r="P84" i="107"/>
  <c r="C84" i="111"/>
  <c r="P84" i="111" s="1"/>
  <c r="P76" i="107"/>
  <c r="C76" i="111"/>
  <c r="P68" i="107"/>
  <c r="C68" i="111"/>
  <c r="P60" i="107"/>
  <c r="C60" i="111"/>
  <c r="O60" i="111" s="1"/>
  <c r="M98" i="111"/>
  <c r="AC32" i="111" s="1"/>
  <c r="AC32" i="107"/>
  <c r="E98" i="111"/>
  <c r="U32" i="107"/>
  <c r="Y31" i="111"/>
  <c r="AC30" i="111"/>
  <c r="M82" i="111"/>
  <c r="AC28" i="111" s="1"/>
  <c r="AC28" i="107"/>
  <c r="AC26" i="111"/>
  <c r="AC24" i="111"/>
  <c r="Y23" i="111"/>
  <c r="U22" i="111"/>
  <c r="T25" i="107"/>
  <c r="X26" i="107"/>
  <c r="X28" i="107"/>
  <c r="T29" i="107"/>
  <c r="AB30" i="107"/>
  <c r="V23" i="108"/>
  <c r="U31" i="108"/>
  <c r="Y30" i="108"/>
  <c r="AC29" i="108"/>
  <c r="Y28" i="108"/>
  <c r="AC27" i="108"/>
  <c r="U27" i="108"/>
  <c r="AC25" i="108"/>
  <c r="U25" i="108"/>
  <c r="Y24" i="108"/>
  <c r="W23" i="108"/>
  <c r="U23" i="108"/>
  <c r="N98" i="111"/>
  <c r="AD32" i="111" s="1"/>
  <c r="P58" i="108"/>
  <c r="AF22" i="108" s="1"/>
  <c r="P98" i="108"/>
  <c r="P90" i="108"/>
  <c r="P82" i="108"/>
  <c r="P74" i="108"/>
  <c r="P66" i="108"/>
  <c r="H102" i="111"/>
  <c r="X33" i="111" s="1"/>
  <c r="P75" i="107"/>
  <c r="AF26" i="107" s="1"/>
  <c r="P67" i="107"/>
  <c r="P59" i="107"/>
  <c r="F100" i="111"/>
  <c r="I99" i="111"/>
  <c r="L98" i="111"/>
  <c r="AB32" i="111" s="1"/>
  <c r="D98" i="111"/>
  <c r="T32" i="111" s="1"/>
  <c r="G97" i="111"/>
  <c r="O97" i="111" s="1"/>
  <c r="J96" i="111"/>
  <c r="M95" i="111"/>
  <c r="AC31" i="111" s="1"/>
  <c r="E95" i="111"/>
  <c r="P95" i="111" s="1"/>
  <c r="H94" i="111"/>
  <c r="K93" i="111"/>
  <c r="N92" i="111"/>
  <c r="F92" i="111"/>
  <c r="I91" i="111"/>
  <c r="P91" i="111" s="1"/>
  <c r="L90" i="111"/>
  <c r="AB30" i="111" s="1"/>
  <c r="D90" i="111"/>
  <c r="T30" i="111" s="1"/>
  <c r="G89" i="111"/>
  <c r="O89" i="111" s="1"/>
  <c r="J88" i="111"/>
  <c r="M87" i="111"/>
  <c r="E87" i="111"/>
  <c r="P87" i="111" s="1"/>
  <c r="H86" i="111"/>
  <c r="K85" i="111"/>
  <c r="N84" i="111"/>
  <c r="F84" i="111"/>
  <c r="I83" i="111"/>
  <c r="O83" i="111" s="1"/>
  <c r="L82" i="111"/>
  <c r="AB28" i="111" s="1"/>
  <c r="D82" i="111"/>
  <c r="T28" i="111" s="1"/>
  <c r="G81" i="111"/>
  <c r="O81" i="111" s="1"/>
  <c r="J80" i="111"/>
  <c r="Z27" i="111" s="1"/>
  <c r="M79" i="111"/>
  <c r="E79" i="111"/>
  <c r="P79" i="111" s="1"/>
  <c r="H78" i="111"/>
  <c r="K77" i="111"/>
  <c r="AA26" i="111" s="1"/>
  <c r="N76" i="111"/>
  <c r="F76" i="111"/>
  <c r="I75" i="111"/>
  <c r="Y26" i="111" s="1"/>
  <c r="L74" i="111"/>
  <c r="AB26" i="111" s="1"/>
  <c r="D74" i="111"/>
  <c r="T26" i="111" s="1"/>
  <c r="G73" i="111"/>
  <c r="O73" i="111" s="1"/>
  <c r="J72" i="111"/>
  <c r="M71" i="111"/>
  <c r="E71" i="111"/>
  <c r="H70" i="111"/>
  <c r="K69" i="111"/>
  <c r="AA24" i="111" s="1"/>
  <c r="N68" i="111"/>
  <c r="F68" i="111"/>
  <c r="I67" i="111"/>
  <c r="P67" i="111" s="1"/>
  <c r="L66" i="111"/>
  <c r="AB24" i="111" s="1"/>
  <c r="D66" i="111"/>
  <c r="T24" i="111" s="1"/>
  <c r="G65" i="111"/>
  <c r="W23" i="111" s="1"/>
  <c r="J64" i="111"/>
  <c r="M63" i="111"/>
  <c r="E63" i="111"/>
  <c r="O63" i="111" s="1"/>
  <c r="H62" i="111"/>
  <c r="X23" i="111" s="1"/>
  <c r="K61" i="111"/>
  <c r="AA22" i="111" s="1"/>
  <c r="N60" i="111"/>
  <c r="AD22" i="111" s="1"/>
  <c r="F60" i="111"/>
  <c r="V22" i="111" s="1"/>
  <c r="I59" i="111"/>
  <c r="L58" i="111"/>
  <c r="AB22" i="111" s="1"/>
  <c r="D58" i="111"/>
  <c r="X25" i="107"/>
  <c r="X29" i="107"/>
  <c r="S24" i="108"/>
  <c r="S32" i="108"/>
  <c r="C59" i="111"/>
  <c r="P59" i="111" s="1"/>
  <c r="S26" i="108"/>
  <c r="O62" i="111"/>
  <c r="O64" i="111"/>
  <c r="O71" i="111"/>
  <c r="O72" i="111"/>
  <c r="O75" i="111"/>
  <c r="O76" i="111"/>
  <c r="O78" i="111"/>
  <c r="O80" i="111"/>
  <c r="O86" i="111"/>
  <c r="O88" i="111"/>
  <c r="O93" i="111"/>
  <c r="O94" i="111"/>
  <c r="O96" i="111"/>
  <c r="O100" i="111"/>
  <c r="O102" i="111"/>
  <c r="O103" i="111"/>
  <c r="O104" i="111"/>
  <c r="O68" i="108"/>
  <c r="O66" i="108"/>
  <c r="O64" i="108"/>
  <c r="O62" i="108"/>
  <c r="O60" i="108"/>
  <c r="O58" i="108"/>
  <c r="O104" i="108"/>
  <c r="O102" i="108"/>
  <c r="O100" i="108"/>
  <c r="O98" i="108"/>
  <c r="O96" i="108"/>
  <c r="O94" i="108"/>
  <c r="O92" i="108"/>
  <c r="O90" i="108"/>
  <c r="O88" i="108"/>
  <c r="O86" i="108"/>
  <c r="O84" i="108"/>
  <c r="O82" i="108"/>
  <c r="O80" i="108"/>
  <c r="O78" i="108"/>
  <c r="O76" i="108"/>
  <c r="O74" i="108"/>
  <c r="O72" i="108"/>
  <c r="O70" i="108"/>
  <c r="P105" i="108"/>
  <c r="O105" i="108"/>
  <c r="P103" i="108"/>
  <c r="O103" i="108"/>
  <c r="P101" i="108"/>
  <c r="O101" i="108"/>
  <c r="P99" i="108"/>
  <c r="O99" i="108"/>
  <c r="P97" i="108"/>
  <c r="O97" i="108"/>
  <c r="P95" i="108"/>
  <c r="O95" i="108"/>
  <c r="P93" i="108"/>
  <c r="O93" i="108"/>
  <c r="P91" i="108"/>
  <c r="O91" i="108"/>
  <c r="P89" i="108"/>
  <c r="O89" i="108"/>
  <c r="P87" i="108"/>
  <c r="O87" i="108"/>
  <c r="P85" i="108"/>
  <c r="O85" i="108"/>
  <c r="P83" i="108"/>
  <c r="O83" i="108"/>
  <c r="P81" i="108"/>
  <c r="O81" i="108"/>
  <c r="P79" i="108"/>
  <c r="O79" i="108"/>
  <c r="P77" i="108"/>
  <c r="O77" i="108"/>
  <c r="P75" i="108"/>
  <c r="O75" i="108"/>
  <c r="P73" i="108"/>
  <c r="O73" i="108"/>
  <c r="P71" i="108"/>
  <c r="O71" i="108"/>
  <c r="P69" i="108"/>
  <c r="P67" i="108"/>
  <c r="P65" i="108"/>
  <c r="P63" i="108"/>
  <c r="P61" i="108"/>
  <c r="P59" i="108"/>
  <c r="O59" i="108"/>
  <c r="O61" i="108"/>
  <c r="O63" i="108"/>
  <c r="O65" i="108"/>
  <c r="O67" i="108"/>
  <c r="O69" i="108"/>
  <c r="P105" i="107"/>
  <c r="P103" i="107"/>
  <c r="P101" i="107"/>
  <c r="P99" i="107"/>
  <c r="P97" i="107"/>
  <c r="P95" i="107"/>
  <c r="P93" i="107"/>
  <c r="P91" i="107"/>
  <c r="P89" i="107"/>
  <c r="P87" i="107"/>
  <c r="P85" i="107"/>
  <c r="P83" i="107"/>
  <c r="P81" i="107"/>
  <c r="P79" i="107"/>
  <c r="O105" i="107"/>
  <c r="O103" i="107"/>
  <c r="O101" i="107"/>
  <c r="O99" i="107"/>
  <c r="O97" i="107"/>
  <c r="O95" i="107"/>
  <c r="O93" i="107"/>
  <c r="O91" i="107"/>
  <c r="O89" i="107"/>
  <c r="O87" i="107"/>
  <c r="O85" i="107"/>
  <c r="O83" i="107"/>
  <c r="O81" i="107"/>
  <c r="O79" i="107"/>
  <c r="O77" i="107"/>
  <c r="O75" i="107"/>
  <c r="O73" i="107"/>
  <c r="O71" i="107"/>
  <c r="O69" i="107"/>
  <c r="O67" i="107"/>
  <c r="O65" i="107"/>
  <c r="O63" i="107"/>
  <c r="O61" i="107"/>
  <c r="O59" i="107"/>
  <c r="O104" i="107"/>
  <c r="O102" i="107"/>
  <c r="O100" i="107"/>
  <c r="O98" i="107"/>
  <c r="AE32" i="107" s="1"/>
  <c r="O96" i="107"/>
  <c r="O94" i="107"/>
  <c r="O92" i="107"/>
  <c r="O90" i="107"/>
  <c r="O88" i="107"/>
  <c r="O86" i="107"/>
  <c r="O84" i="107"/>
  <c r="O82" i="107"/>
  <c r="AE28" i="107" s="1"/>
  <c r="O80" i="107"/>
  <c r="O78" i="107"/>
  <c r="O76" i="107"/>
  <c r="O74" i="107"/>
  <c r="O72" i="107"/>
  <c r="O70" i="107"/>
  <c r="O68" i="107"/>
  <c r="O66" i="107"/>
  <c r="AE24" i="107" s="1"/>
  <c r="O64" i="107"/>
  <c r="O62" i="107"/>
  <c r="O60" i="107"/>
  <c r="O58" i="107"/>
  <c r="P70" i="111" l="1"/>
  <c r="S25" i="111"/>
  <c r="AF32" i="107"/>
  <c r="P105" i="111"/>
  <c r="AE22" i="107"/>
  <c r="AE26" i="107"/>
  <c r="AE30" i="107"/>
  <c r="AE26" i="108"/>
  <c r="AE30" i="108"/>
  <c r="AE22" i="108"/>
  <c r="O95" i="111"/>
  <c r="O79" i="111"/>
  <c r="X27" i="111"/>
  <c r="Y33" i="111"/>
  <c r="P101" i="111"/>
  <c r="V30" i="111"/>
  <c r="P77" i="111"/>
  <c r="AF23" i="108"/>
  <c r="AF31" i="108"/>
  <c r="P85" i="111"/>
  <c r="W25" i="111"/>
  <c r="AA32" i="111"/>
  <c r="AF25" i="107"/>
  <c r="P94" i="111"/>
  <c r="AF31" i="111" s="1"/>
  <c r="S31" i="111"/>
  <c r="AA30" i="111"/>
  <c r="P96" i="111"/>
  <c r="P63" i="111"/>
  <c r="Y24" i="111"/>
  <c r="AC29" i="111"/>
  <c r="AE27" i="111"/>
  <c r="Z23" i="111"/>
  <c r="Y28" i="111"/>
  <c r="AF31" i="107"/>
  <c r="U31" i="111"/>
  <c r="P99" i="111"/>
  <c r="P66" i="111"/>
  <c r="S24" i="111"/>
  <c r="AE23" i="107"/>
  <c r="AE27" i="107"/>
  <c r="AE31" i="107"/>
  <c r="AE27" i="108"/>
  <c r="AE31" i="108"/>
  <c r="AE23" i="108"/>
  <c r="O101" i="111"/>
  <c r="O85" i="111"/>
  <c r="O77" i="111"/>
  <c r="O61" i="111"/>
  <c r="P93" i="111"/>
  <c r="AF25" i="108"/>
  <c r="AF33" i="108"/>
  <c r="P64" i="111"/>
  <c r="P90" i="111"/>
  <c r="AF30" i="111" s="1"/>
  <c r="S30" i="111"/>
  <c r="P74" i="111"/>
  <c r="AF26" i="111" s="1"/>
  <c r="S26" i="111"/>
  <c r="P78" i="111"/>
  <c r="S27" i="111"/>
  <c r="P102" i="111"/>
  <c r="AF33" i="111" s="1"/>
  <c r="S33" i="111"/>
  <c r="P73" i="111"/>
  <c r="AF24" i="107"/>
  <c r="T31" i="111"/>
  <c r="P71" i="111"/>
  <c r="U23" i="111"/>
  <c r="AF32" i="108"/>
  <c r="AE33" i="111"/>
  <c r="AE23" i="111"/>
  <c r="P58" i="111"/>
  <c r="S22" i="111"/>
  <c r="V28" i="111"/>
  <c r="AF27" i="108"/>
  <c r="P83" i="111"/>
  <c r="P88" i="111"/>
  <c r="W29" i="111"/>
  <c r="P62" i="111"/>
  <c r="S23" i="111"/>
  <c r="U27" i="111"/>
  <c r="P89" i="111"/>
  <c r="AF28" i="107"/>
  <c r="AB31" i="111"/>
  <c r="AC23" i="111"/>
  <c r="AC27" i="111"/>
  <c r="P72" i="111"/>
  <c r="AF22" i="107"/>
  <c r="AE31" i="111"/>
  <c r="O70" i="111"/>
  <c r="AE25" i="111" s="1"/>
  <c r="X29" i="111"/>
  <c r="P68" i="111"/>
  <c r="AF30" i="107"/>
  <c r="AF27" i="107"/>
  <c r="P82" i="111"/>
  <c r="AF28" i="111" s="1"/>
  <c r="S28" i="111"/>
  <c r="AC25" i="111"/>
  <c r="AE32" i="108"/>
  <c r="T22" i="111"/>
  <c r="AF26" i="108"/>
  <c r="O98" i="111"/>
  <c r="O90" i="111"/>
  <c r="O82" i="111"/>
  <c r="O74" i="111"/>
  <c r="O66" i="111"/>
  <c r="AE24" i="111" s="1"/>
  <c r="O58" i="111"/>
  <c r="X25" i="111"/>
  <c r="AF28" i="108"/>
  <c r="U32" i="111"/>
  <c r="P76" i="111"/>
  <c r="AD24" i="111"/>
  <c r="AD28" i="111"/>
  <c r="P65" i="111"/>
  <c r="AF23" i="107"/>
  <c r="P86" i="111"/>
  <c r="AF29" i="111" s="1"/>
  <c r="S29" i="111"/>
  <c r="U29" i="111"/>
  <c r="P80" i="111"/>
  <c r="Z25" i="111"/>
  <c r="P97" i="111"/>
  <c r="AE29" i="111"/>
  <c r="P60" i="111"/>
  <c r="O92" i="111"/>
  <c r="O84" i="111"/>
  <c r="AF24" i="108"/>
  <c r="W31" i="111"/>
  <c r="Z31" i="111"/>
  <c r="AE28" i="108"/>
  <c r="AE24" i="108"/>
  <c r="O59" i="111"/>
  <c r="AE25" i="107"/>
  <c r="AE29" i="107"/>
  <c r="AE33" i="107"/>
  <c r="AE25" i="108"/>
  <c r="AE29" i="108"/>
  <c r="AE33" i="108"/>
  <c r="X31" i="111"/>
  <c r="AF30" i="108"/>
  <c r="P69" i="111"/>
  <c r="P61" i="111"/>
  <c r="AB27" i="111"/>
  <c r="AF29" i="108"/>
  <c r="Z33" i="111"/>
  <c r="AF29" i="107"/>
  <c r="P98" i="111"/>
  <c r="S32" i="111"/>
  <c r="Y22" i="111"/>
  <c r="S12" i="101"/>
  <c r="K6" i="94"/>
  <c r="C3" i="94"/>
  <c r="AE26" i="111" l="1"/>
  <c r="AF24" i="111"/>
  <c r="AF23" i="111"/>
  <c r="AF22" i="111"/>
  <c r="AE32" i="111"/>
  <c r="AE22" i="111"/>
  <c r="AF32" i="111"/>
  <c r="AE28" i="111"/>
  <c r="AF27" i="111"/>
  <c r="AF25" i="111"/>
  <c r="K6" i="98"/>
  <c r="K6" i="99" s="1"/>
  <c r="K6" i="100" s="1"/>
  <c r="K6" i="105" s="1"/>
  <c r="K6" i="110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G5" i="96"/>
  <c r="K6" i="95"/>
  <c r="G5" i="95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4" l="1"/>
  <c r="K6" i="108" s="1"/>
  <c r="K6" i="111" s="1"/>
  <c r="K6" i="107"/>
  <c r="K5" i="107"/>
  <c r="K5" i="108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Y19" i="105"/>
  <c r="X19" i="105"/>
  <c r="X39" i="105" s="1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B27" i="103" s="1"/>
  <c r="AA19" i="103"/>
  <c r="AA27" i="103" s="1"/>
  <c r="Z19" i="103"/>
  <c r="Z27" i="103" s="1"/>
  <c r="Y19" i="103"/>
  <c r="X19" i="103"/>
  <c r="W19" i="103"/>
  <c r="V19" i="103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C19" i="99"/>
  <c r="AB19" i="99"/>
  <c r="AA19" i="99"/>
  <c r="AA27" i="99" s="1"/>
  <c r="Z19" i="99"/>
  <c r="Y19" i="99"/>
  <c r="X19" i="99"/>
  <c r="W19" i="99"/>
  <c r="V19" i="99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Y19" i="97"/>
  <c r="X19" i="97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D27" i="99" l="1"/>
  <c r="U39" i="109"/>
  <c r="AD27" i="103"/>
  <c r="Z39" i="105"/>
  <c r="W27" i="103"/>
  <c r="AA39" i="105"/>
  <c r="W27" i="99"/>
  <c r="W39" i="101"/>
  <c r="X27" i="103"/>
  <c r="V27" i="103"/>
  <c r="X27" i="97"/>
  <c r="V27" i="99"/>
  <c r="V39" i="101"/>
  <c r="Z27" i="97"/>
  <c r="AD38" i="101"/>
  <c r="Y27" i="103"/>
  <c r="Y39" i="109"/>
  <c r="AA39" i="101"/>
  <c r="X26" i="98"/>
  <c r="AA26" i="9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S38" i="110" s="1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I106" i="107" s="1"/>
  <c r="J10" i="107"/>
  <c r="K10" i="107"/>
  <c r="L10" i="107"/>
  <c r="M10" i="107"/>
  <c r="N10" i="107"/>
  <c r="C10" i="107"/>
  <c r="J106" i="108" l="1"/>
  <c r="F106" i="108"/>
  <c r="M106" i="108"/>
  <c r="C106" i="107"/>
  <c r="G106" i="107"/>
  <c r="Y38" i="105"/>
  <c r="D106" i="108"/>
  <c r="V19" i="108"/>
  <c r="K106" i="108"/>
  <c r="AF33" i="101"/>
  <c r="H106" i="108"/>
  <c r="T19" i="108"/>
  <c r="I106" i="108"/>
  <c r="M106" i="107"/>
  <c r="T26" i="103"/>
  <c r="L106" i="108"/>
  <c r="G106" i="108"/>
  <c r="E106" i="108"/>
  <c r="T36" i="105"/>
  <c r="AF28" i="101"/>
  <c r="C106" i="108"/>
  <c r="K106" i="107"/>
  <c r="U38" i="109"/>
  <c r="AB26" i="98"/>
  <c r="E106" i="107"/>
  <c r="X36" i="101"/>
  <c r="AF32" i="101"/>
  <c r="N106" i="108"/>
  <c r="O57" i="108"/>
  <c r="N106" i="107"/>
  <c r="L106" i="107"/>
  <c r="J106" i="107"/>
  <c r="H106" i="107"/>
  <c r="F106" i="107"/>
  <c r="D106" i="107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N106" i="111" s="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41" i="108" s="1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U39" i="107" s="1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AA41" i="107" s="1"/>
  <c r="P10" i="107"/>
  <c r="P106" i="107" s="1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I106" i="111" l="1"/>
  <c r="V41" i="108"/>
  <c r="M106" i="111"/>
  <c r="D106" i="111"/>
  <c r="E106" i="111"/>
  <c r="AD39" i="107"/>
  <c r="S41" i="108"/>
  <c r="AA41" i="108"/>
  <c r="K106" i="111"/>
  <c r="AD41" i="107"/>
  <c r="W41" i="108"/>
  <c r="Y41" i="108"/>
  <c r="X42" i="109"/>
  <c r="AB41" i="108"/>
  <c r="AB42" i="108" s="1"/>
  <c r="T12" i="111"/>
  <c r="C106" i="111"/>
  <c r="J106" i="111"/>
  <c r="V41" i="107"/>
  <c r="T41" i="107"/>
  <c r="T41" i="108"/>
  <c r="L106" i="111"/>
  <c r="G106" i="111"/>
  <c r="S36" i="107"/>
  <c r="X41" i="107"/>
  <c r="U41" i="107"/>
  <c r="U41" i="108"/>
  <c r="Y34" i="108"/>
  <c r="O106" i="108"/>
  <c r="O106" i="107"/>
  <c r="H108" i="107" s="1"/>
  <c r="Y41" i="107"/>
  <c r="U36" i="107"/>
  <c r="Z41" i="107"/>
  <c r="W41" i="107"/>
  <c r="AA42" i="110"/>
  <c r="Z41" i="108"/>
  <c r="F106" i="111"/>
  <c r="AD12" i="111"/>
  <c r="AF10" i="108"/>
  <c r="P106" i="108"/>
  <c r="H107" i="108" s="1"/>
  <c r="AC41" i="108"/>
  <c r="S41" i="107"/>
  <c r="AB41" i="107"/>
  <c r="AC41" i="107"/>
  <c r="X41" i="108"/>
  <c r="H106" i="111"/>
  <c r="T13" i="111"/>
  <c r="V36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D42" i="108" s="1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E41" i="107" s="1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A42" i="108" l="1"/>
  <c r="AA41" i="111"/>
  <c r="AB41" i="111"/>
  <c r="P106" i="111"/>
  <c r="Z41" i="111"/>
  <c r="AF41" i="108"/>
  <c r="Y42" i="107"/>
  <c r="S42" i="108"/>
  <c r="X42" i="108"/>
  <c r="U41" i="111"/>
  <c r="V41" i="111"/>
  <c r="AC42" i="107"/>
  <c r="AC41" i="111"/>
  <c r="AE41" i="108"/>
  <c r="AE42" i="108" s="1"/>
  <c r="S41" i="111"/>
  <c r="S42" i="111" s="1"/>
  <c r="AB42" i="107"/>
  <c r="Z42" i="108"/>
  <c r="T42" i="108"/>
  <c r="Y42" i="108"/>
  <c r="T41" i="111"/>
  <c r="AD41" i="111"/>
  <c r="O106" i="111"/>
  <c r="K108" i="111" s="1"/>
  <c r="X41" i="111"/>
  <c r="X42" i="111" s="1"/>
  <c r="S42" i="107"/>
  <c r="U42" i="108"/>
  <c r="T42" i="107"/>
  <c r="W42" i="108"/>
  <c r="AC42" i="108"/>
  <c r="W42" i="107"/>
  <c r="U42" i="107"/>
  <c r="V42" i="107"/>
  <c r="AD42" i="107"/>
  <c r="V42" i="108"/>
  <c r="AF41" i="107"/>
  <c r="Y41" i="111"/>
  <c r="W41" i="111"/>
  <c r="Z42" i="107"/>
  <c r="X42" i="107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42" i="107" s="1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D42" i="111" l="1"/>
  <c r="AC42" i="111"/>
  <c r="AF42" i="108"/>
  <c r="AE41" i="111"/>
  <c r="AE42" i="111" s="1"/>
  <c r="W42" i="111"/>
  <c r="T42" i="111"/>
  <c r="Z42" i="111"/>
  <c r="Y42" i="111"/>
  <c r="AF42" i="107"/>
  <c r="V42" i="111"/>
  <c r="AB42" i="111"/>
  <c r="AF34" i="111"/>
  <c r="AF41" i="111"/>
  <c r="U42" i="111"/>
  <c r="AA42" i="111"/>
  <c r="AF37" i="111"/>
  <c r="K107" i="111"/>
  <c r="E108" i="111"/>
  <c r="AE34" i="111"/>
  <c r="F108" i="111"/>
  <c r="AE39" i="111"/>
  <c r="AE37" i="111"/>
  <c r="H107" i="111"/>
  <c r="F107" i="111"/>
  <c r="E107" i="111"/>
  <c r="I107" i="111"/>
  <c r="AE40" i="111"/>
  <c r="AF40" i="111"/>
  <c r="N108" i="111"/>
  <c r="H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C107" i="111"/>
  <c r="C108" i="111"/>
  <c r="AF42" i="111" l="1"/>
</calcChain>
</file>

<file path=xl/sharedStrings.xml><?xml version="1.0" encoding="utf-8"?>
<sst xmlns="http://schemas.openxmlformats.org/spreadsheetml/2006/main" count="2340" uniqueCount="187">
  <si>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</si>
  <si>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</si>
  <si>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</si>
  <si>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</si>
  <si>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</si>
  <si>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</si>
  <si>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</si>
  <si>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</si>
  <si>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</si>
  <si>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</si>
  <si>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</si>
  <si>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</si>
  <si>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</si>
  <si>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</si>
  <si>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</si>
  <si>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</si>
  <si>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</si>
  <si>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</si>
  <si>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</si>
  <si>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</si>
  <si>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</si>
  <si>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</si>
  <si>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</si>
  <si>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</si>
  <si>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</si>
  <si>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</si>
  <si>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</si>
  <si>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</si>
  <si>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</si>
  <si>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</si>
  <si>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</si>
  <si>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</si>
  <si>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</si>
  <si>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</si>
  <si>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</si>
  <si>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</si>
  <si>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</si>
  <si>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</si>
  <si>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</si>
  <si>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</si>
  <si>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</si>
  <si>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</si>
  <si>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</si>
  <si>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</si>
  <si>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</si>
  <si>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</si>
  <si>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</si>
  <si>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</si>
  <si>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</si>
  <si>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</si>
  <si>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</si>
  <si>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</si>
  <si>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</si>
  <si>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</si>
  <si>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</si>
  <si>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</si>
  <si>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</si>
  <si>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</si>
  <si>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</si>
  <si>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</si>
  <si>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</si>
  <si>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</si>
  <si>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</si>
  <si>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</si>
  <si>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</si>
  <si>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</si>
  <si>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</si>
  <si>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</si>
  <si>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</si>
  <si>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</si>
  <si>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</si>
  <si>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</si>
  <si>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</si>
  <si>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</si>
  <si>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</si>
  <si>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</si>
  <si>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</si>
  <si>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</si>
  <si>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</si>
  <si>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</si>
  <si>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</si>
  <si>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</si>
  <si>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</si>
  <si>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</si>
  <si>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</si>
  <si>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</si>
  <si>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</si>
  <si>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</si>
  <si>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</si>
  <si>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</si>
  <si>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</si>
  <si>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</si>
  <si>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</si>
  <si>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</si>
  <si>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</si>
  <si>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</si>
  <si>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</si>
  <si>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</si>
  <si>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</si>
  <si>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</si>
  <si>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</si>
  <si>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</si>
  <si>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</si>
  <si>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</si>
  <si>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</si>
  <si>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</si>
  <si>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</si>
  <si>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</si>
  <si>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</si>
  <si>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</si>
  <si>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</si>
  <si>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</si>
  <si>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</si>
  <si>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</si>
  <si>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</si>
  <si>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</si>
  <si>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</si>
  <si>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</si>
  <si>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</si>
  <si>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</si>
  <si>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</si>
  <si>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</si>
  <si>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</si>
  <si>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</si>
  <si>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</si>
  <si>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</si>
  <si>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</si>
  <si>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</si>
  <si>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</si>
  <si>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</si>
  <si>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</si>
  <si>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</si>
  <si>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</si>
  <si>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</si>
  <si>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</si>
  <si>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</si>
  <si>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</si>
  <si>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</si>
  <si>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</si>
  <si>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</si>
  <si>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</si>
  <si>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</si>
  <si>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</si>
  <si>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</si>
  <si>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</si>
  <si>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</si>
  <si>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</si>
  <si>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</si>
  <si>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</si>
  <si>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</si>
  <si>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</si>
  <si>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</si>
  <si>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</si>
  <si>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</si>
  <si>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</si>
  <si>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</si>
  <si>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</si>
  <si>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</si>
  <si>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</si>
  <si>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</si>
  <si>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</si>
  <si>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</si>
  <si>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22.07.19</t>
  </si>
  <si>
    <t>23.07.19</t>
  </si>
  <si>
    <t>24.07.19</t>
  </si>
  <si>
    <t>25.07.19</t>
  </si>
  <si>
    <t>26.07.19</t>
  </si>
  <si>
    <t>27.07.19</t>
  </si>
  <si>
    <t>28.07.19</t>
  </si>
  <si>
    <t>AVERAGE WEEK</t>
  </si>
  <si>
    <t>MCC - C1 - STN23 - BOMBO  ROAD</t>
  </si>
  <si>
    <t>Bwaise</t>
  </si>
  <si>
    <t>Kawempe</t>
  </si>
  <si>
    <t>Kajjubi Eddie</t>
  </si>
  <si>
    <t>Salima</t>
  </si>
  <si>
    <t>Catherine</t>
  </si>
  <si>
    <t>Before Steel and Tube</t>
  </si>
  <si>
    <t>Nakiwuge Allen</t>
  </si>
  <si>
    <t xml:space="preserve">Salima &amp; Olaju </t>
  </si>
  <si>
    <t>Kajjubi &amp; Olivia</t>
  </si>
  <si>
    <t>Allen &amp; Akello</t>
  </si>
  <si>
    <t>Salima &amp; Olaju</t>
  </si>
  <si>
    <t>Kajjubi &amp; Akello</t>
  </si>
  <si>
    <t>Allen &amp; Olivia</t>
  </si>
  <si>
    <t>135\</t>
  </si>
  <si>
    <t>22\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</si>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</sst>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Bwaise-Kawempe'!$AE$9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Bwaise-Kawempe'!$AE$10:$AE$21</c:f>
              <c:numCache>
                <c:formatCode>0</c:formatCode>
                <c:ptCount val="12"/>
                <c:pt idx="0">
                  <c:v>366</c:v>
                </c:pt>
                <c:pt idx="1">
                  <c:v>407</c:v>
                </c:pt>
                <c:pt idx="2">
                  <c:v>502</c:v>
                </c:pt>
                <c:pt idx="3">
                  <c:v>489</c:v>
                </c:pt>
                <c:pt idx="4">
                  <c:v>471</c:v>
                </c:pt>
                <c:pt idx="5">
                  <c:v>487</c:v>
                </c:pt>
                <c:pt idx="6">
                  <c:v>529</c:v>
                </c:pt>
                <c:pt idx="7">
                  <c:v>426</c:v>
                </c:pt>
                <c:pt idx="8">
                  <c:v>446</c:v>
                </c:pt>
                <c:pt idx="9">
                  <c:v>516</c:v>
                </c:pt>
                <c:pt idx="10">
                  <c:v>480</c:v>
                </c:pt>
                <c:pt idx="11">
                  <c:v>560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Bwaise-Kawempe'!$AF$9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Bwaise-Kawempe'!$AF$10:$AF$21</c:f>
              <c:numCache>
                <c:formatCode>0</c:formatCode>
                <c:ptCount val="12"/>
                <c:pt idx="0">
                  <c:v>977</c:v>
                </c:pt>
                <c:pt idx="1">
                  <c:v>1106</c:v>
                </c:pt>
                <c:pt idx="2">
                  <c:v>1154</c:v>
                </c:pt>
                <c:pt idx="3">
                  <c:v>942</c:v>
                </c:pt>
                <c:pt idx="4">
                  <c:v>984</c:v>
                </c:pt>
                <c:pt idx="5">
                  <c:v>835</c:v>
                </c:pt>
                <c:pt idx="6">
                  <c:v>844</c:v>
                </c:pt>
                <c:pt idx="7">
                  <c:v>736</c:v>
                </c:pt>
                <c:pt idx="8">
                  <c:v>561</c:v>
                </c:pt>
                <c:pt idx="9">
                  <c:v>899</c:v>
                </c:pt>
                <c:pt idx="10">
                  <c:v>833</c:v>
                </c:pt>
                <c:pt idx="11">
                  <c:v>1263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047104"/>
        <c:axId val="162049024"/>
      </c:lineChart>
      <c:catAx>
        <c:axId val="162047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049024"/>
        <c:crosses val="autoZero"/>
        <c:auto val="1"/>
        <c:lblAlgn val="ctr"/>
        <c:lblOffset val="100"/>
        <c:noMultiLvlLbl val="0"/>
      </c:catAx>
      <c:valAx>
        <c:axId val="162049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04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Bwaise-Kawempe'!$C$59:$N$59</c:f>
              <c:numCache>
                <c:formatCode>0.0%</c:formatCode>
                <c:ptCount val="12"/>
                <c:pt idx="0">
                  <c:v>0.16669660499371294</c:v>
                </c:pt>
                <c:pt idx="1">
                  <c:v>2.9549128794682952E-2</c:v>
                </c:pt>
                <c:pt idx="2">
                  <c:v>2.9908388719238368E-2</c:v>
                </c:pt>
                <c:pt idx="3">
                  <c:v>0.19759295850547873</c:v>
                </c:pt>
                <c:pt idx="4">
                  <c:v>6.1074187174420692E-3</c:v>
                </c:pt>
                <c:pt idx="5">
                  <c:v>2.2453745284713492E-3</c:v>
                </c:pt>
                <c:pt idx="6">
                  <c:v>5.0116759475480513E-2</c:v>
                </c:pt>
                <c:pt idx="7">
                  <c:v>1.2663912340578409E-2</c:v>
                </c:pt>
                <c:pt idx="8">
                  <c:v>4.6703790192204062E-3</c:v>
                </c:pt>
                <c:pt idx="9">
                  <c:v>1.0508352793245914E-2</c:v>
                </c:pt>
                <c:pt idx="10">
                  <c:v>0.48994072211244838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Bwaise-Kawempe'!$C$60:$N$60</c:f>
              <c:numCache>
                <c:formatCode>0.00%</c:formatCode>
                <c:ptCount val="12"/>
                <c:pt idx="0">
                  <c:v>0.32681810177848214</c:v>
                </c:pt>
                <c:pt idx="1">
                  <c:v>5.7932734636379643E-2</c:v>
                </c:pt>
                <c:pt idx="2">
                  <c:v>5.8637083993660855E-2</c:v>
                </c:pt>
                <c:pt idx="3">
                  <c:v>0.3873921465046663</c:v>
                </c:pt>
                <c:pt idx="4">
                  <c:v>1.1973939073780596E-2</c:v>
                </c:pt>
                <c:pt idx="5">
                  <c:v>4.4021834830075719E-3</c:v>
                </c:pt>
                <c:pt idx="6">
                  <c:v>9.8256735340728998E-2</c:v>
                </c:pt>
                <c:pt idx="7">
                  <c:v>2.4828314844162706E-2</c:v>
                </c:pt>
                <c:pt idx="8">
                  <c:v>9.1565416446557496E-3</c:v>
                </c:pt>
                <c:pt idx="9">
                  <c:v>2.0602218700475437E-2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kawempe-Bwaise'!$AE$9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kawempe-Bwaise'!$AE$10:$AE$21</c:f>
              <c:numCache>
                <c:formatCode>0</c:formatCode>
                <c:ptCount val="12"/>
                <c:pt idx="0">
                  <c:v>533</c:v>
                </c:pt>
                <c:pt idx="1">
                  <c:v>652</c:v>
                </c:pt>
                <c:pt idx="2">
                  <c:v>528</c:v>
                </c:pt>
                <c:pt idx="3">
                  <c:v>536</c:v>
                </c:pt>
                <c:pt idx="4">
                  <c:v>543</c:v>
                </c:pt>
                <c:pt idx="5">
                  <c:v>470</c:v>
                </c:pt>
                <c:pt idx="6">
                  <c:v>453</c:v>
                </c:pt>
                <c:pt idx="7">
                  <c:v>481</c:v>
                </c:pt>
                <c:pt idx="8">
                  <c:v>501</c:v>
                </c:pt>
                <c:pt idx="9">
                  <c:v>609</c:v>
                </c:pt>
                <c:pt idx="10">
                  <c:v>371</c:v>
                </c:pt>
                <c:pt idx="11">
                  <c:v>365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kawempe-Bwaise'!$AF$9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kawempe-Bwaise'!$AF$10:$AF$21</c:f>
              <c:numCache>
                <c:formatCode>0</c:formatCode>
                <c:ptCount val="12"/>
                <c:pt idx="0">
                  <c:v>1993</c:v>
                </c:pt>
                <c:pt idx="1">
                  <c:v>2191</c:v>
                </c:pt>
                <c:pt idx="2">
                  <c:v>1846</c:v>
                </c:pt>
                <c:pt idx="3">
                  <c:v>1419</c:v>
                </c:pt>
                <c:pt idx="4">
                  <c:v>1372</c:v>
                </c:pt>
                <c:pt idx="5">
                  <c:v>1153</c:v>
                </c:pt>
                <c:pt idx="6">
                  <c:v>1139</c:v>
                </c:pt>
                <c:pt idx="7">
                  <c:v>968</c:v>
                </c:pt>
                <c:pt idx="8">
                  <c:v>660</c:v>
                </c:pt>
                <c:pt idx="9">
                  <c:v>1621</c:v>
                </c:pt>
                <c:pt idx="10">
                  <c:v>1509</c:v>
                </c:pt>
                <c:pt idx="11">
                  <c:v>1482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48128"/>
        <c:axId val="162850304"/>
      </c:lineChart>
      <c:catAx>
        <c:axId val="1628481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850304"/>
        <c:crosses val="autoZero"/>
        <c:auto val="1"/>
        <c:lblAlgn val="ctr"/>
        <c:lblOffset val="100"/>
        <c:noMultiLvlLbl val="0"/>
      </c:catAx>
      <c:valAx>
        <c:axId val="162850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84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kawempe-Bwaise'!$C$59:$N$59</c:f>
              <c:numCache>
                <c:formatCode>0.0%</c:formatCode>
                <c:ptCount val="12"/>
                <c:pt idx="0">
                  <c:v>0.10793522733821241</c:v>
                </c:pt>
                <c:pt idx="1">
                  <c:v>3.521005013542327E-2</c:v>
                </c:pt>
                <c:pt idx="2">
                  <c:v>2.0169423154497781E-2</c:v>
                </c:pt>
                <c:pt idx="3">
                  <c:v>0.12827753126260588</c:v>
                </c:pt>
                <c:pt idx="4">
                  <c:v>4.3220192473923816E-3</c:v>
                </c:pt>
                <c:pt idx="5">
                  <c:v>1.4406730824641273E-3</c:v>
                </c:pt>
                <c:pt idx="6">
                  <c:v>2.5989742407652856E-2</c:v>
                </c:pt>
                <c:pt idx="7">
                  <c:v>1.1583011583011582E-2</c:v>
                </c:pt>
                <c:pt idx="8">
                  <c:v>6.2813346395435947E-3</c:v>
                </c:pt>
                <c:pt idx="9">
                  <c:v>6.9728577191263755E-3</c:v>
                </c:pt>
                <c:pt idx="10">
                  <c:v>0.65181812943006978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26"/>
          <c:y val="2.29602266373237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kawempe-Bwaise'!$S$9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kawempe-Bwaise'!$S$10:$S$21</c:f>
              <c:numCache>
                <c:formatCode>0</c:formatCode>
                <c:ptCount val="12"/>
                <c:pt idx="0">
                  <c:v>230</c:v>
                </c:pt>
                <c:pt idx="1">
                  <c:v>237</c:v>
                </c:pt>
                <c:pt idx="2">
                  <c:v>163</c:v>
                </c:pt>
                <c:pt idx="3">
                  <c:v>160</c:v>
                </c:pt>
                <c:pt idx="4">
                  <c:v>175</c:v>
                </c:pt>
                <c:pt idx="5">
                  <c:v>150</c:v>
                </c:pt>
                <c:pt idx="6">
                  <c:v>124</c:v>
                </c:pt>
                <c:pt idx="7">
                  <c:v>147</c:v>
                </c:pt>
                <c:pt idx="8">
                  <c:v>133</c:v>
                </c:pt>
                <c:pt idx="9">
                  <c:v>170</c:v>
                </c:pt>
                <c:pt idx="10">
                  <c:v>97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kawempe-Bwaise'!$T$9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kawempe-Bwaise'!$T$10:$T$21</c:f>
              <c:numCache>
                <c:formatCode>0</c:formatCode>
                <c:ptCount val="12"/>
                <c:pt idx="0">
                  <c:v>42</c:v>
                </c:pt>
                <c:pt idx="1">
                  <c:v>63</c:v>
                </c:pt>
                <c:pt idx="2">
                  <c:v>49</c:v>
                </c:pt>
                <c:pt idx="3">
                  <c:v>37</c:v>
                </c:pt>
                <c:pt idx="4">
                  <c:v>58</c:v>
                </c:pt>
                <c:pt idx="5">
                  <c:v>37</c:v>
                </c:pt>
                <c:pt idx="6">
                  <c:v>57</c:v>
                </c:pt>
                <c:pt idx="7">
                  <c:v>69</c:v>
                </c:pt>
                <c:pt idx="8">
                  <c:v>60</c:v>
                </c:pt>
                <c:pt idx="9">
                  <c:v>80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kawempe-Bwaise'!$U$9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kawempe-Bwaise'!$U$10:$U$21</c:f>
              <c:numCache>
                <c:formatCode>0</c:formatCode>
                <c:ptCount val="12"/>
                <c:pt idx="0">
                  <c:v>25</c:v>
                </c:pt>
                <c:pt idx="1">
                  <c:v>28</c:v>
                </c:pt>
                <c:pt idx="2">
                  <c:v>29</c:v>
                </c:pt>
                <c:pt idx="3">
                  <c:v>23</c:v>
                </c:pt>
                <c:pt idx="4">
                  <c:v>32</c:v>
                </c:pt>
                <c:pt idx="5">
                  <c:v>23</c:v>
                </c:pt>
                <c:pt idx="6">
                  <c:v>33</c:v>
                </c:pt>
                <c:pt idx="7">
                  <c:v>29</c:v>
                </c:pt>
                <c:pt idx="8">
                  <c:v>32</c:v>
                </c:pt>
                <c:pt idx="9">
                  <c:v>52</c:v>
                </c:pt>
                <c:pt idx="10">
                  <c:v>23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kawempe-Bwaise'!$V$9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kawempe-Bwaise'!$V$10:$V$21</c:f>
              <c:numCache>
                <c:formatCode>0</c:formatCode>
                <c:ptCount val="12"/>
                <c:pt idx="0">
                  <c:v>177</c:v>
                </c:pt>
                <c:pt idx="1">
                  <c:v>242</c:v>
                </c:pt>
                <c:pt idx="2">
                  <c:v>210</c:v>
                </c:pt>
                <c:pt idx="3">
                  <c:v>217</c:v>
                </c:pt>
                <c:pt idx="4">
                  <c:v>184</c:v>
                </c:pt>
                <c:pt idx="5">
                  <c:v>169</c:v>
                </c:pt>
                <c:pt idx="6">
                  <c:v>161</c:v>
                </c:pt>
                <c:pt idx="7">
                  <c:v>161</c:v>
                </c:pt>
                <c:pt idx="8">
                  <c:v>189</c:v>
                </c:pt>
                <c:pt idx="9">
                  <c:v>214</c:v>
                </c:pt>
                <c:pt idx="10">
                  <c:v>154</c:v>
                </c:pt>
                <c:pt idx="11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kawempe-Bwaise'!$W$9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kawempe-Bwaise'!$W$10:$W$21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2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11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kawempe-Bwaise'!$X$9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kawempe-Bwaise'!$X$10:$X$21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kawempe-Bwaise'!$Y$9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kawempe-Bwaise'!$Y$10:$Y$21</c:f>
              <c:numCache>
                <c:formatCode>0</c:formatCode>
                <c:ptCount val="12"/>
                <c:pt idx="0">
                  <c:v>27</c:v>
                </c:pt>
                <c:pt idx="1">
                  <c:v>39</c:v>
                </c:pt>
                <c:pt idx="2">
                  <c:v>39</c:v>
                </c:pt>
                <c:pt idx="3">
                  <c:v>54</c:v>
                </c:pt>
                <c:pt idx="4">
                  <c:v>54</c:v>
                </c:pt>
                <c:pt idx="5">
                  <c:v>37</c:v>
                </c:pt>
                <c:pt idx="6">
                  <c:v>40</c:v>
                </c:pt>
                <c:pt idx="7">
                  <c:v>38</c:v>
                </c:pt>
                <c:pt idx="8">
                  <c:v>38</c:v>
                </c:pt>
                <c:pt idx="9">
                  <c:v>48</c:v>
                </c:pt>
                <c:pt idx="10">
                  <c:v>14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kawempe-Bwaise'!$Z$9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kawempe-Bwaise'!$Z$10:$Z$21</c:f>
              <c:numCache>
                <c:formatCode>0</c:formatCode>
                <c:ptCount val="12"/>
                <c:pt idx="0">
                  <c:v>8</c:v>
                </c:pt>
                <c:pt idx="1">
                  <c:v>14</c:v>
                </c:pt>
                <c:pt idx="2">
                  <c:v>20</c:v>
                </c:pt>
                <c:pt idx="3">
                  <c:v>19</c:v>
                </c:pt>
                <c:pt idx="4">
                  <c:v>12</c:v>
                </c:pt>
                <c:pt idx="5">
                  <c:v>23</c:v>
                </c:pt>
                <c:pt idx="6">
                  <c:v>15</c:v>
                </c:pt>
                <c:pt idx="7">
                  <c:v>17</c:v>
                </c:pt>
                <c:pt idx="8">
                  <c:v>18</c:v>
                </c:pt>
                <c:pt idx="9">
                  <c:v>18</c:v>
                </c:pt>
                <c:pt idx="10">
                  <c:v>20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kawempe-Bwaise'!$AA$9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kawempe-Bwaise'!$AA$10:$AA$21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10</c:v>
                </c:pt>
                <c:pt idx="6">
                  <c:v>13</c:v>
                </c:pt>
                <c:pt idx="7">
                  <c:v>6</c:v>
                </c:pt>
                <c:pt idx="8">
                  <c:v>9</c:v>
                </c:pt>
                <c:pt idx="9">
                  <c:v>5</c:v>
                </c:pt>
                <c:pt idx="10">
                  <c:v>10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kawempe-Bwaise'!$AB$9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kawempe-Bwaise'!$AB$10:$AB$21</c:f>
              <c:numCache>
                <c:formatCode>0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2</c:v>
                </c:pt>
                <c:pt idx="3">
                  <c:v>12</c:v>
                </c:pt>
                <c:pt idx="4">
                  <c:v>13</c:v>
                </c:pt>
                <c:pt idx="5">
                  <c:v>10</c:v>
                </c:pt>
                <c:pt idx="6">
                  <c:v>6</c:v>
                </c:pt>
                <c:pt idx="7">
                  <c:v>6</c:v>
                </c:pt>
                <c:pt idx="8">
                  <c:v>10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kawempe-Bwaise'!$AC$9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kawempe-Bwaise'!$AC$10:$AC$21</c:f>
              <c:numCache>
                <c:formatCode>0</c:formatCode>
                <c:ptCount val="12"/>
                <c:pt idx="0">
                  <c:v>1460</c:v>
                </c:pt>
                <c:pt idx="1">
                  <c:v>1539</c:v>
                </c:pt>
                <c:pt idx="2">
                  <c:v>1318</c:v>
                </c:pt>
                <c:pt idx="3">
                  <c:v>883</c:v>
                </c:pt>
                <c:pt idx="4">
                  <c:v>829</c:v>
                </c:pt>
                <c:pt idx="5">
                  <c:v>683</c:v>
                </c:pt>
                <c:pt idx="6">
                  <c:v>686</c:v>
                </c:pt>
                <c:pt idx="7">
                  <c:v>487</c:v>
                </c:pt>
                <c:pt idx="8">
                  <c:v>159</c:v>
                </c:pt>
                <c:pt idx="9">
                  <c:v>1012</c:v>
                </c:pt>
                <c:pt idx="10">
                  <c:v>1138</c:v>
                </c:pt>
                <c:pt idx="11">
                  <c:v>1117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kawempe-Bwaise'!$AD$9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kawempe-Bwaise'!$AD$10:$AD$21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039104"/>
        <c:axId val="163040640"/>
      </c:lineChart>
      <c:catAx>
        <c:axId val="16303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040640"/>
        <c:crosses val="autoZero"/>
        <c:auto val="1"/>
        <c:lblAlgn val="ctr"/>
        <c:lblOffset val="100"/>
        <c:noMultiLvlLbl val="0"/>
      </c:catAx>
      <c:valAx>
        <c:axId val="1630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0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kawempe-Bwaise'!$C$60:$N$60</c:f>
              <c:numCache>
                <c:formatCode>0.00%</c:formatCode>
                <c:ptCount val="12"/>
                <c:pt idx="0">
                  <c:v>0.30999668983780204</c:v>
                </c:pt>
                <c:pt idx="1">
                  <c:v>0.10112545514730222</c:v>
                </c:pt>
                <c:pt idx="2">
                  <c:v>5.7927838464084738E-2</c:v>
                </c:pt>
                <c:pt idx="3">
                  <c:v>0.36842105263157893</c:v>
                </c:pt>
                <c:pt idx="4">
                  <c:v>1.2413108242303872E-2</c:v>
                </c:pt>
                <c:pt idx="5">
                  <c:v>4.1377027474346247E-3</c:v>
                </c:pt>
                <c:pt idx="6">
                  <c:v>7.4644157563720628E-2</c:v>
                </c:pt>
                <c:pt idx="7">
                  <c:v>3.3267130089374382E-2</c:v>
                </c:pt>
                <c:pt idx="8">
                  <c:v>1.8040383978814963E-2</c:v>
                </c:pt>
                <c:pt idx="9">
                  <c:v>2.0026481297583582E-2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Bwaise-Kawempe'!$AE$9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Bwaise-Kawempe'!$AE$10:$AE$21</c:f>
              <c:numCache>
                <c:formatCode>0</c:formatCode>
                <c:ptCount val="12"/>
                <c:pt idx="0">
                  <c:v>272</c:v>
                </c:pt>
                <c:pt idx="1">
                  <c:v>379</c:v>
                </c:pt>
                <c:pt idx="2">
                  <c:v>458</c:v>
                </c:pt>
                <c:pt idx="3">
                  <c:v>423</c:v>
                </c:pt>
                <c:pt idx="4">
                  <c:v>502</c:v>
                </c:pt>
                <c:pt idx="5">
                  <c:v>379</c:v>
                </c:pt>
                <c:pt idx="6">
                  <c:v>478</c:v>
                </c:pt>
                <c:pt idx="7">
                  <c:v>386</c:v>
                </c:pt>
                <c:pt idx="8">
                  <c:v>430</c:v>
                </c:pt>
                <c:pt idx="9">
                  <c:v>452</c:v>
                </c:pt>
                <c:pt idx="10">
                  <c:v>483</c:v>
                </c:pt>
                <c:pt idx="11">
                  <c:v>430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Bwaise-Kawempe'!$AF$9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Bwaise-Kawempe'!$AF$10:$AF$21</c:f>
              <c:numCache>
                <c:formatCode>0</c:formatCode>
                <c:ptCount val="12"/>
                <c:pt idx="0">
                  <c:v>833</c:v>
                </c:pt>
                <c:pt idx="1">
                  <c:v>1044</c:v>
                </c:pt>
                <c:pt idx="2">
                  <c:v>1067</c:v>
                </c:pt>
                <c:pt idx="3">
                  <c:v>902</c:v>
                </c:pt>
                <c:pt idx="4">
                  <c:v>916</c:v>
                </c:pt>
                <c:pt idx="5">
                  <c:v>750</c:v>
                </c:pt>
                <c:pt idx="6">
                  <c:v>904</c:v>
                </c:pt>
                <c:pt idx="7">
                  <c:v>572</c:v>
                </c:pt>
                <c:pt idx="8">
                  <c:v>840</c:v>
                </c:pt>
                <c:pt idx="9">
                  <c:v>848</c:v>
                </c:pt>
                <c:pt idx="10">
                  <c:v>1008</c:v>
                </c:pt>
                <c:pt idx="11">
                  <c:v>1104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05408"/>
        <c:axId val="163123968"/>
      </c:lineChart>
      <c:catAx>
        <c:axId val="1631054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123968"/>
        <c:crosses val="autoZero"/>
        <c:auto val="1"/>
        <c:lblAlgn val="ctr"/>
        <c:lblOffset val="100"/>
        <c:noMultiLvlLbl val="0"/>
      </c:catAx>
      <c:valAx>
        <c:axId val="163123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1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Bwaise-Kawempe'!$C$59:$N$59</c:f>
              <c:numCache>
                <c:formatCode>0.0%</c:formatCode>
                <c:ptCount val="12"/>
                <c:pt idx="0">
                  <c:v>0.1492398961809418</c:v>
                </c:pt>
                <c:pt idx="1">
                  <c:v>2.5862068965517241E-2</c:v>
                </c:pt>
                <c:pt idx="2">
                  <c:v>2.6418242491657397E-2</c:v>
                </c:pt>
                <c:pt idx="3">
                  <c:v>0.17157953281423804</c:v>
                </c:pt>
                <c:pt idx="4">
                  <c:v>6.9521690767519462E-3</c:v>
                </c:pt>
                <c:pt idx="5">
                  <c:v>3.0589543937708566E-3</c:v>
                </c:pt>
                <c:pt idx="6">
                  <c:v>4.987022617723396E-2</c:v>
                </c:pt>
                <c:pt idx="7">
                  <c:v>1.3348164627363738E-2</c:v>
                </c:pt>
                <c:pt idx="8">
                  <c:v>7.508342602892102E-3</c:v>
                </c:pt>
                <c:pt idx="9">
                  <c:v>1.6314423433444566E-2</c:v>
                </c:pt>
                <c:pt idx="10">
                  <c:v>0.52984797923618832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26"/>
          <c:y val="2.29602266373237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Bwaise-Kawempe'!$S$9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Bwaise-Kawempe'!$S$10:$S$21</c:f>
              <c:numCache>
                <c:formatCode>0</c:formatCode>
                <c:ptCount val="12"/>
                <c:pt idx="0">
                  <c:v>87</c:v>
                </c:pt>
                <c:pt idx="1">
                  <c:v>101</c:v>
                </c:pt>
                <c:pt idx="2">
                  <c:v>123</c:v>
                </c:pt>
                <c:pt idx="3">
                  <c:v>125</c:v>
                </c:pt>
                <c:pt idx="4">
                  <c:v>150</c:v>
                </c:pt>
                <c:pt idx="5">
                  <c:v>110</c:v>
                </c:pt>
                <c:pt idx="6">
                  <c:v>144</c:v>
                </c:pt>
                <c:pt idx="7">
                  <c:v>104</c:v>
                </c:pt>
                <c:pt idx="8">
                  <c:v>111</c:v>
                </c:pt>
                <c:pt idx="9">
                  <c:v>171</c:v>
                </c:pt>
                <c:pt idx="10">
                  <c:v>184</c:v>
                </c:pt>
                <c:pt idx="11">
                  <c:v>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Bwaise-Kawempe'!$T$9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Bwaise-Kawempe'!$T$10:$T$21</c:f>
              <c:numCache>
                <c:formatCode>0</c:formatCode>
                <c:ptCount val="12"/>
                <c:pt idx="0">
                  <c:v>14</c:v>
                </c:pt>
                <c:pt idx="1">
                  <c:v>11</c:v>
                </c:pt>
                <c:pt idx="2">
                  <c:v>31</c:v>
                </c:pt>
                <c:pt idx="3">
                  <c:v>28</c:v>
                </c:pt>
                <c:pt idx="4">
                  <c:v>39</c:v>
                </c:pt>
                <c:pt idx="5">
                  <c:v>23</c:v>
                </c:pt>
                <c:pt idx="6">
                  <c:v>22</c:v>
                </c:pt>
                <c:pt idx="7">
                  <c:v>25</c:v>
                </c:pt>
                <c:pt idx="8">
                  <c:v>22</c:v>
                </c:pt>
                <c:pt idx="9">
                  <c:v>25</c:v>
                </c:pt>
                <c:pt idx="10">
                  <c:v>17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Bwaise-Kawempe'!$U$9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Bwaise-Kawempe'!$U$10:$U$21</c:f>
              <c:numCache>
                <c:formatCode>0</c:formatCode>
                <c:ptCount val="12"/>
                <c:pt idx="0">
                  <c:v>14</c:v>
                </c:pt>
                <c:pt idx="1">
                  <c:v>16</c:v>
                </c:pt>
                <c:pt idx="2">
                  <c:v>31</c:v>
                </c:pt>
                <c:pt idx="3">
                  <c:v>29</c:v>
                </c:pt>
                <c:pt idx="4">
                  <c:v>35</c:v>
                </c:pt>
                <c:pt idx="5">
                  <c:v>18</c:v>
                </c:pt>
                <c:pt idx="6">
                  <c:v>31</c:v>
                </c:pt>
                <c:pt idx="7">
                  <c:v>14</c:v>
                </c:pt>
                <c:pt idx="8">
                  <c:v>34</c:v>
                </c:pt>
                <c:pt idx="9">
                  <c:v>21</c:v>
                </c:pt>
                <c:pt idx="10">
                  <c:v>24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Bwaise-Kawempe'!$V$9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Bwaise-Kawempe'!$V$10:$V$21</c:f>
              <c:numCache>
                <c:formatCode>0</c:formatCode>
                <c:ptCount val="12"/>
                <c:pt idx="0">
                  <c:v>118</c:v>
                </c:pt>
                <c:pt idx="1">
                  <c:v>173</c:v>
                </c:pt>
                <c:pt idx="2">
                  <c:v>213</c:v>
                </c:pt>
                <c:pt idx="3">
                  <c:v>154</c:v>
                </c:pt>
                <c:pt idx="4">
                  <c:v>186</c:v>
                </c:pt>
                <c:pt idx="5">
                  <c:v>140</c:v>
                </c:pt>
                <c:pt idx="6">
                  <c:v>171</c:v>
                </c:pt>
                <c:pt idx="7">
                  <c:v>122</c:v>
                </c:pt>
                <c:pt idx="8">
                  <c:v>149</c:v>
                </c:pt>
                <c:pt idx="9">
                  <c:v>143</c:v>
                </c:pt>
                <c:pt idx="10">
                  <c:v>168</c:v>
                </c:pt>
                <c:pt idx="11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Bwaise-Kawempe'!$W$9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Bwaise-Kawempe'!$W$10:$W$21</c:f>
              <c:numCache>
                <c:formatCode>0</c:formatCode>
                <c:ptCount val="12"/>
                <c:pt idx="0">
                  <c:v>6</c:v>
                </c:pt>
                <c:pt idx="1">
                  <c:v>10</c:v>
                </c:pt>
                <c:pt idx="2">
                  <c:v>5</c:v>
                </c:pt>
                <c:pt idx="3">
                  <c:v>11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Bwaise-Kawempe'!$X$9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Bwaise-Kawempe'!$X$10:$X$21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Bwaise-Kawempe'!$Y$9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Bwaise-Kawempe'!$Y$10:$Y$21</c:f>
              <c:numCache>
                <c:formatCode>0</c:formatCode>
                <c:ptCount val="12"/>
                <c:pt idx="0">
                  <c:v>17</c:v>
                </c:pt>
                <c:pt idx="1">
                  <c:v>32</c:v>
                </c:pt>
                <c:pt idx="2">
                  <c:v>32</c:v>
                </c:pt>
                <c:pt idx="3">
                  <c:v>46</c:v>
                </c:pt>
                <c:pt idx="4">
                  <c:v>44</c:v>
                </c:pt>
                <c:pt idx="5">
                  <c:v>51</c:v>
                </c:pt>
                <c:pt idx="6">
                  <c:v>66</c:v>
                </c:pt>
                <c:pt idx="7">
                  <c:v>69</c:v>
                </c:pt>
                <c:pt idx="8">
                  <c:v>62</c:v>
                </c:pt>
                <c:pt idx="9">
                  <c:v>38</c:v>
                </c:pt>
                <c:pt idx="10">
                  <c:v>45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Bwaise-Kawempe'!$Z$9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Bwaise-Kawempe'!$Z$10:$Z$21</c:f>
              <c:numCache>
                <c:formatCode>0</c:formatCode>
                <c:ptCount val="12"/>
                <c:pt idx="0">
                  <c:v>6</c:v>
                </c:pt>
                <c:pt idx="1">
                  <c:v>13</c:v>
                </c:pt>
                <c:pt idx="2">
                  <c:v>9</c:v>
                </c:pt>
                <c:pt idx="3">
                  <c:v>9</c:v>
                </c:pt>
                <c:pt idx="4">
                  <c:v>6</c:v>
                </c:pt>
                <c:pt idx="5">
                  <c:v>10</c:v>
                </c:pt>
                <c:pt idx="6">
                  <c:v>8</c:v>
                </c:pt>
                <c:pt idx="7">
                  <c:v>25</c:v>
                </c:pt>
                <c:pt idx="8">
                  <c:v>15</c:v>
                </c:pt>
                <c:pt idx="9">
                  <c:v>11</c:v>
                </c:pt>
                <c:pt idx="10">
                  <c:v>17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Bwaise-Kawempe'!$AA$9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Bwaise-Kawempe'!$AA$10:$AA$21</c:f>
              <c:numCache>
                <c:formatCode>0</c:formatCode>
                <c:ptCount val="12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11</c:v>
                </c:pt>
                <c:pt idx="5">
                  <c:v>5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5</c:v>
                </c:pt>
                <c:pt idx="10">
                  <c:v>7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Bwaise-Kawempe'!$AB$9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Bwaise-Kawempe'!$AB$10:$AB$21</c:f>
              <c:numCache>
                <c:formatCode>0</c:formatCode>
                <c:ptCount val="12"/>
                <c:pt idx="0">
                  <c:v>5</c:v>
                </c:pt>
                <c:pt idx="1">
                  <c:v>12</c:v>
                </c:pt>
                <c:pt idx="2">
                  <c:v>5</c:v>
                </c:pt>
                <c:pt idx="3">
                  <c:v>12</c:v>
                </c:pt>
                <c:pt idx="4">
                  <c:v>18</c:v>
                </c:pt>
                <c:pt idx="5">
                  <c:v>15</c:v>
                </c:pt>
                <c:pt idx="6">
                  <c:v>19</c:v>
                </c:pt>
                <c:pt idx="7">
                  <c:v>14</c:v>
                </c:pt>
                <c:pt idx="8">
                  <c:v>24</c:v>
                </c:pt>
                <c:pt idx="9">
                  <c:v>28</c:v>
                </c:pt>
                <c:pt idx="10">
                  <c:v>13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Bwaise-Kawempe'!$AC$9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Bwaise-Kawempe'!$AC$10:$AC$21</c:f>
              <c:numCache>
                <c:formatCode>0</c:formatCode>
                <c:ptCount val="12"/>
                <c:pt idx="0">
                  <c:v>561</c:v>
                </c:pt>
                <c:pt idx="1">
                  <c:v>665</c:v>
                </c:pt>
                <c:pt idx="2">
                  <c:v>609</c:v>
                </c:pt>
                <c:pt idx="3">
                  <c:v>479</c:v>
                </c:pt>
                <c:pt idx="4">
                  <c:v>414</c:v>
                </c:pt>
                <c:pt idx="5">
                  <c:v>371</c:v>
                </c:pt>
                <c:pt idx="6">
                  <c:v>426</c:v>
                </c:pt>
                <c:pt idx="7">
                  <c:v>186</c:v>
                </c:pt>
                <c:pt idx="8">
                  <c:v>410</c:v>
                </c:pt>
                <c:pt idx="9">
                  <c:v>396</c:v>
                </c:pt>
                <c:pt idx="10">
                  <c:v>525</c:v>
                </c:pt>
                <c:pt idx="11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Bwaise-Kawempe'!$AD$9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Bwaise-Kawempe'!$AD$10:$AD$21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263232"/>
        <c:axId val="163264768"/>
      </c:lineChart>
      <c:catAx>
        <c:axId val="16326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264768"/>
        <c:crosses val="autoZero"/>
        <c:auto val="1"/>
        <c:lblAlgn val="ctr"/>
        <c:lblOffset val="100"/>
        <c:noMultiLvlLbl val="0"/>
      </c:catAx>
      <c:valAx>
        <c:axId val="1632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2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Bwaise-Kawempe'!$C$60:$N$60</c:f>
              <c:numCache>
                <c:formatCode>0.00%</c:formatCode>
                <c:ptCount val="12"/>
                <c:pt idx="0">
                  <c:v>0.31742902208201895</c:v>
                </c:pt>
                <c:pt idx="1">
                  <c:v>5.5007886435331228E-2</c:v>
                </c:pt>
                <c:pt idx="2">
                  <c:v>5.619085173501577E-2</c:v>
                </c:pt>
                <c:pt idx="3">
                  <c:v>0.3649447949526814</c:v>
                </c:pt>
                <c:pt idx="4">
                  <c:v>1.4787066246056782E-2</c:v>
                </c:pt>
                <c:pt idx="5">
                  <c:v>6.5063091482649845E-3</c:v>
                </c:pt>
                <c:pt idx="6">
                  <c:v>0.10607255520504733</c:v>
                </c:pt>
                <c:pt idx="7">
                  <c:v>2.8391167192429023E-2</c:v>
                </c:pt>
                <c:pt idx="8">
                  <c:v>1.5970031545741326E-2</c:v>
                </c:pt>
                <c:pt idx="9">
                  <c:v>3.4700315457413249E-2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Kawempe-Bwaise'!$AE$9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Kawempe-Bwaise'!$AE$10:$AE$21</c:f>
              <c:numCache>
                <c:formatCode>0</c:formatCode>
                <c:ptCount val="12"/>
                <c:pt idx="0">
                  <c:v>531</c:v>
                </c:pt>
                <c:pt idx="1">
                  <c:v>430</c:v>
                </c:pt>
                <c:pt idx="2">
                  <c:v>389</c:v>
                </c:pt>
                <c:pt idx="3">
                  <c:v>481</c:v>
                </c:pt>
                <c:pt idx="4">
                  <c:v>469</c:v>
                </c:pt>
                <c:pt idx="5">
                  <c:v>457</c:v>
                </c:pt>
                <c:pt idx="6">
                  <c:v>415</c:v>
                </c:pt>
                <c:pt idx="7">
                  <c:v>281</c:v>
                </c:pt>
                <c:pt idx="8">
                  <c:v>508</c:v>
                </c:pt>
                <c:pt idx="9">
                  <c:v>408</c:v>
                </c:pt>
                <c:pt idx="10">
                  <c:v>383</c:v>
                </c:pt>
                <c:pt idx="11">
                  <c:v>412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Kawempe-Bwaise'!$AF$9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Kawempe-Bwaise'!$AF$10:$AF$21</c:f>
              <c:numCache>
                <c:formatCode>0</c:formatCode>
                <c:ptCount val="12"/>
                <c:pt idx="0">
                  <c:v>1801</c:v>
                </c:pt>
                <c:pt idx="1">
                  <c:v>1735</c:v>
                </c:pt>
                <c:pt idx="2">
                  <c:v>1688</c:v>
                </c:pt>
                <c:pt idx="3">
                  <c:v>1805</c:v>
                </c:pt>
                <c:pt idx="4">
                  <c:v>1257</c:v>
                </c:pt>
                <c:pt idx="5">
                  <c:v>985</c:v>
                </c:pt>
                <c:pt idx="6">
                  <c:v>815</c:v>
                </c:pt>
                <c:pt idx="7">
                  <c:v>615</c:v>
                </c:pt>
                <c:pt idx="8">
                  <c:v>1171</c:v>
                </c:pt>
                <c:pt idx="9">
                  <c:v>1279</c:v>
                </c:pt>
                <c:pt idx="10">
                  <c:v>1180</c:v>
                </c:pt>
                <c:pt idx="11">
                  <c:v>1526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26144"/>
        <c:axId val="163528064"/>
      </c:lineChart>
      <c:catAx>
        <c:axId val="163526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528064"/>
        <c:crosses val="autoZero"/>
        <c:auto val="1"/>
        <c:lblAlgn val="ctr"/>
        <c:lblOffset val="100"/>
        <c:noMultiLvlLbl val="0"/>
      </c:catAx>
      <c:valAx>
        <c:axId val="163528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52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Kawempe-Bwaise'!$C$59:$N$59</c:f>
              <c:numCache>
                <c:formatCode>0.0%</c:formatCode>
                <c:ptCount val="12"/>
                <c:pt idx="0">
                  <c:v>9.9766664564545623E-2</c:v>
                </c:pt>
                <c:pt idx="1">
                  <c:v>3.0081352084253013E-2</c:v>
                </c:pt>
                <c:pt idx="2">
                  <c:v>2.2765970864602383E-2</c:v>
                </c:pt>
                <c:pt idx="3">
                  <c:v>0.11855962666330327</c:v>
                </c:pt>
                <c:pt idx="4">
                  <c:v>5.6126631771457403E-3</c:v>
                </c:pt>
                <c:pt idx="5">
                  <c:v>1.7027180425048874E-3</c:v>
                </c:pt>
                <c:pt idx="6">
                  <c:v>1.9045216623573186E-2</c:v>
                </c:pt>
                <c:pt idx="7">
                  <c:v>9.3964810493788239E-3</c:v>
                </c:pt>
                <c:pt idx="8">
                  <c:v>1.0594690042252632E-2</c:v>
                </c:pt>
                <c:pt idx="9">
                  <c:v>8.1352084253011291E-3</c:v>
                </c:pt>
                <c:pt idx="10">
                  <c:v>0.67433940846313933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26"/>
          <c:y val="2.29602266373237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Kawempe-Bwaise'!$S$9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Kawempe-Bwaise'!$S$10:$S$21</c:f>
              <c:numCache>
                <c:formatCode>0</c:formatCode>
                <c:ptCount val="12"/>
                <c:pt idx="0">
                  <c:v>196</c:v>
                </c:pt>
                <c:pt idx="1">
                  <c:v>131</c:v>
                </c:pt>
                <c:pt idx="2">
                  <c:v>127</c:v>
                </c:pt>
                <c:pt idx="3">
                  <c:v>157</c:v>
                </c:pt>
                <c:pt idx="4">
                  <c:v>139</c:v>
                </c:pt>
                <c:pt idx="5">
                  <c:v>158</c:v>
                </c:pt>
                <c:pt idx="6">
                  <c:v>118</c:v>
                </c:pt>
                <c:pt idx="7">
                  <c:v>69</c:v>
                </c:pt>
                <c:pt idx="8">
                  <c:v>150</c:v>
                </c:pt>
                <c:pt idx="9">
                  <c:v>113</c:v>
                </c:pt>
                <c:pt idx="10">
                  <c:v>116</c:v>
                </c:pt>
                <c:pt idx="11">
                  <c:v>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Kawempe-Bwaise'!$T$9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Kawempe-Bwaise'!$T$10:$T$21</c:f>
              <c:numCache>
                <c:formatCode>0</c:formatCode>
                <c:ptCount val="12"/>
                <c:pt idx="0">
                  <c:v>41</c:v>
                </c:pt>
                <c:pt idx="1">
                  <c:v>36</c:v>
                </c:pt>
                <c:pt idx="2">
                  <c:v>16</c:v>
                </c:pt>
                <c:pt idx="3">
                  <c:v>41</c:v>
                </c:pt>
                <c:pt idx="4">
                  <c:v>53</c:v>
                </c:pt>
                <c:pt idx="5">
                  <c:v>32</c:v>
                </c:pt>
                <c:pt idx="6">
                  <c:v>35</c:v>
                </c:pt>
                <c:pt idx="7">
                  <c:v>23</c:v>
                </c:pt>
                <c:pt idx="8">
                  <c:v>59</c:v>
                </c:pt>
                <c:pt idx="9">
                  <c:v>56</c:v>
                </c:pt>
                <c:pt idx="10">
                  <c:v>40</c:v>
                </c:pt>
                <c:pt idx="11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Kawempe-Bwaise'!$U$9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Kawempe-Bwaise'!$U$10:$U$21</c:f>
              <c:numCache>
                <c:formatCode>0</c:formatCode>
                <c:ptCount val="12"/>
                <c:pt idx="0">
                  <c:v>29</c:v>
                </c:pt>
                <c:pt idx="1">
                  <c:v>19</c:v>
                </c:pt>
                <c:pt idx="2">
                  <c:v>26</c:v>
                </c:pt>
                <c:pt idx="3">
                  <c:v>32</c:v>
                </c:pt>
                <c:pt idx="4">
                  <c:v>46</c:v>
                </c:pt>
                <c:pt idx="5">
                  <c:v>36</c:v>
                </c:pt>
                <c:pt idx="6">
                  <c:v>35</c:v>
                </c:pt>
                <c:pt idx="7">
                  <c:v>21</c:v>
                </c:pt>
                <c:pt idx="8">
                  <c:v>52</c:v>
                </c:pt>
                <c:pt idx="9">
                  <c:v>28</c:v>
                </c:pt>
                <c:pt idx="10">
                  <c:v>22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Kawempe-Bwaise'!$V$9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Kawempe-Bwaise'!$V$10:$V$21</c:f>
              <c:numCache>
                <c:formatCode>0</c:formatCode>
                <c:ptCount val="12"/>
                <c:pt idx="0">
                  <c:v>201</c:v>
                </c:pt>
                <c:pt idx="1">
                  <c:v>196</c:v>
                </c:pt>
                <c:pt idx="2">
                  <c:v>152</c:v>
                </c:pt>
                <c:pt idx="3">
                  <c:v>169</c:v>
                </c:pt>
                <c:pt idx="4">
                  <c:v>162</c:v>
                </c:pt>
                <c:pt idx="5">
                  <c:v>152</c:v>
                </c:pt>
                <c:pt idx="6">
                  <c:v>165</c:v>
                </c:pt>
                <c:pt idx="7">
                  <c:v>94</c:v>
                </c:pt>
                <c:pt idx="8">
                  <c:v>169</c:v>
                </c:pt>
                <c:pt idx="9">
                  <c:v>138</c:v>
                </c:pt>
                <c:pt idx="10">
                  <c:v>117</c:v>
                </c:pt>
                <c:pt idx="11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Kawempe-Bwaise'!$W$9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Kawempe-Bwaise'!$W$10:$W$21</c:f>
              <c:numCache>
                <c:formatCode>0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8</c:v>
                </c:pt>
                <c:pt idx="9">
                  <c:v>3</c:v>
                </c:pt>
                <c:pt idx="10">
                  <c:v>9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Kawempe-Bwaise'!$X$9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Kawempe-Bwaise'!$X$10:$X$21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Kawempe-Bwaise'!$Y$9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Kawempe-Bwaise'!$Y$10:$Y$21</c:f>
              <c:numCache>
                <c:formatCode>0</c:formatCode>
                <c:ptCount val="12"/>
                <c:pt idx="0">
                  <c:v>23</c:v>
                </c:pt>
                <c:pt idx="1">
                  <c:v>18</c:v>
                </c:pt>
                <c:pt idx="2">
                  <c:v>23</c:v>
                </c:pt>
                <c:pt idx="3">
                  <c:v>33</c:v>
                </c:pt>
                <c:pt idx="4">
                  <c:v>31</c:v>
                </c:pt>
                <c:pt idx="5">
                  <c:v>33</c:v>
                </c:pt>
                <c:pt idx="6">
                  <c:v>18</c:v>
                </c:pt>
                <c:pt idx="7">
                  <c:v>21</c:v>
                </c:pt>
                <c:pt idx="8">
                  <c:v>22</c:v>
                </c:pt>
                <c:pt idx="9">
                  <c:v>31</c:v>
                </c:pt>
                <c:pt idx="10">
                  <c:v>32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Kawempe-Bwaise'!$Z$9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Kawempe-Bwaise'!$Z$10:$Z$21</c:f>
              <c:numCache>
                <c:formatCode>0</c:formatCode>
                <c:ptCount val="12"/>
                <c:pt idx="0">
                  <c:v>12</c:v>
                </c:pt>
                <c:pt idx="1">
                  <c:v>6</c:v>
                </c:pt>
                <c:pt idx="2">
                  <c:v>14</c:v>
                </c:pt>
                <c:pt idx="3">
                  <c:v>21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7</c:v>
                </c:pt>
                <c:pt idx="8">
                  <c:v>16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Kawempe-Bwaise'!$AA$9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Kawempe-Bwaise'!$AA$10:$AA$21</c:f>
              <c:numCache>
                <c:formatCode>0</c:formatCode>
                <c:ptCount val="12"/>
                <c:pt idx="0">
                  <c:v>10</c:v>
                </c:pt>
                <c:pt idx="1">
                  <c:v>8</c:v>
                </c:pt>
                <c:pt idx="2">
                  <c:v>15</c:v>
                </c:pt>
                <c:pt idx="3">
                  <c:v>14</c:v>
                </c:pt>
                <c:pt idx="4">
                  <c:v>9</c:v>
                </c:pt>
                <c:pt idx="5">
                  <c:v>7</c:v>
                </c:pt>
                <c:pt idx="6">
                  <c:v>12</c:v>
                </c:pt>
                <c:pt idx="7">
                  <c:v>14</c:v>
                </c:pt>
                <c:pt idx="8">
                  <c:v>17</c:v>
                </c:pt>
                <c:pt idx="9">
                  <c:v>15</c:v>
                </c:pt>
                <c:pt idx="10">
                  <c:v>25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Kawempe-Bwaise'!$AB$9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Kawempe-Bwaise'!$AB$10:$AB$21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12</c:v>
                </c:pt>
                <c:pt idx="3">
                  <c:v>6</c:v>
                </c:pt>
                <c:pt idx="4">
                  <c:v>9</c:v>
                </c:pt>
                <c:pt idx="5">
                  <c:v>14</c:v>
                </c:pt>
                <c:pt idx="6">
                  <c:v>5</c:v>
                </c:pt>
                <c:pt idx="7">
                  <c:v>17</c:v>
                </c:pt>
                <c:pt idx="8">
                  <c:v>11</c:v>
                </c:pt>
                <c:pt idx="9">
                  <c:v>12</c:v>
                </c:pt>
                <c:pt idx="10">
                  <c:v>11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Kawempe-Bwaise'!$AC$9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Kawempe-Bwaise'!$AC$10:$AC$21</c:f>
              <c:numCache>
                <c:formatCode>0</c:formatCode>
                <c:ptCount val="12"/>
                <c:pt idx="0">
                  <c:v>1270</c:v>
                </c:pt>
                <c:pt idx="1">
                  <c:v>1305</c:v>
                </c:pt>
                <c:pt idx="2">
                  <c:v>1299</c:v>
                </c:pt>
                <c:pt idx="3">
                  <c:v>1324</c:v>
                </c:pt>
                <c:pt idx="4">
                  <c:v>788</c:v>
                </c:pt>
                <c:pt idx="5">
                  <c:v>528</c:v>
                </c:pt>
                <c:pt idx="6">
                  <c:v>400</c:v>
                </c:pt>
                <c:pt idx="7">
                  <c:v>334</c:v>
                </c:pt>
                <c:pt idx="8">
                  <c:v>663</c:v>
                </c:pt>
                <c:pt idx="9">
                  <c:v>871</c:v>
                </c:pt>
                <c:pt idx="10">
                  <c:v>797</c:v>
                </c:pt>
                <c:pt idx="11">
                  <c:v>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Kawempe-Bwaise'!$AD$9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Kawempe-Bwaise'!$AD$10:$AD$21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94304"/>
        <c:axId val="163808384"/>
      </c:lineChart>
      <c:catAx>
        <c:axId val="16379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808384"/>
        <c:crosses val="autoZero"/>
        <c:auto val="1"/>
        <c:lblAlgn val="ctr"/>
        <c:lblOffset val="100"/>
        <c:noMultiLvlLbl val="0"/>
      </c:catAx>
      <c:valAx>
        <c:axId val="1638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7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Kawempe-Bwaise'!$C$60:$N$60</c:f>
              <c:numCache>
                <c:formatCode>0.00%</c:formatCode>
                <c:ptCount val="12"/>
                <c:pt idx="0">
                  <c:v>0.30635166537567776</c:v>
                </c:pt>
                <c:pt idx="1">
                  <c:v>9.23702556158017E-2</c:v>
                </c:pt>
                <c:pt idx="2">
                  <c:v>6.9907048799380325E-2</c:v>
                </c:pt>
                <c:pt idx="3">
                  <c:v>0.36405886909372581</c:v>
                </c:pt>
                <c:pt idx="4">
                  <c:v>1.7234701781564679E-2</c:v>
                </c:pt>
                <c:pt idx="5">
                  <c:v>5.2285050348567005E-3</c:v>
                </c:pt>
                <c:pt idx="6">
                  <c:v>5.8481797056545312E-2</c:v>
                </c:pt>
                <c:pt idx="7">
                  <c:v>2.8853601859024011E-2</c:v>
                </c:pt>
                <c:pt idx="8">
                  <c:v>3.2532920216886134E-2</c:v>
                </c:pt>
                <c:pt idx="9">
                  <c:v>2.4980635166537569E-2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Bwaise-Kawempe'!$AE$9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Bwaise-Kawempe'!$AE$10:$AE$21</c:f>
              <c:numCache>
                <c:formatCode>0</c:formatCode>
                <c:ptCount val="12"/>
                <c:pt idx="0">
                  <c:v>319</c:v>
                </c:pt>
                <c:pt idx="1">
                  <c:v>381</c:v>
                </c:pt>
                <c:pt idx="2">
                  <c:v>385</c:v>
                </c:pt>
                <c:pt idx="3">
                  <c:v>478</c:v>
                </c:pt>
                <c:pt idx="4">
                  <c:v>514</c:v>
                </c:pt>
                <c:pt idx="5">
                  <c:v>397</c:v>
                </c:pt>
                <c:pt idx="6">
                  <c:v>343</c:v>
                </c:pt>
                <c:pt idx="7">
                  <c:v>389</c:v>
                </c:pt>
                <c:pt idx="8">
                  <c:v>405</c:v>
                </c:pt>
                <c:pt idx="9">
                  <c:v>451</c:v>
                </c:pt>
                <c:pt idx="10">
                  <c:v>372</c:v>
                </c:pt>
                <c:pt idx="11">
                  <c:v>461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Bwaise-Kawempe'!$AF$9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Bwaise-Kawempe'!$AF$10:$AF$21</c:f>
              <c:numCache>
                <c:formatCode>0</c:formatCode>
                <c:ptCount val="12"/>
                <c:pt idx="0">
                  <c:v>1117</c:v>
                </c:pt>
                <c:pt idx="1">
                  <c:v>1446</c:v>
                </c:pt>
                <c:pt idx="2">
                  <c:v>1115</c:v>
                </c:pt>
                <c:pt idx="3">
                  <c:v>1047</c:v>
                </c:pt>
                <c:pt idx="4">
                  <c:v>1040</c:v>
                </c:pt>
                <c:pt idx="5">
                  <c:v>836</c:v>
                </c:pt>
                <c:pt idx="6">
                  <c:v>707</c:v>
                </c:pt>
                <c:pt idx="7">
                  <c:v>749</c:v>
                </c:pt>
                <c:pt idx="8">
                  <c:v>770</c:v>
                </c:pt>
                <c:pt idx="9">
                  <c:v>936</c:v>
                </c:pt>
                <c:pt idx="10">
                  <c:v>783</c:v>
                </c:pt>
                <c:pt idx="11">
                  <c:v>1125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3632"/>
        <c:axId val="163895552"/>
      </c:lineChart>
      <c:catAx>
        <c:axId val="163893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895552"/>
        <c:crosses val="autoZero"/>
        <c:auto val="1"/>
        <c:lblAlgn val="ctr"/>
        <c:lblOffset val="100"/>
        <c:noMultiLvlLbl val="0"/>
      </c:catAx>
      <c:valAx>
        <c:axId val="163895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8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Bwaise-Kawempe'!$C$59:$N$59</c:f>
              <c:numCache>
                <c:formatCode>0.0%</c:formatCode>
                <c:ptCount val="12"/>
                <c:pt idx="0">
                  <c:v>0.13786307942764117</c:v>
                </c:pt>
                <c:pt idx="1">
                  <c:v>1.9192871219261418E-2</c:v>
                </c:pt>
                <c:pt idx="2">
                  <c:v>2.107788535686745E-2</c:v>
                </c:pt>
                <c:pt idx="3">
                  <c:v>0.15285751006768913</c:v>
                </c:pt>
                <c:pt idx="4">
                  <c:v>6.5975494816211122E-3</c:v>
                </c:pt>
                <c:pt idx="5">
                  <c:v>1.7136492160054837E-3</c:v>
                </c:pt>
                <c:pt idx="6">
                  <c:v>4.6611258675349154E-2</c:v>
                </c:pt>
                <c:pt idx="7">
                  <c:v>1.4480335875246338E-2</c:v>
                </c:pt>
                <c:pt idx="8">
                  <c:v>8.1398337760260481E-3</c:v>
                </c:pt>
                <c:pt idx="9">
                  <c:v>1.0710307600034273E-2</c:v>
                </c:pt>
                <c:pt idx="10">
                  <c:v>0.58058435438265787</c:v>
                </c:pt>
                <c:pt idx="11">
                  <c:v>1.7136492160054837E-4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26"/>
          <c:y val="2.29602266373237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Bwaise-Kawempe'!$S$9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Bwaise-Kawempe'!$S$10:$S$21</c:f>
              <c:numCache>
                <c:formatCode>0</c:formatCode>
                <c:ptCount val="12"/>
                <c:pt idx="0">
                  <c:v>100</c:v>
                </c:pt>
                <c:pt idx="1">
                  <c:v>106</c:v>
                </c:pt>
                <c:pt idx="2">
                  <c:v>96</c:v>
                </c:pt>
                <c:pt idx="3">
                  <c:v>145</c:v>
                </c:pt>
                <c:pt idx="4">
                  <c:v>216</c:v>
                </c:pt>
                <c:pt idx="5">
                  <c:v>131</c:v>
                </c:pt>
                <c:pt idx="6">
                  <c:v>109</c:v>
                </c:pt>
                <c:pt idx="7">
                  <c:v>104</c:v>
                </c:pt>
                <c:pt idx="8">
                  <c:v>132</c:v>
                </c:pt>
                <c:pt idx="9">
                  <c:v>144</c:v>
                </c:pt>
                <c:pt idx="10">
                  <c:v>151</c:v>
                </c:pt>
                <c:pt idx="11">
                  <c:v>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Bwaise-Kawempe'!$T$9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Bwaise-Kawempe'!$T$10:$T$21</c:f>
              <c:numCache>
                <c:formatCode>0</c:formatCode>
                <c:ptCount val="12"/>
                <c:pt idx="0">
                  <c:v>8</c:v>
                </c:pt>
                <c:pt idx="1">
                  <c:v>12</c:v>
                </c:pt>
                <c:pt idx="2">
                  <c:v>14</c:v>
                </c:pt>
                <c:pt idx="3">
                  <c:v>23</c:v>
                </c:pt>
                <c:pt idx="4">
                  <c:v>26</c:v>
                </c:pt>
                <c:pt idx="5">
                  <c:v>26</c:v>
                </c:pt>
                <c:pt idx="6">
                  <c:v>21</c:v>
                </c:pt>
                <c:pt idx="7">
                  <c:v>17</c:v>
                </c:pt>
                <c:pt idx="8">
                  <c:v>13</c:v>
                </c:pt>
                <c:pt idx="9">
                  <c:v>20</c:v>
                </c:pt>
                <c:pt idx="10">
                  <c:v>18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Bwaise-Kawempe'!$U$9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Bwaise-Kawempe'!$U$10:$U$21</c:f>
              <c:numCache>
                <c:formatCode>0</c:formatCode>
                <c:ptCount val="12"/>
                <c:pt idx="0">
                  <c:v>12</c:v>
                </c:pt>
                <c:pt idx="1">
                  <c:v>18</c:v>
                </c:pt>
                <c:pt idx="2">
                  <c:v>20</c:v>
                </c:pt>
                <c:pt idx="3">
                  <c:v>23</c:v>
                </c:pt>
                <c:pt idx="4">
                  <c:v>32</c:v>
                </c:pt>
                <c:pt idx="5">
                  <c:v>22</c:v>
                </c:pt>
                <c:pt idx="6">
                  <c:v>14</c:v>
                </c:pt>
                <c:pt idx="7">
                  <c:v>29</c:v>
                </c:pt>
                <c:pt idx="8">
                  <c:v>28</c:v>
                </c:pt>
                <c:pt idx="9">
                  <c:v>24</c:v>
                </c:pt>
                <c:pt idx="10">
                  <c:v>11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Bwaise-Kawempe'!$V$9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Bwaise-Kawempe'!$V$10:$V$21</c:f>
              <c:numCache>
                <c:formatCode>0</c:formatCode>
                <c:ptCount val="12"/>
                <c:pt idx="0">
                  <c:v>144</c:v>
                </c:pt>
                <c:pt idx="1">
                  <c:v>178</c:v>
                </c:pt>
                <c:pt idx="2">
                  <c:v>183</c:v>
                </c:pt>
                <c:pt idx="3">
                  <c:v>194</c:v>
                </c:pt>
                <c:pt idx="4">
                  <c:v>150</c:v>
                </c:pt>
                <c:pt idx="5">
                  <c:v>109</c:v>
                </c:pt>
                <c:pt idx="6">
                  <c:v>125</c:v>
                </c:pt>
                <c:pt idx="7">
                  <c:v>142</c:v>
                </c:pt>
                <c:pt idx="8">
                  <c:v>128</c:v>
                </c:pt>
                <c:pt idx="9">
                  <c:v>162</c:v>
                </c:pt>
                <c:pt idx="10">
                  <c:v>122</c:v>
                </c:pt>
                <c:pt idx="11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Bwaise-Kawempe'!$W$9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Bwaise-Kawempe'!$W$10:$W$21</c:f>
              <c:numCache>
                <c:formatCode>0</c:formatCode>
                <c:ptCount val="12"/>
                <c:pt idx="0">
                  <c:v>10</c:v>
                </c:pt>
                <c:pt idx="1">
                  <c:v>6</c:v>
                </c:pt>
                <c:pt idx="2">
                  <c:v>9</c:v>
                </c:pt>
                <c:pt idx="3">
                  <c:v>2</c:v>
                </c:pt>
                <c:pt idx="4">
                  <c:v>3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8</c:v>
                </c:pt>
                <c:pt idx="10">
                  <c:v>4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Bwaise-Kawempe'!$X$9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Bwaise-Kawempe'!$X$10:$X$21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Bwaise-Kawempe'!$Y$9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Bwaise-Kawempe'!$Y$10:$Y$21</c:f>
              <c:numCache>
                <c:formatCode>0</c:formatCode>
                <c:ptCount val="12"/>
                <c:pt idx="0">
                  <c:v>31</c:v>
                </c:pt>
                <c:pt idx="1">
                  <c:v>33</c:v>
                </c:pt>
                <c:pt idx="2">
                  <c:v>50</c:v>
                </c:pt>
                <c:pt idx="3">
                  <c:v>54</c:v>
                </c:pt>
                <c:pt idx="4">
                  <c:v>53</c:v>
                </c:pt>
                <c:pt idx="5">
                  <c:v>53</c:v>
                </c:pt>
                <c:pt idx="6">
                  <c:v>40</c:v>
                </c:pt>
                <c:pt idx="7">
                  <c:v>50</c:v>
                </c:pt>
                <c:pt idx="8">
                  <c:v>59</c:v>
                </c:pt>
                <c:pt idx="9">
                  <c:v>47</c:v>
                </c:pt>
                <c:pt idx="10">
                  <c:v>27</c:v>
                </c:pt>
                <c:pt idx="11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Bwaise-Kawempe'!$Z$9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Bwaise-Kawempe'!$Z$10:$Z$21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0</c:v>
                </c:pt>
                <c:pt idx="3">
                  <c:v>9</c:v>
                </c:pt>
                <c:pt idx="4">
                  <c:v>12</c:v>
                </c:pt>
                <c:pt idx="5">
                  <c:v>21</c:v>
                </c:pt>
                <c:pt idx="6">
                  <c:v>13</c:v>
                </c:pt>
                <c:pt idx="7">
                  <c:v>16</c:v>
                </c:pt>
                <c:pt idx="8">
                  <c:v>25</c:v>
                </c:pt>
                <c:pt idx="9">
                  <c:v>23</c:v>
                </c:pt>
                <c:pt idx="10">
                  <c:v>24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Bwaise-Kawempe'!$AA$9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Bwaise-Kawempe'!$AA$10:$AA$21</c:f>
              <c:numCache>
                <c:formatCode>0</c:formatCode>
                <c:ptCount val="12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14</c:v>
                </c:pt>
                <c:pt idx="4">
                  <c:v>6</c:v>
                </c:pt>
                <c:pt idx="5">
                  <c:v>12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Bwaise-Kawempe'!$AB$9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Bwaise-Kawempe'!$AB$10:$AB$21</c:f>
              <c:numCache>
                <c:formatCode>0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8</c:v>
                </c:pt>
                <c:pt idx="3">
                  <c:v>13</c:v>
                </c:pt>
                <c:pt idx="4">
                  <c:v>13</c:v>
                </c:pt>
                <c:pt idx="5">
                  <c:v>11</c:v>
                </c:pt>
                <c:pt idx="6">
                  <c:v>6</c:v>
                </c:pt>
                <c:pt idx="7">
                  <c:v>17</c:v>
                </c:pt>
                <c:pt idx="8">
                  <c:v>9</c:v>
                </c:pt>
                <c:pt idx="9">
                  <c:v>14</c:v>
                </c:pt>
                <c:pt idx="10">
                  <c:v>7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Bwaise-Kawempe'!$AC$9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Bwaise-Kawempe'!$AC$10:$AC$21</c:f>
              <c:numCache>
                <c:formatCode>0</c:formatCode>
                <c:ptCount val="12"/>
                <c:pt idx="0">
                  <c:v>798</c:v>
                </c:pt>
                <c:pt idx="1">
                  <c:v>1065</c:v>
                </c:pt>
                <c:pt idx="2">
                  <c:v>730</c:v>
                </c:pt>
                <c:pt idx="3">
                  <c:v>569</c:v>
                </c:pt>
                <c:pt idx="4">
                  <c:v>526</c:v>
                </c:pt>
                <c:pt idx="5">
                  <c:v>439</c:v>
                </c:pt>
                <c:pt idx="6">
                  <c:v>364</c:v>
                </c:pt>
                <c:pt idx="7">
                  <c:v>360</c:v>
                </c:pt>
                <c:pt idx="8">
                  <c:v>365</c:v>
                </c:pt>
                <c:pt idx="9">
                  <c:v>485</c:v>
                </c:pt>
                <c:pt idx="10">
                  <c:v>411</c:v>
                </c:pt>
                <c:pt idx="11">
                  <c:v>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Bwaise-Kawempe'!$AD$9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Bwaise-Kawempe'!$AD$10:$AD$21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47104"/>
        <c:axId val="164057088"/>
      </c:lineChart>
      <c:catAx>
        <c:axId val="16404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057088"/>
        <c:crosses val="autoZero"/>
        <c:auto val="1"/>
        <c:lblAlgn val="ctr"/>
        <c:lblOffset val="100"/>
        <c:noMultiLvlLbl val="0"/>
      </c:catAx>
      <c:valAx>
        <c:axId val="1640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04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Bwaise-Kawempe'!$C$60:$N$60</c:f>
              <c:numCache>
                <c:formatCode>0.00%</c:formatCode>
                <c:ptCount val="12"/>
                <c:pt idx="0">
                  <c:v>0.32870275791624104</c:v>
                </c:pt>
                <c:pt idx="1">
                  <c:v>4.5760980592441269E-2</c:v>
                </c:pt>
                <c:pt idx="2">
                  <c:v>5.0255362614913174E-2</c:v>
                </c:pt>
                <c:pt idx="3">
                  <c:v>0.36445352400408582</c:v>
                </c:pt>
                <c:pt idx="4">
                  <c:v>1.5730337078651686E-2</c:v>
                </c:pt>
                <c:pt idx="5">
                  <c:v>4.0858018386108275E-3</c:v>
                </c:pt>
                <c:pt idx="6">
                  <c:v>0.11113381001021451</c:v>
                </c:pt>
                <c:pt idx="7">
                  <c:v>3.4525025536261494E-2</c:v>
                </c:pt>
                <c:pt idx="8">
                  <c:v>1.9407558733401432E-2</c:v>
                </c:pt>
                <c:pt idx="9">
                  <c:v>2.5536261491317672E-2</c:v>
                </c:pt>
                <c:pt idx="11">
                  <c:v>4.0858018386108274E-4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Kawempe-Bwaise'!$AE$9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Kawempe-Bwaise'!$AE$10:$AE$21</c:f>
              <c:numCache>
                <c:formatCode>0</c:formatCode>
                <c:ptCount val="12"/>
                <c:pt idx="0">
                  <c:v>629</c:v>
                </c:pt>
                <c:pt idx="1">
                  <c:v>598</c:v>
                </c:pt>
                <c:pt idx="2">
                  <c:v>587</c:v>
                </c:pt>
                <c:pt idx="3">
                  <c:v>555</c:v>
                </c:pt>
                <c:pt idx="4">
                  <c:v>459</c:v>
                </c:pt>
                <c:pt idx="5">
                  <c:v>430</c:v>
                </c:pt>
                <c:pt idx="6">
                  <c:v>337</c:v>
                </c:pt>
                <c:pt idx="7">
                  <c:v>461</c:v>
                </c:pt>
                <c:pt idx="8">
                  <c:v>510</c:v>
                </c:pt>
                <c:pt idx="9">
                  <c:v>478</c:v>
                </c:pt>
                <c:pt idx="10">
                  <c:v>426</c:v>
                </c:pt>
                <c:pt idx="11">
                  <c:v>413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Kawempe-Bwaise'!$AF$9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Kawempe-Bwaise'!$AF$10:$AF$21</c:f>
              <c:numCache>
                <c:formatCode>0</c:formatCode>
                <c:ptCount val="12"/>
                <c:pt idx="0">
                  <c:v>1439</c:v>
                </c:pt>
                <c:pt idx="1">
                  <c:v>1613</c:v>
                </c:pt>
                <c:pt idx="2">
                  <c:v>1448</c:v>
                </c:pt>
                <c:pt idx="3">
                  <c:v>1281</c:v>
                </c:pt>
                <c:pt idx="4">
                  <c:v>1179</c:v>
                </c:pt>
                <c:pt idx="5">
                  <c:v>1159</c:v>
                </c:pt>
                <c:pt idx="6">
                  <c:v>900</c:v>
                </c:pt>
                <c:pt idx="7">
                  <c:v>1026</c:v>
                </c:pt>
                <c:pt idx="8">
                  <c:v>979</c:v>
                </c:pt>
                <c:pt idx="9">
                  <c:v>1144</c:v>
                </c:pt>
                <c:pt idx="10">
                  <c:v>1163</c:v>
                </c:pt>
                <c:pt idx="11">
                  <c:v>1495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42784"/>
        <c:axId val="164353152"/>
      </c:lineChart>
      <c:catAx>
        <c:axId val="164342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353152"/>
        <c:crosses val="autoZero"/>
        <c:auto val="1"/>
        <c:lblAlgn val="ctr"/>
        <c:lblOffset val="100"/>
        <c:noMultiLvlLbl val="0"/>
      </c:catAx>
      <c:valAx>
        <c:axId val="1643531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34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Kawempe-Bwaise'!$C$59:$N$59</c:f>
              <c:numCache>
                <c:formatCode>0.0%</c:formatCode>
                <c:ptCount val="12"/>
                <c:pt idx="0">
                  <c:v>0.11702414676918926</c:v>
                </c:pt>
                <c:pt idx="1">
                  <c:v>3.8580871442061244E-2</c:v>
                </c:pt>
                <c:pt idx="2">
                  <c:v>2.2055847834884661E-2</c:v>
                </c:pt>
                <c:pt idx="3">
                  <c:v>0.14663429111021178</c:v>
                </c:pt>
                <c:pt idx="4">
                  <c:v>6.0704168352893563E-3</c:v>
                </c:pt>
                <c:pt idx="5">
                  <c:v>2.0909213543774448E-3</c:v>
                </c:pt>
                <c:pt idx="6">
                  <c:v>2.4484014569000404E-2</c:v>
                </c:pt>
                <c:pt idx="7">
                  <c:v>2.6709834075273168E-2</c:v>
                </c:pt>
                <c:pt idx="8">
                  <c:v>8.0938891137191417E-3</c:v>
                </c:pt>
                <c:pt idx="9">
                  <c:v>5.058680696074464E-3</c:v>
                </c:pt>
                <c:pt idx="10">
                  <c:v>0.60319708619991907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Kawempe-Bwaise'!$C$60:$N$60</c:f>
              <c:numCache>
                <c:formatCode>0.00%</c:formatCode>
                <c:ptCount val="12"/>
                <c:pt idx="0">
                  <c:v>0.29491755906850248</c:v>
                </c:pt>
                <c:pt idx="1">
                  <c:v>9.7229304776474582E-2</c:v>
                </c:pt>
                <c:pt idx="2">
                  <c:v>5.5583885772565018E-2</c:v>
                </c:pt>
                <c:pt idx="3">
                  <c:v>0.36953935067142613</c:v>
                </c:pt>
                <c:pt idx="4">
                  <c:v>1.5298317185109638E-2</c:v>
                </c:pt>
                <c:pt idx="5">
                  <c:v>5.269420363759986E-3</c:v>
                </c:pt>
                <c:pt idx="6">
                  <c:v>6.1703212646608871E-2</c:v>
                </c:pt>
                <c:pt idx="7">
                  <c:v>6.7312595614482412E-2</c:v>
                </c:pt>
                <c:pt idx="8">
                  <c:v>2.0397756246812851E-2</c:v>
                </c:pt>
                <c:pt idx="9">
                  <c:v>1.2748597654258032E-2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Bwaise-Kawempe'!$AE$9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Bwaise-Kawempe'!$AE$10:$AE$21</c:f>
              <c:numCache>
                <c:formatCode>0</c:formatCode>
                <c:ptCount val="12"/>
                <c:pt idx="0">
                  <c:v>342</c:v>
                </c:pt>
                <c:pt idx="1">
                  <c:v>376</c:v>
                </c:pt>
                <c:pt idx="2">
                  <c:v>389</c:v>
                </c:pt>
                <c:pt idx="3">
                  <c:v>415</c:v>
                </c:pt>
                <c:pt idx="4">
                  <c:v>421</c:v>
                </c:pt>
                <c:pt idx="5">
                  <c:v>445</c:v>
                </c:pt>
                <c:pt idx="6">
                  <c:v>503</c:v>
                </c:pt>
                <c:pt idx="7">
                  <c:v>372</c:v>
                </c:pt>
                <c:pt idx="8">
                  <c:v>456</c:v>
                </c:pt>
                <c:pt idx="9">
                  <c:v>430</c:v>
                </c:pt>
                <c:pt idx="10">
                  <c:v>417</c:v>
                </c:pt>
                <c:pt idx="11">
                  <c:v>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Bwaise-Kawempe'!$AF$9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Bwaise-Kawempe'!$AF$10:$AF$21</c:f>
              <c:numCache>
                <c:formatCode>0</c:formatCode>
                <c:ptCount val="12"/>
                <c:pt idx="0">
                  <c:v>1030</c:v>
                </c:pt>
                <c:pt idx="1">
                  <c:v>1071</c:v>
                </c:pt>
                <c:pt idx="2">
                  <c:v>974</c:v>
                </c:pt>
                <c:pt idx="3">
                  <c:v>982</c:v>
                </c:pt>
                <c:pt idx="4">
                  <c:v>931</c:v>
                </c:pt>
                <c:pt idx="5">
                  <c:v>912</c:v>
                </c:pt>
                <c:pt idx="6">
                  <c:v>920</c:v>
                </c:pt>
                <c:pt idx="7">
                  <c:v>755</c:v>
                </c:pt>
                <c:pt idx="8">
                  <c:v>921</c:v>
                </c:pt>
                <c:pt idx="9">
                  <c:v>938</c:v>
                </c:pt>
                <c:pt idx="10">
                  <c:v>950</c:v>
                </c:pt>
                <c:pt idx="11">
                  <c:v>1032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38240"/>
        <c:axId val="164544512"/>
      </c:lineChart>
      <c:catAx>
        <c:axId val="164538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544512"/>
        <c:crosses val="autoZero"/>
        <c:auto val="1"/>
        <c:lblAlgn val="ctr"/>
        <c:lblOffset val="100"/>
        <c:noMultiLvlLbl val="0"/>
      </c:catAx>
      <c:valAx>
        <c:axId val="164544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53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Bwaise-Kawempe'!$C$59:$N$59</c:f>
              <c:numCache>
                <c:formatCode>0.0%</c:formatCode>
                <c:ptCount val="12"/>
                <c:pt idx="0">
                  <c:v>0.14330763840224248</c:v>
                </c:pt>
                <c:pt idx="1">
                  <c:v>2.4702172389628591E-2</c:v>
                </c:pt>
                <c:pt idx="2">
                  <c:v>1.7957252978276102E-2</c:v>
                </c:pt>
                <c:pt idx="3">
                  <c:v>0.16765942536790471</c:v>
                </c:pt>
                <c:pt idx="4">
                  <c:v>7.1829011913104417E-3</c:v>
                </c:pt>
                <c:pt idx="5">
                  <c:v>2.2775052557813596E-3</c:v>
                </c:pt>
                <c:pt idx="6">
                  <c:v>4.230903994393833E-2</c:v>
                </c:pt>
                <c:pt idx="7">
                  <c:v>1.2175893482831114E-2</c:v>
                </c:pt>
                <c:pt idx="8">
                  <c:v>6.5697266993693061E-3</c:v>
                </c:pt>
                <c:pt idx="9">
                  <c:v>1.4978976874562018E-2</c:v>
                </c:pt>
                <c:pt idx="10">
                  <c:v>0.56087946741415562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26"/>
          <c:y val="2.29602266373237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Bwaise-Kawempe'!$S$9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Bwaise-Kawempe'!$S$10:$S$21</c:f>
              <c:numCache>
                <c:formatCode>0</c:formatCode>
                <c:ptCount val="12"/>
                <c:pt idx="0">
                  <c:v>108</c:v>
                </c:pt>
                <c:pt idx="1">
                  <c:v>86</c:v>
                </c:pt>
                <c:pt idx="2">
                  <c:v>105</c:v>
                </c:pt>
                <c:pt idx="3">
                  <c:v>113</c:v>
                </c:pt>
                <c:pt idx="4">
                  <c:v>136</c:v>
                </c:pt>
                <c:pt idx="5">
                  <c:v>137</c:v>
                </c:pt>
                <c:pt idx="6">
                  <c:v>167</c:v>
                </c:pt>
                <c:pt idx="7">
                  <c:v>135</c:v>
                </c:pt>
                <c:pt idx="8">
                  <c:v>145</c:v>
                </c:pt>
                <c:pt idx="9">
                  <c:v>165</c:v>
                </c:pt>
                <c:pt idx="10">
                  <c:v>150</c:v>
                </c:pt>
                <c:pt idx="11">
                  <c:v>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Bwaise-Kawempe'!$T$9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Bwaise-Kawempe'!$T$10:$T$21</c:f>
              <c:numCache>
                <c:formatCode>0</c:formatCode>
                <c:ptCount val="12"/>
                <c:pt idx="0">
                  <c:v>14</c:v>
                </c:pt>
                <c:pt idx="1">
                  <c:v>18</c:v>
                </c:pt>
                <c:pt idx="2">
                  <c:v>18</c:v>
                </c:pt>
                <c:pt idx="3">
                  <c:v>25</c:v>
                </c:pt>
                <c:pt idx="4">
                  <c:v>27</c:v>
                </c:pt>
                <c:pt idx="5">
                  <c:v>25</c:v>
                </c:pt>
                <c:pt idx="6">
                  <c:v>35</c:v>
                </c:pt>
                <c:pt idx="7">
                  <c:v>22</c:v>
                </c:pt>
                <c:pt idx="8">
                  <c:v>30</c:v>
                </c:pt>
                <c:pt idx="9">
                  <c:v>22</c:v>
                </c:pt>
                <c:pt idx="10">
                  <c:v>21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Bwaise-Kawempe'!$U$9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Bwaise-Kawempe'!$U$10:$U$21</c:f>
              <c:numCache>
                <c:formatCode>0</c:formatCode>
                <c:ptCount val="12"/>
                <c:pt idx="0">
                  <c:v>10</c:v>
                </c:pt>
                <c:pt idx="1">
                  <c:v>9</c:v>
                </c:pt>
                <c:pt idx="2">
                  <c:v>15</c:v>
                </c:pt>
                <c:pt idx="3">
                  <c:v>21</c:v>
                </c:pt>
                <c:pt idx="4">
                  <c:v>14</c:v>
                </c:pt>
                <c:pt idx="5">
                  <c:v>18</c:v>
                </c:pt>
                <c:pt idx="6">
                  <c:v>30</c:v>
                </c:pt>
                <c:pt idx="7">
                  <c:v>17</c:v>
                </c:pt>
                <c:pt idx="8">
                  <c:v>30</c:v>
                </c:pt>
                <c:pt idx="9">
                  <c:v>13</c:v>
                </c:pt>
                <c:pt idx="10">
                  <c:v>12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Bwaise-Kawempe'!$V$9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Bwaise-Kawempe'!$V$10:$V$21</c:f>
              <c:numCache>
                <c:formatCode>0</c:formatCode>
                <c:ptCount val="12"/>
                <c:pt idx="0">
                  <c:v>148</c:v>
                </c:pt>
                <c:pt idx="1">
                  <c:v>198</c:v>
                </c:pt>
                <c:pt idx="2">
                  <c:v>179</c:v>
                </c:pt>
                <c:pt idx="3">
                  <c:v>168</c:v>
                </c:pt>
                <c:pt idx="4">
                  <c:v>151</c:v>
                </c:pt>
                <c:pt idx="5">
                  <c:v>181</c:v>
                </c:pt>
                <c:pt idx="6">
                  <c:v>167</c:v>
                </c:pt>
                <c:pt idx="7">
                  <c:v>129</c:v>
                </c:pt>
                <c:pt idx="8">
                  <c:v>165</c:v>
                </c:pt>
                <c:pt idx="9">
                  <c:v>140</c:v>
                </c:pt>
                <c:pt idx="10">
                  <c:v>142</c:v>
                </c:pt>
                <c:pt idx="11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Bwaise-Kawempe'!$W$9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Bwaise-Kawempe'!$W$10:$W$21</c:f>
              <c:numCache>
                <c:formatCode>0</c:formatCode>
                <c:ptCount val="12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Bwaise-Kawempe'!$X$9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Bwaise-Kawempe'!$X$10:$X$21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Bwaise-Kawempe'!$Y$9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Bwaise-Kawempe'!$Y$10:$Y$21</c:f>
              <c:numCache>
                <c:formatCode>0</c:formatCode>
                <c:ptCount val="12"/>
                <c:pt idx="0">
                  <c:v>29</c:v>
                </c:pt>
                <c:pt idx="1">
                  <c:v>33</c:v>
                </c:pt>
                <c:pt idx="2">
                  <c:v>39</c:v>
                </c:pt>
                <c:pt idx="3">
                  <c:v>51</c:v>
                </c:pt>
                <c:pt idx="4">
                  <c:v>44</c:v>
                </c:pt>
                <c:pt idx="5">
                  <c:v>49</c:v>
                </c:pt>
                <c:pt idx="6">
                  <c:v>48</c:v>
                </c:pt>
                <c:pt idx="7">
                  <c:v>27</c:v>
                </c:pt>
                <c:pt idx="8">
                  <c:v>47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Bwaise-Kawempe'!$Z$9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Bwaise-Kawempe'!$Z$10:$Z$21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10</c:v>
                </c:pt>
                <c:pt idx="6">
                  <c:v>23</c:v>
                </c:pt>
                <c:pt idx="7">
                  <c:v>14</c:v>
                </c:pt>
                <c:pt idx="8">
                  <c:v>19</c:v>
                </c:pt>
                <c:pt idx="9">
                  <c:v>19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Bwaise-Kawempe'!$AA$9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Bwaise-Kawempe'!$AA$10:$AA$21</c:f>
              <c:numCache>
                <c:formatCode>0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12</c:v>
                </c:pt>
                <c:pt idx="8">
                  <c:v>5</c:v>
                </c:pt>
                <c:pt idx="9">
                  <c:v>9</c:v>
                </c:pt>
                <c:pt idx="10">
                  <c:v>10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Bwaise-Kawempe'!$AB$9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Bwaise-Kawempe'!$AB$10:$AB$21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11</c:v>
                </c:pt>
                <c:pt idx="3">
                  <c:v>13</c:v>
                </c:pt>
                <c:pt idx="4">
                  <c:v>27</c:v>
                </c:pt>
                <c:pt idx="5">
                  <c:v>14</c:v>
                </c:pt>
                <c:pt idx="6">
                  <c:v>20</c:v>
                </c:pt>
                <c:pt idx="7">
                  <c:v>12</c:v>
                </c:pt>
                <c:pt idx="8">
                  <c:v>9</c:v>
                </c:pt>
                <c:pt idx="9">
                  <c:v>15</c:v>
                </c:pt>
                <c:pt idx="10">
                  <c:v>27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Bwaise-Kawempe'!$AC$9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Bwaise-Kawempe'!$AC$10:$AC$21</c:f>
              <c:numCache>
                <c:formatCode>0</c:formatCode>
                <c:ptCount val="12"/>
                <c:pt idx="0">
                  <c:v>688</c:v>
                </c:pt>
                <c:pt idx="1">
                  <c:v>695</c:v>
                </c:pt>
                <c:pt idx="2">
                  <c:v>585</c:v>
                </c:pt>
                <c:pt idx="3">
                  <c:v>567</c:v>
                </c:pt>
                <c:pt idx="4">
                  <c:v>510</c:v>
                </c:pt>
                <c:pt idx="5">
                  <c:v>467</c:v>
                </c:pt>
                <c:pt idx="6">
                  <c:v>417</c:v>
                </c:pt>
                <c:pt idx="7">
                  <c:v>383</c:v>
                </c:pt>
                <c:pt idx="8">
                  <c:v>465</c:v>
                </c:pt>
                <c:pt idx="9">
                  <c:v>508</c:v>
                </c:pt>
                <c:pt idx="10">
                  <c:v>533</c:v>
                </c:pt>
                <c:pt idx="11">
                  <c:v>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Bwaise-Kawempe'!$AD$9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Bwaise-Kawempe'!$AD$10:$AD$21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04960"/>
        <c:axId val="164906496"/>
      </c:lineChart>
      <c:catAx>
        <c:axId val="16490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906496"/>
        <c:crosses val="autoZero"/>
        <c:auto val="1"/>
        <c:lblAlgn val="ctr"/>
        <c:lblOffset val="100"/>
        <c:noMultiLvlLbl val="0"/>
      </c:catAx>
      <c:valAx>
        <c:axId val="1649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90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Bwaise-Kawempe'!$C$60:$N$60</c:f>
              <c:numCache>
                <c:formatCode>0.00%</c:formatCode>
                <c:ptCount val="12"/>
                <c:pt idx="0">
                  <c:v>0.32635148613604625</c:v>
                </c:pt>
                <c:pt idx="1">
                  <c:v>5.6253740275284264E-2</c:v>
                </c:pt>
                <c:pt idx="2">
                  <c:v>4.089367644125274E-2</c:v>
                </c:pt>
                <c:pt idx="3">
                  <c:v>0.38180730101735488</c:v>
                </c:pt>
                <c:pt idx="4">
                  <c:v>1.6357470576501096E-2</c:v>
                </c:pt>
                <c:pt idx="5">
                  <c:v>5.1865150608418117E-3</c:v>
                </c:pt>
                <c:pt idx="6">
                  <c:v>9.6349491322561334E-2</c:v>
                </c:pt>
                <c:pt idx="7">
                  <c:v>2.7727907440654297E-2</c:v>
                </c:pt>
                <c:pt idx="8">
                  <c:v>1.4961101137043686E-2</c:v>
                </c:pt>
                <c:pt idx="9">
                  <c:v>3.4111310592459608E-2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Kawempe-Bwaise'!$AE$9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Kawempe-Bwaise'!$AE$10:$AE$21</c:f>
              <c:numCache>
                <c:formatCode>0</c:formatCode>
                <c:ptCount val="12"/>
                <c:pt idx="0">
                  <c:v>561</c:v>
                </c:pt>
                <c:pt idx="1">
                  <c:v>520</c:v>
                </c:pt>
                <c:pt idx="2">
                  <c:v>562</c:v>
                </c:pt>
                <c:pt idx="3">
                  <c:v>395</c:v>
                </c:pt>
                <c:pt idx="4">
                  <c:v>503</c:v>
                </c:pt>
                <c:pt idx="5">
                  <c:v>506</c:v>
                </c:pt>
                <c:pt idx="6">
                  <c:v>465</c:v>
                </c:pt>
                <c:pt idx="7">
                  <c:v>459</c:v>
                </c:pt>
                <c:pt idx="8">
                  <c:v>489</c:v>
                </c:pt>
                <c:pt idx="9">
                  <c:v>513</c:v>
                </c:pt>
                <c:pt idx="10">
                  <c:v>427</c:v>
                </c:pt>
                <c:pt idx="11">
                  <c:v>441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Kawempe-Bwaise'!$AF$9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Kawempe-Bwaise'!$AF$10:$AF$21</c:f>
              <c:numCache>
                <c:formatCode>0</c:formatCode>
                <c:ptCount val="12"/>
                <c:pt idx="0">
                  <c:v>1841</c:v>
                </c:pt>
                <c:pt idx="1">
                  <c:v>1729</c:v>
                </c:pt>
                <c:pt idx="2">
                  <c:v>1844</c:v>
                </c:pt>
                <c:pt idx="3">
                  <c:v>1087</c:v>
                </c:pt>
                <c:pt idx="4">
                  <c:v>1432</c:v>
                </c:pt>
                <c:pt idx="5">
                  <c:v>1294</c:v>
                </c:pt>
                <c:pt idx="6">
                  <c:v>1187</c:v>
                </c:pt>
                <c:pt idx="7">
                  <c:v>1073</c:v>
                </c:pt>
                <c:pt idx="8">
                  <c:v>1178</c:v>
                </c:pt>
                <c:pt idx="9">
                  <c:v>1209</c:v>
                </c:pt>
                <c:pt idx="10">
                  <c:v>1371</c:v>
                </c:pt>
                <c:pt idx="11">
                  <c:v>1256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69568"/>
        <c:axId val="165071488"/>
      </c:lineChart>
      <c:catAx>
        <c:axId val="1650695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071488"/>
        <c:crosses val="autoZero"/>
        <c:auto val="1"/>
        <c:lblAlgn val="ctr"/>
        <c:lblOffset val="100"/>
        <c:noMultiLvlLbl val="0"/>
      </c:catAx>
      <c:valAx>
        <c:axId val="165071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506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Kawempe-Bwaise'!$C$59:$N$59</c:f>
              <c:numCache>
                <c:formatCode>0.0%</c:formatCode>
                <c:ptCount val="12"/>
                <c:pt idx="0">
                  <c:v>0.11065996000242409</c:v>
                </c:pt>
                <c:pt idx="1">
                  <c:v>3.3088903702805893E-2</c:v>
                </c:pt>
                <c:pt idx="2">
                  <c:v>1.8544330646627478E-2</c:v>
                </c:pt>
                <c:pt idx="3">
                  <c:v>0.12599236409914549</c:v>
                </c:pt>
                <c:pt idx="4">
                  <c:v>5.272407732864675E-3</c:v>
                </c:pt>
                <c:pt idx="5">
                  <c:v>2.0604811829586086E-3</c:v>
                </c:pt>
                <c:pt idx="6">
                  <c:v>1.7150475728743713E-2</c:v>
                </c:pt>
                <c:pt idx="7">
                  <c:v>2.7028664929398219E-2</c:v>
                </c:pt>
                <c:pt idx="8">
                  <c:v>1.0484213077995273E-2</c:v>
                </c:pt>
                <c:pt idx="9">
                  <c:v>3.6967456517786801E-3</c:v>
                </c:pt>
                <c:pt idx="10">
                  <c:v>0.64602145324525784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26"/>
          <c:y val="2.29602266373237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Kawempe-Bwaise'!$S$9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Kawempe-Bwaise'!$S$10:$S$21</c:f>
              <c:numCache>
                <c:formatCode>0</c:formatCode>
                <c:ptCount val="12"/>
                <c:pt idx="0">
                  <c:v>224</c:v>
                </c:pt>
                <c:pt idx="1">
                  <c:v>165</c:v>
                </c:pt>
                <c:pt idx="2">
                  <c:v>165</c:v>
                </c:pt>
                <c:pt idx="3">
                  <c:v>118</c:v>
                </c:pt>
                <c:pt idx="4">
                  <c:v>177</c:v>
                </c:pt>
                <c:pt idx="5">
                  <c:v>135</c:v>
                </c:pt>
                <c:pt idx="6">
                  <c:v>154</c:v>
                </c:pt>
                <c:pt idx="7">
                  <c:v>146</c:v>
                </c:pt>
                <c:pt idx="8">
                  <c:v>140</c:v>
                </c:pt>
                <c:pt idx="9">
                  <c:v>167</c:v>
                </c:pt>
                <c:pt idx="10">
                  <c:v>128</c:v>
                </c:pt>
                <c:pt idx="11">
                  <c:v>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Kawempe-Bwaise'!$T$9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Kawempe-Bwaise'!$T$10:$T$21</c:f>
              <c:numCache>
                <c:formatCode>0</c:formatCode>
                <c:ptCount val="12"/>
                <c:pt idx="0">
                  <c:v>50</c:v>
                </c:pt>
                <c:pt idx="1">
                  <c:v>52</c:v>
                </c:pt>
                <c:pt idx="2">
                  <c:v>40</c:v>
                </c:pt>
                <c:pt idx="3">
                  <c:v>37</c:v>
                </c:pt>
                <c:pt idx="4">
                  <c:v>33</c:v>
                </c:pt>
                <c:pt idx="5">
                  <c:v>35</c:v>
                </c:pt>
                <c:pt idx="6">
                  <c:v>46</c:v>
                </c:pt>
                <c:pt idx="7">
                  <c:v>53</c:v>
                </c:pt>
                <c:pt idx="8">
                  <c:v>57</c:v>
                </c:pt>
                <c:pt idx="9">
                  <c:v>49</c:v>
                </c:pt>
                <c:pt idx="10">
                  <c:v>57</c:v>
                </c:pt>
                <c:pt idx="11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Kawempe-Bwaise'!$U$9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Kawempe-Bwaise'!$U$10:$U$21</c:f>
              <c:numCache>
                <c:formatCode>0</c:formatCode>
                <c:ptCount val="12"/>
                <c:pt idx="0">
                  <c:v>21</c:v>
                </c:pt>
                <c:pt idx="1">
                  <c:v>23</c:v>
                </c:pt>
                <c:pt idx="2">
                  <c:v>28</c:v>
                </c:pt>
                <c:pt idx="3">
                  <c:v>18</c:v>
                </c:pt>
                <c:pt idx="4">
                  <c:v>17</c:v>
                </c:pt>
                <c:pt idx="5">
                  <c:v>37</c:v>
                </c:pt>
                <c:pt idx="6">
                  <c:v>27</c:v>
                </c:pt>
                <c:pt idx="7">
                  <c:v>40</c:v>
                </c:pt>
                <c:pt idx="8">
                  <c:v>45</c:v>
                </c:pt>
                <c:pt idx="9">
                  <c:v>12</c:v>
                </c:pt>
                <c:pt idx="10">
                  <c:v>16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Kawempe-Bwaise'!$V$9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Kawempe-Bwaise'!$V$10:$V$21</c:f>
              <c:numCache>
                <c:formatCode>0</c:formatCode>
                <c:ptCount val="12"/>
                <c:pt idx="0">
                  <c:v>203</c:v>
                </c:pt>
                <c:pt idx="1">
                  <c:v>199</c:v>
                </c:pt>
                <c:pt idx="2">
                  <c:v>213</c:v>
                </c:pt>
                <c:pt idx="3">
                  <c:v>152</c:v>
                </c:pt>
                <c:pt idx="4">
                  <c:v>160</c:v>
                </c:pt>
                <c:pt idx="5">
                  <c:v>187</c:v>
                </c:pt>
                <c:pt idx="6">
                  <c:v>158</c:v>
                </c:pt>
                <c:pt idx="7">
                  <c:v>138</c:v>
                </c:pt>
                <c:pt idx="8">
                  <c:v>159</c:v>
                </c:pt>
                <c:pt idx="9">
                  <c:v>164</c:v>
                </c:pt>
                <c:pt idx="10">
                  <c:v>152</c:v>
                </c:pt>
                <c:pt idx="11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Kawempe-Bwaise'!$W$9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Kawempe-Bwaise'!$W$10:$W$21</c:f>
              <c:numCache>
                <c:formatCode>0</c:formatCode>
                <c:ptCount val="12"/>
                <c:pt idx="0">
                  <c:v>14</c:v>
                </c:pt>
                <c:pt idx="1">
                  <c:v>9</c:v>
                </c:pt>
                <c:pt idx="2">
                  <c:v>10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Kawempe-Bwaise'!$X$9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Kawempe-Bwaise'!$X$10:$X$21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Kawempe-Bwaise'!$Y$9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Kawempe-Bwaise'!$Y$10:$Y$21</c:f>
              <c:numCache>
                <c:formatCode>0</c:formatCode>
                <c:ptCount val="12"/>
                <c:pt idx="0">
                  <c:v>13</c:v>
                </c:pt>
                <c:pt idx="1">
                  <c:v>31</c:v>
                </c:pt>
                <c:pt idx="2">
                  <c:v>33</c:v>
                </c:pt>
                <c:pt idx="3">
                  <c:v>17</c:v>
                </c:pt>
                <c:pt idx="4">
                  <c:v>33</c:v>
                </c:pt>
                <c:pt idx="5">
                  <c:v>32</c:v>
                </c:pt>
                <c:pt idx="6">
                  <c:v>20</c:v>
                </c:pt>
                <c:pt idx="7">
                  <c:v>20</c:v>
                </c:pt>
                <c:pt idx="8">
                  <c:v>24</c:v>
                </c:pt>
                <c:pt idx="9">
                  <c:v>31</c:v>
                </c:pt>
                <c:pt idx="10">
                  <c:v>19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Kawempe-Bwaise'!$Z$9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Kawempe-Bwaise'!$Z$10:$Z$21</c:f>
              <c:numCache>
                <c:formatCode>0</c:formatCode>
                <c:ptCount val="12"/>
                <c:pt idx="0">
                  <c:v>17</c:v>
                </c:pt>
                <c:pt idx="1">
                  <c:v>23</c:v>
                </c:pt>
                <c:pt idx="2">
                  <c:v>42</c:v>
                </c:pt>
                <c:pt idx="3">
                  <c:v>32</c:v>
                </c:pt>
                <c:pt idx="4">
                  <c:v>49</c:v>
                </c:pt>
                <c:pt idx="5">
                  <c:v>43</c:v>
                </c:pt>
                <c:pt idx="6">
                  <c:v>30</c:v>
                </c:pt>
                <c:pt idx="7">
                  <c:v>40</c:v>
                </c:pt>
                <c:pt idx="8">
                  <c:v>46</c:v>
                </c:pt>
                <c:pt idx="9">
                  <c:v>61</c:v>
                </c:pt>
                <c:pt idx="10">
                  <c:v>29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Kawempe-Bwaise'!$AA$9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Kawempe-Bwaise'!$AA$10:$AA$21</c:f>
              <c:numCache>
                <c:formatCode>0</c:formatCode>
                <c:ptCount val="12"/>
                <c:pt idx="0">
                  <c:v>11</c:v>
                </c:pt>
                <c:pt idx="1">
                  <c:v>14</c:v>
                </c:pt>
                <c:pt idx="2">
                  <c:v>22</c:v>
                </c:pt>
                <c:pt idx="3">
                  <c:v>15</c:v>
                </c:pt>
                <c:pt idx="4">
                  <c:v>19</c:v>
                </c:pt>
                <c:pt idx="5">
                  <c:v>16</c:v>
                </c:pt>
                <c:pt idx="6">
                  <c:v>13</c:v>
                </c:pt>
                <c:pt idx="7">
                  <c:v>9</c:v>
                </c:pt>
                <c:pt idx="8">
                  <c:v>10</c:v>
                </c:pt>
                <c:pt idx="9">
                  <c:v>14</c:v>
                </c:pt>
                <c:pt idx="10">
                  <c:v>10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Kawempe-Bwaise'!$AB$9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Kawempe-Bwaise'!$AB$10:$AB$21</c:f>
              <c:numCache>
                <c:formatCode>0</c:formatCode>
                <c:ptCount val="12"/>
                <c:pt idx="0">
                  <c:v>8</c:v>
                </c:pt>
                <c:pt idx="1">
                  <c:v>2</c:v>
                </c:pt>
                <c:pt idx="2">
                  <c:v>8</c:v>
                </c:pt>
                <c:pt idx="3">
                  <c:v>1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2</c:v>
                </c:pt>
                <c:pt idx="9">
                  <c:v>5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Kawempe-Bwaise'!$AC$9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Kawempe-Bwaise'!$AC$10:$AC$21</c:f>
              <c:numCache>
                <c:formatCode>0</c:formatCode>
                <c:ptCount val="12"/>
                <c:pt idx="0">
                  <c:v>1280</c:v>
                </c:pt>
                <c:pt idx="1">
                  <c:v>1209</c:v>
                </c:pt>
                <c:pt idx="2">
                  <c:v>1282</c:v>
                </c:pt>
                <c:pt idx="3">
                  <c:v>692</c:v>
                </c:pt>
                <c:pt idx="4">
                  <c:v>929</c:v>
                </c:pt>
                <c:pt idx="5">
                  <c:v>788</c:v>
                </c:pt>
                <c:pt idx="6">
                  <c:v>722</c:v>
                </c:pt>
                <c:pt idx="7">
                  <c:v>614</c:v>
                </c:pt>
                <c:pt idx="8">
                  <c:v>689</c:v>
                </c:pt>
                <c:pt idx="9">
                  <c:v>696</c:v>
                </c:pt>
                <c:pt idx="10">
                  <c:v>944</c:v>
                </c:pt>
                <c:pt idx="11">
                  <c:v>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Kawempe-Bwaise'!$AD$9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Kawempe-Bwaise'!$AD$10:$AD$21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37856"/>
        <c:axId val="166543744"/>
      </c:lineChart>
      <c:catAx>
        <c:axId val="1665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543744"/>
        <c:crosses val="autoZero"/>
        <c:auto val="1"/>
        <c:lblAlgn val="ctr"/>
        <c:lblOffset val="100"/>
        <c:noMultiLvlLbl val="0"/>
      </c:catAx>
      <c:valAx>
        <c:axId val="16654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6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Kawempe-Bwaise'!$C$60:$N$60</c:f>
              <c:numCache>
                <c:formatCode>0.00%</c:formatCode>
                <c:ptCount val="12"/>
                <c:pt idx="0">
                  <c:v>0.31261770244821091</c:v>
                </c:pt>
                <c:pt idx="1">
                  <c:v>9.3477144324601955E-2</c:v>
                </c:pt>
                <c:pt idx="2">
                  <c:v>5.2388289676425268E-2</c:v>
                </c:pt>
                <c:pt idx="3">
                  <c:v>0.3559322033898305</c:v>
                </c:pt>
                <c:pt idx="4">
                  <c:v>1.4894709809964048E-2</c:v>
                </c:pt>
                <c:pt idx="5">
                  <c:v>5.8209210751583636E-3</c:v>
                </c:pt>
                <c:pt idx="6">
                  <c:v>4.8450607772641673E-2</c:v>
                </c:pt>
                <c:pt idx="7">
                  <c:v>7.6356788221195002E-2</c:v>
                </c:pt>
                <c:pt idx="8">
                  <c:v>2.9618216058894024E-2</c:v>
                </c:pt>
                <c:pt idx="9">
                  <c:v>1.044341722307824E-2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7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Bwaise-Kawempe-24h'!$AE$9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Bwaise-Kawempe-24h'!$R$10:$R$33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Bwaise-Kawempe-24h'!$AE$10:$AE$33</c:f>
              <c:numCache>
                <c:formatCode>0</c:formatCode>
                <c:ptCount val="24"/>
                <c:pt idx="0">
                  <c:v>307</c:v>
                </c:pt>
                <c:pt idx="1">
                  <c:v>263</c:v>
                </c:pt>
                <c:pt idx="2">
                  <c:v>356</c:v>
                </c:pt>
                <c:pt idx="3">
                  <c:v>403</c:v>
                </c:pt>
                <c:pt idx="4">
                  <c:v>380</c:v>
                </c:pt>
                <c:pt idx="5">
                  <c:v>458</c:v>
                </c:pt>
                <c:pt idx="6">
                  <c:v>449</c:v>
                </c:pt>
                <c:pt idx="7">
                  <c:v>428</c:v>
                </c:pt>
                <c:pt idx="8">
                  <c:v>339</c:v>
                </c:pt>
                <c:pt idx="9">
                  <c:v>389</c:v>
                </c:pt>
                <c:pt idx="10">
                  <c:v>380</c:v>
                </c:pt>
                <c:pt idx="11">
                  <c:v>402</c:v>
                </c:pt>
                <c:pt idx="12">
                  <c:v>75</c:v>
                </c:pt>
                <c:pt idx="13">
                  <c:v>280</c:v>
                </c:pt>
                <c:pt idx="14">
                  <c:v>438</c:v>
                </c:pt>
                <c:pt idx="15">
                  <c:v>484</c:v>
                </c:pt>
                <c:pt idx="16">
                  <c:v>342</c:v>
                </c:pt>
                <c:pt idx="17">
                  <c:v>180</c:v>
                </c:pt>
                <c:pt idx="18">
                  <c:v>100</c:v>
                </c:pt>
                <c:pt idx="19">
                  <c:v>75</c:v>
                </c:pt>
                <c:pt idx="20">
                  <c:v>78</c:v>
                </c:pt>
                <c:pt idx="21">
                  <c:v>70</c:v>
                </c:pt>
                <c:pt idx="22">
                  <c:v>123</c:v>
                </c:pt>
                <c:pt idx="23">
                  <c:v>297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Bwaise-Kawempe-24h'!$AF$9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Bwaise-Kawempe-24h'!$R$10:$R$33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Bwaise-Kawempe-24h'!$AF$10:$AF$33</c:f>
              <c:numCache>
                <c:formatCode>0</c:formatCode>
                <c:ptCount val="24"/>
                <c:pt idx="0">
                  <c:v>835</c:v>
                </c:pt>
                <c:pt idx="1">
                  <c:v>843</c:v>
                </c:pt>
                <c:pt idx="2">
                  <c:v>1036</c:v>
                </c:pt>
                <c:pt idx="3">
                  <c:v>948</c:v>
                </c:pt>
                <c:pt idx="4">
                  <c:v>930</c:v>
                </c:pt>
                <c:pt idx="5">
                  <c:v>990</c:v>
                </c:pt>
                <c:pt idx="6">
                  <c:v>899</c:v>
                </c:pt>
                <c:pt idx="7">
                  <c:v>833</c:v>
                </c:pt>
                <c:pt idx="8">
                  <c:v>700</c:v>
                </c:pt>
                <c:pt idx="9">
                  <c:v>934</c:v>
                </c:pt>
                <c:pt idx="10">
                  <c:v>846</c:v>
                </c:pt>
                <c:pt idx="11">
                  <c:v>1027</c:v>
                </c:pt>
                <c:pt idx="12">
                  <c:v>186</c:v>
                </c:pt>
                <c:pt idx="13">
                  <c:v>885</c:v>
                </c:pt>
                <c:pt idx="14">
                  <c:v>1137</c:v>
                </c:pt>
                <c:pt idx="15">
                  <c:v>1284</c:v>
                </c:pt>
                <c:pt idx="16">
                  <c:v>945</c:v>
                </c:pt>
                <c:pt idx="17">
                  <c:v>442</c:v>
                </c:pt>
                <c:pt idx="18">
                  <c:v>269</c:v>
                </c:pt>
                <c:pt idx="19">
                  <c:v>180</c:v>
                </c:pt>
                <c:pt idx="20">
                  <c:v>140</c:v>
                </c:pt>
                <c:pt idx="21">
                  <c:v>171</c:v>
                </c:pt>
                <c:pt idx="22">
                  <c:v>257</c:v>
                </c:pt>
                <c:pt idx="23">
                  <c:v>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97824"/>
        <c:axId val="167999744"/>
      </c:lineChart>
      <c:catAx>
        <c:axId val="1679978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999744"/>
        <c:crosses val="autoZero"/>
        <c:auto val="1"/>
        <c:lblAlgn val="ctr"/>
        <c:lblOffset val="100"/>
        <c:noMultiLvlLbl val="0"/>
      </c:catAx>
      <c:valAx>
        <c:axId val="167999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99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Bwaise-Kawempe-24h'!$C$9:$N$9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Bwaise-Kawempe-24h'!$C$107:$N$107</c:f>
              <c:numCache>
                <c:formatCode>0.0%</c:formatCode>
                <c:ptCount val="12"/>
                <c:pt idx="0">
                  <c:v>0.14577782925981697</c:v>
                </c:pt>
                <c:pt idx="1">
                  <c:v>1.9633962701262598E-2</c:v>
                </c:pt>
                <c:pt idx="2">
                  <c:v>1.9460210818950538E-2</c:v>
                </c:pt>
                <c:pt idx="3">
                  <c:v>0.13726398702652612</c:v>
                </c:pt>
                <c:pt idx="4">
                  <c:v>5.965481292714004E-3</c:v>
                </c:pt>
                <c:pt idx="5">
                  <c:v>4.4596316460094989E-3</c:v>
                </c:pt>
                <c:pt idx="6">
                  <c:v>4.0426271284605582E-2</c:v>
                </c:pt>
                <c:pt idx="7">
                  <c:v>1.6911849878373682E-2</c:v>
                </c:pt>
                <c:pt idx="8">
                  <c:v>9.730105409475269E-3</c:v>
                </c:pt>
                <c:pt idx="9">
                  <c:v>1.1351789644387815E-2</c:v>
                </c:pt>
                <c:pt idx="10">
                  <c:v>0.58901888103787792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Bwaise-Kawempe-24h'!$C$9:$N$9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Bwaise-Kawempe-24h'!$C$108:$N$108</c:f>
              <c:numCache>
                <c:formatCode>0.00%</c:formatCode>
                <c:ptCount val="12"/>
                <c:pt idx="0">
                  <c:v>0.35470687711386695</c:v>
                </c:pt>
                <c:pt idx="1">
                  <c:v>4.7773393461104846E-2</c:v>
                </c:pt>
                <c:pt idx="2">
                  <c:v>4.7350620067643741E-2</c:v>
                </c:pt>
                <c:pt idx="3">
                  <c:v>0.33399098083427281</c:v>
                </c:pt>
                <c:pt idx="4">
                  <c:v>1.45152198421646E-2</c:v>
                </c:pt>
                <c:pt idx="5">
                  <c:v>1.0851183765501692E-2</c:v>
                </c:pt>
                <c:pt idx="6">
                  <c:v>9.8365276211950389E-2</c:v>
                </c:pt>
                <c:pt idx="7">
                  <c:v>4.1149943630214209E-2</c:v>
                </c:pt>
                <c:pt idx="8">
                  <c:v>2.367531003382187E-2</c:v>
                </c:pt>
                <c:pt idx="9">
                  <c:v>2.7621195039458851E-2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7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Kawempe-Bwaise-24h'!$AE$9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Kawempe-Bwaise-24h'!$R$10:$R$33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Kawempe-Bwaise-24h'!$AE$10:$AE$33</c:f>
              <c:numCache>
                <c:formatCode>0</c:formatCode>
                <c:ptCount val="24"/>
                <c:pt idx="0">
                  <c:v>628</c:v>
                </c:pt>
                <c:pt idx="1">
                  <c:v>562</c:v>
                </c:pt>
                <c:pt idx="2">
                  <c:v>578</c:v>
                </c:pt>
                <c:pt idx="3">
                  <c:v>482</c:v>
                </c:pt>
                <c:pt idx="4">
                  <c:v>485</c:v>
                </c:pt>
                <c:pt idx="5">
                  <c:v>557</c:v>
                </c:pt>
                <c:pt idx="6">
                  <c:v>471</c:v>
                </c:pt>
                <c:pt idx="7">
                  <c:v>422</c:v>
                </c:pt>
                <c:pt idx="8">
                  <c:v>467</c:v>
                </c:pt>
                <c:pt idx="9">
                  <c:v>508</c:v>
                </c:pt>
                <c:pt idx="10">
                  <c:v>391</c:v>
                </c:pt>
                <c:pt idx="11">
                  <c:v>369</c:v>
                </c:pt>
                <c:pt idx="12">
                  <c:v>250</c:v>
                </c:pt>
                <c:pt idx="13">
                  <c:v>282</c:v>
                </c:pt>
                <c:pt idx="14">
                  <c:v>261</c:v>
                </c:pt>
                <c:pt idx="15">
                  <c:v>244</c:v>
                </c:pt>
                <c:pt idx="16">
                  <c:v>190</c:v>
                </c:pt>
                <c:pt idx="17">
                  <c:v>82</c:v>
                </c:pt>
                <c:pt idx="18">
                  <c:v>36</c:v>
                </c:pt>
                <c:pt idx="19">
                  <c:v>51</c:v>
                </c:pt>
                <c:pt idx="20">
                  <c:v>53</c:v>
                </c:pt>
                <c:pt idx="21">
                  <c:v>132</c:v>
                </c:pt>
                <c:pt idx="22">
                  <c:v>107</c:v>
                </c:pt>
                <c:pt idx="23">
                  <c:v>184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Kawempe-Bwaise-24h'!$AF$9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Kawempe-Bwaise-24h'!$R$10:$R$33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Kawempe-Bwaise-24h'!$AF$10:$AF$33</c:f>
              <c:numCache>
                <c:formatCode>0</c:formatCode>
                <c:ptCount val="24"/>
                <c:pt idx="0">
                  <c:v>1821</c:v>
                </c:pt>
                <c:pt idx="1">
                  <c:v>1602</c:v>
                </c:pt>
                <c:pt idx="2">
                  <c:v>1521</c:v>
                </c:pt>
                <c:pt idx="3">
                  <c:v>1335</c:v>
                </c:pt>
                <c:pt idx="4">
                  <c:v>1246</c:v>
                </c:pt>
                <c:pt idx="5">
                  <c:v>1139</c:v>
                </c:pt>
                <c:pt idx="6">
                  <c:v>1120</c:v>
                </c:pt>
                <c:pt idx="7">
                  <c:v>932</c:v>
                </c:pt>
                <c:pt idx="8">
                  <c:v>972</c:v>
                </c:pt>
                <c:pt idx="9">
                  <c:v>1108</c:v>
                </c:pt>
                <c:pt idx="10">
                  <c:v>1147</c:v>
                </c:pt>
                <c:pt idx="11">
                  <c:v>1053</c:v>
                </c:pt>
                <c:pt idx="12">
                  <c:v>516</c:v>
                </c:pt>
                <c:pt idx="13">
                  <c:v>1108</c:v>
                </c:pt>
                <c:pt idx="14">
                  <c:v>864</c:v>
                </c:pt>
                <c:pt idx="15">
                  <c:v>563</c:v>
                </c:pt>
                <c:pt idx="16">
                  <c:v>452</c:v>
                </c:pt>
                <c:pt idx="17">
                  <c:v>206</c:v>
                </c:pt>
                <c:pt idx="18">
                  <c:v>111</c:v>
                </c:pt>
                <c:pt idx="19">
                  <c:v>102</c:v>
                </c:pt>
                <c:pt idx="20">
                  <c:v>98</c:v>
                </c:pt>
                <c:pt idx="21">
                  <c:v>258</c:v>
                </c:pt>
                <c:pt idx="22">
                  <c:v>186</c:v>
                </c:pt>
                <c:pt idx="23">
                  <c:v>325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36000"/>
        <c:axId val="168366848"/>
      </c:lineChart>
      <c:catAx>
        <c:axId val="16833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366848"/>
        <c:crosses val="autoZero"/>
        <c:auto val="1"/>
        <c:lblAlgn val="ctr"/>
        <c:lblOffset val="100"/>
        <c:noMultiLvlLbl val="0"/>
      </c:catAx>
      <c:valAx>
        <c:axId val="168366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33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Kawempe-Bwaise-24h'!$C$9:$N$9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Kawempe-Bwaise-24h'!$C$107:$N$107</c:f>
              <c:numCache>
                <c:formatCode>0.0%</c:formatCode>
                <c:ptCount val="12"/>
                <c:pt idx="0">
                  <c:v>0.13424311346980036</c:v>
                </c:pt>
                <c:pt idx="1">
                  <c:v>2.3907000252716703E-2</c:v>
                </c:pt>
                <c:pt idx="2">
                  <c:v>2.0520596411422794E-2</c:v>
                </c:pt>
                <c:pt idx="3">
                  <c:v>0.13323224665150366</c:v>
                </c:pt>
                <c:pt idx="4">
                  <c:v>6.5200909780136467E-3</c:v>
                </c:pt>
                <c:pt idx="5">
                  <c:v>4.4478140005054338E-3</c:v>
                </c:pt>
                <c:pt idx="6">
                  <c:v>2.7899924184988628E-2</c:v>
                </c:pt>
                <c:pt idx="7">
                  <c:v>2.633308061662876E-2</c:v>
                </c:pt>
                <c:pt idx="8">
                  <c:v>1.0563558251200405E-2</c:v>
                </c:pt>
                <c:pt idx="9">
                  <c:v>6.1157442506949711E-3</c:v>
                </c:pt>
                <c:pt idx="10">
                  <c:v>0.60616628759160984</c:v>
                </c:pt>
                <c:pt idx="11">
                  <c:v>5.0543340914834469E-5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Kawempe-Bwaise-24h'!$C$9:$N$9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Kawempe-Bwaise-24h'!$C$108:$N$108</c:f>
              <c:numCache>
                <c:formatCode>0.00%</c:formatCode>
                <c:ptCount val="12"/>
                <c:pt idx="0">
                  <c:v>0.34086242299794661</c:v>
                </c:pt>
                <c:pt idx="1">
                  <c:v>6.070328542094456E-2</c:v>
                </c:pt>
                <c:pt idx="2">
                  <c:v>5.2104722792607805E-2</c:v>
                </c:pt>
                <c:pt idx="3">
                  <c:v>0.33829568788501024</c:v>
                </c:pt>
                <c:pt idx="4">
                  <c:v>1.6555441478439424E-2</c:v>
                </c:pt>
                <c:pt idx="5">
                  <c:v>1.1293634496919919E-2</c:v>
                </c:pt>
                <c:pt idx="6">
                  <c:v>7.0841889117043116E-2</c:v>
                </c:pt>
                <c:pt idx="7">
                  <c:v>6.6863449691991789E-2</c:v>
                </c:pt>
                <c:pt idx="8">
                  <c:v>2.6822381930184803E-2</c:v>
                </c:pt>
                <c:pt idx="9">
                  <c:v>1.5528747433264887E-2</c:v>
                </c:pt>
                <c:pt idx="11">
                  <c:v>1.2833675564681725E-4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7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Bwaise-Kawempe-24h'!$AE$9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Bwaise-Kawempe-24h'!$R$10:$R$33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Bwaise-Kawempe-24h'!$AE$10:$AE$33</c:f>
              <c:numCache>
                <c:formatCode>0</c:formatCode>
                <c:ptCount val="24"/>
                <c:pt idx="0">
                  <c:v>412</c:v>
                </c:pt>
                <c:pt idx="1">
                  <c:v>268</c:v>
                </c:pt>
                <c:pt idx="2">
                  <c:v>348</c:v>
                </c:pt>
                <c:pt idx="3">
                  <c:v>298</c:v>
                </c:pt>
                <c:pt idx="4">
                  <c:v>374</c:v>
                </c:pt>
                <c:pt idx="5">
                  <c:v>378</c:v>
                </c:pt>
                <c:pt idx="6">
                  <c:v>350</c:v>
                </c:pt>
                <c:pt idx="7">
                  <c:v>357</c:v>
                </c:pt>
                <c:pt idx="8">
                  <c:v>243</c:v>
                </c:pt>
                <c:pt idx="9">
                  <c:v>384</c:v>
                </c:pt>
                <c:pt idx="10">
                  <c:v>476</c:v>
                </c:pt>
                <c:pt idx="11">
                  <c:v>298</c:v>
                </c:pt>
                <c:pt idx="12">
                  <c:v>242</c:v>
                </c:pt>
                <c:pt idx="13">
                  <c:v>352</c:v>
                </c:pt>
                <c:pt idx="14">
                  <c:v>288</c:v>
                </c:pt>
                <c:pt idx="15">
                  <c:v>311</c:v>
                </c:pt>
                <c:pt idx="16">
                  <c:v>347</c:v>
                </c:pt>
                <c:pt idx="17">
                  <c:v>75</c:v>
                </c:pt>
                <c:pt idx="18">
                  <c:v>114</c:v>
                </c:pt>
                <c:pt idx="19">
                  <c:v>74</c:v>
                </c:pt>
                <c:pt idx="20">
                  <c:v>53</c:v>
                </c:pt>
                <c:pt idx="21">
                  <c:v>55</c:v>
                </c:pt>
                <c:pt idx="22">
                  <c:v>94</c:v>
                </c:pt>
                <c:pt idx="23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Bwaise-Kawempe-24h'!$AF$9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Bwaise-Kawempe-24h'!$R$10:$R$33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Bwaise-Kawempe-24h'!$AF$10:$AF$33</c:f>
              <c:numCache>
                <c:formatCode>0</c:formatCode>
                <c:ptCount val="24"/>
                <c:pt idx="0">
                  <c:v>731</c:v>
                </c:pt>
                <c:pt idx="1">
                  <c:v>273</c:v>
                </c:pt>
                <c:pt idx="2">
                  <c:v>1022</c:v>
                </c:pt>
                <c:pt idx="3">
                  <c:v>1012</c:v>
                </c:pt>
                <c:pt idx="4">
                  <c:v>799</c:v>
                </c:pt>
                <c:pt idx="5">
                  <c:v>876</c:v>
                </c:pt>
                <c:pt idx="6">
                  <c:v>905</c:v>
                </c:pt>
                <c:pt idx="7">
                  <c:v>697</c:v>
                </c:pt>
                <c:pt idx="8">
                  <c:v>648</c:v>
                </c:pt>
                <c:pt idx="9">
                  <c:v>1112</c:v>
                </c:pt>
                <c:pt idx="10">
                  <c:v>1062</c:v>
                </c:pt>
                <c:pt idx="11">
                  <c:v>875</c:v>
                </c:pt>
                <c:pt idx="12">
                  <c:v>795</c:v>
                </c:pt>
                <c:pt idx="13">
                  <c:v>1032</c:v>
                </c:pt>
                <c:pt idx="14">
                  <c:v>898</c:v>
                </c:pt>
                <c:pt idx="15">
                  <c:v>751</c:v>
                </c:pt>
                <c:pt idx="16">
                  <c:v>754</c:v>
                </c:pt>
                <c:pt idx="17">
                  <c:v>151</c:v>
                </c:pt>
                <c:pt idx="18">
                  <c:v>293</c:v>
                </c:pt>
                <c:pt idx="19">
                  <c:v>198</c:v>
                </c:pt>
                <c:pt idx="20">
                  <c:v>151</c:v>
                </c:pt>
                <c:pt idx="21">
                  <c:v>115</c:v>
                </c:pt>
                <c:pt idx="22">
                  <c:v>176</c:v>
                </c:pt>
                <c:pt idx="23">
                  <c:v>298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09280"/>
        <c:axId val="168611200"/>
      </c:lineChart>
      <c:catAx>
        <c:axId val="1686092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611200"/>
        <c:crosses val="autoZero"/>
        <c:auto val="1"/>
        <c:lblAlgn val="ctr"/>
        <c:lblOffset val="100"/>
        <c:noMultiLvlLbl val="0"/>
      </c:catAx>
      <c:valAx>
        <c:axId val="16861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60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Bwaise-Kawempe-24h'!$C$9:$N$9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Bwaise-Kawempe-24h'!$C$107:$N$107</c:f>
              <c:numCache>
                <c:formatCode>0.0%</c:formatCode>
                <c:ptCount val="12"/>
                <c:pt idx="0">
                  <c:v>0.15898617511520738</c:v>
                </c:pt>
                <c:pt idx="1">
                  <c:v>1.7921146953405017E-2</c:v>
                </c:pt>
                <c:pt idx="2">
                  <c:v>2.3233486943164364E-2</c:v>
                </c:pt>
                <c:pt idx="3">
                  <c:v>0.11386328725038403</c:v>
                </c:pt>
                <c:pt idx="4">
                  <c:v>1.472094214029698E-2</c:v>
                </c:pt>
                <c:pt idx="5">
                  <c:v>4.4162826420890934E-3</c:v>
                </c:pt>
                <c:pt idx="6">
                  <c:v>3.0401945724526369E-2</c:v>
                </c:pt>
                <c:pt idx="7">
                  <c:v>1.9457245263696878E-2</c:v>
                </c:pt>
                <c:pt idx="8">
                  <c:v>1.3568868407578085E-2</c:v>
                </c:pt>
                <c:pt idx="9">
                  <c:v>8.2565284178187405E-3</c:v>
                </c:pt>
                <c:pt idx="10">
                  <c:v>0.59517409114183306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Bwaise-Kawempe-24h'!$C$9:$N$9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Bwaise-Kawempe-24h'!$C$108:$N$108</c:f>
              <c:numCache>
                <c:formatCode>0.00%</c:formatCode>
                <c:ptCount val="12"/>
                <c:pt idx="0">
                  <c:v>0.3927272727272727</c:v>
                </c:pt>
                <c:pt idx="1">
                  <c:v>4.4268774703557313E-2</c:v>
                </c:pt>
                <c:pt idx="2">
                  <c:v>5.7391304347826085E-2</c:v>
                </c:pt>
                <c:pt idx="3">
                  <c:v>0.28126482213438736</c:v>
                </c:pt>
                <c:pt idx="4">
                  <c:v>3.6363636363636362E-2</c:v>
                </c:pt>
                <c:pt idx="5">
                  <c:v>1.090909090909091E-2</c:v>
                </c:pt>
                <c:pt idx="6">
                  <c:v>7.5098814229249009E-2</c:v>
                </c:pt>
                <c:pt idx="7">
                  <c:v>4.8063241106719369E-2</c:v>
                </c:pt>
                <c:pt idx="8">
                  <c:v>3.351778656126482E-2</c:v>
                </c:pt>
                <c:pt idx="9">
                  <c:v>2.0395256916996049E-2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7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Kawempe-Bwaise-24h'!$AE$9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Kawempe-Bwaise-24h'!$R$10:$R$33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Kawempe-Bwaise-24h'!$AE$10:$AE$33</c:f>
              <c:numCache>
                <c:formatCode>0</c:formatCode>
                <c:ptCount val="24"/>
                <c:pt idx="0">
                  <c:v>521</c:v>
                </c:pt>
                <c:pt idx="1">
                  <c:v>432</c:v>
                </c:pt>
                <c:pt idx="2">
                  <c:v>489</c:v>
                </c:pt>
                <c:pt idx="3">
                  <c:v>507</c:v>
                </c:pt>
                <c:pt idx="4">
                  <c:v>536</c:v>
                </c:pt>
                <c:pt idx="5">
                  <c:v>455</c:v>
                </c:pt>
                <c:pt idx="6">
                  <c:v>450</c:v>
                </c:pt>
                <c:pt idx="7">
                  <c:v>431</c:v>
                </c:pt>
                <c:pt idx="8">
                  <c:v>455</c:v>
                </c:pt>
                <c:pt idx="9">
                  <c:v>436</c:v>
                </c:pt>
                <c:pt idx="10">
                  <c:v>511</c:v>
                </c:pt>
                <c:pt idx="11">
                  <c:v>368</c:v>
                </c:pt>
                <c:pt idx="12">
                  <c:v>444</c:v>
                </c:pt>
                <c:pt idx="13">
                  <c:v>390</c:v>
                </c:pt>
                <c:pt idx="14">
                  <c:v>402</c:v>
                </c:pt>
                <c:pt idx="15">
                  <c:v>323</c:v>
                </c:pt>
                <c:pt idx="16">
                  <c:v>295</c:v>
                </c:pt>
                <c:pt idx="17">
                  <c:v>88</c:v>
                </c:pt>
                <c:pt idx="18">
                  <c:v>120</c:v>
                </c:pt>
                <c:pt idx="19">
                  <c:v>62</c:v>
                </c:pt>
                <c:pt idx="20">
                  <c:v>72</c:v>
                </c:pt>
                <c:pt idx="21">
                  <c:v>92</c:v>
                </c:pt>
                <c:pt idx="22">
                  <c:v>176</c:v>
                </c:pt>
                <c:pt idx="23">
                  <c:v>277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Kawempe-Bwaise-24h'!$AF$9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Kawempe-Bwaise-24h'!$R$10:$R$33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Kawempe-Bwaise-24h'!$AF$10:$AF$33</c:f>
              <c:numCache>
                <c:formatCode>0</c:formatCode>
                <c:ptCount val="24"/>
                <c:pt idx="0">
                  <c:v>1121</c:v>
                </c:pt>
                <c:pt idx="1">
                  <c:v>1505</c:v>
                </c:pt>
                <c:pt idx="2">
                  <c:v>1318</c:v>
                </c:pt>
                <c:pt idx="3">
                  <c:v>1273</c:v>
                </c:pt>
                <c:pt idx="4">
                  <c:v>862</c:v>
                </c:pt>
                <c:pt idx="5">
                  <c:v>1034</c:v>
                </c:pt>
                <c:pt idx="6">
                  <c:v>1113</c:v>
                </c:pt>
                <c:pt idx="7">
                  <c:v>984</c:v>
                </c:pt>
                <c:pt idx="8">
                  <c:v>970</c:v>
                </c:pt>
                <c:pt idx="9">
                  <c:v>896</c:v>
                </c:pt>
                <c:pt idx="10">
                  <c:v>1115</c:v>
                </c:pt>
                <c:pt idx="11">
                  <c:v>871</c:v>
                </c:pt>
                <c:pt idx="12">
                  <c:v>1539</c:v>
                </c:pt>
                <c:pt idx="13">
                  <c:v>1508</c:v>
                </c:pt>
                <c:pt idx="14">
                  <c:v>1135</c:v>
                </c:pt>
                <c:pt idx="15">
                  <c:v>1025</c:v>
                </c:pt>
                <c:pt idx="16">
                  <c:v>785</c:v>
                </c:pt>
                <c:pt idx="17">
                  <c:v>192</c:v>
                </c:pt>
                <c:pt idx="18">
                  <c:v>240</c:v>
                </c:pt>
                <c:pt idx="19">
                  <c:v>179</c:v>
                </c:pt>
                <c:pt idx="20">
                  <c:v>168</c:v>
                </c:pt>
                <c:pt idx="21">
                  <c:v>159</c:v>
                </c:pt>
                <c:pt idx="22">
                  <c:v>291</c:v>
                </c:pt>
                <c:pt idx="23">
                  <c:v>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12640"/>
        <c:axId val="169314560"/>
      </c:lineChart>
      <c:catAx>
        <c:axId val="1693126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314560"/>
        <c:crosses val="autoZero"/>
        <c:auto val="1"/>
        <c:lblAlgn val="ctr"/>
        <c:lblOffset val="100"/>
        <c:noMultiLvlLbl val="0"/>
      </c:catAx>
      <c:valAx>
        <c:axId val="169314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31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Kawempe-Bwaise-24h'!$C$9:$N$9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Kawempe-Bwaise-24h'!$C$107:$N$107</c:f>
              <c:numCache>
                <c:formatCode>0.0%</c:formatCode>
                <c:ptCount val="12"/>
                <c:pt idx="0">
                  <c:v>0.15001199328376108</c:v>
                </c:pt>
                <c:pt idx="1">
                  <c:v>2.5089949628208204E-2</c:v>
                </c:pt>
                <c:pt idx="2">
                  <c:v>1.5975053969776925E-2</c:v>
                </c:pt>
                <c:pt idx="3">
                  <c:v>0.12722475413768289</c:v>
                </c:pt>
                <c:pt idx="4">
                  <c:v>6.8121851763012714E-3</c:v>
                </c:pt>
                <c:pt idx="5">
                  <c:v>5.8527224754137686E-3</c:v>
                </c:pt>
                <c:pt idx="6">
                  <c:v>2.7248740705205086E-2</c:v>
                </c:pt>
                <c:pt idx="7">
                  <c:v>2.2979131686255698E-2</c:v>
                </c:pt>
                <c:pt idx="8">
                  <c:v>1.136963300551691E-2</c:v>
                </c:pt>
                <c:pt idx="9">
                  <c:v>7.1479971216118973E-3</c:v>
                </c:pt>
                <c:pt idx="10">
                  <c:v>0.60028783881026626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Kawempe-Bwaise-24h'!$C$9:$N$9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Kawempe-Bwaise-24h'!$C$108:$N$108</c:f>
              <c:numCache>
                <c:formatCode>0.00%</c:formatCode>
                <c:ptCount val="12"/>
                <c:pt idx="0">
                  <c:v>0.37530004800768124</c:v>
                </c:pt>
                <c:pt idx="1">
                  <c:v>6.2770043206913109E-2</c:v>
                </c:pt>
                <c:pt idx="2">
                  <c:v>3.9966394623139702E-2</c:v>
                </c:pt>
                <c:pt idx="3">
                  <c:v>0.3182909265482477</c:v>
                </c:pt>
                <c:pt idx="4">
                  <c:v>1.7042726836293806E-2</c:v>
                </c:pt>
                <c:pt idx="5">
                  <c:v>1.4642342774843975E-2</c:v>
                </c:pt>
                <c:pt idx="6">
                  <c:v>6.8170907345175225E-2</c:v>
                </c:pt>
                <c:pt idx="7">
                  <c:v>5.7489198271723475E-2</c:v>
                </c:pt>
                <c:pt idx="8">
                  <c:v>2.844455112818051E-2</c:v>
                </c:pt>
                <c:pt idx="9">
                  <c:v>1.7882861257801249E-2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Bwaise-Kawempe'!$AE$9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Bwaise-Kawempe'!$AE$10:$AE$21</c:f>
              <c:numCache>
                <c:formatCode>0</c:formatCode>
                <c:ptCount val="12"/>
                <c:pt idx="0">
                  <c:v>247</c:v>
                </c:pt>
                <c:pt idx="1">
                  <c:v>296</c:v>
                </c:pt>
                <c:pt idx="2">
                  <c:v>362</c:v>
                </c:pt>
                <c:pt idx="3">
                  <c:v>330</c:v>
                </c:pt>
                <c:pt idx="4">
                  <c:v>402</c:v>
                </c:pt>
                <c:pt idx="5">
                  <c:v>406</c:v>
                </c:pt>
                <c:pt idx="6">
                  <c:v>446</c:v>
                </c:pt>
                <c:pt idx="7">
                  <c:v>415</c:v>
                </c:pt>
                <c:pt idx="8">
                  <c:v>411</c:v>
                </c:pt>
                <c:pt idx="9">
                  <c:v>457</c:v>
                </c:pt>
                <c:pt idx="10">
                  <c:v>399</c:v>
                </c:pt>
                <c:pt idx="11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Bwaise-Kawempe'!$AF$9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Bwaise-Kawempe'!$AF$10:$AF$21</c:f>
              <c:numCache>
                <c:formatCode>0</c:formatCode>
                <c:ptCount val="12"/>
                <c:pt idx="0">
                  <c:v>512</c:v>
                </c:pt>
                <c:pt idx="1">
                  <c:v>646</c:v>
                </c:pt>
                <c:pt idx="2">
                  <c:v>937</c:v>
                </c:pt>
                <c:pt idx="3">
                  <c:v>900</c:v>
                </c:pt>
                <c:pt idx="4">
                  <c:v>1202</c:v>
                </c:pt>
                <c:pt idx="5">
                  <c:v>905</c:v>
                </c:pt>
                <c:pt idx="6">
                  <c:v>966</c:v>
                </c:pt>
                <c:pt idx="7">
                  <c:v>945</c:v>
                </c:pt>
                <c:pt idx="8">
                  <c:v>1016</c:v>
                </c:pt>
                <c:pt idx="9">
                  <c:v>1097</c:v>
                </c:pt>
                <c:pt idx="10">
                  <c:v>1014</c:v>
                </c:pt>
                <c:pt idx="11">
                  <c:v>949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670912"/>
        <c:axId val="169943424"/>
      </c:lineChart>
      <c:catAx>
        <c:axId val="169670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943424"/>
        <c:crosses val="autoZero"/>
        <c:auto val="1"/>
        <c:lblAlgn val="ctr"/>
        <c:lblOffset val="100"/>
        <c:noMultiLvlLbl val="0"/>
      </c:catAx>
      <c:valAx>
        <c:axId val="1699434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967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Bwaise-Kawempe'!$C$59:$N$59</c:f>
              <c:numCache>
                <c:formatCode>0.0%</c:formatCode>
                <c:ptCount val="12"/>
                <c:pt idx="0">
                  <c:v>0.18396609252412299</c:v>
                </c:pt>
                <c:pt idx="1">
                  <c:v>2.3627017765353052E-2</c:v>
                </c:pt>
                <c:pt idx="2">
                  <c:v>2.2184146451438361E-2</c:v>
                </c:pt>
                <c:pt idx="3">
                  <c:v>0.12670213725313373</c:v>
                </c:pt>
                <c:pt idx="4">
                  <c:v>4.1482550275047346E-3</c:v>
                </c:pt>
                <c:pt idx="5">
                  <c:v>2.3446658851113715E-3</c:v>
                </c:pt>
                <c:pt idx="6">
                  <c:v>3.1652989449003514E-2</c:v>
                </c:pt>
                <c:pt idx="7">
                  <c:v>6.3125619983767697E-3</c:v>
                </c:pt>
                <c:pt idx="8">
                  <c:v>4.5089728559834074E-3</c:v>
                </c:pt>
                <c:pt idx="9">
                  <c:v>5.6813057985390927E-3</c:v>
                </c:pt>
                <c:pt idx="10">
                  <c:v>0.58878167553431326</c:v>
                </c:pt>
                <c:pt idx="11">
                  <c:v>9.0179457119668146E-5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26"/>
          <c:y val="2.29602266373237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Bwaise-Kawempe'!$S$9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Bwaise-Kawempe'!$S$10:$S$21</c:f>
              <c:numCache>
                <c:formatCode>0</c:formatCode>
                <c:ptCount val="12"/>
                <c:pt idx="0">
                  <c:v>74</c:v>
                </c:pt>
                <c:pt idx="1">
                  <c:v>107</c:v>
                </c:pt>
                <c:pt idx="2">
                  <c:v>139</c:v>
                </c:pt>
                <c:pt idx="3">
                  <c:v>150</c:v>
                </c:pt>
                <c:pt idx="4">
                  <c:v>175</c:v>
                </c:pt>
                <c:pt idx="5">
                  <c:v>173</c:v>
                </c:pt>
                <c:pt idx="6">
                  <c:v>252</c:v>
                </c:pt>
                <c:pt idx="7">
                  <c:v>208</c:v>
                </c:pt>
                <c:pt idx="8">
                  <c:v>187</c:v>
                </c:pt>
                <c:pt idx="9">
                  <c:v>226</c:v>
                </c:pt>
                <c:pt idx="10">
                  <c:v>177</c:v>
                </c:pt>
                <c:pt idx="11">
                  <c:v>172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Bwaise-Kawempe'!$T$9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Bwaise-Kawempe'!$R$10:$R$21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Bwaise-Kawempe'!$T$10:$T$21</c:f>
              <c:numCache>
                <c:formatCode>0</c:formatCode>
                <c:ptCount val="12"/>
                <c:pt idx="0">
                  <c:v>14</c:v>
                </c:pt>
                <c:pt idx="1">
                  <c:v>10</c:v>
                </c:pt>
                <c:pt idx="2">
                  <c:v>22</c:v>
                </c:pt>
                <c:pt idx="3">
                  <c:v>30</c:v>
                </c:pt>
                <c:pt idx="4">
                  <c:v>21</c:v>
                </c:pt>
                <c:pt idx="5">
                  <c:v>25</c:v>
                </c:pt>
                <c:pt idx="6">
                  <c:v>31</c:v>
                </c:pt>
                <c:pt idx="7">
                  <c:v>24</c:v>
                </c:pt>
                <c:pt idx="8">
                  <c:v>28</c:v>
                </c:pt>
                <c:pt idx="9">
                  <c:v>22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Bwaise-Kawempe'!$U$9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Bwaise-Kawempe'!$U$10:$U$21</c:f>
              <c:numCache>
                <c:formatCode>0</c:formatCode>
                <c:ptCount val="12"/>
                <c:pt idx="0">
                  <c:v>10</c:v>
                </c:pt>
                <c:pt idx="1">
                  <c:v>16</c:v>
                </c:pt>
                <c:pt idx="2">
                  <c:v>26</c:v>
                </c:pt>
                <c:pt idx="3">
                  <c:v>18</c:v>
                </c:pt>
                <c:pt idx="4">
                  <c:v>23</c:v>
                </c:pt>
                <c:pt idx="5">
                  <c:v>18</c:v>
                </c:pt>
                <c:pt idx="6">
                  <c:v>28</c:v>
                </c:pt>
                <c:pt idx="7">
                  <c:v>28</c:v>
                </c:pt>
                <c:pt idx="8">
                  <c:v>24</c:v>
                </c:pt>
                <c:pt idx="9">
                  <c:v>20</c:v>
                </c:pt>
                <c:pt idx="10">
                  <c:v>18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Bwaise-Kawempe'!$V$9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Bwaise-Kawempe'!$V$10:$V$21</c:f>
              <c:numCache>
                <c:formatCode>0</c:formatCode>
                <c:ptCount val="12"/>
                <c:pt idx="0">
                  <c:v>98</c:v>
                </c:pt>
                <c:pt idx="1">
                  <c:v>106</c:v>
                </c:pt>
                <c:pt idx="2">
                  <c:v>129</c:v>
                </c:pt>
                <c:pt idx="3">
                  <c:v>95</c:v>
                </c:pt>
                <c:pt idx="4">
                  <c:v>133</c:v>
                </c:pt>
                <c:pt idx="5">
                  <c:v>136</c:v>
                </c:pt>
                <c:pt idx="6">
                  <c:v>93</c:v>
                </c:pt>
                <c:pt idx="7">
                  <c:v>103</c:v>
                </c:pt>
                <c:pt idx="8">
                  <c:v>122</c:v>
                </c:pt>
                <c:pt idx="9">
                  <c:v>132</c:v>
                </c:pt>
                <c:pt idx="10">
                  <c:v>130</c:v>
                </c:pt>
                <c:pt idx="11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Bwaise-Kawempe'!$W$9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Bwaise-Kawempe'!$W$10:$W$21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Bwaise-Kawempe'!$X$9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Bwaise-Kawempe'!$X$10:$X$21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Bwaise-Kawempe'!$Y$9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Bwaise-Kawempe'!$Y$10:$Y$21</c:f>
              <c:numCache>
                <c:formatCode>0</c:formatCode>
                <c:ptCount val="12"/>
                <c:pt idx="0">
                  <c:v>24</c:v>
                </c:pt>
                <c:pt idx="1">
                  <c:v>31</c:v>
                </c:pt>
                <c:pt idx="2">
                  <c:v>23</c:v>
                </c:pt>
                <c:pt idx="3">
                  <c:v>22</c:v>
                </c:pt>
                <c:pt idx="4">
                  <c:v>31</c:v>
                </c:pt>
                <c:pt idx="5">
                  <c:v>36</c:v>
                </c:pt>
                <c:pt idx="6">
                  <c:v>18</c:v>
                </c:pt>
                <c:pt idx="7">
                  <c:v>34</c:v>
                </c:pt>
                <c:pt idx="8">
                  <c:v>35</c:v>
                </c:pt>
                <c:pt idx="9">
                  <c:v>35</c:v>
                </c:pt>
                <c:pt idx="10">
                  <c:v>32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Bwaise-Kawempe'!$Z$9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Bwaise-Kawempe'!$Z$10:$Z$21</c:f>
              <c:numCache>
                <c:formatCode>0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Bwaise-Kawempe'!$AA$9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Bwaise-Kawempe'!$AA$10:$AA$21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Bwaise-Kawempe'!$AB$9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Bwaise-Kawempe'!$AB$10:$AB$21</c:f>
              <c:numCache>
                <c:formatCode>0</c:formatCode>
                <c:ptCount val="12"/>
                <c:pt idx="0">
                  <c:v>8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7</c:v>
                </c:pt>
                <c:pt idx="5">
                  <c:v>3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Bwaise-Kawempe'!$AC$9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Bwaise-Kawempe'!$AC$10:$AC$21</c:f>
              <c:numCache>
                <c:formatCode>0</c:formatCode>
                <c:ptCount val="12"/>
                <c:pt idx="0">
                  <c:v>265</c:v>
                </c:pt>
                <c:pt idx="1">
                  <c:v>350</c:v>
                </c:pt>
                <c:pt idx="2">
                  <c:v>575</c:v>
                </c:pt>
                <c:pt idx="3">
                  <c:v>570</c:v>
                </c:pt>
                <c:pt idx="4">
                  <c:v>800</c:v>
                </c:pt>
                <c:pt idx="5">
                  <c:v>499</c:v>
                </c:pt>
                <c:pt idx="6">
                  <c:v>520</c:v>
                </c:pt>
                <c:pt idx="7">
                  <c:v>530</c:v>
                </c:pt>
                <c:pt idx="8">
                  <c:v>605</c:v>
                </c:pt>
                <c:pt idx="9">
                  <c:v>640</c:v>
                </c:pt>
                <c:pt idx="10">
                  <c:v>615</c:v>
                </c:pt>
                <c:pt idx="11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Bwaise-Kawempe'!$AD$9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Bwaise-Kawempe'!$AD$10:$AD$21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725184"/>
        <c:axId val="171726720"/>
      </c:lineChart>
      <c:catAx>
        <c:axId val="17172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726720"/>
        <c:crosses val="autoZero"/>
        <c:auto val="1"/>
        <c:lblAlgn val="ctr"/>
        <c:lblOffset val="100"/>
        <c:noMultiLvlLbl val="0"/>
      </c:catAx>
      <c:valAx>
        <c:axId val="17172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72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Bwaise-Kawempe'!$C$60:$N$60</c:f>
              <c:numCache>
                <c:formatCode>0.00%</c:formatCode>
                <c:ptCount val="12"/>
                <c:pt idx="0">
                  <c:v>0.44736842105263158</c:v>
                </c:pt>
                <c:pt idx="1">
                  <c:v>5.7456140350877191E-2</c:v>
                </c:pt>
                <c:pt idx="2">
                  <c:v>5.3947368421052633E-2</c:v>
                </c:pt>
                <c:pt idx="3">
                  <c:v>0.30811403508771928</c:v>
                </c:pt>
                <c:pt idx="4">
                  <c:v>1.0087719298245614E-2</c:v>
                </c:pt>
                <c:pt idx="5">
                  <c:v>5.7017543859649127E-3</c:v>
                </c:pt>
                <c:pt idx="6">
                  <c:v>7.6973684210526319E-2</c:v>
                </c:pt>
                <c:pt idx="7">
                  <c:v>1.5350877192982455E-2</c:v>
                </c:pt>
                <c:pt idx="8">
                  <c:v>1.0964912280701754E-2</c:v>
                </c:pt>
                <c:pt idx="9">
                  <c:v>1.381578947368421E-2</c:v>
                </c:pt>
                <c:pt idx="11">
                  <c:v>2.1929824561403509E-4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Kawempe-Bwaise'!$AE$9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Kawempe-Bwaise'!$AE$10:$AE$21</c:f>
              <c:numCache>
                <c:formatCode>0</c:formatCode>
                <c:ptCount val="12"/>
                <c:pt idx="0">
                  <c:v>448</c:v>
                </c:pt>
                <c:pt idx="1">
                  <c:v>529</c:v>
                </c:pt>
                <c:pt idx="2">
                  <c:v>522</c:v>
                </c:pt>
                <c:pt idx="3">
                  <c:v>505</c:v>
                </c:pt>
                <c:pt idx="4">
                  <c:v>467</c:v>
                </c:pt>
                <c:pt idx="5">
                  <c:v>444</c:v>
                </c:pt>
                <c:pt idx="6">
                  <c:v>544</c:v>
                </c:pt>
                <c:pt idx="7">
                  <c:v>454</c:v>
                </c:pt>
                <c:pt idx="8">
                  <c:v>510</c:v>
                </c:pt>
                <c:pt idx="9">
                  <c:v>517</c:v>
                </c:pt>
                <c:pt idx="10">
                  <c:v>508</c:v>
                </c:pt>
                <c:pt idx="11">
                  <c:v>495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Kawempe-Bwaise'!$AF$9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Kawempe-Bwaise'!$AF$10:$AF$21</c:f>
              <c:numCache>
                <c:formatCode>0</c:formatCode>
                <c:ptCount val="12"/>
                <c:pt idx="0">
                  <c:v>1175</c:v>
                </c:pt>
                <c:pt idx="1">
                  <c:v>1349</c:v>
                </c:pt>
                <c:pt idx="2">
                  <c:v>1316</c:v>
                </c:pt>
                <c:pt idx="3">
                  <c:v>1263</c:v>
                </c:pt>
                <c:pt idx="4">
                  <c:v>1262</c:v>
                </c:pt>
                <c:pt idx="5">
                  <c:v>1132</c:v>
                </c:pt>
                <c:pt idx="6">
                  <c:v>1034</c:v>
                </c:pt>
                <c:pt idx="7">
                  <c:v>1000</c:v>
                </c:pt>
                <c:pt idx="8">
                  <c:v>1008</c:v>
                </c:pt>
                <c:pt idx="9">
                  <c:v>1100</c:v>
                </c:pt>
                <c:pt idx="10">
                  <c:v>985</c:v>
                </c:pt>
                <c:pt idx="11">
                  <c:v>970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15488"/>
        <c:axId val="172817408"/>
      </c:lineChart>
      <c:catAx>
        <c:axId val="1728154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817408"/>
        <c:crosses val="autoZero"/>
        <c:auto val="1"/>
        <c:lblAlgn val="ctr"/>
        <c:lblOffset val="100"/>
        <c:noMultiLvlLbl val="0"/>
      </c:catAx>
      <c:valAx>
        <c:axId val="172817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81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Kawempe-Bwaise'!$C$59:$N$59</c:f>
              <c:numCache>
                <c:formatCode>0.0%</c:formatCode>
                <c:ptCount val="12"/>
                <c:pt idx="0">
                  <c:v>0.16330734147417977</c:v>
                </c:pt>
                <c:pt idx="1">
                  <c:v>4.4063557451816976E-2</c:v>
                </c:pt>
                <c:pt idx="2">
                  <c:v>1.7654847726938355E-2</c:v>
                </c:pt>
                <c:pt idx="3">
                  <c:v>0.15882006767691628</c:v>
                </c:pt>
                <c:pt idx="4">
                  <c:v>4.1194644696189494E-3</c:v>
                </c:pt>
                <c:pt idx="5">
                  <c:v>1.9861703692805651E-3</c:v>
                </c:pt>
                <c:pt idx="6">
                  <c:v>2.0891569810210387E-2</c:v>
                </c:pt>
                <c:pt idx="7">
                  <c:v>1.596292481977343E-2</c:v>
                </c:pt>
                <c:pt idx="8">
                  <c:v>5.370016183610416E-3</c:v>
                </c:pt>
                <c:pt idx="9">
                  <c:v>5.0022068559658671E-3</c:v>
                </c:pt>
                <c:pt idx="10">
                  <c:v>0.56282183316168899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26"/>
          <c:y val="2.29602266373237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Kawempe-Bwaise'!$S$9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Kawempe-Bwaise'!$S$10:$S$21</c:f>
              <c:numCache>
                <c:formatCode>0</c:formatCode>
                <c:ptCount val="12"/>
                <c:pt idx="0">
                  <c:v>153</c:v>
                </c:pt>
                <c:pt idx="1">
                  <c:v>197</c:v>
                </c:pt>
                <c:pt idx="2">
                  <c:v>199</c:v>
                </c:pt>
                <c:pt idx="3">
                  <c:v>207</c:v>
                </c:pt>
                <c:pt idx="4">
                  <c:v>188</c:v>
                </c:pt>
                <c:pt idx="5">
                  <c:v>159</c:v>
                </c:pt>
                <c:pt idx="6">
                  <c:v>225</c:v>
                </c:pt>
                <c:pt idx="7">
                  <c:v>148</c:v>
                </c:pt>
                <c:pt idx="8">
                  <c:v>194</c:v>
                </c:pt>
                <c:pt idx="9">
                  <c:v>199</c:v>
                </c:pt>
                <c:pt idx="10">
                  <c:v>178</c:v>
                </c:pt>
                <c:pt idx="11">
                  <c:v>173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Kawempe-Bwaise'!$T$9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Kawempe-Bwaise'!$T$10:$T$21</c:f>
              <c:numCache>
                <c:formatCode>0</c:formatCode>
                <c:ptCount val="12"/>
                <c:pt idx="0">
                  <c:v>16</c:v>
                </c:pt>
                <c:pt idx="1">
                  <c:v>31</c:v>
                </c:pt>
                <c:pt idx="2">
                  <c:v>41</c:v>
                </c:pt>
                <c:pt idx="3">
                  <c:v>52</c:v>
                </c:pt>
                <c:pt idx="4">
                  <c:v>51</c:v>
                </c:pt>
                <c:pt idx="5">
                  <c:v>56</c:v>
                </c:pt>
                <c:pt idx="6">
                  <c:v>58</c:v>
                </c:pt>
                <c:pt idx="7">
                  <c:v>53</c:v>
                </c:pt>
                <c:pt idx="8">
                  <c:v>66</c:v>
                </c:pt>
                <c:pt idx="9">
                  <c:v>63</c:v>
                </c:pt>
                <c:pt idx="10">
                  <c:v>56</c:v>
                </c:pt>
                <c:pt idx="11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Kawempe-Bwaise'!$U$9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Kawempe-Bwaise'!$U$10:$U$21</c:f>
              <c:numCache>
                <c:formatCode>0</c:formatCode>
                <c:ptCount val="12"/>
                <c:pt idx="0">
                  <c:v>9</c:v>
                </c:pt>
                <c:pt idx="1">
                  <c:v>23</c:v>
                </c:pt>
                <c:pt idx="2">
                  <c:v>25</c:v>
                </c:pt>
                <c:pt idx="3">
                  <c:v>21</c:v>
                </c:pt>
                <c:pt idx="4">
                  <c:v>27</c:v>
                </c:pt>
                <c:pt idx="5">
                  <c:v>13</c:v>
                </c:pt>
                <c:pt idx="6">
                  <c:v>18</c:v>
                </c:pt>
                <c:pt idx="7">
                  <c:v>27</c:v>
                </c:pt>
                <c:pt idx="8">
                  <c:v>18</c:v>
                </c:pt>
                <c:pt idx="9">
                  <c:v>24</c:v>
                </c:pt>
                <c:pt idx="10">
                  <c:v>17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Kawempe-Bwaise'!$V$9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Kawempe-Bwaise'!$V$10:$V$21</c:f>
              <c:numCache>
                <c:formatCode>0</c:formatCode>
                <c:ptCount val="12"/>
                <c:pt idx="0">
                  <c:v>212</c:v>
                </c:pt>
                <c:pt idx="1">
                  <c:v>216</c:v>
                </c:pt>
                <c:pt idx="2">
                  <c:v>199</c:v>
                </c:pt>
                <c:pt idx="3">
                  <c:v>171</c:v>
                </c:pt>
                <c:pt idx="4">
                  <c:v>144</c:v>
                </c:pt>
                <c:pt idx="5">
                  <c:v>143</c:v>
                </c:pt>
                <c:pt idx="6">
                  <c:v>183</c:v>
                </c:pt>
                <c:pt idx="7">
                  <c:v>162</c:v>
                </c:pt>
                <c:pt idx="8">
                  <c:v>170</c:v>
                </c:pt>
                <c:pt idx="9">
                  <c:v>169</c:v>
                </c:pt>
                <c:pt idx="10">
                  <c:v>201</c:v>
                </c:pt>
                <c:pt idx="11">
                  <c:v>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Kawempe-Bwaise'!$W$9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Kawempe-Bwaise'!$W$10:$W$21</c:f>
              <c:numCache>
                <c:formatCode>0</c:formatCode>
                <c:ptCount val="12"/>
                <c:pt idx="0">
                  <c:v>3</c:v>
                </c:pt>
                <c:pt idx="1">
                  <c:v>11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Kawempe-Bwaise'!$X$9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Kawempe-Bwaise'!$X$10:$X$21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7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Kawempe-Bwaise'!$Y$9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Kawempe-Bwaise'!$Y$10:$Y$21</c:f>
              <c:numCache>
                <c:formatCode>0</c:formatCode>
                <c:ptCount val="12"/>
                <c:pt idx="0">
                  <c:v>23</c:v>
                </c:pt>
                <c:pt idx="1">
                  <c:v>23</c:v>
                </c:pt>
                <c:pt idx="2">
                  <c:v>32</c:v>
                </c:pt>
                <c:pt idx="3">
                  <c:v>26</c:v>
                </c:pt>
                <c:pt idx="4">
                  <c:v>22</c:v>
                </c:pt>
                <c:pt idx="5">
                  <c:v>28</c:v>
                </c:pt>
                <c:pt idx="6">
                  <c:v>15</c:v>
                </c:pt>
                <c:pt idx="7">
                  <c:v>25</c:v>
                </c:pt>
                <c:pt idx="8">
                  <c:v>34</c:v>
                </c:pt>
                <c:pt idx="9">
                  <c:v>19</c:v>
                </c:pt>
                <c:pt idx="10">
                  <c:v>19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Kawempe-Bwaise'!$Z$9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Kawempe-Bwaise'!$Z$10:$Z$21</c:f>
              <c:numCache>
                <c:formatCode>0</c:formatCode>
                <c:ptCount val="12"/>
                <c:pt idx="0">
                  <c:v>25</c:v>
                </c:pt>
                <c:pt idx="1">
                  <c:v>12</c:v>
                </c:pt>
                <c:pt idx="2">
                  <c:v>15</c:v>
                </c:pt>
                <c:pt idx="3">
                  <c:v>17</c:v>
                </c:pt>
                <c:pt idx="4">
                  <c:v>20</c:v>
                </c:pt>
                <c:pt idx="5">
                  <c:v>27</c:v>
                </c:pt>
                <c:pt idx="6">
                  <c:v>32</c:v>
                </c:pt>
                <c:pt idx="7">
                  <c:v>10</c:v>
                </c:pt>
                <c:pt idx="8">
                  <c:v>10</c:v>
                </c:pt>
                <c:pt idx="9">
                  <c:v>19</c:v>
                </c:pt>
                <c:pt idx="10">
                  <c:v>12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Kawempe-Bwaise'!$AA$9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Kawempe-Bwaise'!$AA$10:$AA$21</c:f>
              <c:numCache>
                <c:formatCode>0</c:formatCode>
                <c:ptCount val="12"/>
                <c:pt idx="0">
                  <c:v>4</c:v>
                </c:pt>
                <c:pt idx="1">
                  <c:v>14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6</c:v>
                </c:pt>
                <c:pt idx="7">
                  <c:v>2</c:v>
                </c:pt>
                <c:pt idx="8">
                  <c:v>8</c:v>
                </c:pt>
                <c:pt idx="9">
                  <c:v>5</c:v>
                </c:pt>
                <c:pt idx="10">
                  <c:v>7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Kawempe-Bwaise'!$AB$9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Kawempe-Bwaise'!$AB$10:$AB$21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17</c:v>
                </c:pt>
                <c:pt idx="8">
                  <c:v>2</c:v>
                </c:pt>
                <c:pt idx="9">
                  <c:v>9</c:v>
                </c:pt>
                <c:pt idx="10">
                  <c:v>11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Kawempe-Bwaise'!$AC$9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Kawempe-Bwaise'!$AC$10:$AC$21</c:f>
              <c:numCache>
                <c:formatCode>0</c:formatCode>
                <c:ptCount val="12"/>
                <c:pt idx="0">
                  <c:v>727</c:v>
                </c:pt>
                <c:pt idx="1">
                  <c:v>820</c:v>
                </c:pt>
                <c:pt idx="2">
                  <c:v>794</c:v>
                </c:pt>
                <c:pt idx="3">
                  <c:v>758</c:v>
                </c:pt>
                <c:pt idx="4">
                  <c:v>795</c:v>
                </c:pt>
                <c:pt idx="5">
                  <c:v>688</c:v>
                </c:pt>
                <c:pt idx="6">
                  <c:v>490</c:v>
                </c:pt>
                <c:pt idx="7">
                  <c:v>546</c:v>
                </c:pt>
                <c:pt idx="8">
                  <c:v>498</c:v>
                </c:pt>
                <c:pt idx="9">
                  <c:v>583</c:v>
                </c:pt>
                <c:pt idx="10">
                  <c:v>477</c:v>
                </c:pt>
                <c:pt idx="11">
                  <c:v>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Kawempe-Bwaise'!$AD$9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Kawempe-Bwaise'!$AD$10:$AD$21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50784"/>
        <c:axId val="207352576"/>
      </c:lineChart>
      <c:catAx>
        <c:axId val="20735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352576"/>
        <c:crosses val="autoZero"/>
        <c:auto val="1"/>
        <c:lblAlgn val="ctr"/>
        <c:lblOffset val="100"/>
        <c:noMultiLvlLbl val="0"/>
      </c:catAx>
      <c:valAx>
        <c:axId val="20735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35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Kawempe-Bwaise'!$C$60:$N$60</c:f>
              <c:numCache>
                <c:formatCode>0.00%</c:formatCode>
                <c:ptCount val="12"/>
                <c:pt idx="0">
                  <c:v>0.37354871277132762</c:v>
                </c:pt>
                <c:pt idx="1">
                  <c:v>0.10079084637388525</c:v>
                </c:pt>
                <c:pt idx="2">
                  <c:v>4.0383644623927309E-2</c:v>
                </c:pt>
                <c:pt idx="3">
                  <c:v>0.36328453642941277</c:v>
                </c:pt>
                <c:pt idx="4">
                  <c:v>9.4228504122497048E-3</c:v>
                </c:pt>
                <c:pt idx="5">
                  <c:v>4.5431600201918223E-3</c:v>
                </c:pt>
                <c:pt idx="6">
                  <c:v>4.778731280498065E-2</c:v>
                </c:pt>
                <c:pt idx="7">
                  <c:v>3.6513545347467612E-2</c:v>
                </c:pt>
                <c:pt idx="8">
                  <c:v>1.2283358573111223E-2</c:v>
                </c:pt>
                <c:pt idx="9">
                  <c:v>1.144203264344607E-2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Bwaise-Kawempe'!$AE$9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Bwaise-Kawempe'!$R$10:$R$33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Bwaise-Kawempe'!$AE$10:$AE$33</c:f>
              <c:numCache>
                <c:formatCode>0</c:formatCode>
                <c:ptCount val="24"/>
                <c:pt idx="0">
                  <c:v>323.57142857142856</c:v>
                </c:pt>
                <c:pt idx="1">
                  <c:v>338.57142857142856</c:v>
                </c:pt>
                <c:pt idx="2">
                  <c:v>400</c:v>
                </c:pt>
                <c:pt idx="3">
                  <c:v>405.14285714285722</c:v>
                </c:pt>
                <c:pt idx="4">
                  <c:v>437.71428571428572</c:v>
                </c:pt>
                <c:pt idx="5">
                  <c:v>421.42857142857144</c:v>
                </c:pt>
                <c:pt idx="6">
                  <c:v>442.57142857142861</c:v>
                </c:pt>
                <c:pt idx="7">
                  <c:v>396.14285714285722</c:v>
                </c:pt>
                <c:pt idx="8">
                  <c:v>390</c:v>
                </c:pt>
                <c:pt idx="9">
                  <c:v>439.85714285714289</c:v>
                </c:pt>
                <c:pt idx="10">
                  <c:v>429.57142857142856</c:v>
                </c:pt>
                <c:pt idx="11">
                  <c:v>426.71428571428572</c:v>
                </c:pt>
                <c:pt idx="12">
                  <c:v>158.5</c:v>
                </c:pt>
                <c:pt idx="13">
                  <c:v>316</c:v>
                </c:pt>
                <c:pt idx="14">
                  <c:v>363</c:v>
                </c:pt>
                <c:pt idx="15">
                  <c:v>397.5</c:v>
                </c:pt>
                <c:pt idx="16">
                  <c:v>344.5</c:v>
                </c:pt>
                <c:pt idx="17">
                  <c:v>127.5</c:v>
                </c:pt>
                <c:pt idx="18">
                  <c:v>107</c:v>
                </c:pt>
                <c:pt idx="19">
                  <c:v>74.5</c:v>
                </c:pt>
                <c:pt idx="20">
                  <c:v>65.5</c:v>
                </c:pt>
                <c:pt idx="21">
                  <c:v>62.5</c:v>
                </c:pt>
                <c:pt idx="22">
                  <c:v>108.5</c:v>
                </c:pt>
                <c:pt idx="23">
                  <c:v>215.5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Bwaise-Kawempe'!$AF$9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Bwaise-Kawempe'!$R$10:$R$33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Bwaise-Kawempe'!$AF$10:$AF$33</c:f>
              <c:numCache>
                <c:formatCode>0</c:formatCode>
                <c:ptCount val="24"/>
                <c:pt idx="0">
                  <c:v>862.14285714285711</c:v>
                </c:pt>
                <c:pt idx="1">
                  <c:v>918.42857142857156</c:v>
                </c:pt>
                <c:pt idx="2">
                  <c:v>1043.5714285714287</c:v>
                </c:pt>
                <c:pt idx="3">
                  <c:v>961.85714285714289</c:v>
                </c:pt>
                <c:pt idx="4">
                  <c:v>971.71428571428578</c:v>
                </c:pt>
                <c:pt idx="5">
                  <c:v>872</c:v>
                </c:pt>
                <c:pt idx="6">
                  <c:v>877.85714285714278</c:v>
                </c:pt>
                <c:pt idx="7">
                  <c:v>755.28571428571433</c:v>
                </c:pt>
                <c:pt idx="8">
                  <c:v>779.42857142857156</c:v>
                </c:pt>
                <c:pt idx="9">
                  <c:v>966.28571428571433</c:v>
                </c:pt>
                <c:pt idx="10">
                  <c:v>928</c:v>
                </c:pt>
                <c:pt idx="11">
                  <c:v>1053.5714285714284</c:v>
                </c:pt>
                <c:pt idx="12">
                  <c:v>490.5</c:v>
                </c:pt>
                <c:pt idx="13">
                  <c:v>958.5</c:v>
                </c:pt>
                <c:pt idx="14">
                  <c:v>1017.5</c:v>
                </c:pt>
                <c:pt idx="15">
                  <c:v>1017.5</c:v>
                </c:pt>
                <c:pt idx="16">
                  <c:v>849.5</c:v>
                </c:pt>
                <c:pt idx="17">
                  <c:v>296.5</c:v>
                </c:pt>
                <c:pt idx="18">
                  <c:v>281</c:v>
                </c:pt>
                <c:pt idx="19">
                  <c:v>189</c:v>
                </c:pt>
                <c:pt idx="20">
                  <c:v>145.5</c:v>
                </c:pt>
                <c:pt idx="21">
                  <c:v>143</c:v>
                </c:pt>
                <c:pt idx="22">
                  <c:v>216.5</c:v>
                </c:pt>
                <c:pt idx="23">
                  <c:v>423.5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82880"/>
        <c:axId val="207484800"/>
      </c:lineChart>
      <c:catAx>
        <c:axId val="207482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84800"/>
        <c:crosses val="autoZero"/>
        <c:auto val="1"/>
        <c:lblAlgn val="ctr"/>
        <c:lblOffset val="100"/>
        <c:noMultiLvlLbl val="0"/>
      </c:catAx>
      <c:valAx>
        <c:axId val="2074848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6155654722300067E-2"/>
          <c:y val="7.1783661210482894E-2"/>
          <c:w val="0.81788750304828384"/>
          <c:h val="0.7597553131065640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Bwaise-Kawempe'!$C$107:$N$107</c:f>
              <c:numCache>
                <c:formatCode>0.0%</c:formatCode>
                <c:ptCount val="12"/>
                <c:pt idx="0">
                  <c:v>0.16034516769425125</c:v>
                </c:pt>
                <c:pt idx="1">
                  <c:v>1.9327544163753194E-2</c:v>
                </c:pt>
                <c:pt idx="2">
                  <c:v>2.0305463336425179E-2</c:v>
                </c:pt>
                <c:pt idx="3">
                  <c:v>0.13838185855007742</c:v>
                </c:pt>
                <c:pt idx="4">
                  <c:v>7.2903244760997377E-3</c:v>
                </c:pt>
                <c:pt idx="5">
                  <c:v>3.3450711614573924E-3</c:v>
                </c:pt>
                <c:pt idx="6">
                  <c:v>3.6552352252361905E-2</c:v>
                </c:pt>
                <c:pt idx="7">
                  <c:v>1.619232690201082E-2</c:v>
                </c:pt>
                <c:pt idx="8">
                  <c:v>1.083265830328925E-2</c:v>
                </c:pt>
                <c:pt idx="9">
                  <c:v>9.9848485484405752E-3</c:v>
                </c:pt>
                <c:pt idx="10">
                  <c:v>0.57741720214386738</c:v>
                </c:pt>
                <c:pt idx="11">
                  <c:v>2.5182467965802204E-5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005525215864071E-2"/>
          <c:y val="0.23139967620711646"/>
          <c:w val="0.82234848056563736"/>
          <c:h val="0.7595534500929084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Bwaise-Kawempe'!$C$9:$N$9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Bwaise-Kawempe'!$C$108:$N$108</c:f>
              <c:numCache>
                <c:formatCode>0.00%</c:formatCode>
                <c:ptCount val="12"/>
                <c:pt idx="0">
                  <c:v>0.37944083031236042</c:v>
                </c:pt>
                <c:pt idx="1">
                  <c:v>4.5736703580473763E-2</c:v>
                </c:pt>
                <c:pt idx="2">
                  <c:v>4.8050851666087309E-2</c:v>
                </c:pt>
                <c:pt idx="3">
                  <c:v>0.32746685206336601</c:v>
                </c:pt>
                <c:pt idx="4">
                  <c:v>1.7251824998758505E-2</c:v>
                </c:pt>
                <c:pt idx="5">
                  <c:v>7.9157769280429058E-3</c:v>
                </c:pt>
                <c:pt idx="6">
                  <c:v>8.6497492178576774E-2</c:v>
                </c:pt>
                <c:pt idx="7">
                  <c:v>3.8317524954064673E-2</c:v>
                </c:pt>
                <c:pt idx="8">
                  <c:v>2.5634404330337195E-2</c:v>
                </c:pt>
                <c:pt idx="9">
                  <c:v>2.3628147191736611E-2</c:v>
                </c:pt>
                <c:pt idx="11">
                  <c:v>5.9591796196057021E-5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5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Kawempe-Bwaise'!$AE$9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Kawempe-Bwaise'!$R$10:$R$33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Kawempe-Bwaise'!$AE$10:$AE$33</c:f>
              <c:numCache>
                <c:formatCode>0</c:formatCode>
                <c:ptCount val="24"/>
                <c:pt idx="0">
                  <c:v>550.14285714285711</c:v>
                </c:pt>
                <c:pt idx="1">
                  <c:v>531.85714285714289</c:v>
                </c:pt>
                <c:pt idx="2">
                  <c:v>522.14285714285711</c:v>
                </c:pt>
                <c:pt idx="3">
                  <c:v>494.42857142857144</c:v>
                </c:pt>
                <c:pt idx="4">
                  <c:v>494.57142857142861</c:v>
                </c:pt>
                <c:pt idx="5">
                  <c:v>474.14285714285722</c:v>
                </c:pt>
                <c:pt idx="6">
                  <c:v>447.85714285714289</c:v>
                </c:pt>
                <c:pt idx="7">
                  <c:v>426.99999999999994</c:v>
                </c:pt>
                <c:pt idx="8">
                  <c:v>491.42857142857144</c:v>
                </c:pt>
                <c:pt idx="9">
                  <c:v>495.57142857142856</c:v>
                </c:pt>
                <c:pt idx="10">
                  <c:v>431</c:v>
                </c:pt>
                <c:pt idx="11">
                  <c:v>409</c:v>
                </c:pt>
                <c:pt idx="12">
                  <c:v>347</c:v>
                </c:pt>
                <c:pt idx="13">
                  <c:v>336</c:v>
                </c:pt>
                <c:pt idx="14">
                  <c:v>331.5</c:v>
                </c:pt>
                <c:pt idx="15">
                  <c:v>283.5</c:v>
                </c:pt>
                <c:pt idx="16">
                  <c:v>242.5</c:v>
                </c:pt>
                <c:pt idx="17">
                  <c:v>85</c:v>
                </c:pt>
                <c:pt idx="18">
                  <c:v>78</c:v>
                </c:pt>
                <c:pt idx="19">
                  <c:v>56.5</c:v>
                </c:pt>
                <c:pt idx="20">
                  <c:v>62.5</c:v>
                </c:pt>
                <c:pt idx="21">
                  <c:v>112</c:v>
                </c:pt>
                <c:pt idx="22">
                  <c:v>141.5</c:v>
                </c:pt>
                <c:pt idx="23">
                  <c:v>230.5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Kawempe-Bwaise'!$AF$9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Kawempe-Bwaise'!$R$10:$R$33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Kawempe-Bwaise'!$AF$10:$AF$33</c:f>
              <c:numCache>
                <c:formatCode>0</c:formatCode>
                <c:ptCount val="24"/>
                <c:pt idx="0">
                  <c:v>1598.7142857142858</c:v>
                </c:pt>
                <c:pt idx="1">
                  <c:v>1674.8571428571427</c:v>
                </c:pt>
                <c:pt idx="2">
                  <c:v>1568.7142857142858</c:v>
                </c:pt>
                <c:pt idx="3">
                  <c:v>1351.8571428571427</c:v>
                </c:pt>
                <c:pt idx="4">
                  <c:v>1258.1190476190477</c:v>
                </c:pt>
                <c:pt idx="5">
                  <c:v>1128</c:v>
                </c:pt>
                <c:pt idx="6">
                  <c:v>1044</c:v>
                </c:pt>
                <c:pt idx="7">
                  <c:v>942.57142857142856</c:v>
                </c:pt>
                <c:pt idx="8">
                  <c:v>991.14285714285711</c:v>
                </c:pt>
                <c:pt idx="9">
                  <c:v>1193.8571428571427</c:v>
                </c:pt>
                <c:pt idx="10">
                  <c:v>1210</c:v>
                </c:pt>
                <c:pt idx="11">
                  <c:v>1236.1428571428573</c:v>
                </c:pt>
                <c:pt idx="12">
                  <c:v>1027.5</c:v>
                </c:pt>
                <c:pt idx="13">
                  <c:v>1308</c:v>
                </c:pt>
                <c:pt idx="14">
                  <c:v>999.5</c:v>
                </c:pt>
                <c:pt idx="15">
                  <c:v>794</c:v>
                </c:pt>
                <c:pt idx="16">
                  <c:v>618.5</c:v>
                </c:pt>
                <c:pt idx="17">
                  <c:v>199</c:v>
                </c:pt>
                <c:pt idx="18">
                  <c:v>175.5</c:v>
                </c:pt>
                <c:pt idx="19">
                  <c:v>140.5</c:v>
                </c:pt>
                <c:pt idx="20">
                  <c:v>133</c:v>
                </c:pt>
                <c:pt idx="21">
                  <c:v>226</c:v>
                </c:pt>
                <c:pt idx="22">
                  <c:v>238.5</c:v>
                </c:pt>
                <c:pt idx="23">
                  <c:v>443.5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181888"/>
        <c:axId val="208290560"/>
      </c:lineChart>
      <c:catAx>
        <c:axId val="2081818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290560"/>
        <c:crosses val="autoZero"/>
        <c:auto val="1"/>
        <c:lblAlgn val="ctr"/>
        <c:lblOffset val="100"/>
        <c:noMultiLvlLbl val="0"/>
      </c:catAx>
      <c:valAx>
        <c:axId val="208290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18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7184293823737159E-2"/>
          <c:y val="8.0196813305407677E-2"/>
          <c:w val="0.81652842231930312"/>
          <c:h val="0.758621721498295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Kawempe-Bwaise'!$C$107:$N$107</c:f>
              <c:numCache>
                <c:formatCode>0.0%</c:formatCode>
                <c:ptCount val="12"/>
                <c:pt idx="0">
                  <c:v>0.13069866742261332</c:v>
                </c:pt>
                <c:pt idx="1">
                  <c:v>2.6782214288719929E-2</c:v>
                </c:pt>
                <c:pt idx="2">
                  <c:v>1.8274492781226535E-2</c:v>
                </c:pt>
                <c:pt idx="3">
                  <c:v>0.12659263705039075</c:v>
                </c:pt>
                <c:pt idx="4">
                  <c:v>5.7504357397387997E-3</c:v>
                </c:pt>
                <c:pt idx="5">
                  <c:v>4.3452166074976024E-3</c:v>
                </c:pt>
                <c:pt idx="6">
                  <c:v>2.413787757651191E-2</c:v>
                </c:pt>
                <c:pt idx="7">
                  <c:v>2.1586557733577538E-2</c:v>
                </c:pt>
                <c:pt idx="8">
                  <c:v>1.0574024817786597E-2</c:v>
                </c:pt>
                <c:pt idx="9">
                  <c:v>6.8367398916132005E-3</c:v>
                </c:pt>
                <c:pt idx="10">
                  <c:v>0.62441449202823285</c:v>
                </c:pt>
                <c:pt idx="11">
                  <c:v>6.6440620909749273E-6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26"/>
          <c:y val="2.296022663732376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Kawempe-Bwaise'!$S$9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Week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Kawempe-Bwaise'!$S$10:$S$21</c:f>
              <c:numCache>
                <c:formatCode>0</c:formatCode>
                <c:ptCount val="12"/>
                <c:pt idx="0">
                  <c:v>218.42857142857144</c:v>
                </c:pt>
                <c:pt idx="1">
                  <c:v>183.28571428571428</c:v>
                </c:pt>
                <c:pt idx="2">
                  <c:v>177</c:v>
                </c:pt>
                <c:pt idx="3">
                  <c:v>165</c:v>
                </c:pt>
                <c:pt idx="4">
                  <c:v>164.85714285714286</c:v>
                </c:pt>
                <c:pt idx="5">
                  <c:v>156.42857142857142</c:v>
                </c:pt>
                <c:pt idx="6">
                  <c:v>145.42857142857144</c:v>
                </c:pt>
                <c:pt idx="7">
                  <c:v>131.14285714285714</c:v>
                </c:pt>
                <c:pt idx="8">
                  <c:v>151.14285714285714</c:v>
                </c:pt>
                <c:pt idx="9">
                  <c:v>150.71428571428572</c:v>
                </c:pt>
                <c:pt idx="10">
                  <c:v>124.42857142857142</c:v>
                </c:pt>
                <c:pt idx="11">
                  <c:v>111.85714285714286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B2-4E89-BB96-27269775CB4B}"/>
            </c:ext>
          </c:extLst>
        </c:ser>
        <c:ser>
          <c:idx val="1"/>
          <c:order val="1"/>
          <c:tx>
            <c:strRef>
              <c:f>'Avg Week Kawempe-Bwaise'!$T$9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Week Kawempe-Bwaise'!$R$10:$R$21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'Avg Week Kawempe-Bwaise'!$T$10:$T$21</c:f>
              <c:numCache>
                <c:formatCode>0</c:formatCode>
                <c:ptCount val="12"/>
                <c:pt idx="0">
                  <c:v>37.285714285714292</c:v>
                </c:pt>
                <c:pt idx="1">
                  <c:v>41.285714285714285</c:v>
                </c:pt>
                <c:pt idx="2">
                  <c:v>38</c:v>
                </c:pt>
                <c:pt idx="3">
                  <c:v>40</c:v>
                </c:pt>
                <c:pt idx="4">
                  <c:v>45.857142857142861</c:v>
                </c:pt>
                <c:pt idx="5">
                  <c:v>39.857142857142854</c:v>
                </c:pt>
                <c:pt idx="6">
                  <c:v>45.285714285714292</c:v>
                </c:pt>
                <c:pt idx="7">
                  <c:v>45.857142857142861</c:v>
                </c:pt>
                <c:pt idx="8">
                  <c:v>59.142857142857139</c:v>
                </c:pt>
                <c:pt idx="9">
                  <c:v>53.142857142857146</c:v>
                </c:pt>
                <c:pt idx="10">
                  <c:v>42.714285714285715</c:v>
                </c:pt>
                <c:pt idx="11">
                  <c:v>41.428571428571431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B2-4E89-BB96-27269775CB4B}"/>
            </c:ext>
          </c:extLst>
        </c:ser>
        <c:ser>
          <c:idx val="2"/>
          <c:order val="2"/>
          <c:tx>
            <c:strRef>
              <c:f>'Avg Week Kawempe-Bwaise'!$U$9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'Avg Week Kawempe-Bwaise'!$U$10:$U$21</c:f>
              <c:numCache>
                <c:formatCode>0</c:formatCode>
                <c:ptCount val="12"/>
                <c:pt idx="0">
                  <c:v>22.285714285714285</c:v>
                </c:pt>
                <c:pt idx="1">
                  <c:v>23.285714285714285</c:v>
                </c:pt>
                <c:pt idx="2">
                  <c:v>22.714285714285715</c:v>
                </c:pt>
                <c:pt idx="3">
                  <c:v>22.571428571428573</c:v>
                </c:pt>
                <c:pt idx="4">
                  <c:v>30</c:v>
                </c:pt>
                <c:pt idx="5">
                  <c:v>26.571428571428569</c:v>
                </c:pt>
                <c:pt idx="6">
                  <c:v>25.142857142857142</c:v>
                </c:pt>
                <c:pt idx="7">
                  <c:v>24.714285714285715</c:v>
                </c:pt>
                <c:pt idx="8">
                  <c:v>31.571428571428573</c:v>
                </c:pt>
                <c:pt idx="9">
                  <c:v>36.714285714285715</c:v>
                </c:pt>
                <c:pt idx="10">
                  <c:v>23.428571428571431</c:v>
                </c:pt>
                <c:pt idx="11">
                  <c:v>18.428571428571427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B2-4E89-BB96-27269775CB4B}"/>
            </c:ext>
          </c:extLst>
        </c:ser>
        <c:ser>
          <c:idx val="3"/>
          <c:order val="3"/>
          <c:tx>
            <c:strRef>
              <c:f>'Avg Week Kawempe-Bwaise'!$V$9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'Avg Week Kawempe-Bwaise'!$V$10:$V$21</c:f>
              <c:numCache>
                <c:formatCode>0</c:formatCode>
                <c:ptCount val="12"/>
                <c:pt idx="0">
                  <c:v>201.71428571428572</c:v>
                </c:pt>
                <c:pt idx="1">
                  <c:v>212.71428571428572</c:v>
                </c:pt>
                <c:pt idx="2">
                  <c:v>194.85714285714286</c:v>
                </c:pt>
                <c:pt idx="3">
                  <c:v>181.14285714285717</c:v>
                </c:pt>
                <c:pt idx="4">
                  <c:v>162.71428571428572</c:v>
                </c:pt>
                <c:pt idx="5">
                  <c:v>160</c:v>
                </c:pt>
                <c:pt idx="6">
                  <c:v>156.57142857142856</c:v>
                </c:pt>
                <c:pt idx="7">
                  <c:v>145.14285714285714</c:v>
                </c:pt>
                <c:pt idx="8">
                  <c:v>164.28571428571428</c:v>
                </c:pt>
                <c:pt idx="9">
                  <c:v>165.28571428571428</c:v>
                </c:pt>
                <c:pt idx="10">
                  <c:v>162</c:v>
                </c:pt>
                <c:pt idx="11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B2-4E89-BB96-27269775CB4B}"/>
            </c:ext>
          </c:extLst>
        </c:ser>
        <c:ser>
          <c:idx val="4"/>
          <c:order val="4"/>
          <c:tx>
            <c:strRef>
              <c:f>'Avg Week Kawempe-Bwaise'!$W$9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'Avg Week Kawempe-Bwaise'!$W$10:$W$21</c:f>
              <c:numCache>
                <c:formatCode>0</c:formatCode>
                <c:ptCount val="12"/>
                <c:pt idx="0">
                  <c:v>10.285714285714285</c:v>
                </c:pt>
                <c:pt idx="1">
                  <c:v>7.5714285714285712</c:v>
                </c:pt>
                <c:pt idx="2">
                  <c:v>8.1428571428571423</c:v>
                </c:pt>
                <c:pt idx="3">
                  <c:v>5</c:v>
                </c:pt>
                <c:pt idx="4">
                  <c:v>7.8571428571428577</c:v>
                </c:pt>
                <c:pt idx="5">
                  <c:v>8.2857142857142865</c:v>
                </c:pt>
                <c:pt idx="6">
                  <c:v>5.4285714285714288</c:v>
                </c:pt>
                <c:pt idx="7">
                  <c:v>6.4285714285714288</c:v>
                </c:pt>
                <c:pt idx="8">
                  <c:v>5.4285714285714288</c:v>
                </c:pt>
                <c:pt idx="9">
                  <c:v>5.1428571428571432</c:v>
                </c:pt>
                <c:pt idx="10">
                  <c:v>7</c:v>
                </c:pt>
                <c:pt idx="11">
                  <c:v>7.5714285714285721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B2-4E89-BB96-27269775CB4B}"/>
            </c:ext>
          </c:extLst>
        </c:ser>
        <c:ser>
          <c:idx val="5"/>
          <c:order val="5"/>
          <c:tx>
            <c:strRef>
              <c:f>'Avg Week Kawempe-Bwaise'!$X$9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'Avg Week Kawempe-Bwaise'!$X$10:$X$21</c:f>
              <c:numCache>
                <c:formatCode>0</c:formatCode>
                <c:ptCount val="12"/>
                <c:pt idx="0">
                  <c:v>1.7142857142857142</c:v>
                </c:pt>
                <c:pt idx="1">
                  <c:v>1.1428571428571428</c:v>
                </c:pt>
                <c:pt idx="2">
                  <c:v>0.85714285714285698</c:v>
                </c:pt>
                <c:pt idx="3">
                  <c:v>1.1428571428571428</c:v>
                </c:pt>
                <c:pt idx="4">
                  <c:v>2.2857142857142856</c:v>
                </c:pt>
                <c:pt idx="5">
                  <c:v>2.8571428571428572</c:v>
                </c:pt>
                <c:pt idx="6">
                  <c:v>2.8571428571428568</c:v>
                </c:pt>
                <c:pt idx="7">
                  <c:v>4.7142857142857144</c:v>
                </c:pt>
                <c:pt idx="8">
                  <c:v>4.1428571428571432</c:v>
                </c:pt>
                <c:pt idx="9">
                  <c:v>4.7142857142857144</c:v>
                </c:pt>
                <c:pt idx="10">
                  <c:v>2.714285714285714</c:v>
                </c:pt>
                <c:pt idx="11">
                  <c:v>4.2857142857142856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B2-4E89-BB96-27269775CB4B}"/>
            </c:ext>
          </c:extLst>
        </c:ser>
        <c:ser>
          <c:idx val="6"/>
          <c:order val="6"/>
          <c:tx>
            <c:strRef>
              <c:f>'Avg Week Kawempe-Bwaise'!$Y$9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Kawempe-Bwaise'!$Y$10:$Y$21</c:f>
              <c:numCache>
                <c:formatCode>0</c:formatCode>
                <c:ptCount val="12"/>
                <c:pt idx="0">
                  <c:v>23.714285714285715</c:v>
                </c:pt>
                <c:pt idx="1">
                  <c:v>28.142857142857142</c:v>
                </c:pt>
                <c:pt idx="2">
                  <c:v>33.285714285714285</c:v>
                </c:pt>
                <c:pt idx="3">
                  <c:v>34.285714285714292</c:v>
                </c:pt>
                <c:pt idx="4">
                  <c:v>31.571428571428573</c:v>
                </c:pt>
                <c:pt idx="5">
                  <c:v>32.285714285714285</c:v>
                </c:pt>
                <c:pt idx="6">
                  <c:v>26.142857142857139</c:v>
                </c:pt>
                <c:pt idx="7">
                  <c:v>29.714285714285712</c:v>
                </c:pt>
                <c:pt idx="8">
                  <c:v>33.142857142857139</c:v>
                </c:pt>
                <c:pt idx="9">
                  <c:v>32.285714285714285</c:v>
                </c:pt>
                <c:pt idx="10">
                  <c:v>27</c:v>
                </c:pt>
                <c:pt idx="11">
                  <c:v>21.428571428571427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B2-4E89-BB96-27269775CB4B}"/>
            </c:ext>
          </c:extLst>
        </c:ser>
        <c:ser>
          <c:idx val="7"/>
          <c:order val="7"/>
          <c:tx>
            <c:strRef>
              <c:f>'Avg Week Kawempe-Bwaise'!$Z$9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Kawempe-Bwaise'!$Z$10:$Z$21</c:f>
              <c:numCache>
                <c:formatCode>0</c:formatCode>
                <c:ptCount val="12"/>
                <c:pt idx="0">
                  <c:v>19.142857142857142</c:v>
                </c:pt>
                <c:pt idx="1">
                  <c:v>18</c:v>
                </c:pt>
                <c:pt idx="2">
                  <c:v>29</c:v>
                </c:pt>
                <c:pt idx="3">
                  <c:v>29.285714285714285</c:v>
                </c:pt>
                <c:pt idx="4">
                  <c:v>33.285714285714285</c:v>
                </c:pt>
                <c:pt idx="5">
                  <c:v>29.428571428571427</c:v>
                </c:pt>
                <c:pt idx="6">
                  <c:v>24.714285714285715</c:v>
                </c:pt>
                <c:pt idx="7">
                  <c:v>21</c:v>
                </c:pt>
                <c:pt idx="8">
                  <c:v>26.571428571428573</c:v>
                </c:pt>
                <c:pt idx="9">
                  <c:v>28.285714285714285</c:v>
                </c:pt>
                <c:pt idx="10">
                  <c:v>19.285714285714288</c:v>
                </c:pt>
                <c:pt idx="11">
                  <c:v>18.142857142857142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B2-4E89-BB96-27269775CB4B}"/>
            </c:ext>
          </c:extLst>
        </c:ser>
        <c:ser>
          <c:idx val="8"/>
          <c:order val="8"/>
          <c:tx>
            <c:strRef>
              <c:f>'Avg Week Kawempe-Bwaise'!$AA$9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Kawempe-Bwaise'!$AA$10:$AA$21</c:f>
              <c:numCache>
                <c:formatCode>0</c:formatCode>
                <c:ptCount val="12"/>
                <c:pt idx="0">
                  <c:v>10.142857142857142</c:v>
                </c:pt>
                <c:pt idx="1">
                  <c:v>10.285714285714285</c:v>
                </c:pt>
                <c:pt idx="2">
                  <c:v>11.999999999999998</c:v>
                </c:pt>
                <c:pt idx="3">
                  <c:v>11.285714285714285</c:v>
                </c:pt>
                <c:pt idx="4">
                  <c:v>9.8571428571428577</c:v>
                </c:pt>
                <c:pt idx="5">
                  <c:v>10.428571428571429</c:v>
                </c:pt>
                <c:pt idx="6">
                  <c:v>10.714285714285714</c:v>
                </c:pt>
                <c:pt idx="7">
                  <c:v>8.1428571428571423</c:v>
                </c:pt>
                <c:pt idx="8">
                  <c:v>10</c:v>
                </c:pt>
                <c:pt idx="9">
                  <c:v>10.285714285714285</c:v>
                </c:pt>
                <c:pt idx="10">
                  <c:v>11.142857142857142</c:v>
                </c:pt>
                <c:pt idx="11">
                  <c:v>12.571428571428571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B2-4E89-BB96-27269775CB4B}"/>
            </c:ext>
          </c:extLst>
        </c:ser>
        <c:ser>
          <c:idx val="9"/>
          <c:order val="9"/>
          <c:tx>
            <c:strRef>
              <c:f>'Avg Week Kawempe-Bwaise'!$AB$9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Kawempe-Bwaise'!$AB$10:$AB$21</c:f>
              <c:numCache>
                <c:formatCode>0</c:formatCode>
                <c:ptCount val="12"/>
                <c:pt idx="0">
                  <c:v>5.2857142857142856</c:v>
                </c:pt>
                <c:pt idx="1">
                  <c:v>6.1428571428571423</c:v>
                </c:pt>
                <c:pt idx="2">
                  <c:v>6.2857142857142856</c:v>
                </c:pt>
                <c:pt idx="3">
                  <c:v>4.7142857142857144</c:v>
                </c:pt>
                <c:pt idx="4">
                  <c:v>6.2857142857142865</c:v>
                </c:pt>
                <c:pt idx="5">
                  <c:v>8</c:v>
                </c:pt>
                <c:pt idx="6">
                  <c:v>5.5714285714285712</c:v>
                </c:pt>
                <c:pt idx="7">
                  <c:v>10.142857142857142</c:v>
                </c:pt>
                <c:pt idx="8">
                  <c:v>6</c:v>
                </c:pt>
                <c:pt idx="9">
                  <c:v>9</c:v>
                </c:pt>
                <c:pt idx="10">
                  <c:v>11.285714285714285</c:v>
                </c:pt>
                <c:pt idx="11">
                  <c:v>7.2857142857142865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B2-4E89-BB96-27269775CB4B}"/>
            </c:ext>
          </c:extLst>
        </c:ser>
        <c:ser>
          <c:idx val="10"/>
          <c:order val="10"/>
          <c:tx>
            <c:strRef>
              <c:f>'Avg Week Kawempe-Bwaise'!$AC$9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Kawempe-Bwaise'!$AC$10:$AC$21</c:f>
              <c:numCache>
                <c:formatCode>0</c:formatCode>
                <c:ptCount val="12"/>
                <c:pt idx="0">
                  <c:v>1048.5714285714284</c:v>
                </c:pt>
                <c:pt idx="1">
                  <c:v>1143</c:v>
                </c:pt>
                <c:pt idx="2">
                  <c:v>1046.5714285714287</c:v>
                </c:pt>
                <c:pt idx="3">
                  <c:v>857.42857142857133</c:v>
                </c:pt>
                <c:pt idx="4">
                  <c:v>763.54761904761915</c:v>
                </c:pt>
                <c:pt idx="5">
                  <c:v>653.85714285714289</c:v>
                </c:pt>
                <c:pt idx="6">
                  <c:v>596.14285714285722</c:v>
                </c:pt>
                <c:pt idx="7">
                  <c:v>515.57142857142856</c:v>
                </c:pt>
                <c:pt idx="8">
                  <c:v>499.71428571428572</c:v>
                </c:pt>
                <c:pt idx="9">
                  <c:v>698.28571428571433</c:v>
                </c:pt>
                <c:pt idx="10">
                  <c:v>779</c:v>
                </c:pt>
                <c:pt idx="11">
                  <c:v>827.14285714285722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B2-4E89-BB96-27269775CB4B}"/>
            </c:ext>
          </c:extLst>
        </c:ser>
        <c:ser>
          <c:idx val="11"/>
          <c:order val="11"/>
          <c:tx>
            <c:strRef>
              <c:f>'Avg Week Kawempe-Bwaise'!$AD$9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'Avg Week Kawempe-Bwaise'!$AD$10:$AD$21</c:f>
              <c:numCache>
                <c:formatCode>0</c:formatCode>
                <c:ptCount val="12"/>
                <c:pt idx="0">
                  <c:v>0.14285714285714285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B2-4E89-BB96-27269775C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16544"/>
        <c:axId val="208718080"/>
      </c:lineChart>
      <c:catAx>
        <c:axId val="20871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718080"/>
        <c:crosses val="autoZero"/>
        <c:auto val="1"/>
        <c:lblAlgn val="ctr"/>
        <c:lblOffset val="100"/>
        <c:noMultiLvlLbl val="0"/>
      </c:catAx>
      <c:valAx>
        <c:axId val="2087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71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27853260766012E-2"/>
          <c:y val="0.24783227096612923"/>
          <c:w val="0.82176356578807974"/>
          <c:h val="0.74181177352830896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Kawempe-Bwaise'!$C$9:$N$9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Kawempe-Bwaise'!$C$108:$N$108</c:f>
              <c:numCache>
                <c:formatCode>0.00%</c:formatCode>
                <c:ptCount val="12"/>
                <c:pt idx="0">
                  <c:v>0.34798644955288838</c:v>
                </c:pt>
                <c:pt idx="1">
                  <c:v>7.1307901184337358E-2</c:v>
                </c:pt>
                <c:pt idx="2">
                  <c:v>4.865601146304141E-2</c:v>
                </c:pt>
                <c:pt idx="3">
                  <c:v>0.3370541044941136</c:v>
                </c:pt>
                <c:pt idx="4">
                  <c:v>1.5310590045905232E-2</c:v>
                </c:pt>
                <c:pt idx="5">
                  <c:v>1.1569180693266345E-2</c:v>
                </c:pt>
                <c:pt idx="6">
                  <c:v>6.4267329447456625E-2</c:v>
                </c:pt>
                <c:pt idx="7">
                  <c:v>5.747441601287822E-2</c:v>
                </c:pt>
                <c:pt idx="8">
                  <c:v>2.8153442008155029E-2</c:v>
                </c:pt>
                <c:pt idx="9">
                  <c:v>1.820288521922182E-2</c:v>
                </c:pt>
                <c:pt idx="11">
                  <c:v>1.768987873588126E-5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Kawempe-Bwaise-2Dir'!$C$9:$N$9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Kawempe-Bwaise-2Dir'!$C$107:$N$107</c:f>
              <c:numCache>
                <c:formatCode>0.0%</c:formatCode>
                <c:ptCount val="12"/>
                <c:pt idx="0">
                  <c:v>0.1437968408592912</c:v>
                </c:pt>
                <c:pt idx="1">
                  <c:v>2.3488653115718745E-2</c:v>
                </c:pt>
                <c:pt idx="2">
                  <c:v>1.9171799523440128E-2</c:v>
                </c:pt>
                <c:pt idx="3">
                  <c:v>0.13180125413744825</c:v>
                </c:pt>
                <c:pt idx="4">
                  <c:v>6.4307767431367032E-3</c:v>
                </c:pt>
                <c:pt idx="5">
                  <c:v>3.9033405548739206E-3</c:v>
                </c:pt>
                <c:pt idx="6">
                  <c:v>2.9622738890313964E-2</c:v>
                </c:pt>
                <c:pt idx="7">
                  <c:v>1.9203322938847665E-2</c:v>
                </c:pt>
                <c:pt idx="8">
                  <c:v>1.0688292141707023E-2</c:v>
                </c:pt>
                <c:pt idx="9">
                  <c:v>8.227611421366075E-3</c:v>
                </c:pt>
                <c:pt idx="10">
                  <c:v>0.6036505351254291</c:v>
                </c:pt>
                <c:pt idx="11">
                  <c:v>1.4834548427074284E-5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8878738480949696E-2"/>
          <c:y val="0.24465772894831372"/>
          <c:w val="0.82224252303810064"/>
          <c:h val="0.7418117089893036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6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Kawempe-Bwaise-2Dir'!$C$9:$N$9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Kawempe-Bwaise-2Dir'!$C$108:$N$108</c:f>
              <c:numCache>
                <c:formatCode>0.00%</c:formatCode>
                <c:ptCount val="12"/>
                <c:pt idx="0">
                  <c:v>0.36280316640467092</c:v>
                </c:pt>
                <c:pt idx="1">
                  <c:v>5.9262482221723166E-2</c:v>
                </c:pt>
                <c:pt idx="2">
                  <c:v>4.8370948424283244E-2</c:v>
                </c:pt>
                <c:pt idx="3">
                  <c:v>0.33253798937046181</c:v>
                </c:pt>
                <c:pt idx="4">
                  <c:v>1.6225016842578037E-2</c:v>
                </c:pt>
                <c:pt idx="5">
                  <c:v>9.8482296579085228E-3</c:v>
                </c:pt>
                <c:pt idx="6">
                  <c:v>7.4738940040422183E-2</c:v>
                </c:pt>
                <c:pt idx="7">
                  <c:v>4.8450482820570399E-2</c:v>
                </c:pt>
                <c:pt idx="8">
                  <c:v>2.6966838835242153E-2</c:v>
                </c:pt>
                <c:pt idx="9">
                  <c:v>2.0758477430945426E-2</c:v>
                </c:pt>
                <c:pt idx="11">
                  <c:v>3.7427951193951633E-5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Kawempe-Bwaise-2Dir'!$AE$9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Kawempe-Bwaise-2Dir'!$R$10:$R$33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Kawempe-Bwaise-2Dir'!$AE$10:$AE$33</c:f>
              <c:numCache>
                <c:formatCode>0</c:formatCode>
                <c:ptCount val="24"/>
                <c:pt idx="0">
                  <c:v>873.71428571428578</c:v>
                </c:pt>
                <c:pt idx="1">
                  <c:v>870.42857142857144</c:v>
                </c:pt>
                <c:pt idx="2">
                  <c:v>922.14285714285711</c:v>
                </c:pt>
                <c:pt idx="3">
                  <c:v>899.57142857142867</c:v>
                </c:pt>
                <c:pt idx="4">
                  <c:v>932.28571428571422</c:v>
                </c:pt>
                <c:pt idx="5">
                  <c:v>895.57142857142844</c:v>
                </c:pt>
                <c:pt idx="6">
                  <c:v>890.42857142857156</c:v>
                </c:pt>
                <c:pt idx="7">
                  <c:v>823.14285714285711</c:v>
                </c:pt>
                <c:pt idx="8">
                  <c:v>881.42857142857133</c:v>
                </c:pt>
                <c:pt idx="9">
                  <c:v>935.42857142857144</c:v>
                </c:pt>
                <c:pt idx="10">
                  <c:v>860.57142857142867</c:v>
                </c:pt>
                <c:pt idx="11">
                  <c:v>835.71428571428567</c:v>
                </c:pt>
                <c:pt idx="12">
                  <c:v>505.5</c:v>
                </c:pt>
                <c:pt idx="13">
                  <c:v>652</c:v>
                </c:pt>
                <c:pt idx="14">
                  <c:v>694.5</c:v>
                </c:pt>
                <c:pt idx="15">
                  <c:v>681</c:v>
                </c:pt>
                <c:pt idx="16">
                  <c:v>587</c:v>
                </c:pt>
                <c:pt idx="17">
                  <c:v>212.5</c:v>
                </c:pt>
                <c:pt idx="18">
                  <c:v>185</c:v>
                </c:pt>
                <c:pt idx="19">
                  <c:v>131</c:v>
                </c:pt>
                <c:pt idx="20">
                  <c:v>128</c:v>
                </c:pt>
                <c:pt idx="21">
                  <c:v>174.5</c:v>
                </c:pt>
                <c:pt idx="22">
                  <c:v>250</c:v>
                </c:pt>
                <c:pt idx="23">
                  <c:v>446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89-4DCF-B882-877A22CF008F}"/>
            </c:ext>
          </c:extLst>
        </c:ser>
        <c:ser>
          <c:idx val="1"/>
          <c:order val="1"/>
          <c:tx>
            <c:strRef>
              <c:f>'Avg Week Kawempe-Bwaise-2Dir'!$AF$9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Kawempe-Bwaise-2Dir'!$R$10:$R$33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Kawempe-Bwaise-2Dir'!$AF$10:$AF$33</c:f>
              <c:numCache>
                <c:formatCode>0</c:formatCode>
                <c:ptCount val="24"/>
                <c:pt idx="0">
                  <c:v>2460.8571428571427</c:v>
                </c:pt>
                <c:pt idx="1">
                  <c:v>2593.2857142857147</c:v>
                </c:pt>
                <c:pt idx="2">
                  <c:v>2612.2857142857142</c:v>
                </c:pt>
                <c:pt idx="3">
                  <c:v>2313.7142857142858</c:v>
                </c:pt>
                <c:pt idx="4">
                  <c:v>2229.8333333333335</c:v>
                </c:pt>
                <c:pt idx="5">
                  <c:v>2000</c:v>
                </c:pt>
                <c:pt idx="6">
                  <c:v>1921.8571428571431</c:v>
                </c:pt>
                <c:pt idx="7">
                  <c:v>1697.8571428571427</c:v>
                </c:pt>
                <c:pt idx="8">
                  <c:v>1770.5714285714287</c:v>
                </c:pt>
                <c:pt idx="9">
                  <c:v>2160.1428571428573</c:v>
                </c:pt>
                <c:pt idx="10">
                  <c:v>2138</c:v>
                </c:pt>
                <c:pt idx="11">
                  <c:v>2289.7142857142858</c:v>
                </c:pt>
                <c:pt idx="12">
                  <c:v>1518</c:v>
                </c:pt>
                <c:pt idx="13">
                  <c:v>2266.5</c:v>
                </c:pt>
                <c:pt idx="14">
                  <c:v>2017</c:v>
                </c:pt>
                <c:pt idx="15">
                  <c:v>1811.5</c:v>
                </c:pt>
                <c:pt idx="16">
                  <c:v>1468</c:v>
                </c:pt>
                <c:pt idx="17">
                  <c:v>495.5</c:v>
                </c:pt>
                <c:pt idx="18">
                  <c:v>456.5</c:v>
                </c:pt>
                <c:pt idx="19">
                  <c:v>329.5</c:v>
                </c:pt>
                <c:pt idx="20">
                  <c:v>278.5</c:v>
                </c:pt>
                <c:pt idx="21">
                  <c:v>369</c:v>
                </c:pt>
                <c:pt idx="22">
                  <c:v>455</c:v>
                </c:pt>
                <c:pt idx="23">
                  <c:v>867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89-4DCF-B882-877A22CF008F}"/>
            </c:ext>
          </c:extLst>
        </c:ser>
        <c:ser>
          <c:idx val="5"/>
          <c:order val="2"/>
          <c:tx>
            <c:strRef>
              <c:f>'Avg Week Kawempe-Bwaise-2Dir'!$AC$9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Kawempe-Bwaise-2Dir'!$R$10:$R$33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Kawempe-Bwaise-2Dir'!$AC$10:$AC$33</c:f>
              <c:numCache>
                <c:formatCode>0</c:formatCode>
                <c:ptCount val="24"/>
                <c:pt idx="0">
                  <c:v>1587.1428571428571</c:v>
                </c:pt>
                <c:pt idx="1">
                  <c:v>1722.8571428571427</c:v>
                </c:pt>
                <c:pt idx="2">
                  <c:v>1690.1428571428571</c:v>
                </c:pt>
                <c:pt idx="3">
                  <c:v>1414.1428571428571</c:v>
                </c:pt>
                <c:pt idx="4">
                  <c:v>1297.547619047619</c:v>
                </c:pt>
                <c:pt idx="5">
                  <c:v>1104.4285714285713</c:v>
                </c:pt>
                <c:pt idx="6">
                  <c:v>1031.4285714285713</c:v>
                </c:pt>
                <c:pt idx="7">
                  <c:v>874.71428571428567</c:v>
                </c:pt>
                <c:pt idx="8">
                  <c:v>889.14285714285711</c:v>
                </c:pt>
                <c:pt idx="9">
                  <c:v>1224.7142857142858</c:v>
                </c:pt>
                <c:pt idx="10">
                  <c:v>1277.4285714285716</c:v>
                </c:pt>
                <c:pt idx="11">
                  <c:v>1454</c:v>
                </c:pt>
                <c:pt idx="12">
                  <c:v>1012.5</c:v>
                </c:pt>
                <c:pt idx="13">
                  <c:v>1614.5</c:v>
                </c:pt>
                <c:pt idx="14">
                  <c:v>1322.5</c:v>
                </c:pt>
                <c:pt idx="15">
                  <c:v>1130.5</c:v>
                </c:pt>
                <c:pt idx="16">
                  <c:v>881</c:v>
                </c:pt>
                <c:pt idx="17">
                  <c:v>283</c:v>
                </c:pt>
                <c:pt idx="18">
                  <c:v>271.5</c:v>
                </c:pt>
                <c:pt idx="19">
                  <c:v>198.5</c:v>
                </c:pt>
                <c:pt idx="20">
                  <c:v>150.5</c:v>
                </c:pt>
                <c:pt idx="21">
                  <c:v>194.5</c:v>
                </c:pt>
                <c:pt idx="22">
                  <c:v>205</c:v>
                </c:pt>
                <c:pt idx="23">
                  <c:v>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DC-4269-83A4-9C67FBDC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048384"/>
        <c:axId val="220070656"/>
      </c:lineChart>
      <c:catAx>
        <c:axId val="2200483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070656"/>
        <c:crosses val="autoZero"/>
        <c:auto val="1"/>
        <c:lblAlgn val="ctr"/>
        <c:lblOffset val="100"/>
        <c:noMultiLvlLbl val="0"/>
      </c:catAx>
      <c:valAx>
        <c:axId val="2200706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04838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Kawempe-Bwaise-2Dir'!$S$9:$AF$9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Kawempe-Bwaise-2Dir'!$S$41:$AF$41</c:f>
              <c:numCache>
                <c:formatCode>_(* #,##0_);_(* \(#,##0\);_(* "-"_);_(@_)</c:formatCode>
                <c:ptCount val="14"/>
                <c:pt idx="0">
                  <c:v>5539.0714285714284</c:v>
                </c:pt>
                <c:pt idx="1">
                  <c:v>904.78571428571422</c:v>
                </c:pt>
                <c:pt idx="2">
                  <c:v>738.5</c:v>
                </c:pt>
                <c:pt idx="3">
                  <c:v>5077</c:v>
                </c:pt>
                <c:pt idx="4">
                  <c:v>247.71428571428569</c:v>
                </c:pt>
                <c:pt idx="5">
                  <c:v>150.35714285714286</c:v>
                </c:pt>
                <c:pt idx="6">
                  <c:v>1141.0714285714287</c:v>
                </c:pt>
                <c:pt idx="7">
                  <c:v>739.71428571428578</c:v>
                </c:pt>
                <c:pt idx="8">
                  <c:v>411.71428571428572</c:v>
                </c:pt>
                <c:pt idx="9">
                  <c:v>316.92857142857144</c:v>
                </c:pt>
                <c:pt idx="10">
                  <c:v>23252.690476190477</c:v>
                </c:pt>
                <c:pt idx="11">
                  <c:v>0.5714285714285714</c:v>
                </c:pt>
                <c:pt idx="12">
                  <c:v>15267.428571428572</c:v>
                </c:pt>
                <c:pt idx="13">
                  <c:v>38520.119047619053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0081536"/>
        <c:axId val="220109056"/>
      </c:barChart>
      <c:catAx>
        <c:axId val="22008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109056"/>
        <c:crosses val="autoZero"/>
        <c:auto val="1"/>
        <c:lblAlgn val="ctr"/>
        <c:lblOffset val="100"/>
        <c:noMultiLvlLbl val="0"/>
      </c:catAx>
      <c:valAx>
        <c:axId val="22010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08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Kawempe-Bwaise-2Dir'!$S$9:$AF$9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Kawempe-Bwaise-2Dir'!$S$42:$AF$42</c:f>
              <c:numCache>
                <c:formatCode>0.000</c:formatCode>
                <c:ptCount val="14"/>
                <c:pt idx="0">
                  <c:v>1.5653411384739604</c:v>
                </c:pt>
                <c:pt idx="1">
                  <c:v>1.1348324672997672</c:v>
                </c:pt>
                <c:pt idx="2">
                  <c:v>1.291083916083916</c:v>
                </c:pt>
                <c:pt idx="3">
                  <c:v>1.3392244790292798</c:v>
                </c:pt>
                <c:pt idx="4">
                  <c:v>1.4510460251046025</c:v>
                </c:pt>
                <c:pt idx="5">
                  <c:v>2.2830802603036875</c:v>
                </c:pt>
                <c:pt idx="6">
                  <c:v>1.3688946015424164</c:v>
                </c:pt>
                <c:pt idx="7">
                  <c:v>1.6899477806788512</c:v>
                </c:pt>
                <c:pt idx="8">
                  <c:v>2.0615164520743918</c:v>
                </c:pt>
                <c:pt idx="9">
                  <c:v>1.4849397590361446</c:v>
                </c:pt>
                <c:pt idx="10">
                  <c:v>1.4936506164323851</c:v>
                </c:pt>
                <c:pt idx="11">
                  <c:v>1</c:v>
                </c:pt>
                <c:pt idx="12">
                  <c:v>1.4375529639643274</c:v>
                </c:pt>
                <c:pt idx="13">
                  <c:v>1.4709005628688401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4-4A20-879A-D9A0A0F90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20599808"/>
        <c:axId val="220606848"/>
      </c:barChart>
      <c:catAx>
        <c:axId val="2205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606848"/>
        <c:crosses val="autoZero"/>
        <c:auto val="1"/>
        <c:lblAlgn val="ctr"/>
        <c:lblOffset val="100"/>
        <c:noMultiLvlLbl val="0"/>
      </c:catAx>
      <c:valAx>
        <c:axId val="22060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59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7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7.xml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8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7.jpeg"/><Relationship Id="rId17" Type="http://schemas.openxmlformats.org/officeDocument/2006/relationships/chart" Target="../charts/chart62.xml"/><Relationship Id="rId2" Type="http://schemas.openxmlformats.org/officeDocument/2006/relationships/image" Target="../media/image2.emf"/><Relationship Id="rId16" Type="http://schemas.openxmlformats.org/officeDocument/2006/relationships/chart" Target="../charts/chart61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60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156197</xdr:colOff>
      <xdr:row>42</xdr:row>
      <xdr:rowOff>286326</xdr:rowOff>
    </xdr:from>
    <xdr:to>
      <xdr:col>28</xdr:col>
      <xdr:colOff>-1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289</xdr:colOff>
      <xdr:row>58</xdr:row>
      <xdr:rowOff>283440</xdr:rowOff>
    </xdr:from>
    <xdr:to>
      <xdr:col>31</xdr:col>
      <xdr:colOff>562841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148647</xdr:colOff>
      <xdr:row>59</xdr:row>
      <xdr:rowOff>2886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0</xdr:colOff>
      <xdr:row>58</xdr:row>
      <xdr:rowOff>279400</xdr:rowOff>
    </xdr:from>
    <xdr:to>
      <xdr:col>31</xdr:col>
      <xdr:colOff>492125</xdr:colOff>
      <xdr:row>74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129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B52FC5F-8151-4468-9056-5691CAE9E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6350</xdr:colOff>
      <xdr:row>59</xdr:row>
      <xdr:rowOff>0</xdr:rowOff>
    </xdr:from>
    <xdr:to>
      <xdr:col>24</xdr:col>
      <xdr:colOff>1</xdr:colOff>
      <xdr:row>74</xdr:row>
      <xdr:rowOff>285749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73</xdr:row>
      <xdr:rowOff>279400</xdr:rowOff>
    </xdr:from>
    <xdr:to>
      <xdr:col>25</xdr:col>
      <xdr:colOff>0</xdr:colOff>
      <xdr:row>91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6348</xdr:colOff>
      <xdr:row>60</xdr:row>
      <xdr:rowOff>1</xdr:rowOff>
    </xdr:from>
    <xdr:to>
      <xdr:col>25</xdr:col>
      <xdr:colOff>0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59</xdr:row>
      <xdr:rowOff>269875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60</xdr:row>
      <xdr:rowOff>1</xdr:rowOff>
    </xdr:from>
    <xdr:to>
      <xdr:col>31</xdr:col>
      <xdr:colOff>698500</xdr:colOff>
      <xdr:row>74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74</xdr:row>
      <xdr:rowOff>0</xdr:rowOff>
    </xdr:from>
    <xdr:to>
      <xdr:col>31</xdr:col>
      <xdr:colOff>698500</xdr:colOff>
      <xdr:row>90</xdr:row>
      <xdr:rowOff>285749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170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54" t="s">
        <v>176</v>
      </c>
      <c r="H5" s="55"/>
      <c r="I5" s="14"/>
      <c r="J5" s="2" t="s">
        <v>5</v>
      </c>
      <c r="K5" s="54" t="s">
        <v>173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171</v>
      </c>
      <c r="E6" s="55"/>
      <c r="F6" s="2" t="s">
        <v>2</v>
      </c>
      <c r="G6" s="54" t="s">
        <v>172</v>
      </c>
      <c r="H6" s="55"/>
      <c r="J6" s="2" t="s">
        <v>21</v>
      </c>
      <c r="K6" s="54" t="s">
        <v>174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28</v>
      </c>
      <c r="D10" s="50">
        <v>2</v>
      </c>
      <c r="E10" s="50">
        <v>5</v>
      </c>
      <c r="F10" s="50">
        <v>39</v>
      </c>
      <c r="G10" s="50">
        <v>2</v>
      </c>
      <c r="H10" s="50">
        <v>1</v>
      </c>
      <c r="I10" s="50">
        <v>4</v>
      </c>
      <c r="J10" s="50">
        <v>4</v>
      </c>
      <c r="K10" s="50">
        <v>0</v>
      </c>
      <c r="L10" s="50">
        <v>1</v>
      </c>
      <c r="M10" s="50">
        <v>149</v>
      </c>
      <c r="N10" s="50">
        <v>0</v>
      </c>
      <c r="O10" s="15">
        <f t="shared" ref="O10:O57" si="0">SUM(C10:L10,N10)</f>
        <v>86</v>
      </c>
      <c r="P10" s="15">
        <f t="shared" ref="P10:P57" si="1">SUM(C10:N10)</f>
        <v>235</v>
      </c>
      <c r="R10" s="1" t="s">
        <v>6</v>
      </c>
      <c r="S10" s="17">
        <f t="shared" ref="S10:AF10" si="2">SUM(C10:C13)</f>
        <v>114</v>
      </c>
      <c r="T10" s="17">
        <f t="shared" si="2"/>
        <v>14</v>
      </c>
      <c r="U10" s="17">
        <f t="shared" si="2"/>
        <v>22</v>
      </c>
      <c r="V10" s="17">
        <f t="shared" si="2"/>
        <v>181</v>
      </c>
      <c r="W10" s="17">
        <f t="shared" si="2"/>
        <v>7</v>
      </c>
      <c r="X10" s="17">
        <f t="shared" si="2"/>
        <v>3</v>
      </c>
      <c r="Y10" s="17">
        <f t="shared" si="2"/>
        <v>16</v>
      </c>
      <c r="Z10" s="17">
        <f t="shared" si="2"/>
        <v>6</v>
      </c>
      <c r="AA10" s="17">
        <f t="shared" si="2"/>
        <v>2</v>
      </c>
      <c r="AB10" s="17">
        <f t="shared" si="2"/>
        <v>1</v>
      </c>
      <c r="AC10" s="17">
        <f t="shared" si="2"/>
        <v>611</v>
      </c>
      <c r="AD10" s="17">
        <f t="shared" si="2"/>
        <v>0</v>
      </c>
      <c r="AE10" s="31">
        <f t="shared" si="2"/>
        <v>366</v>
      </c>
      <c r="AF10" s="31">
        <f t="shared" si="2"/>
        <v>977</v>
      </c>
    </row>
    <row r="11" spans="2:32" s="6" customFormat="1" ht="23.1" customHeight="1" x14ac:dyDescent="0.25">
      <c r="B11" s="23" t="s">
        <v>38</v>
      </c>
      <c r="C11" s="50">
        <v>22</v>
      </c>
      <c r="D11" s="50">
        <v>3</v>
      </c>
      <c r="E11" s="50">
        <v>4</v>
      </c>
      <c r="F11" s="50">
        <v>44</v>
      </c>
      <c r="G11" s="50">
        <v>2</v>
      </c>
      <c r="H11" s="50">
        <v>2</v>
      </c>
      <c r="I11" s="50">
        <v>3</v>
      </c>
      <c r="J11" s="50">
        <v>2</v>
      </c>
      <c r="K11" s="50">
        <v>0</v>
      </c>
      <c r="L11" s="50">
        <v>0</v>
      </c>
      <c r="M11" s="50">
        <v>173</v>
      </c>
      <c r="N11" s="50">
        <v>0</v>
      </c>
      <c r="O11" s="15">
        <f t="shared" si="0"/>
        <v>82</v>
      </c>
      <c r="P11" s="15">
        <f t="shared" si="1"/>
        <v>255</v>
      </c>
      <c r="R11" s="1" t="s">
        <v>7</v>
      </c>
      <c r="S11" s="17">
        <f t="shared" ref="S11:AF11" si="3">SUM(C14:C17)</f>
        <v>102</v>
      </c>
      <c r="T11" s="17">
        <f t="shared" si="3"/>
        <v>22</v>
      </c>
      <c r="U11" s="17">
        <f t="shared" si="3"/>
        <v>18</v>
      </c>
      <c r="V11" s="17">
        <f t="shared" si="3"/>
        <v>218</v>
      </c>
      <c r="W11" s="17">
        <f t="shared" si="3"/>
        <v>5</v>
      </c>
      <c r="X11" s="17">
        <f t="shared" si="3"/>
        <v>3</v>
      </c>
      <c r="Y11" s="17">
        <f t="shared" si="3"/>
        <v>22</v>
      </c>
      <c r="Z11" s="17">
        <f t="shared" si="3"/>
        <v>5</v>
      </c>
      <c r="AA11" s="17">
        <f t="shared" si="3"/>
        <v>5</v>
      </c>
      <c r="AB11" s="17">
        <f t="shared" si="3"/>
        <v>7</v>
      </c>
      <c r="AC11" s="17">
        <f t="shared" si="3"/>
        <v>699</v>
      </c>
      <c r="AD11" s="17">
        <f t="shared" si="3"/>
        <v>0</v>
      </c>
      <c r="AE11" s="31">
        <f t="shared" si="3"/>
        <v>407</v>
      </c>
      <c r="AF11" s="31">
        <f t="shared" si="3"/>
        <v>1106</v>
      </c>
    </row>
    <row r="12" spans="2:32" ht="23.1" customHeight="1" x14ac:dyDescent="0.25">
      <c r="B12" s="23" t="s">
        <v>39</v>
      </c>
      <c r="C12" s="50">
        <v>30</v>
      </c>
      <c r="D12" s="50">
        <v>3</v>
      </c>
      <c r="E12" s="50">
        <v>3</v>
      </c>
      <c r="F12" s="50">
        <v>49</v>
      </c>
      <c r="G12" s="50">
        <v>0</v>
      </c>
      <c r="H12" s="50">
        <v>0</v>
      </c>
      <c r="I12" s="50">
        <v>6</v>
      </c>
      <c r="J12" s="50">
        <v>0</v>
      </c>
      <c r="K12" s="50">
        <v>1</v>
      </c>
      <c r="L12" s="50">
        <v>0</v>
      </c>
      <c r="M12" s="50">
        <v>156</v>
      </c>
      <c r="N12" s="50">
        <v>0</v>
      </c>
      <c r="O12" s="15">
        <f t="shared" si="0"/>
        <v>92</v>
      </c>
      <c r="P12" s="15">
        <f t="shared" si="1"/>
        <v>248</v>
      </c>
      <c r="R12" s="1" t="s">
        <v>8</v>
      </c>
      <c r="S12" s="17">
        <f t="shared" ref="S12:AF12" si="4">SUM(C18:C21)</f>
        <v>141</v>
      </c>
      <c r="T12" s="17">
        <f t="shared" si="4"/>
        <v>33</v>
      </c>
      <c r="U12" s="17">
        <f t="shared" si="4"/>
        <v>26</v>
      </c>
      <c r="V12" s="17">
        <f t="shared" si="4"/>
        <v>233</v>
      </c>
      <c r="W12" s="17">
        <f t="shared" si="4"/>
        <v>5</v>
      </c>
      <c r="X12" s="17">
        <f t="shared" si="4"/>
        <v>1</v>
      </c>
      <c r="Y12" s="17">
        <f t="shared" si="4"/>
        <v>40</v>
      </c>
      <c r="Z12" s="17">
        <f t="shared" si="4"/>
        <v>10</v>
      </c>
      <c r="AA12" s="17">
        <f t="shared" si="4"/>
        <v>8</v>
      </c>
      <c r="AB12" s="17">
        <f t="shared" si="4"/>
        <v>5</v>
      </c>
      <c r="AC12" s="17">
        <f t="shared" si="4"/>
        <v>652</v>
      </c>
      <c r="AD12" s="17">
        <f t="shared" si="4"/>
        <v>0</v>
      </c>
      <c r="AE12" s="31">
        <f t="shared" si="4"/>
        <v>502</v>
      </c>
      <c r="AF12" s="31">
        <f t="shared" si="4"/>
        <v>1154</v>
      </c>
    </row>
    <row r="13" spans="2:32" ht="23.1" customHeight="1" x14ac:dyDescent="0.25">
      <c r="B13" s="23" t="s">
        <v>40</v>
      </c>
      <c r="C13" s="50">
        <v>34</v>
      </c>
      <c r="D13" s="50">
        <v>6</v>
      </c>
      <c r="E13" s="50">
        <v>10</v>
      </c>
      <c r="F13" s="50">
        <v>49</v>
      </c>
      <c r="G13" s="50">
        <v>3</v>
      </c>
      <c r="H13" s="50">
        <v>0</v>
      </c>
      <c r="I13" s="50">
        <v>3</v>
      </c>
      <c r="J13" s="50">
        <v>0</v>
      </c>
      <c r="K13" s="50">
        <v>1</v>
      </c>
      <c r="L13" s="50">
        <v>0</v>
      </c>
      <c r="M13" s="50">
        <v>133</v>
      </c>
      <c r="N13" s="50">
        <v>0</v>
      </c>
      <c r="O13" s="15">
        <f t="shared" si="0"/>
        <v>106</v>
      </c>
      <c r="P13" s="15">
        <f t="shared" si="1"/>
        <v>239</v>
      </c>
      <c r="R13" s="1" t="s">
        <v>9</v>
      </c>
      <c r="S13" s="17">
        <f t="shared" ref="S13:AF13" si="5">SUM(C22:C25)</f>
        <v>127</v>
      </c>
      <c r="T13" s="17">
        <f t="shared" si="5"/>
        <v>27</v>
      </c>
      <c r="U13" s="17">
        <f t="shared" si="5"/>
        <v>34</v>
      </c>
      <c r="V13" s="17">
        <f t="shared" si="5"/>
        <v>202</v>
      </c>
      <c r="W13" s="17">
        <f t="shared" si="5"/>
        <v>6</v>
      </c>
      <c r="X13" s="17">
        <f t="shared" si="5"/>
        <v>0</v>
      </c>
      <c r="Y13" s="17">
        <f t="shared" si="5"/>
        <v>65</v>
      </c>
      <c r="Z13" s="17">
        <f t="shared" si="5"/>
        <v>10</v>
      </c>
      <c r="AA13" s="17">
        <f t="shared" si="5"/>
        <v>7</v>
      </c>
      <c r="AB13" s="17">
        <f t="shared" si="5"/>
        <v>11</v>
      </c>
      <c r="AC13" s="17">
        <f t="shared" si="5"/>
        <v>453</v>
      </c>
      <c r="AD13" s="17">
        <f t="shared" si="5"/>
        <v>0</v>
      </c>
      <c r="AE13" s="31">
        <f t="shared" si="5"/>
        <v>489</v>
      </c>
      <c r="AF13" s="31">
        <f t="shared" si="5"/>
        <v>942</v>
      </c>
    </row>
    <row r="14" spans="2:32" ht="23.1" customHeight="1" x14ac:dyDescent="0.25">
      <c r="B14" s="23" t="s">
        <v>41</v>
      </c>
      <c r="C14" s="50">
        <v>24</v>
      </c>
      <c r="D14" s="50">
        <v>3</v>
      </c>
      <c r="E14" s="50">
        <v>4</v>
      </c>
      <c r="F14" s="50">
        <v>30</v>
      </c>
      <c r="G14" s="50">
        <v>2</v>
      </c>
      <c r="H14" s="50">
        <v>0</v>
      </c>
      <c r="I14" s="50">
        <v>5</v>
      </c>
      <c r="J14" s="50">
        <v>2</v>
      </c>
      <c r="K14" s="50">
        <v>0</v>
      </c>
      <c r="L14" s="50">
        <v>3</v>
      </c>
      <c r="M14" s="50">
        <v>123</v>
      </c>
      <c r="N14" s="50">
        <v>0</v>
      </c>
      <c r="O14" s="15">
        <f t="shared" si="0"/>
        <v>73</v>
      </c>
      <c r="P14" s="15">
        <f t="shared" si="1"/>
        <v>196</v>
      </c>
      <c r="R14" s="1" t="s">
        <v>10</v>
      </c>
      <c r="S14" s="17">
        <f t="shared" ref="S14:AF14" si="6">SUM(C26:C29)</f>
        <v>149</v>
      </c>
      <c r="T14" s="17">
        <f t="shared" si="6"/>
        <v>16</v>
      </c>
      <c r="U14" s="17">
        <f t="shared" si="6"/>
        <v>39</v>
      </c>
      <c r="V14" s="17">
        <f t="shared" si="6"/>
        <v>187</v>
      </c>
      <c r="W14" s="17">
        <f t="shared" si="6"/>
        <v>4</v>
      </c>
      <c r="X14" s="17">
        <f t="shared" si="6"/>
        <v>3</v>
      </c>
      <c r="Y14" s="17">
        <f t="shared" si="6"/>
        <v>55</v>
      </c>
      <c r="Z14" s="17">
        <f t="shared" si="6"/>
        <v>3</v>
      </c>
      <c r="AA14" s="17">
        <f t="shared" si="6"/>
        <v>3</v>
      </c>
      <c r="AB14" s="17">
        <f t="shared" si="6"/>
        <v>12</v>
      </c>
      <c r="AC14" s="17">
        <f t="shared" si="6"/>
        <v>513</v>
      </c>
      <c r="AD14" s="17">
        <f t="shared" si="6"/>
        <v>0</v>
      </c>
      <c r="AE14" s="31">
        <f t="shared" si="6"/>
        <v>471</v>
      </c>
      <c r="AF14" s="31">
        <f t="shared" si="6"/>
        <v>984</v>
      </c>
    </row>
    <row r="15" spans="2:32" ht="23.1" customHeight="1" x14ac:dyDescent="0.25">
      <c r="B15" s="23" t="s">
        <v>42</v>
      </c>
      <c r="C15" s="50">
        <v>34</v>
      </c>
      <c r="D15" s="50">
        <v>9</v>
      </c>
      <c r="E15" s="50">
        <v>3</v>
      </c>
      <c r="F15" s="50">
        <v>51</v>
      </c>
      <c r="G15" s="50">
        <v>1</v>
      </c>
      <c r="H15" s="50">
        <v>1</v>
      </c>
      <c r="I15" s="50">
        <v>3</v>
      </c>
      <c r="J15" s="50">
        <v>0</v>
      </c>
      <c r="K15" s="50">
        <v>1</v>
      </c>
      <c r="L15" s="50">
        <v>1</v>
      </c>
      <c r="M15" s="50">
        <v>162</v>
      </c>
      <c r="N15" s="50">
        <v>0</v>
      </c>
      <c r="O15" s="15">
        <f t="shared" si="0"/>
        <v>104</v>
      </c>
      <c r="P15" s="15">
        <f t="shared" si="1"/>
        <v>266</v>
      </c>
      <c r="R15" s="1" t="s">
        <v>11</v>
      </c>
      <c r="S15" s="17">
        <f t="shared" ref="S15:AF15" si="7">SUM(C30:C33)</f>
        <v>144</v>
      </c>
      <c r="T15" s="17">
        <f t="shared" si="7"/>
        <v>30</v>
      </c>
      <c r="U15" s="17">
        <f t="shared" si="7"/>
        <v>25</v>
      </c>
      <c r="V15" s="17">
        <f t="shared" si="7"/>
        <v>193</v>
      </c>
      <c r="W15" s="17">
        <f t="shared" si="7"/>
        <v>10</v>
      </c>
      <c r="X15" s="17">
        <f t="shared" si="7"/>
        <v>4</v>
      </c>
      <c r="Y15" s="17">
        <f t="shared" si="7"/>
        <v>51</v>
      </c>
      <c r="Z15" s="17">
        <f t="shared" si="7"/>
        <v>19</v>
      </c>
      <c r="AA15" s="17">
        <f t="shared" si="7"/>
        <v>2</v>
      </c>
      <c r="AB15" s="17">
        <f t="shared" si="7"/>
        <v>9</v>
      </c>
      <c r="AC15" s="17">
        <f t="shared" si="7"/>
        <v>348</v>
      </c>
      <c r="AD15" s="17">
        <f t="shared" si="7"/>
        <v>0</v>
      </c>
      <c r="AE15" s="31">
        <f t="shared" si="7"/>
        <v>487</v>
      </c>
      <c r="AF15" s="31">
        <f t="shared" si="7"/>
        <v>835</v>
      </c>
    </row>
    <row r="16" spans="2:32" ht="23.1" customHeight="1" x14ac:dyDescent="0.25">
      <c r="B16" s="23" t="s">
        <v>43</v>
      </c>
      <c r="C16" s="50">
        <v>22</v>
      </c>
      <c r="D16" s="50">
        <v>7</v>
      </c>
      <c r="E16" s="50">
        <v>4</v>
      </c>
      <c r="F16" s="50">
        <v>58</v>
      </c>
      <c r="G16" s="50">
        <v>1</v>
      </c>
      <c r="H16" s="50">
        <v>0</v>
      </c>
      <c r="I16" s="50">
        <v>6</v>
      </c>
      <c r="J16" s="50">
        <v>1</v>
      </c>
      <c r="K16" s="50">
        <v>3</v>
      </c>
      <c r="L16" s="50">
        <v>1</v>
      </c>
      <c r="M16" s="50">
        <v>205</v>
      </c>
      <c r="N16" s="50">
        <v>0</v>
      </c>
      <c r="O16" s="15">
        <f t="shared" si="0"/>
        <v>103</v>
      </c>
      <c r="P16" s="15">
        <f t="shared" si="1"/>
        <v>308</v>
      </c>
      <c r="R16" s="1" t="s">
        <v>12</v>
      </c>
      <c r="S16" s="17">
        <f t="shared" ref="S16:AF16" si="8">SUM(C34:C37)</f>
        <v>163</v>
      </c>
      <c r="T16" s="17">
        <f t="shared" si="8"/>
        <v>36</v>
      </c>
      <c r="U16" s="17">
        <f t="shared" si="8"/>
        <v>38</v>
      </c>
      <c r="V16" s="17">
        <f t="shared" si="8"/>
        <v>188</v>
      </c>
      <c r="W16" s="17">
        <f t="shared" si="8"/>
        <v>4</v>
      </c>
      <c r="X16" s="17">
        <f t="shared" si="8"/>
        <v>2</v>
      </c>
      <c r="Y16" s="17">
        <f t="shared" si="8"/>
        <v>60</v>
      </c>
      <c r="Z16" s="17">
        <f t="shared" si="8"/>
        <v>23</v>
      </c>
      <c r="AA16" s="17">
        <f t="shared" si="8"/>
        <v>3</v>
      </c>
      <c r="AB16" s="17">
        <f t="shared" si="8"/>
        <v>12</v>
      </c>
      <c r="AC16" s="17">
        <f t="shared" si="8"/>
        <v>315</v>
      </c>
      <c r="AD16" s="17">
        <f t="shared" si="8"/>
        <v>0</v>
      </c>
      <c r="AE16" s="31">
        <f t="shared" si="8"/>
        <v>529</v>
      </c>
      <c r="AF16" s="31">
        <f t="shared" si="8"/>
        <v>844</v>
      </c>
    </row>
    <row r="17" spans="2:32" ht="23.1" customHeight="1" x14ac:dyDescent="0.25">
      <c r="B17" s="23" t="s">
        <v>44</v>
      </c>
      <c r="C17" s="50">
        <v>22</v>
      </c>
      <c r="D17" s="50">
        <v>3</v>
      </c>
      <c r="E17" s="50">
        <v>7</v>
      </c>
      <c r="F17" s="50">
        <v>79</v>
      </c>
      <c r="G17" s="50">
        <v>1</v>
      </c>
      <c r="H17" s="50">
        <v>2</v>
      </c>
      <c r="I17" s="50">
        <v>8</v>
      </c>
      <c r="J17" s="50">
        <v>2</v>
      </c>
      <c r="K17" s="50">
        <v>1</v>
      </c>
      <c r="L17" s="50">
        <v>2</v>
      </c>
      <c r="M17" s="50">
        <v>209</v>
      </c>
      <c r="N17" s="50">
        <v>0</v>
      </c>
      <c r="O17" s="15">
        <f t="shared" si="0"/>
        <v>127</v>
      </c>
      <c r="P17" s="15">
        <f t="shared" si="1"/>
        <v>336</v>
      </c>
      <c r="R17" s="1" t="s">
        <v>13</v>
      </c>
      <c r="S17" s="17">
        <f t="shared" ref="S17:AF17" si="9">SUM(C38:C41)</f>
        <v>138</v>
      </c>
      <c r="T17" s="17">
        <f t="shared" si="9"/>
        <v>31</v>
      </c>
      <c r="U17" s="17">
        <f t="shared" si="9"/>
        <v>28</v>
      </c>
      <c r="V17" s="17">
        <f t="shared" si="9"/>
        <v>153</v>
      </c>
      <c r="W17" s="17">
        <f t="shared" si="9"/>
        <v>6</v>
      </c>
      <c r="X17" s="17">
        <f t="shared" si="9"/>
        <v>4</v>
      </c>
      <c r="Y17" s="17">
        <f t="shared" si="9"/>
        <v>48</v>
      </c>
      <c r="Z17" s="17">
        <f t="shared" si="9"/>
        <v>6</v>
      </c>
      <c r="AA17" s="17">
        <f t="shared" si="9"/>
        <v>4</v>
      </c>
      <c r="AB17" s="17">
        <f t="shared" si="9"/>
        <v>8</v>
      </c>
      <c r="AC17" s="17">
        <f t="shared" si="9"/>
        <v>310</v>
      </c>
      <c r="AD17" s="17">
        <f t="shared" si="9"/>
        <v>0</v>
      </c>
      <c r="AE17" s="31">
        <f t="shared" si="9"/>
        <v>426</v>
      </c>
      <c r="AF17" s="31">
        <f t="shared" si="9"/>
        <v>736</v>
      </c>
    </row>
    <row r="18" spans="2:32" ht="23.1" customHeight="1" x14ac:dyDescent="0.25">
      <c r="B18" s="23" t="s">
        <v>45</v>
      </c>
      <c r="C18" s="50">
        <v>27</v>
      </c>
      <c r="D18" s="50">
        <v>10</v>
      </c>
      <c r="E18" s="50">
        <v>8</v>
      </c>
      <c r="F18" s="50">
        <v>58</v>
      </c>
      <c r="G18" s="50">
        <v>0</v>
      </c>
      <c r="H18" s="50">
        <v>1</v>
      </c>
      <c r="I18" s="50">
        <v>10</v>
      </c>
      <c r="J18" s="50">
        <v>5</v>
      </c>
      <c r="K18" s="50">
        <v>4</v>
      </c>
      <c r="L18" s="50">
        <v>0</v>
      </c>
      <c r="M18" s="50">
        <v>171</v>
      </c>
      <c r="N18" s="50">
        <v>0</v>
      </c>
      <c r="O18" s="15">
        <f t="shared" si="0"/>
        <v>123</v>
      </c>
      <c r="P18" s="15">
        <f t="shared" si="1"/>
        <v>294</v>
      </c>
      <c r="R18" s="1" t="s">
        <v>14</v>
      </c>
      <c r="S18" s="17">
        <f t="shared" ref="S18:AF18" si="10">SUM(C42:C45)</f>
        <v>164</v>
      </c>
      <c r="T18" s="17">
        <f t="shared" si="10"/>
        <v>29</v>
      </c>
      <c r="U18" s="17">
        <f t="shared" si="10"/>
        <v>35</v>
      </c>
      <c r="V18" s="17">
        <f t="shared" si="10"/>
        <v>117</v>
      </c>
      <c r="W18" s="17">
        <f t="shared" si="10"/>
        <v>7</v>
      </c>
      <c r="X18" s="17">
        <f t="shared" si="10"/>
        <v>2</v>
      </c>
      <c r="Y18" s="17">
        <f t="shared" si="10"/>
        <v>52</v>
      </c>
      <c r="Z18" s="17">
        <f t="shared" si="10"/>
        <v>23</v>
      </c>
      <c r="AA18" s="17">
        <f t="shared" si="10"/>
        <v>3</v>
      </c>
      <c r="AB18" s="17">
        <f t="shared" si="10"/>
        <v>14</v>
      </c>
      <c r="AC18" s="17">
        <f t="shared" si="10"/>
        <v>115</v>
      </c>
      <c r="AD18" s="17">
        <f t="shared" si="10"/>
        <v>0</v>
      </c>
      <c r="AE18" s="31">
        <f t="shared" si="10"/>
        <v>446</v>
      </c>
      <c r="AF18" s="31">
        <f t="shared" si="10"/>
        <v>561</v>
      </c>
    </row>
    <row r="19" spans="2:32" ht="23.1" customHeight="1" x14ac:dyDescent="0.25">
      <c r="B19" s="23" t="s">
        <v>46</v>
      </c>
      <c r="C19" s="50">
        <v>30</v>
      </c>
      <c r="D19" s="50">
        <v>9</v>
      </c>
      <c r="E19" s="50">
        <v>6</v>
      </c>
      <c r="F19" s="50">
        <v>52</v>
      </c>
      <c r="G19" s="50">
        <v>2</v>
      </c>
      <c r="H19" s="50">
        <v>0</v>
      </c>
      <c r="I19" s="50">
        <v>5</v>
      </c>
      <c r="J19" s="50">
        <v>3</v>
      </c>
      <c r="K19" s="50">
        <v>2</v>
      </c>
      <c r="L19" s="50">
        <v>0</v>
      </c>
      <c r="M19" s="50">
        <v>180</v>
      </c>
      <c r="N19" s="50">
        <v>0</v>
      </c>
      <c r="O19" s="15">
        <f t="shared" si="0"/>
        <v>109</v>
      </c>
      <c r="P19" s="15">
        <f t="shared" si="1"/>
        <v>289</v>
      </c>
      <c r="R19" s="1" t="s">
        <v>15</v>
      </c>
      <c r="S19" s="17">
        <f t="shared" ref="S19:AF19" si="11">SUM(C46:C49)</f>
        <v>171</v>
      </c>
      <c r="T19" s="17">
        <f t="shared" si="11"/>
        <v>34</v>
      </c>
      <c r="U19" s="17">
        <f t="shared" si="11"/>
        <v>23</v>
      </c>
      <c r="V19" s="17">
        <f t="shared" si="11"/>
        <v>187</v>
      </c>
      <c r="W19" s="17">
        <f t="shared" si="11"/>
        <v>7</v>
      </c>
      <c r="X19" s="17">
        <f t="shared" si="11"/>
        <v>1</v>
      </c>
      <c r="Y19" s="17">
        <f t="shared" si="11"/>
        <v>56</v>
      </c>
      <c r="Z19" s="17">
        <f t="shared" si="11"/>
        <v>11</v>
      </c>
      <c r="AA19" s="17">
        <f t="shared" si="11"/>
        <v>9</v>
      </c>
      <c r="AB19" s="17">
        <f t="shared" si="11"/>
        <v>17</v>
      </c>
      <c r="AC19" s="17">
        <f t="shared" si="11"/>
        <v>383</v>
      </c>
      <c r="AD19" s="17">
        <f t="shared" si="11"/>
        <v>0</v>
      </c>
      <c r="AE19" s="31">
        <f t="shared" si="11"/>
        <v>516</v>
      </c>
      <c r="AF19" s="31">
        <f t="shared" si="11"/>
        <v>899</v>
      </c>
    </row>
    <row r="20" spans="2:32" ht="23.1" customHeight="1" x14ac:dyDescent="0.25">
      <c r="B20" s="23" t="s">
        <v>47</v>
      </c>
      <c r="C20" s="50">
        <v>43</v>
      </c>
      <c r="D20" s="50">
        <v>5</v>
      </c>
      <c r="E20" s="50">
        <v>9</v>
      </c>
      <c r="F20" s="50">
        <v>68</v>
      </c>
      <c r="G20" s="50">
        <v>2</v>
      </c>
      <c r="H20" s="50">
        <v>0</v>
      </c>
      <c r="I20" s="50">
        <v>13</v>
      </c>
      <c r="J20" s="50">
        <v>0</v>
      </c>
      <c r="K20" s="50">
        <v>0</v>
      </c>
      <c r="L20" s="50">
        <v>4</v>
      </c>
      <c r="M20" s="50">
        <v>161</v>
      </c>
      <c r="N20" s="50">
        <v>0</v>
      </c>
      <c r="O20" s="15">
        <f t="shared" si="0"/>
        <v>144</v>
      </c>
      <c r="P20" s="15">
        <f t="shared" si="1"/>
        <v>305</v>
      </c>
      <c r="R20" s="1" t="s">
        <v>16</v>
      </c>
      <c r="S20" s="17">
        <f t="shared" ref="S20:AF20" si="12">SUM(C50:C53)</f>
        <v>190</v>
      </c>
      <c r="T20" s="17">
        <f t="shared" si="12"/>
        <v>28</v>
      </c>
      <c r="U20" s="17">
        <f t="shared" si="12"/>
        <v>27</v>
      </c>
      <c r="V20" s="17">
        <f t="shared" si="12"/>
        <v>155</v>
      </c>
      <c r="W20" s="17">
        <f t="shared" si="12"/>
        <v>2</v>
      </c>
      <c r="X20" s="17">
        <f t="shared" si="12"/>
        <v>0</v>
      </c>
      <c r="Y20" s="17">
        <f t="shared" si="12"/>
        <v>45</v>
      </c>
      <c r="Z20" s="17">
        <f t="shared" si="12"/>
        <v>17</v>
      </c>
      <c r="AA20" s="17">
        <f t="shared" si="12"/>
        <v>3</v>
      </c>
      <c r="AB20" s="17">
        <f t="shared" si="12"/>
        <v>13</v>
      </c>
      <c r="AC20" s="17">
        <f t="shared" si="12"/>
        <v>353</v>
      </c>
      <c r="AD20" s="17">
        <f t="shared" si="12"/>
        <v>0</v>
      </c>
      <c r="AE20" s="31">
        <f t="shared" si="12"/>
        <v>480</v>
      </c>
      <c r="AF20" s="31">
        <f t="shared" si="12"/>
        <v>833</v>
      </c>
    </row>
    <row r="21" spans="2:32" ht="23.1" customHeight="1" x14ac:dyDescent="0.25">
      <c r="B21" s="23" t="s">
        <v>48</v>
      </c>
      <c r="C21" s="50">
        <v>41</v>
      </c>
      <c r="D21" s="50">
        <v>9</v>
      </c>
      <c r="E21" s="50">
        <v>3</v>
      </c>
      <c r="F21" s="50">
        <v>55</v>
      </c>
      <c r="G21" s="50">
        <v>1</v>
      </c>
      <c r="H21" s="50">
        <v>0</v>
      </c>
      <c r="I21" s="50">
        <v>12</v>
      </c>
      <c r="J21" s="50">
        <v>2</v>
      </c>
      <c r="K21" s="50">
        <v>2</v>
      </c>
      <c r="L21" s="50">
        <v>1</v>
      </c>
      <c r="M21" s="50">
        <v>140</v>
      </c>
      <c r="N21" s="50">
        <v>0</v>
      </c>
      <c r="O21" s="15">
        <f t="shared" si="0"/>
        <v>126</v>
      </c>
      <c r="P21" s="15">
        <f t="shared" si="1"/>
        <v>266</v>
      </c>
      <c r="R21" s="36" t="s">
        <v>20</v>
      </c>
      <c r="S21" s="34">
        <f t="shared" ref="S21:AF21" si="13">SUM(C54:C57)</f>
        <v>253</v>
      </c>
      <c r="T21" s="17">
        <f t="shared" si="13"/>
        <v>29</v>
      </c>
      <c r="U21" s="17">
        <f t="shared" si="13"/>
        <v>18</v>
      </c>
      <c r="V21" s="17">
        <f t="shared" si="13"/>
        <v>186</v>
      </c>
      <c r="W21" s="17">
        <f t="shared" si="13"/>
        <v>5</v>
      </c>
      <c r="X21" s="17">
        <f t="shared" si="13"/>
        <v>2</v>
      </c>
      <c r="Y21" s="17">
        <f t="shared" si="13"/>
        <v>48</v>
      </c>
      <c r="Z21" s="17">
        <f t="shared" si="13"/>
        <v>8</v>
      </c>
      <c r="AA21" s="17">
        <f t="shared" si="13"/>
        <v>3</v>
      </c>
      <c r="AB21" s="17">
        <f t="shared" si="13"/>
        <v>8</v>
      </c>
      <c r="AC21" s="17">
        <f t="shared" si="13"/>
        <v>703</v>
      </c>
      <c r="AD21" s="17">
        <f t="shared" si="13"/>
        <v>0</v>
      </c>
      <c r="AE21" s="31">
        <f t="shared" si="13"/>
        <v>560</v>
      </c>
      <c r="AF21" s="31">
        <f t="shared" si="13"/>
        <v>1263</v>
      </c>
    </row>
    <row r="22" spans="2:32" ht="23.1" customHeight="1" x14ac:dyDescent="0.25">
      <c r="B22" s="23" t="s">
        <v>49</v>
      </c>
      <c r="C22" s="50">
        <v>24</v>
      </c>
      <c r="D22" s="50">
        <v>4</v>
      </c>
      <c r="E22" s="50">
        <v>6</v>
      </c>
      <c r="F22" s="50">
        <v>45</v>
      </c>
      <c r="G22" s="50">
        <v>1</v>
      </c>
      <c r="H22" s="50">
        <v>0</v>
      </c>
      <c r="I22" s="50">
        <v>13</v>
      </c>
      <c r="J22" s="50">
        <v>1</v>
      </c>
      <c r="K22" s="50">
        <v>1</v>
      </c>
      <c r="L22" s="50">
        <v>1</v>
      </c>
      <c r="M22" s="50">
        <v>142</v>
      </c>
      <c r="N22" s="50">
        <v>0</v>
      </c>
      <c r="O22" s="15">
        <f t="shared" si="0"/>
        <v>96</v>
      </c>
      <c r="P22" s="15">
        <f t="shared" si="1"/>
        <v>238</v>
      </c>
      <c r="R22" s="38" t="s">
        <v>90</v>
      </c>
      <c r="S22" s="39">
        <f>MAX(S10:S12)</f>
        <v>141</v>
      </c>
      <c r="T22" s="39">
        <f t="shared" ref="T22:AF22" si="14">MAX(T10:T12)</f>
        <v>33</v>
      </c>
      <c r="U22" s="39">
        <f t="shared" si="14"/>
        <v>26</v>
      </c>
      <c r="V22" s="39">
        <f t="shared" si="14"/>
        <v>233</v>
      </c>
      <c r="W22" s="39">
        <f t="shared" si="14"/>
        <v>7</v>
      </c>
      <c r="X22" s="39">
        <f t="shared" si="14"/>
        <v>3</v>
      </c>
      <c r="Y22" s="39">
        <f t="shared" si="14"/>
        <v>40</v>
      </c>
      <c r="Z22" s="39">
        <f t="shared" si="14"/>
        <v>10</v>
      </c>
      <c r="AA22" s="39">
        <f t="shared" si="14"/>
        <v>8</v>
      </c>
      <c r="AB22" s="39">
        <f t="shared" si="14"/>
        <v>7</v>
      </c>
      <c r="AC22" s="39">
        <f t="shared" si="14"/>
        <v>699</v>
      </c>
      <c r="AD22" s="39">
        <f t="shared" si="14"/>
        <v>0</v>
      </c>
      <c r="AE22" s="40">
        <f t="shared" si="14"/>
        <v>502</v>
      </c>
      <c r="AF22" s="40">
        <f t="shared" si="14"/>
        <v>1154</v>
      </c>
    </row>
    <row r="23" spans="2:32" ht="23.1" customHeight="1" x14ac:dyDescent="0.25">
      <c r="B23" s="23" t="s">
        <v>50</v>
      </c>
      <c r="C23" s="50">
        <v>39</v>
      </c>
      <c r="D23" s="50">
        <v>13</v>
      </c>
      <c r="E23" s="50">
        <v>8</v>
      </c>
      <c r="F23" s="50">
        <v>63</v>
      </c>
      <c r="G23" s="50">
        <v>2</v>
      </c>
      <c r="H23" s="50">
        <v>0</v>
      </c>
      <c r="I23" s="50">
        <v>20</v>
      </c>
      <c r="J23" s="50">
        <v>3</v>
      </c>
      <c r="K23" s="50">
        <v>1</v>
      </c>
      <c r="L23" s="50">
        <v>1</v>
      </c>
      <c r="M23" s="50">
        <v>106</v>
      </c>
      <c r="N23" s="50">
        <v>0</v>
      </c>
      <c r="O23" s="15">
        <f t="shared" si="0"/>
        <v>150</v>
      </c>
      <c r="P23" s="15">
        <f t="shared" si="1"/>
        <v>256</v>
      </c>
      <c r="R23" s="38" t="s">
        <v>91</v>
      </c>
      <c r="S23" s="39">
        <f>MAX(S13:S18)</f>
        <v>164</v>
      </c>
      <c r="T23" s="39">
        <f t="shared" ref="T23:AF23" si="15">MAX(T13:T18)</f>
        <v>36</v>
      </c>
      <c r="U23" s="39">
        <f t="shared" si="15"/>
        <v>39</v>
      </c>
      <c r="V23" s="39">
        <f t="shared" si="15"/>
        <v>202</v>
      </c>
      <c r="W23" s="39">
        <f t="shared" si="15"/>
        <v>10</v>
      </c>
      <c r="X23" s="39">
        <f t="shared" si="15"/>
        <v>4</v>
      </c>
      <c r="Y23" s="39">
        <f t="shared" si="15"/>
        <v>65</v>
      </c>
      <c r="Z23" s="39">
        <f t="shared" si="15"/>
        <v>23</v>
      </c>
      <c r="AA23" s="39">
        <f t="shared" si="15"/>
        <v>7</v>
      </c>
      <c r="AB23" s="39">
        <f t="shared" si="15"/>
        <v>14</v>
      </c>
      <c r="AC23" s="39">
        <f t="shared" si="15"/>
        <v>513</v>
      </c>
      <c r="AD23" s="39">
        <f t="shared" si="15"/>
        <v>0</v>
      </c>
      <c r="AE23" s="40">
        <f t="shared" si="15"/>
        <v>529</v>
      </c>
      <c r="AF23" s="40">
        <f t="shared" si="15"/>
        <v>984</v>
      </c>
    </row>
    <row r="24" spans="2:32" ht="23.1" customHeight="1" x14ac:dyDescent="0.25">
      <c r="B24" s="23" t="s">
        <v>51</v>
      </c>
      <c r="C24" s="50">
        <v>40</v>
      </c>
      <c r="D24" s="50">
        <v>4</v>
      </c>
      <c r="E24" s="50">
        <v>13</v>
      </c>
      <c r="F24" s="50">
        <v>50</v>
      </c>
      <c r="G24" s="50">
        <v>2</v>
      </c>
      <c r="H24" s="50">
        <v>0</v>
      </c>
      <c r="I24" s="50">
        <v>12</v>
      </c>
      <c r="J24" s="50">
        <v>0</v>
      </c>
      <c r="K24" s="50">
        <v>3</v>
      </c>
      <c r="L24" s="50">
        <v>3</v>
      </c>
      <c r="M24" s="50">
        <v>115</v>
      </c>
      <c r="N24" s="50">
        <v>0</v>
      </c>
      <c r="O24" s="15">
        <f t="shared" si="0"/>
        <v>127</v>
      </c>
      <c r="P24" s="15">
        <f t="shared" si="1"/>
        <v>242</v>
      </c>
      <c r="R24" s="38" t="s">
        <v>92</v>
      </c>
      <c r="S24" s="39">
        <f>MAX(S19:S21)</f>
        <v>253</v>
      </c>
      <c r="T24" s="39">
        <f t="shared" ref="T24:AF24" si="16">MAX(T19:T21)</f>
        <v>34</v>
      </c>
      <c r="U24" s="39">
        <f t="shared" si="16"/>
        <v>27</v>
      </c>
      <c r="V24" s="39">
        <f t="shared" si="16"/>
        <v>187</v>
      </c>
      <c r="W24" s="39">
        <f t="shared" si="16"/>
        <v>7</v>
      </c>
      <c r="X24" s="39">
        <f t="shared" si="16"/>
        <v>2</v>
      </c>
      <c r="Y24" s="39">
        <f t="shared" si="16"/>
        <v>56</v>
      </c>
      <c r="Z24" s="39">
        <f t="shared" si="16"/>
        <v>17</v>
      </c>
      <c r="AA24" s="39">
        <f t="shared" si="16"/>
        <v>9</v>
      </c>
      <c r="AB24" s="39">
        <f t="shared" si="16"/>
        <v>17</v>
      </c>
      <c r="AC24" s="39">
        <f t="shared" si="16"/>
        <v>703</v>
      </c>
      <c r="AD24" s="39">
        <f t="shared" si="16"/>
        <v>0</v>
      </c>
      <c r="AE24" s="40">
        <f t="shared" si="16"/>
        <v>560</v>
      </c>
      <c r="AF24" s="40">
        <f t="shared" si="16"/>
        <v>1263</v>
      </c>
    </row>
    <row r="25" spans="2:32" ht="23.1" customHeight="1" x14ac:dyDescent="0.25">
      <c r="B25" s="23" t="s">
        <v>52</v>
      </c>
      <c r="C25" s="50">
        <v>24</v>
      </c>
      <c r="D25" s="50">
        <v>6</v>
      </c>
      <c r="E25" s="50">
        <v>7</v>
      </c>
      <c r="F25" s="50">
        <v>44</v>
      </c>
      <c r="G25" s="50">
        <v>1</v>
      </c>
      <c r="H25" s="50">
        <v>0</v>
      </c>
      <c r="I25" s="50">
        <v>20</v>
      </c>
      <c r="J25" s="50">
        <v>6</v>
      </c>
      <c r="K25" s="50">
        <v>2</v>
      </c>
      <c r="L25" s="50">
        <v>6</v>
      </c>
      <c r="M25" s="50">
        <v>90</v>
      </c>
      <c r="N25" s="50">
        <v>0</v>
      </c>
      <c r="O25" s="15">
        <f t="shared" si="0"/>
        <v>116</v>
      </c>
      <c r="P25" s="15">
        <f t="shared" si="1"/>
        <v>206</v>
      </c>
      <c r="R25" s="37" t="s">
        <v>85</v>
      </c>
      <c r="S25" s="35">
        <f t="shared" ref="S25:AF25" si="17">SUM(S10:S12)</f>
        <v>357</v>
      </c>
      <c r="T25" s="16">
        <f t="shared" si="17"/>
        <v>69</v>
      </c>
      <c r="U25" s="16">
        <f t="shared" si="17"/>
        <v>66</v>
      </c>
      <c r="V25" s="16">
        <f t="shared" si="17"/>
        <v>632</v>
      </c>
      <c r="W25" s="16">
        <f t="shared" si="17"/>
        <v>17</v>
      </c>
      <c r="X25" s="16">
        <f t="shared" si="17"/>
        <v>7</v>
      </c>
      <c r="Y25" s="16">
        <f t="shared" si="17"/>
        <v>78</v>
      </c>
      <c r="Z25" s="16">
        <f t="shared" si="17"/>
        <v>21</v>
      </c>
      <c r="AA25" s="16">
        <f t="shared" si="17"/>
        <v>15</v>
      </c>
      <c r="AB25" s="16">
        <f t="shared" si="17"/>
        <v>13</v>
      </c>
      <c r="AC25" s="16">
        <f t="shared" si="17"/>
        <v>1962</v>
      </c>
      <c r="AD25" s="16">
        <f t="shared" si="17"/>
        <v>0</v>
      </c>
      <c r="AE25" s="32">
        <f t="shared" si="17"/>
        <v>1275</v>
      </c>
      <c r="AF25" s="32">
        <f t="shared" si="17"/>
        <v>3237</v>
      </c>
    </row>
    <row r="26" spans="2:32" ht="23.1" customHeight="1" x14ac:dyDescent="0.25">
      <c r="B26" s="23" t="s">
        <v>53</v>
      </c>
      <c r="C26" s="50">
        <v>39</v>
      </c>
      <c r="D26" s="50">
        <v>2</v>
      </c>
      <c r="E26" s="50">
        <v>12</v>
      </c>
      <c r="F26" s="50">
        <v>49</v>
      </c>
      <c r="G26" s="50">
        <v>1</v>
      </c>
      <c r="H26" s="50">
        <v>0</v>
      </c>
      <c r="I26" s="50">
        <v>14</v>
      </c>
      <c r="J26" s="50">
        <v>3</v>
      </c>
      <c r="K26" s="50">
        <v>2</v>
      </c>
      <c r="L26" s="50">
        <v>2</v>
      </c>
      <c r="M26" s="50">
        <v>150</v>
      </c>
      <c r="N26" s="50">
        <v>0</v>
      </c>
      <c r="O26" s="15">
        <f t="shared" si="0"/>
        <v>124</v>
      </c>
      <c r="P26" s="15">
        <f t="shared" si="1"/>
        <v>274</v>
      </c>
      <c r="R26" s="28" t="s">
        <v>86</v>
      </c>
      <c r="S26" s="16">
        <f t="shared" ref="S26:AF26" si="18">SUM(S13:S18)</f>
        <v>885</v>
      </c>
      <c r="T26" s="16">
        <f t="shared" si="18"/>
        <v>169</v>
      </c>
      <c r="U26" s="16">
        <f t="shared" si="18"/>
        <v>199</v>
      </c>
      <c r="V26" s="16">
        <f t="shared" si="18"/>
        <v>1040</v>
      </c>
      <c r="W26" s="16">
        <f t="shared" si="18"/>
        <v>37</v>
      </c>
      <c r="X26" s="16">
        <f t="shared" si="18"/>
        <v>15</v>
      </c>
      <c r="Y26" s="16">
        <f t="shared" si="18"/>
        <v>331</v>
      </c>
      <c r="Z26" s="16">
        <f t="shared" si="18"/>
        <v>84</v>
      </c>
      <c r="AA26" s="16">
        <f t="shared" si="18"/>
        <v>22</v>
      </c>
      <c r="AB26" s="16">
        <f t="shared" si="18"/>
        <v>66</v>
      </c>
      <c r="AC26" s="16">
        <f t="shared" si="18"/>
        <v>2054</v>
      </c>
      <c r="AD26" s="16">
        <f t="shared" si="18"/>
        <v>0</v>
      </c>
      <c r="AE26" s="32">
        <f t="shared" si="18"/>
        <v>2848</v>
      </c>
      <c r="AF26" s="32">
        <f t="shared" si="18"/>
        <v>4902</v>
      </c>
    </row>
    <row r="27" spans="2:32" ht="23.1" customHeight="1" x14ac:dyDescent="0.25">
      <c r="B27" s="23" t="s">
        <v>54</v>
      </c>
      <c r="C27" s="50">
        <v>32</v>
      </c>
      <c r="D27" s="50">
        <v>4</v>
      </c>
      <c r="E27" s="50">
        <v>7</v>
      </c>
      <c r="F27" s="50">
        <v>46</v>
      </c>
      <c r="G27" s="50">
        <v>2</v>
      </c>
      <c r="H27" s="50">
        <v>3</v>
      </c>
      <c r="I27" s="50">
        <v>15</v>
      </c>
      <c r="J27" s="50">
        <v>0</v>
      </c>
      <c r="K27" s="50">
        <v>1</v>
      </c>
      <c r="L27" s="50">
        <v>0</v>
      </c>
      <c r="M27" s="50">
        <v>107</v>
      </c>
      <c r="N27" s="50">
        <v>0</v>
      </c>
      <c r="O27" s="15">
        <f t="shared" si="0"/>
        <v>110</v>
      </c>
      <c r="P27" s="15">
        <f t="shared" si="1"/>
        <v>217</v>
      </c>
      <c r="R27" s="29" t="s">
        <v>87</v>
      </c>
      <c r="S27" s="16">
        <f t="shared" ref="S27:AF27" si="19">SUM(S19:S21)</f>
        <v>614</v>
      </c>
      <c r="T27" s="16">
        <f t="shared" si="19"/>
        <v>91</v>
      </c>
      <c r="U27" s="16">
        <f t="shared" si="19"/>
        <v>68</v>
      </c>
      <c r="V27" s="16">
        <f t="shared" si="19"/>
        <v>528</v>
      </c>
      <c r="W27" s="16">
        <f t="shared" si="19"/>
        <v>14</v>
      </c>
      <c r="X27" s="16">
        <f t="shared" si="19"/>
        <v>3</v>
      </c>
      <c r="Y27" s="16">
        <f t="shared" si="19"/>
        <v>149</v>
      </c>
      <c r="Z27" s="16">
        <f t="shared" si="19"/>
        <v>36</v>
      </c>
      <c r="AA27" s="16">
        <f t="shared" si="19"/>
        <v>15</v>
      </c>
      <c r="AB27" s="16">
        <f t="shared" si="19"/>
        <v>38</v>
      </c>
      <c r="AC27" s="16">
        <f t="shared" si="19"/>
        <v>1439</v>
      </c>
      <c r="AD27" s="16">
        <f t="shared" si="19"/>
        <v>0</v>
      </c>
      <c r="AE27" s="32">
        <f t="shared" si="19"/>
        <v>1556</v>
      </c>
      <c r="AF27" s="32">
        <f t="shared" si="19"/>
        <v>2995</v>
      </c>
    </row>
    <row r="28" spans="2:32" ht="23.1" customHeight="1" x14ac:dyDescent="0.25">
      <c r="B28" s="23" t="s">
        <v>55</v>
      </c>
      <c r="C28" s="50">
        <v>33</v>
      </c>
      <c r="D28" s="50">
        <v>8</v>
      </c>
      <c r="E28" s="50">
        <v>11</v>
      </c>
      <c r="F28" s="50">
        <v>40</v>
      </c>
      <c r="G28" s="50">
        <v>0</v>
      </c>
      <c r="H28" s="50">
        <v>0</v>
      </c>
      <c r="I28" s="50">
        <v>14</v>
      </c>
      <c r="J28" s="50">
        <v>0</v>
      </c>
      <c r="K28" s="50">
        <v>0</v>
      </c>
      <c r="L28" s="50">
        <v>9</v>
      </c>
      <c r="M28" s="50">
        <v>106</v>
      </c>
      <c r="N28" s="50">
        <v>0</v>
      </c>
      <c r="O28" s="15">
        <f t="shared" si="0"/>
        <v>115</v>
      </c>
      <c r="P28" s="15">
        <f t="shared" si="1"/>
        <v>221</v>
      </c>
      <c r="R28" s="5" t="s">
        <v>17</v>
      </c>
      <c r="S28" s="16">
        <f t="shared" ref="S28:AF28" si="20">SUM(S10:S21)</f>
        <v>1856</v>
      </c>
      <c r="T28" s="16">
        <f t="shared" si="20"/>
        <v>329</v>
      </c>
      <c r="U28" s="16">
        <f t="shared" si="20"/>
        <v>333</v>
      </c>
      <c r="V28" s="16">
        <f t="shared" si="20"/>
        <v>2200</v>
      </c>
      <c r="W28" s="16">
        <f t="shared" si="20"/>
        <v>68</v>
      </c>
      <c r="X28" s="16">
        <f t="shared" si="20"/>
        <v>25</v>
      </c>
      <c r="Y28" s="16">
        <f t="shared" si="20"/>
        <v>558</v>
      </c>
      <c r="Z28" s="16">
        <f t="shared" si="20"/>
        <v>141</v>
      </c>
      <c r="AA28" s="16">
        <f t="shared" si="20"/>
        <v>52</v>
      </c>
      <c r="AB28" s="16">
        <f t="shared" si="20"/>
        <v>117</v>
      </c>
      <c r="AC28" s="16">
        <f t="shared" si="20"/>
        <v>5455</v>
      </c>
      <c r="AD28" s="16">
        <f t="shared" si="20"/>
        <v>0</v>
      </c>
      <c r="AE28" s="32">
        <f t="shared" si="20"/>
        <v>5679</v>
      </c>
      <c r="AF28" s="32">
        <f t="shared" si="20"/>
        <v>11134</v>
      </c>
    </row>
    <row r="29" spans="2:32" ht="23.1" customHeight="1" x14ac:dyDescent="0.25">
      <c r="B29" s="23" t="s">
        <v>56</v>
      </c>
      <c r="C29" s="50">
        <v>45</v>
      </c>
      <c r="D29" s="50">
        <v>2</v>
      </c>
      <c r="E29" s="50">
        <v>9</v>
      </c>
      <c r="F29" s="50">
        <v>52</v>
      </c>
      <c r="G29" s="50">
        <v>1</v>
      </c>
      <c r="H29" s="50">
        <v>0</v>
      </c>
      <c r="I29" s="50">
        <v>12</v>
      </c>
      <c r="J29" s="50">
        <v>0</v>
      </c>
      <c r="K29" s="50">
        <v>0</v>
      </c>
      <c r="L29" s="50">
        <v>1</v>
      </c>
      <c r="M29" s="50">
        <v>150</v>
      </c>
      <c r="N29" s="50">
        <v>0</v>
      </c>
      <c r="O29" s="15">
        <f t="shared" si="0"/>
        <v>122</v>
      </c>
      <c r="P29" s="15">
        <f t="shared" si="1"/>
        <v>272</v>
      </c>
      <c r="R29"/>
      <c r="S29" s="20"/>
      <c r="T29" s="19"/>
    </row>
    <row r="30" spans="2:32" ht="23.1" customHeight="1" x14ac:dyDescent="0.25">
      <c r="B30" s="23" t="s">
        <v>57</v>
      </c>
      <c r="C30" s="50">
        <v>41</v>
      </c>
      <c r="D30" s="50">
        <v>8</v>
      </c>
      <c r="E30" s="50">
        <v>9</v>
      </c>
      <c r="F30" s="50">
        <v>63</v>
      </c>
      <c r="G30" s="50">
        <v>4</v>
      </c>
      <c r="H30" s="50">
        <v>2</v>
      </c>
      <c r="I30" s="50">
        <v>18</v>
      </c>
      <c r="J30" s="50">
        <v>3</v>
      </c>
      <c r="K30" s="50">
        <v>1</v>
      </c>
      <c r="L30" s="50">
        <v>5</v>
      </c>
      <c r="M30" s="50">
        <v>119</v>
      </c>
      <c r="N30" s="50">
        <v>0</v>
      </c>
      <c r="O30" s="15">
        <f t="shared" si="0"/>
        <v>154</v>
      </c>
      <c r="P30" s="15">
        <f t="shared" si="1"/>
        <v>273</v>
      </c>
    </row>
    <row r="31" spans="2:32" ht="23.1" customHeight="1" x14ac:dyDescent="0.25">
      <c r="B31" s="24" t="s">
        <v>58</v>
      </c>
      <c r="C31" s="50">
        <v>22</v>
      </c>
      <c r="D31" s="50">
        <v>4</v>
      </c>
      <c r="E31" s="50">
        <v>2</v>
      </c>
      <c r="F31" s="50">
        <v>43</v>
      </c>
      <c r="G31" s="50">
        <v>2</v>
      </c>
      <c r="H31" s="50">
        <v>1</v>
      </c>
      <c r="I31" s="50">
        <v>5</v>
      </c>
      <c r="J31" s="50">
        <v>1</v>
      </c>
      <c r="K31" s="50">
        <v>0</v>
      </c>
      <c r="L31" s="50">
        <v>1</v>
      </c>
      <c r="M31" s="50">
        <v>49</v>
      </c>
      <c r="N31" s="50">
        <v>0</v>
      </c>
      <c r="O31" s="15">
        <f t="shared" si="0"/>
        <v>81</v>
      </c>
      <c r="P31" s="15">
        <f t="shared" si="1"/>
        <v>130</v>
      </c>
    </row>
    <row r="32" spans="2:32" ht="23.1" customHeight="1" x14ac:dyDescent="0.25">
      <c r="B32" s="24" t="s">
        <v>59</v>
      </c>
      <c r="C32" s="50">
        <v>39</v>
      </c>
      <c r="D32" s="50">
        <v>10</v>
      </c>
      <c r="E32" s="50">
        <v>11</v>
      </c>
      <c r="F32" s="50">
        <v>42</v>
      </c>
      <c r="G32" s="50">
        <v>2</v>
      </c>
      <c r="H32" s="50">
        <v>1</v>
      </c>
      <c r="I32" s="50">
        <v>13</v>
      </c>
      <c r="J32" s="50">
        <v>10</v>
      </c>
      <c r="K32" s="50">
        <v>1</v>
      </c>
      <c r="L32" s="50">
        <v>3</v>
      </c>
      <c r="M32" s="50">
        <v>75</v>
      </c>
      <c r="N32" s="50">
        <v>0</v>
      </c>
      <c r="O32" s="15">
        <f t="shared" si="0"/>
        <v>132</v>
      </c>
      <c r="P32" s="15">
        <f t="shared" si="1"/>
        <v>207</v>
      </c>
    </row>
    <row r="33" spans="2:20" ht="23.1" customHeight="1" x14ac:dyDescent="0.25">
      <c r="B33" s="23" t="s">
        <v>60</v>
      </c>
      <c r="C33" s="50">
        <v>42</v>
      </c>
      <c r="D33" s="50">
        <v>8</v>
      </c>
      <c r="E33" s="50">
        <v>3</v>
      </c>
      <c r="F33" s="50">
        <v>45</v>
      </c>
      <c r="G33" s="50">
        <v>2</v>
      </c>
      <c r="H33" s="50">
        <v>0</v>
      </c>
      <c r="I33" s="50">
        <v>15</v>
      </c>
      <c r="J33" s="50">
        <v>5</v>
      </c>
      <c r="K33" s="50">
        <v>0</v>
      </c>
      <c r="L33" s="50">
        <v>0</v>
      </c>
      <c r="M33" s="50">
        <v>105</v>
      </c>
      <c r="N33" s="50">
        <v>0</v>
      </c>
      <c r="O33" s="15">
        <f t="shared" si="0"/>
        <v>120</v>
      </c>
      <c r="P33" s="15">
        <f t="shared" si="1"/>
        <v>225</v>
      </c>
    </row>
    <row r="34" spans="2:20" ht="23.1" customHeight="1" x14ac:dyDescent="0.25">
      <c r="B34" s="24" t="s">
        <v>61</v>
      </c>
      <c r="C34" s="50">
        <v>42</v>
      </c>
      <c r="D34" s="50">
        <v>10</v>
      </c>
      <c r="E34" s="50">
        <v>5</v>
      </c>
      <c r="F34" s="50">
        <v>50</v>
      </c>
      <c r="G34" s="50">
        <v>0</v>
      </c>
      <c r="H34" s="50">
        <v>1</v>
      </c>
      <c r="I34" s="50">
        <v>19</v>
      </c>
      <c r="J34" s="50">
        <v>9</v>
      </c>
      <c r="K34" s="50">
        <v>0</v>
      </c>
      <c r="L34" s="50">
        <v>4</v>
      </c>
      <c r="M34" s="50">
        <v>82</v>
      </c>
      <c r="N34" s="50">
        <v>0</v>
      </c>
      <c r="O34" s="15">
        <f t="shared" si="0"/>
        <v>140</v>
      </c>
      <c r="P34" s="15">
        <f t="shared" si="1"/>
        <v>222</v>
      </c>
    </row>
    <row r="35" spans="2:20" ht="23.1" customHeight="1" x14ac:dyDescent="0.25">
      <c r="B35" s="24" t="s">
        <v>62</v>
      </c>
      <c r="C35" s="50">
        <v>31</v>
      </c>
      <c r="D35" s="50">
        <v>11</v>
      </c>
      <c r="E35" s="50">
        <v>12</v>
      </c>
      <c r="F35" s="50">
        <v>38</v>
      </c>
      <c r="G35" s="50">
        <v>2</v>
      </c>
      <c r="H35" s="50">
        <v>1</v>
      </c>
      <c r="I35" s="50">
        <v>19</v>
      </c>
      <c r="J35" s="50">
        <v>9</v>
      </c>
      <c r="K35" s="50">
        <v>1</v>
      </c>
      <c r="L35" s="50">
        <v>3</v>
      </c>
      <c r="M35" s="50">
        <v>55</v>
      </c>
      <c r="N35" s="50">
        <v>0</v>
      </c>
      <c r="O35" s="15">
        <f t="shared" si="0"/>
        <v>127</v>
      </c>
      <c r="P35" s="15">
        <f t="shared" si="1"/>
        <v>182</v>
      </c>
    </row>
    <row r="36" spans="2:20" ht="23.1" customHeight="1" x14ac:dyDescent="0.25">
      <c r="B36" s="24" t="s">
        <v>63</v>
      </c>
      <c r="C36" s="50">
        <v>39</v>
      </c>
      <c r="D36" s="50">
        <v>5</v>
      </c>
      <c r="E36" s="50">
        <v>15</v>
      </c>
      <c r="F36" s="50">
        <v>44</v>
      </c>
      <c r="G36" s="50">
        <v>1</v>
      </c>
      <c r="H36" s="50">
        <v>0</v>
      </c>
      <c r="I36" s="50">
        <v>11</v>
      </c>
      <c r="J36" s="50">
        <v>3</v>
      </c>
      <c r="K36" s="50">
        <v>2</v>
      </c>
      <c r="L36" s="50">
        <v>4</v>
      </c>
      <c r="M36" s="50">
        <v>90</v>
      </c>
      <c r="N36" s="50">
        <v>0</v>
      </c>
      <c r="O36" s="15">
        <f t="shared" si="0"/>
        <v>124</v>
      </c>
      <c r="P36" s="15">
        <f t="shared" si="1"/>
        <v>214</v>
      </c>
    </row>
    <row r="37" spans="2:20" ht="23.1" customHeight="1" x14ac:dyDescent="0.25">
      <c r="B37" s="23" t="s">
        <v>64</v>
      </c>
      <c r="C37" s="50">
        <v>51</v>
      </c>
      <c r="D37" s="50">
        <v>10</v>
      </c>
      <c r="E37" s="50">
        <v>6</v>
      </c>
      <c r="F37" s="50">
        <v>56</v>
      </c>
      <c r="G37" s="50">
        <v>1</v>
      </c>
      <c r="H37" s="50">
        <v>0</v>
      </c>
      <c r="I37" s="50">
        <v>11</v>
      </c>
      <c r="J37" s="50">
        <v>2</v>
      </c>
      <c r="K37" s="50">
        <v>0</v>
      </c>
      <c r="L37" s="50">
        <v>1</v>
      </c>
      <c r="M37" s="50">
        <v>88</v>
      </c>
      <c r="N37" s="50">
        <v>0</v>
      </c>
      <c r="O37" s="15">
        <f t="shared" si="0"/>
        <v>138</v>
      </c>
      <c r="P37" s="15">
        <f t="shared" si="1"/>
        <v>226</v>
      </c>
    </row>
    <row r="38" spans="2:20" ht="23.1" customHeight="1" x14ac:dyDescent="0.25">
      <c r="B38" s="24" t="s">
        <v>65</v>
      </c>
      <c r="C38" s="50">
        <v>46</v>
      </c>
      <c r="D38" s="50">
        <v>9</v>
      </c>
      <c r="E38" s="50">
        <v>8</v>
      </c>
      <c r="F38" s="50">
        <v>28</v>
      </c>
      <c r="G38" s="50">
        <v>3</v>
      </c>
      <c r="H38" s="50">
        <v>0</v>
      </c>
      <c r="I38" s="50">
        <v>12</v>
      </c>
      <c r="J38" s="50">
        <v>0</v>
      </c>
      <c r="K38" s="50">
        <v>1</v>
      </c>
      <c r="L38" s="50">
        <v>3</v>
      </c>
      <c r="M38" s="50">
        <v>93</v>
      </c>
      <c r="N38" s="50">
        <v>0</v>
      </c>
      <c r="O38" s="15">
        <f t="shared" si="0"/>
        <v>110</v>
      </c>
      <c r="P38" s="15">
        <f t="shared" si="1"/>
        <v>203</v>
      </c>
    </row>
    <row r="39" spans="2:20" ht="23.1" customHeight="1" x14ac:dyDescent="0.25">
      <c r="B39" s="24" t="s">
        <v>66</v>
      </c>
      <c r="C39" s="50">
        <v>28</v>
      </c>
      <c r="D39" s="50">
        <v>5</v>
      </c>
      <c r="E39" s="50">
        <v>4</v>
      </c>
      <c r="F39" s="50">
        <v>40</v>
      </c>
      <c r="G39" s="50">
        <v>0</v>
      </c>
      <c r="H39" s="50">
        <v>0</v>
      </c>
      <c r="I39" s="50">
        <v>12</v>
      </c>
      <c r="J39" s="50">
        <v>1</v>
      </c>
      <c r="K39" s="50">
        <v>1</v>
      </c>
      <c r="L39" s="50">
        <v>1</v>
      </c>
      <c r="M39" s="50">
        <v>75</v>
      </c>
      <c r="N39" s="50">
        <v>0</v>
      </c>
      <c r="O39" s="15">
        <f t="shared" si="0"/>
        <v>92</v>
      </c>
      <c r="P39" s="15">
        <f t="shared" si="1"/>
        <v>167</v>
      </c>
    </row>
    <row r="40" spans="2:20" ht="23.1" customHeight="1" x14ac:dyDescent="0.25">
      <c r="B40" s="24" t="s">
        <v>67</v>
      </c>
      <c r="C40" s="50">
        <v>36</v>
      </c>
      <c r="D40" s="50">
        <v>11</v>
      </c>
      <c r="E40" s="50">
        <v>7</v>
      </c>
      <c r="F40" s="50">
        <v>39</v>
      </c>
      <c r="G40" s="50">
        <v>2</v>
      </c>
      <c r="H40" s="50">
        <v>1</v>
      </c>
      <c r="I40" s="50">
        <v>13</v>
      </c>
      <c r="J40" s="50">
        <v>3</v>
      </c>
      <c r="K40" s="50">
        <v>1</v>
      </c>
      <c r="L40" s="50">
        <v>2</v>
      </c>
      <c r="M40" s="50">
        <v>88</v>
      </c>
      <c r="N40" s="50">
        <v>0</v>
      </c>
      <c r="O40" s="15">
        <f t="shared" si="0"/>
        <v>115</v>
      </c>
      <c r="P40" s="15">
        <f t="shared" si="1"/>
        <v>203</v>
      </c>
    </row>
    <row r="41" spans="2:20" ht="23.1" customHeight="1" x14ac:dyDescent="0.25">
      <c r="B41" s="23" t="s">
        <v>68</v>
      </c>
      <c r="C41" s="50">
        <v>28</v>
      </c>
      <c r="D41" s="50">
        <v>6</v>
      </c>
      <c r="E41" s="50">
        <v>9</v>
      </c>
      <c r="F41" s="50">
        <v>46</v>
      </c>
      <c r="G41" s="50">
        <v>1</v>
      </c>
      <c r="H41" s="50">
        <v>3</v>
      </c>
      <c r="I41" s="50">
        <v>11</v>
      </c>
      <c r="J41" s="50">
        <v>2</v>
      </c>
      <c r="K41" s="50">
        <v>1</v>
      </c>
      <c r="L41" s="50">
        <v>2</v>
      </c>
      <c r="M41" s="50">
        <v>54</v>
      </c>
      <c r="N41" s="50">
        <v>0</v>
      </c>
      <c r="O41" s="15">
        <f t="shared" si="0"/>
        <v>109</v>
      </c>
      <c r="P41" s="15">
        <f t="shared" si="1"/>
        <v>163</v>
      </c>
    </row>
    <row r="42" spans="2:20" ht="23.1" customHeight="1" x14ac:dyDescent="0.25">
      <c r="B42" s="24" t="s">
        <v>69</v>
      </c>
      <c r="C42" s="50">
        <v>37</v>
      </c>
      <c r="D42" s="50">
        <v>6</v>
      </c>
      <c r="E42" s="50">
        <v>10</v>
      </c>
      <c r="F42" s="50">
        <v>39</v>
      </c>
      <c r="G42" s="50">
        <v>1</v>
      </c>
      <c r="H42" s="50">
        <v>0</v>
      </c>
      <c r="I42" s="50">
        <v>11</v>
      </c>
      <c r="J42" s="50">
        <v>14</v>
      </c>
      <c r="K42" s="50">
        <v>1</v>
      </c>
      <c r="L42" s="50">
        <v>5</v>
      </c>
      <c r="M42" s="50">
        <v>3</v>
      </c>
      <c r="N42" s="50">
        <v>0</v>
      </c>
      <c r="O42" s="15">
        <f t="shared" si="0"/>
        <v>124</v>
      </c>
      <c r="P42" s="15">
        <f t="shared" si="1"/>
        <v>127</v>
      </c>
    </row>
    <row r="43" spans="2:20" ht="23.1" customHeight="1" x14ac:dyDescent="0.25">
      <c r="B43" s="23" t="s">
        <v>70</v>
      </c>
      <c r="C43" s="50">
        <v>39</v>
      </c>
      <c r="D43" s="50">
        <v>8</v>
      </c>
      <c r="E43" s="50">
        <v>6</v>
      </c>
      <c r="F43" s="50">
        <v>28</v>
      </c>
      <c r="G43" s="50">
        <v>0</v>
      </c>
      <c r="H43" s="50">
        <v>1</v>
      </c>
      <c r="I43" s="50">
        <v>15</v>
      </c>
      <c r="J43" s="50">
        <v>3</v>
      </c>
      <c r="K43" s="50">
        <v>2</v>
      </c>
      <c r="L43" s="50">
        <v>1</v>
      </c>
      <c r="M43" s="50">
        <v>14</v>
      </c>
      <c r="N43" s="50">
        <v>0</v>
      </c>
      <c r="O43" s="15">
        <f t="shared" si="0"/>
        <v>103</v>
      </c>
      <c r="P43" s="15">
        <f t="shared" si="1"/>
        <v>117</v>
      </c>
    </row>
    <row r="44" spans="2:20" ht="23.1" customHeight="1" x14ac:dyDescent="0.25">
      <c r="B44" s="25" t="s">
        <v>71</v>
      </c>
      <c r="C44" s="50">
        <v>43</v>
      </c>
      <c r="D44" s="50">
        <v>6</v>
      </c>
      <c r="E44" s="50">
        <v>5</v>
      </c>
      <c r="F44" s="50">
        <v>24</v>
      </c>
      <c r="G44" s="50">
        <v>0</v>
      </c>
      <c r="H44" s="50">
        <v>0</v>
      </c>
      <c r="I44" s="50">
        <v>14</v>
      </c>
      <c r="J44" s="50">
        <v>4</v>
      </c>
      <c r="K44" s="50">
        <v>0</v>
      </c>
      <c r="L44" s="50">
        <v>4</v>
      </c>
      <c r="M44" s="50">
        <v>11</v>
      </c>
      <c r="N44" s="50">
        <v>0</v>
      </c>
      <c r="O44" s="15">
        <f t="shared" si="0"/>
        <v>100</v>
      </c>
      <c r="P44" s="15">
        <f t="shared" si="1"/>
        <v>111</v>
      </c>
    </row>
    <row r="45" spans="2:20" ht="23.1" customHeight="1" x14ac:dyDescent="0.25">
      <c r="B45" s="23" t="s">
        <v>72</v>
      </c>
      <c r="C45" s="50">
        <v>45</v>
      </c>
      <c r="D45" s="50">
        <v>9</v>
      </c>
      <c r="E45" s="50">
        <v>14</v>
      </c>
      <c r="F45" s="50">
        <v>26</v>
      </c>
      <c r="G45" s="50">
        <v>6</v>
      </c>
      <c r="H45" s="50">
        <v>1</v>
      </c>
      <c r="I45" s="50">
        <v>12</v>
      </c>
      <c r="J45" s="50">
        <v>2</v>
      </c>
      <c r="K45" s="50">
        <v>0</v>
      </c>
      <c r="L45" s="50">
        <v>4</v>
      </c>
      <c r="M45" s="50">
        <v>87</v>
      </c>
      <c r="N45" s="50">
        <v>0</v>
      </c>
      <c r="O45" s="15">
        <f t="shared" si="0"/>
        <v>119</v>
      </c>
      <c r="P45" s="15">
        <f t="shared" si="1"/>
        <v>206</v>
      </c>
    </row>
    <row r="46" spans="2:20" ht="23.1" customHeight="1" x14ac:dyDescent="0.25">
      <c r="B46" s="24" t="s">
        <v>73</v>
      </c>
      <c r="C46" s="50">
        <v>35</v>
      </c>
      <c r="D46" s="50">
        <v>19</v>
      </c>
      <c r="E46" s="50">
        <v>5</v>
      </c>
      <c r="F46" s="50">
        <v>48</v>
      </c>
      <c r="G46" s="50">
        <v>1</v>
      </c>
      <c r="H46" s="50">
        <v>0</v>
      </c>
      <c r="I46" s="50">
        <v>17</v>
      </c>
      <c r="J46" s="50">
        <v>4</v>
      </c>
      <c r="K46" s="50">
        <v>3</v>
      </c>
      <c r="L46" s="50">
        <v>5</v>
      </c>
      <c r="M46" s="50">
        <v>80</v>
      </c>
      <c r="N46" s="50">
        <v>0</v>
      </c>
      <c r="O46" s="15">
        <f t="shared" si="0"/>
        <v>137</v>
      </c>
      <c r="P46" s="15">
        <f t="shared" si="1"/>
        <v>217</v>
      </c>
      <c r="R46" s="8"/>
      <c r="T46"/>
    </row>
    <row r="47" spans="2:20" ht="23.1" customHeight="1" x14ac:dyDescent="0.25">
      <c r="B47" s="24" t="s">
        <v>74</v>
      </c>
      <c r="C47" s="50">
        <v>39</v>
      </c>
      <c r="D47" s="50">
        <v>5</v>
      </c>
      <c r="E47" s="50">
        <v>6</v>
      </c>
      <c r="F47" s="50">
        <v>41</v>
      </c>
      <c r="G47" s="50">
        <v>1</v>
      </c>
      <c r="H47" s="50">
        <v>0</v>
      </c>
      <c r="I47" s="50">
        <v>9</v>
      </c>
      <c r="J47" s="50">
        <v>1</v>
      </c>
      <c r="K47" s="50">
        <v>3</v>
      </c>
      <c r="L47" s="50">
        <v>2</v>
      </c>
      <c r="M47" s="50">
        <v>90</v>
      </c>
      <c r="N47" s="50">
        <v>0</v>
      </c>
      <c r="O47" s="15">
        <f t="shared" si="0"/>
        <v>107</v>
      </c>
      <c r="P47" s="15">
        <f t="shared" si="1"/>
        <v>197</v>
      </c>
      <c r="R47" s="8"/>
      <c r="T47"/>
    </row>
    <row r="48" spans="2:20" ht="23.1" customHeight="1" x14ac:dyDescent="0.25">
      <c r="B48" s="24" t="s">
        <v>75</v>
      </c>
      <c r="C48" s="50">
        <v>51</v>
      </c>
      <c r="D48" s="50">
        <v>6</v>
      </c>
      <c r="E48" s="50">
        <v>4</v>
      </c>
      <c r="F48" s="50">
        <v>48</v>
      </c>
      <c r="G48" s="50">
        <v>2</v>
      </c>
      <c r="H48" s="50">
        <v>1</v>
      </c>
      <c r="I48" s="50">
        <v>13</v>
      </c>
      <c r="J48" s="50">
        <v>2</v>
      </c>
      <c r="K48" s="50">
        <v>2</v>
      </c>
      <c r="L48" s="50">
        <v>6</v>
      </c>
      <c r="M48" s="50">
        <v>103</v>
      </c>
      <c r="N48" s="50">
        <v>0</v>
      </c>
      <c r="O48" s="15">
        <f t="shared" si="0"/>
        <v>135</v>
      </c>
      <c r="P48" s="15">
        <f t="shared" si="1"/>
        <v>238</v>
      </c>
      <c r="R48" s="8"/>
      <c r="T48"/>
    </row>
    <row r="49" spans="2:20" ht="23.1" customHeight="1" x14ac:dyDescent="0.25">
      <c r="B49" s="23" t="s">
        <v>76</v>
      </c>
      <c r="C49" s="50">
        <v>46</v>
      </c>
      <c r="D49" s="50">
        <v>4</v>
      </c>
      <c r="E49" s="50">
        <v>8</v>
      </c>
      <c r="F49" s="50">
        <v>50</v>
      </c>
      <c r="G49" s="50">
        <v>3</v>
      </c>
      <c r="H49" s="50">
        <v>0</v>
      </c>
      <c r="I49" s="50">
        <v>17</v>
      </c>
      <c r="J49" s="50">
        <v>4</v>
      </c>
      <c r="K49" s="50">
        <v>1</v>
      </c>
      <c r="L49" s="50">
        <v>4</v>
      </c>
      <c r="M49" s="50">
        <v>110</v>
      </c>
      <c r="N49" s="50">
        <v>0</v>
      </c>
      <c r="O49" s="15">
        <f t="shared" si="0"/>
        <v>137</v>
      </c>
      <c r="P49" s="15">
        <f t="shared" si="1"/>
        <v>247</v>
      </c>
      <c r="R49" s="8"/>
      <c r="T49"/>
    </row>
    <row r="50" spans="2:20" ht="23.1" customHeight="1" x14ac:dyDescent="0.25">
      <c r="B50" s="24" t="s">
        <v>77</v>
      </c>
      <c r="C50" s="50">
        <v>37</v>
      </c>
      <c r="D50" s="50">
        <v>4</v>
      </c>
      <c r="E50" s="50">
        <v>11</v>
      </c>
      <c r="F50" s="50">
        <v>41</v>
      </c>
      <c r="G50" s="50">
        <v>0</v>
      </c>
      <c r="H50" s="50">
        <v>0</v>
      </c>
      <c r="I50" s="50">
        <v>16</v>
      </c>
      <c r="J50" s="50">
        <v>2</v>
      </c>
      <c r="K50" s="50">
        <v>0</v>
      </c>
      <c r="L50" s="50">
        <v>5</v>
      </c>
      <c r="M50" s="50">
        <v>67</v>
      </c>
      <c r="N50" s="50">
        <v>0</v>
      </c>
      <c r="O50" s="15">
        <f t="shared" si="0"/>
        <v>116</v>
      </c>
      <c r="P50" s="15">
        <f t="shared" si="1"/>
        <v>183</v>
      </c>
      <c r="R50" s="8"/>
      <c r="T50"/>
    </row>
    <row r="51" spans="2:20" ht="23.1" customHeight="1" x14ac:dyDescent="0.25">
      <c r="B51" s="24" t="s">
        <v>78</v>
      </c>
      <c r="C51" s="50">
        <v>42</v>
      </c>
      <c r="D51" s="50">
        <v>8</v>
      </c>
      <c r="E51" s="50">
        <v>7</v>
      </c>
      <c r="F51" s="50">
        <v>44</v>
      </c>
      <c r="G51" s="50">
        <v>2</v>
      </c>
      <c r="H51" s="50">
        <v>0</v>
      </c>
      <c r="I51" s="50">
        <v>12</v>
      </c>
      <c r="J51" s="50">
        <v>2</v>
      </c>
      <c r="K51" s="50">
        <v>1</v>
      </c>
      <c r="L51" s="50">
        <v>1</v>
      </c>
      <c r="M51" s="50">
        <v>105</v>
      </c>
      <c r="N51" s="50">
        <v>0</v>
      </c>
      <c r="O51" s="15">
        <f t="shared" si="0"/>
        <v>119</v>
      </c>
      <c r="P51" s="15">
        <f t="shared" si="1"/>
        <v>224</v>
      </c>
      <c r="R51" s="8"/>
      <c r="T51"/>
    </row>
    <row r="52" spans="2:20" ht="23.1" customHeight="1" x14ac:dyDescent="0.25">
      <c r="B52" s="24" t="s">
        <v>79</v>
      </c>
      <c r="C52" s="50">
        <v>63</v>
      </c>
      <c r="D52" s="50">
        <v>10</v>
      </c>
      <c r="E52" s="50">
        <v>7</v>
      </c>
      <c r="F52" s="50">
        <v>31</v>
      </c>
      <c r="G52" s="50">
        <v>0</v>
      </c>
      <c r="H52" s="50">
        <v>0</v>
      </c>
      <c r="I52" s="50">
        <v>9</v>
      </c>
      <c r="J52" s="50">
        <v>4</v>
      </c>
      <c r="K52" s="50">
        <v>1</v>
      </c>
      <c r="L52" s="50">
        <v>4</v>
      </c>
      <c r="M52" s="50">
        <v>90</v>
      </c>
      <c r="N52" s="50">
        <v>0</v>
      </c>
      <c r="O52" s="15">
        <f t="shared" si="0"/>
        <v>129</v>
      </c>
      <c r="P52" s="15">
        <f t="shared" si="1"/>
        <v>219</v>
      </c>
      <c r="R52" s="8"/>
      <c r="T52"/>
    </row>
    <row r="53" spans="2:20" ht="23.1" customHeight="1" x14ac:dyDescent="0.25">
      <c r="B53" s="23" t="s">
        <v>80</v>
      </c>
      <c r="C53" s="50">
        <v>48</v>
      </c>
      <c r="D53" s="50">
        <v>6</v>
      </c>
      <c r="E53" s="50">
        <v>2</v>
      </c>
      <c r="F53" s="50">
        <v>39</v>
      </c>
      <c r="G53" s="50">
        <v>0</v>
      </c>
      <c r="H53" s="50">
        <v>0</v>
      </c>
      <c r="I53" s="50">
        <v>8</v>
      </c>
      <c r="J53" s="50">
        <v>9</v>
      </c>
      <c r="K53" s="50">
        <v>1</v>
      </c>
      <c r="L53" s="50">
        <v>3</v>
      </c>
      <c r="M53" s="50">
        <v>91</v>
      </c>
      <c r="N53" s="50">
        <v>0</v>
      </c>
      <c r="O53" s="15">
        <f t="shared" si="0"/>
        <v>116</v>
      </c>
      <c r="P53" s="15">
        <f t="shared" si="1"/>
        <v>207</v>
      </c>
      <c r="R53" s="8"/>
      <c r="T53"/>
    </row>
    <row r="54" spans="2:20" ht="23.1" customHeight="1" x14ac:dyDescent="0.25">
      <c r="B54" s="23" t="s">
        <v>81</v>
      </c>
      <c r="C54" s="50">
        <v>51</v>
      </c>
      <c r="D54" s="50">
        <v>11</v>
      </c>
      <c r="E54" s="50">
        <v>7</v>
      </c>
      <c r="F54" s="50">
        <v>67</v>
      </c>
      <c r="G54" s="50">
        <v>2</v>
      </c>
      <c r="H54" s="50">
        <v>0</v>
      </c>
      <c r="I54" s="50">
        <v>19</v>
      </c>
      <c r="J54" s="50">
        <v>1</v>
      </c>
      <c r="K54" s="50">
        <v>1</v>
      </c>
      <c r="L54" s="50">
        <v>2</v>
      </c>
      <c r="M54" s="50">
        <v>105</v>
      </c>
      <c r="N54" s="50">
        <v>0</v>
      </c>
      <c r="O54" s="15">
        <f t="shared" si="0"/>
        <v>161</v>
      </c>
      <c r="P54" s="15">
        <f t="shared" si="1"/>
        <v>266</v>
      </c>
      <c r="R54" s="8"/>
      <c r="T54"/>
    </row>
    <row r="55" spans="2:20" ht="23.1" customHeight="1" x14ac:dyDescent="0.25">
      <c r="B55" s="23" t="s">
        <v>82</v>
      </c>
      <c r="C55" s="50">
        <v>53</v>
      </c>
      <c r="D55" s="50">
        <v>5</v>
      </c>
      <c r="E55" s="50">
        <v>4</v>
      </c>
      <c r="F55" s="50">
        <v>44</v>
      </c>
      <c r="G55" s="50">
        <v>1</v>
      </c>
      <c r="H55" s="50">
        <v>2</v>
      </c>
      <c r="I55" s="50">
        <v>11</v>
      </c>
      <c r="J55" s="50">
        <v>0</v>
      </c>
      <c r="K55" s="50">
        <v>0</v>
      </c>
      <c r="L55" s="50">
        <v>1</v>
      </c>
      <c r="M55" s="50">
        <v>135</v>
      </c>
      <c r="N55" s="50">
        <v>0</v>
      </c>
      <c r="O55" s="15">
        <f t="shared" si="0"/>
        <v>121</v>
      </c>
      <c r="P55" s="15">
        <f t="shared" si="1"/>
        <v>256</v>
      </c>
      <c r="R55" s="8"/>
      <c r="T55"/>
    </row>
    <row r="56" spans="2:20" ht="23.1" customHeight="1" x14ac:dyDescent="0.25">
      <c r="B56" s="23" t="s">
        <v>83</v>
      </c>
      <c r="C56" s="50">
        <v>55</v>
      </c>
      <c r="D56" s="50">
        <v>7</v>
      </c>
      <c r="E56" s="50">
        <v>4</v>
      </c>
      <c r="F56" s="50">
        <v>40</v>
      </c>
      <c r="G56" s="50">
        <v>0</v>
      </c>
      <c r="H56" s="50">
        <v>0</v>
      </c>
      <c r="I56" s="50">
        <v>10</v>
      </c>
      <c r="J56" s="50">
        <v>4</v>
      </c>
      <c r="K56" s="50">
        <v>1</v>
      </c>
      <c r="L56" s="50">
        <v>3</v>
      </c>
      <c r="M56" s="50">
        <v>248</v>
      </c>
      <c r="N56" s="50">
        <v>0</v>
      </c>
      <c r="O56" s="15">
        <f t="shared" si="0"/>
        <v>124</v>
      </c>
      <c r="P56" s="15">
        <f t="shared" si="1"/>
        <v>372</v>
      </c>
      <c r="R56" s="8"/>
      <c r="T56"/>
    </row>
    <row r="57" spans="2:20" ht="23.1" customHeight="1" x14ac:dyDescent="0.25">
      <c r="B57" s="23" t="s">
        <v>84</v>
      </c>
      <c r="C57" s="50">
        <v>94</v>
      </c>
      <c r="D57" s="50">
        <v>6</v>
      </c>
      <c r="E57" s="50">
        <v>3</v>
      </c>
      <c r="F57" s="50">
        <v>35</v>
      </c>
      <c r="G57" s="50">
        <v>2</v>
      </c>
      <c r="H57" s="50">
        <v>0</v>
      </c>
      <c r="I57" s="50">
        <v>8</v>
      </c>
      <c r="J57" s="50">
        <v>3</v>
      </c>
      <c r="K57" s="50">
        <v>1</v>
      </c>
      <c r="L57" s="50">
        <v>2</v>
      </c>
      <c r="M57" s="50">
        <v>215</v>
      </c>
      <c r="N57" s="50">
        <v>0</v>
      </c>
      <c r="O57" s="15">
        <f t="shared" si="0"/>
        <v>154</v>
      </c>
      <c r="P57" s="15">
        <f t="shared" si="1"/>
        <v>369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1856</v>
      </c>
      <c r="D58" s="16">
        <f t="shared" si="21"/>
        <v>329</v>
      </c>
      <c r="E58" s="16">
        <f t="shared" si="21"/>
        <v>333</v>
      </c>
      <c r="F58" s="16">
        <f t="shared" si="21"/>
        <v>2200</v>
      </c>
      <c r="G58" s="16">
        <f t="shared" si="21"/>
        <v>68</v>
      </c>
      <c r="H58" s="16">
        <f t="shared" si="21"/>
        <v>25</v>
      </c>
      <c r="I58" s="16">
        <f t="shared" si="21"/>
        <v>558</v>
      </c>
      <c r="J58" s="16">
        <f t="shared" si="21"/>
        <v>141</v>
      </c>
      <c r="K58" s="16">
        <f t="shared" si="21"/>
        <v>52</v>
      </c>
      <c r="L58" s="16">
        <f t="shared" si="21"/>
        <v>117</v>
      </c>
      <c r="M58" s="16">
        <f t="shared" si="21"/>
        <v>5455</v>
      </c>
      <c r="N58" s="16">
        <f t="shared" si="21"/>
        <v>0</v>
      </c>
      <c r="O58" s="16">
        <f t="shared" si="21"/>
        <v>5679</v>
      </c>
      <c r="P58" s="16">
        <f t="shared" si="21"/>
        <v>11134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0.16669660499371294</v>
      </c>
      <c r="D59" s="43">
        <f t="shared" si="22"/>
        <v>2.9549128794682952E-2</v>
      </c>
      <c r="E59" s="43">
        <f t="shared" si="22"/>
        <v>2.9908388719238368E-2</v>
      </c>
      <c r="F59" s="43">
        <f t="shared" si="22"/>
        <v>0.19759295850547873</v>
      </c>
      <c r="G59" s="43">
        <f t="shared" si="22"/>
        <v>6.1074187174420692E-3</v>
      </c>
      <c r="H59" s="43">
        <f t="shared" si="22"/>
        <v>2.2453745284713492E-3</v>
      </c>
      <c r="I59" s="43">
        <f t="shared" si="22"/>
        <v>5.0116759475480513E-2</v>
      </c>
      <c r="J59" s="43">
        <f t="shared" si="22"/>
        <v>1.2663912340578409E-2</v>
      </c>
      <c r="K59" s="43">
        <f t="shared" si="22"/>
        <v>4.6703790192204062E-3</v>
      </c>
      <c r="L59" s="43">
        <f t="shared" si="22"/>
        <v>1.0508352793245914E-2</v>
      </c>
      <c r="M59" s="43">
        <f t="shared" si="22"/>
        <v>0.48994072211244838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0.32681810177848214</v>
      </c>
      <c r="D60" s="44">
        <f t="shared" ref="D60:N60" si="23">D58/$O$58</f>
        <v>5.7932734636379643E-2</v>
      </c>
      <c r="E60" s="44">
        <f t="shared" si="23"/>
        <v>5.8637083993660855E-2</v>
      </c>
      <c r="F60" s="44">
        <f t="shared" si="23"/>
        <v>0.3873921465046663</v>
      </c>
      <c r="G60" s="44">
        <f t="shared" si="23"/>
        <v>1.1973939073780596E-2</v>
      </c>
      <c r="H60" s="44">
        <f t="shared" si="23"/>
        <v>4.4021834830075719E-3</v>
      </c>
      <c r="I60" s="44">
        <f t="shared" si="23"/>
        <v>9.8256735340728998E-2</v>
      </c>
      <c r="J60" s="44">
        <f t="shared" si="23"/>
        <v>2.4828314844162706E-2</v>
      </c>
      <c r="K60" s="44">
        <f t="shared" si="23"/>
        <v>9.1565416446557496E-3</v>
      </c>
      <c r="L60" s="44">
        <f t="shared" si="23"/>
        <v>2.0602218700475437E-2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Bwaise-Kawempe'!C3:G3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'22.07 Bwaise-Kawempe'!D5</f>
        <v>22.07.19</v>
      </c>
      <c r="E5" s="3"/>
      <c r="F5" s="41" t="s">
        <v>1</v>
      </c>
      <c r="G5" s="60" t="str">
        <f>'22.07 Bwaise-Kawempe'!G5:H5</f>
        <v>Before Steel and Tube</v>
      </c>
      <c r="H5" s="61"/>
      <c r="I5" s="14"/>
      <c r="J5" s="2" t="s">
        <v>5</v>
      </c>
      <c r="K5" s="60" t="s">
        <v>175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172</v>
      </c>
      <c r="E6" s="55"/>
      <c r="F6" s="2" t="s">
        <v>2</v>
      </c>
      <c r="G6" s="54" t="s">
        <v>171</v>
      </c>
      <c r="H6" s="55"/>
      <c r="J6" s="2" t="s">
        <v>21</v>
      </c>
      <c r="K6" s="60" t="str">
        <f>'22.07 Bwaise-Kawempe'!K6:L6</f>
        <v>Salima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70</v>
      </c>
      <c r="D10" s="50">
        <v>14</v>
      </c>
      <c r="E10" s="50">
        <v>7</v>
      </c>
      <c r="F10" s="50">
        <v>53</v>
      </c>
      <c r="G10" s="50">
        <v>5</v>
      </c>
      <c r="H10" s="50">
        <v>0</v>
      </c>
      <c r="I10" s="50">
        <v>7</v>
      </c>
      <c r="J10" s="50">
        <v>3</v>
      </c>
      <c r="K10" s="50">
        <v>0</v>
      </c>
      <c r="L10" s="50">
        <v>3</v>
      </c>
      <c r="M10" s="50">
        <v>380</v>
      </c>
      <c r="N10" s="50">
        <v>0</v>
      </c>
      <c r="O10" s="15">
        <f t="shared" ref="O10:O57" si="0">SUM(C10:L10,N10)</f>
        <v>162</v>
      </c>
      <c r="P10" s="15">
        <f t="shared" ref="P10:P57" si="1">SUM(C10:N10)</f>
        <v>542</v>
      </c>
      <c r="R10" s="1" t="s">
        <v>6</v>
      </c>
      <c r="S10" s="17">
        <f t="shared" ref="S10:AF10" si="2">SUM(C10:C13)</f>
        <v>230</v>
      </c>
      <c r="T10" s="17">
        <f t="shared" si="2"/>
        <v>42</v>
      </c>
      <c r="U10" s="17">
        <f t="shared" si="2"/>
        <v>25</v>
      </c>
      <c r="V10" s="17">
        <f t="shared" si="2"/>
        <v>177</v>
      </c>
      <c r="W10" s="17">
        <f t="shared" si="2"/>
        <v>9</v>
      </c>
      <c r="X10" s="17">
        <f t="shared" si="2"/>
        <v>0</v>
      </c>
      <c r="Y10" s="17">
        <f t="shared" si="2"/>
        <v>27</v>
      </c>
      <c r="Z10" s="17">
        <f t="shared" si="2"/>
        <v>8</v>
      </c>
      <c r="AA10" s="17">
        <f t="shared" si="2"/>
        <v>5</v>
      </c>
      <c r="AB10" s="17">
        <f t="shared" si="2"/>
        <v>10</v>
      </c>
      <c r="AC10" s="17">
        <f t="shared" si="2"/>
        <v>1460</v>
      </c>
      <c r="AD10" s="17">
        <f t="shared" si="2"/>
        <v>0</v>
      </c>
      <c r="AE10" s="31">
        <f t="shared" si="2"/>
        <v>533</v>
      </c>
      <c r="AF10" s="31">
        <f t="shared" si="2"/>
        <v>1993</v>
      </c>
    </row>
    <row r="11" spans="2:32" s="6" customFormat="1" ht="23.1" customHeight="1" x14ac:dyDescent="0.25">
      <c r="B11" s="23" t="s">
        <v>38</v>
      </c>
      <c r="C11" s="50">
        <v>55</v>
      </c>
      <c r="D11" s="50">
        <v>6</v>
      </c>
      <c r="E11" s="50">
        <v>8</v>
      </c>
      <c r="F11" s="50">
        <v>39</v>
      </c>
      <c r="G11" s="50">
        <v>3</v>
      </c>
      <c r="H11" s="50">
        <v>0</v>
      </c>
      <c r="I11" s="50">
        <v>6</v>
      </c>
      <c r="J11" s="50">
        <v>0</v>
      </c>
      <c r="K11" s="50">
        <v>4</v>
      </c>
      <c r="L11" s="50">
        <v>2</v>
      </c>
      <c r="M11" s="50">
        <v>415</v>
      </c>
      <c r="N11" s="50">
        <v>0</v>
      </c>
      <c r="O11" s="15">
        <f t="shared" si="0"/>
        <v>123</v>
      </c>
      <c r="P11" s="15">
        <f t="shared" si="1"/>
        <v>538</v>
      </c>
      <c r="R11" s="1" t="s">
        <v>7</v>
      </c>
      <c r="S11" s="17">
        <f t="shared" ref="S11:AF11" si="3">SUM(C14:C17)</f>
        <v>237</v>
      </c>
      <c r="T11" s="17">
        <f t="shared" si="3"/>
        <v>63</v>
      </c>
      <c r="U11" s="17">
        <f t="shared" si="3"/>
        <v>28</v>
      </c>
      <c r="V11" s="17">
        <f t="shared" si="3"/>
        <v>242</v>
      </c>
      <c r="W11" s="17">
        <f t="shared" si="3"/>
        <v>9</v>
      </c>
      <c r="X11" s="17">
        <f t="shared" si="3"/>
        <v>1</v>
      </c>
      <c r="Y11" s="17">
        <f t="shared" si="3"/>
        <v>39</v>
      </c>
      <c r="Z11" s="17">
        <f t="shared" si="3"/>
        <v>14</v>
      </c>
      <c r="AA11" s="17">
        <f t="shared" si="3"/>
        <v>7</v>
      </c>
      <c r="AB11" s="17">
        <f t="shared" si="3"/>
        <v>12</v>
      </c>
      <c r="AC11" s="17">
        <f t="shared" si="3"/>
        <v>1539</v>
      </c>
      <c r="AD11" s="17">
        <f t="shared" si="3"/>
        <v>0</v>
      </c>
      <c r="AE11" s="31">
        <f t="shared" si="3"/>
        <v>652</v>
      </c>
      <c r="AF11" s="31">
        <f t="shared" si="3"/>
        <v>2191</v>
      </c>
    </row>
    <row r="12" spans="2:32" ht="23.1" customHeight="1" x14ac:dyDescent="0.25">
      <c r="B12" s="23" t="s">
        <v>39</v>
      </c>
      <c r="C12" s="50">
        <v>51</v>
      </c>
      <c r="D12" s="50">
        <v>13</v>
      </c>
      <c r="E12" s="50">
        <v>8</v>
      </c>
      <c r="F12" s="50">
        <v>50</v>
      </c>
      <c r="G12" s="50">
        <v>1</v>
      </c>
      <c r="H12" s="50">
        <v>0</v>
      </c>
      <c r="I12" s="50">
        <v>6</v>
      </c>
      <c r="J12" s="50">
        <v>3</v>
      </c>
      <c r="K12" s="50">
        <v>1</v>
      </c>
      <c r="L12" s="50">
        <v>2</v>
      </c>
      <c r="M12" s="50">
        <v>350</v>
      </c>
      <c r="N12" s="50">
        <v>0</v>
      </c>
      <c r="O12" s="15">
        <f t="shared" si="0"/>
        <v>135</v>
      </c>
      <c r="P12" s="15">
        <f t="shared" si="1"/>
        <v>485</v>
      </c>
      <c r="R12" s="1" t="s">
        <v>8</v>
      </c>
      <c r="S12" s="17">
        <f t="shared" ref="S12:AF12" si="4">SUM(C18:C21)</f>
        <v>163</v>
      </c>
      <c r="T12" s="17">
        <f t="shared" si="4"/>
        <v>49</v>
      </c>
      <c r="U12" s="17">
        <f t="shared" si="4"/>
        <v>29</v>
      </c>
      <c r="V12" s="17">
        <f t="shared" si="4"/>
        <v>210</v>
      </c>
      <c r="W12" s="17">
        <f t="shared" si="4"/>
        <v>2</v>
      </c>
      <c r="X12" s="17">
        <f t="shared" si="4"/>
        <v>2</v>
      </c>
      <c r="Y12" s="17">
        <f t="shared" si="4"/>
        <v>39</v>
      </c>
      <c r="Z12" s="17">
        <f t="shared" si="4"/>
        <v>20</v>
      </c>
      <c r="AA12" s="17">
        <f t="shared" si="4"/>
        <v>12</v>
      </c>
      <c r="AB12" s="17">
        <f t="shared" si="4"/>
        <v>2</v>
      </c>
      <c r="AC12" s="17">
        <f t="shared" si="4"/>
        <v>1318</v>
      </c>
      <c r="AD12" s="17">
        <f t="shared" si="4"/>
        <v>0</v>
      </c>
      <c r="AE12" s="31">
        <f t="shared" si="4"/>
        <v>528</v>
      </c>
      <c r="AF12" s="31">
        <f t="shared" si="4"/>
        <v>1846</v>
      </c>
    </row>
    <row r="13" spans="2:32" ht="23.1" customHeight="1" x14ac:dyDescent="0.25">
      <c r="B13" s="23" t="s">
        <v>40</v>
      </c>
      <c r="C13" s="50">
        <v>54</v>
      </c>
      <c r="D13" s="50">
        <v>9</v>
      </c>
      <c r="E13" s="50">
        <v>2</v>
      </c>
      <c r="F13" s="50">
        <v>35</v>
      </c>
      <c r="G13" s="50">
        <v>0</v>
      </c>
      <c r="H13" s="50">
        <v>0</v>
      </c>
      <c r="I13" s="50">
        <v>8</v>
      </c>
      <c r="J13" s="50">
        <v>2</v>
      </c>
      <c r="K13" s="50">
        <v>0</v>
      </c>
      <c r="L13" s="50">
        <v>3</v>
      </c>
      <c r="M13" s="50">
        <v>315</v>
      </c>
      <c r="N13" s="50">
        <v>0</v>
      </c>
      <c r="O13" s="15">
        <f t="shared" si="0"/>
        <v>113</v>
      </c>
      <c r="P13" s="15">
        <f t="shared" si="1"/>
        <v>428</v>
      </c>
      <c r="R13" s="1" t="s">
        <v>9</v>
      </c>
      <c r="S13" s="17">
        <f t="shared" ref="S13:AF13" si="5">SUM(C22:C25)</f>
        <v>160</v>
      </c>
      <c r="T13" s="17">
        <f t="shared" si="5"/>
        <v>37</v>
      </c>
      <c r="U13" s="17">
        <f t="shared" si="5"/>
        <v>23</v>
      </c>
      <c r="V13" s="17">
        <f t="shared" si="5"/>
        <v>217</v>
      </c>
      <c r="W13" s="17">
        <f t="shared" si="5"/>
        <v>4</v>
      </c>
      <c r="X13" s="17">
        <f t="shared" si="5"/>
        <v>0</v>
      </c>
      <c r="Y13" s="17">
        <f t="shared" si="5"/>
        <v>54</v>
      </c>
      <c r="Z13" s="17">
        <f t="shared" si="5"/>
        <v>19</v>
      </c>
      <c r="AA13" s="17">
        <f t="shared" si="5"/>
        <v>10</v>
      </c>
      <c r="AB13" s="17">
        <f t="shared" si="5"/>
        <v>12</v>
      </c>
      <c r="AC13" s="17">
        <f t="shared" si="5"/>
        <v>883</v>
      </c>
      <c r="AD13" s="17">
        <f t="shared" si="5"/>
        <v>0</v>
      </c>
      <c r="AE13" s="31">
        <f t="shared" si="5"/>
        <v>536</v>
      </c>
      <c r="AF13" s="31">
        <f t="shared" si="5"/>
        <v>1419</v>
      </c>
    </row>
    <row r="14" spans="2:32" ht="23.1" customHeight="1" x14ac:dyDescent="0.25">
      <c r="B14" s="23" t="s">
        <v>41</v>
      </c>
      <c r="C14" s="50">
        <v>75</v>
      </c>
      <c r="D14" s="50">
        <v>16</v>
      </c>
      <c r="E14" s="50">
        <v>10</v>
      </c>
      <c r="F14" s="50">
        <v>78</v>
      </c>
      <c r="G14" s="50">
        <v>3</v>
      </c>
      <c r="H14" s="50">
        <v>0</v>
      </c>
      <c r="I14" s="50">
        <v>10</v>
      </c>
      <c r="J14" s="50">
        <v>4</v>
      </c>
      <c r="K14" s="50">
        <v>1</v>
      </c>
      <c r="L14" s="50">
        <v>3</v>
      </c>
      <c r="M14" s="50">
        <v>318</v>
      </c>
      <c r="N14" s="50">
        <v>0</v>
      </c>
      <c r="O14" s="15">
        <f t="shared" si="0"/>
        <v>200</v>
      </c>
      <c r="P14" s="15">
        <f t="shared" si="1"/>
        <v>518</v>
      </c>
      <c r="R14" s="1" t="s">
        <v>10</v>
      </c>
      <c r="S14" s="17">
        <f t="shared" ref="S14:AF14" si="6">SUM(C26:C29)</f>
        <v>175</v>
      </c>
      <c r="T14" s="17">
        <f t="shared" si="6"/>
        <v>58</v>
      </c>
      <c r="U14" s="17">
        <f t="shared" si="6"/>
        <v>32</v>
      </c>
      <c r="V14" s="17">
        <f t="shared" si="6"/>
        <v>184</v>
      </c>
      <c r="W14" s="17">
        <f t="shared" si="6"/>
        <v>7</v>
      </c>
      <c r="X14" s="17">
        <f t="shared" si="6"/>
        <v>0</v>
      </c>
      <c r="Y14" s="17">
        <f t="shared" si="6"/>
        <v>54</v>
      </c>
      <c r="Z14" s="17">
        <f t="shared" si="6"/>
        <v>12</v>
      </c>
      <c r="AA14" s="17">
        <f t="shared" si="6"/>
        <v>8</v>
      </c>
      <c r="AB14" s="17">
        <f t="shared" si="6"/>
        <v>13</v>
      </c>
      <c r="AC14" s="17">
        <f t="shared" si="6"/>
        <v>829</v>
      </c>
      <c r="AD14" s="17">
        <f t="shared" si="6"/>
        <v>0</v>
      </c>
      <c r="AE14" s="31">
        <f t="shared" si="6"/>
        <v>543</v>
      </c>
      <c r="AF14" s="31">
        <f t="shared" si="6"/>
        <v>1372</v>
      </c>
    </row>
    <row r="15" spans="2:32" ht="23.1" customHeight="1" x14ac:dyDescent="0.25">
      <c r="B15" s="23" t="s">
        <v>42</v>
      </c>
      <c r="C15" s="50">
        <v>55</v>
      </c>
      <c r="D15" s="50">
        <v>18</v>
      </c>
      <c r="E15" s="50">
        <v>7</v>
      </c>
      <c r="F15" s="50">
        <v>56</v>
      </c>
      <c r="G15" s="50">
        <v>1</v>
      </c>
      <c r="H15" s="50">
        <v>1</v>
      </c>
      <c r="I15" s="50">
        <v>8</v>
      </c>
      <c r="J15" s="50">
        <v>2</v>
      </c>
      <c r="K15" s="50">
        <v>2</v>
      </c>
      <c r="L15" s="50">
        <v>5</v>
      </c>
      <c r="M15" s="50">
        <v>396</v>
      </c>
      <c r="N15" s="50">
        <v>0</v>
      </c>
      <c r="O15" s="15">
        <f t="shared" si="0"/>
        <v>155</v>
      </c>
      <c r="P15" s="15">
        <f t="shared" si="1"/>
        <v>551</v>
      </c>
      <c r="R15" s="1" t="s">
        <v>11</v>
      </c>
      <c r="S15" s="17">
        <f t="shared" ref="S15:AF15" si="7">SUM(C30:C33)</f>
        <v>150</v>
      </c>
      <c r="T15" s="17">
        <f t="shared" si="7"/>
        <v>37</v>
      </c>
      <c r="U15" s="17">
        <f t="shared" si="7"/>
        <v>23</v>
      </c>
      <c r="V15" s="17">
        <f t="shared" si="7"/>
        <v>169</v>
      </c>
      <c r="W15" s="17">
        <f t="shared" si="7"/>
        <v>7</v>
      </c>
      <c r="X15" s="17">
        <f t="shared" si="7"/>
        <v>4</v>
      </c>
      <c r="Y15" s="17">
        <f t="shared" si="7"/>
        <v>37</v>
      </c>
      <c r="Z15" s="17">
        <f t="shared" si="7"/>
        <v>23</v>
      </c>
      <c r="AA15" s="17">
        <f t="shared" si="7"/>
        <v>10</v>
      </c>
      <c r="AB15" s="17">
        <f t="shared" si="7"/>
        <v>10</v>
      </c>
      <c r="AC15" s="17">
        <f t="shared" si="7"/>
        <v>683</v>
      </c>
      <c r="AD15" s="17">
        <f t="shared" si="7"/>
        <v>0</v>
      </c>
      <c r="AE15" s="31">
        <f t="shared" si="7"/>
        <v>470</v>
      </c>
      <c r="AF15" s="31">
        <f t="shared" si="7"/>
        <v>1153</v>
      </c>
    </row>
    <row r="16" spans="2:32" ht="23.1" customHeight="1" x14ac:dyDescent="0.25">
      <c r="B16" s="23" t="s">
        <v>43</v>
      </c>
      <c r="C16" s="50">
        <v>59</v>
      </c>
      <c r="D16" s="50">
        <v>15</v>
      </c>
      <c r="E16" s="50">
        <v>5</v>
      </c>
      <c r="F16" s="50">
        <v>55</v>
      </c>
      <c r="G16" s="50">
        <v>2</v>
      </c>
      <c r="H16" s="50">
        <v>0</v>
      </c>
      <c r="I16" s="50">
        <v>11</v>
      </c>
      <c r="J16" s="50">
        <v>5</v>
      </c>
      <c r="K16" s="50">
        <v>1</v>
      </c>
      <c r="L16" s="50">
        <v>0</v>
      </c>
      <c r="M16" s="50">
        <v>465</v>
      </c>
      <c r="N16" s="50">
        <v>0</v>
      </c>
      <c r="O16" s="15">
        <f t="shared" si="0"/>
        <v>153</v>
      </c>
      <c r="P16" s="15">
        <f t="shared" si="1"/>
        <v>618</v>
      </c>
      <c r="R16" s="1" t="s">
        <v>12</v>
      </c>
      <c r="S16" s="17">
        <f t="shared" ref="S16:AF16" si="8">SUM(C34:C37)</f>
        <v>124</v>
      </c>
      <c r="T16" s="17">
        <f t="shared" si="8"/>
        <v>57</v>
      </c>
      <c r="U16" s="17">
        <f t="shared" si="8"/>
        <v>33</v>
      </c>
      <c r="V16" s="17">
        <f t="shared" si="8"/>
        <v>161</v>
      </c>
      <c r="W16" s="17">
        <f t="shared" si="8"/>
        <v>2</v>
      </c>
      <c r="X16" s="17">
        <f t="shared" si="8"/>
        <v>2</v>
      </c>
      <c r="Y16" s="17">
        <f t="shared" si="8"/>
        <v>40</v>
      </c>
      <c r="Z16" s="17">
        <f t="shared" si="8"/>
        <v>15</v>
      </c>
      <c r="AA16" s="17">
        <f t="shared" si="8"/>
        <v>13</v>
      </c>
      <c r="AB16" s="17">
        <f t="shared" si="8"/>
        <v>6</v>
      </c>
      <c r="AC16" s="17">
        <f t="shared" si="8"/>
        <v>686</v>
      </c>
      <c r="AD16" s="17">
        <f t="shared" si="8"/>
        <v>0</v>
      </c>
      <c r="AE16" s="31">
        <f t="shared" si="8"/>
        <v>453</v>
      </c>
      <c r="AF16" s="31">
        <f t="shared" si="8"/>
        <v>1139</v>
      </c>
    </row>
    <row r="17" spans="2:32" ht="23.1" customHeight="1" x14ac:dyDescent="0.25">
      <c r="B17" s="23" t="s">
        <v>44</v>
      </c>
      <c r="C17" s="50">
        <v>48</v>
      </c>
      <c r="D17" s="50">
        <v>14</v>
      </c>
      <c r="E17" s="50">
        <v>6</v>
      </c>
      <c r="F17" s="50">
        <v>53</v>
      </c>
      <c r="G17" s="50">
        <v>3</v>
      </c>
      <c r="H17" s="50">
        <v>0</v>
      </c>
      <c r="I17" s="50">
        <v>10</v>
      </c>
      <c r="J17" s="50">
        <v>3</v>
      </c>
      <c r="K17" s="50">
        <v>3</v>
      </c>
      <c r="L17" s="50">
        <v>4</v>
      </c>
      <c r="M17" s="50">
        <v>360</v>
      </c>
      <c r="N17" s="50">
        <v>0</v>
      </c>
      <c r="O17" s="15">
        <f t="shared" si="0"/>
        <v>144</v>
      </c>
      <c r="P17" s="15">
        <f t="shared" si="1"/>
        <v>504</v>
      </c>
      <c r="R17" s="1" t="s">
        <v>13</v>
      </c>
      <c r="S17" s="17">
        <f t="shared" ref="S17:AF17" si="9">SUM(C38:C41)</f>
        <v>147</v>
      </c>
      <c r="T17" s="17">
        <f t="shared" si="9"/>
        <v>69</v>
      </c>
      <c r="U17" s="17">
        <f t="shared" si="9"/>
        <v>29</v>
      </c>
      <c r="V17" s="17">
        <f t="shared" si="9"/>
        <v>161</v>
      </c>
      <c r="W17" s="17">
        <f t="shared" si="9"/>
        <v>5</v>
      </c>
      <c r="X17" s="17">
        <f t="shared" si="9"/>
        <v>3</v>
      </c>
      <c r="Y17" s="17">
        <f t="shared" si="9"/>
        <v>38</v>
      </c>
      <c r="Z17" s="17">
        <f t="shared" si="9"/>
        <v>17</v>
      </c>
      <c r="AA17" s="17">
        <f t="shared" si="9"/>
        <v>6</v>
      </c>
      <c r="AB17" s="17">
        <f t="shared" si="9"/>
        <v>6</v>
      </c>
      <c r="AC17" s="17">
        <f t="shared" si="9"/>
        <v>487</v>
      </c>
      <c r="AD17" s="17">
        <f t="shared" si="9"/>
        <v>0</v>
      </c>
      <c r="AE17" s="31">
        <f t="shared" si="9"/>
        <v>481</v>
      </c>
      <c r="AF17" s="31">
        <f t="shared" si="9"/>
        <v>968</v>
      </c>
    </row>
    <row r="18" spans="2:32" ht="23.1" customHeight="1" x14ac:dyDescent="0.25">
      <c r="B18" s="23" t="s">
        <v>45</v>
      </c>
      <c r="C18" s="50">
        <v>43</v>
      </c>
      <c r="D18" s="50">
        <v>14</v>
      </c>
      <c r="E18" s="50">
        <v>7</v>
      </c>
      <c r="F18" s="50">
        <v>53</v>
      </c>
      <c r="G18" s="50">
        <v>0</v>
      </c>
      <c r="H18" s="50">
        <v>0</v>
      </c>
      <c r="I18" s="50">
        <v>9</v>
      </c>
      <c r="J18" s="50">
        <v>3</v>
      </c>
      <c r="K18" s="50">
        <v>4</v>
      </c>
      <c r="L18" s="50">
        <v>1</v>
      </c>
      <c r="M18" s="50">
        <v>243</v>
      </c>
      <c r="N18" s="50">
        <v>0</v>
      </c>
      <c r="O18" s="15">
        <f t="shared" si="0"/>
        <v>134</v>
      </c>
      <c r="P18" s="15">
        <f t="shared" si="1"/>
        <v>377</v>
      </c>
      <c r="R18" s="1" t="s">
        <v>14</v>
      </c>
      <c r="S18" s="17">
        <f t="shared" ref="S18:AF18" si="10">SUM(C42:C45)</f>
        <v>133</v>
      </c>
      <c r="T18" s="17">
        <f t="shared" si="10"/>
        <v>60</v>
      </c>
      <c r="U18" s="17">
        <f t="shared" si="10"/>
        <v>32</v>
      </c>
      <c r="V18" s="17">
        <f t="shared" si="10"/>
        <v>189</v>
      </c>
      <c r="W18" s="17">
        <f t="shared" si="10"/>
        <v>6</v>
      </c>
      <c r="X18" s="17">
        <f t="shared" si="10"/>
        <v>6</v>
      </c>
      <c r="Y18" s="17">
        <f t="shared" si="10"/>
        <v>38</v>
      </c>
      <c r="Z18" s="17">
        <f t="shared" si="10"/>
        <v>18</v>
      </c>
      <c r="AA18" s="17">
        <f t="shared" si="10"/>
        <v>9</v>
      </c>
      <c r="AB18" s="17">
        <f t="shared" si="10"/>
        <v>10</v>
      </c>
      <c r="AC18" s="17">
        <f t="shared" si="10"/>
        <v>159</v>
      </c>
      <c r="AD18" s="17">
        <f t="shared" si="10"/>
        <v>0</v>
      </c>
      <c r="AE18" s="31">
        <f t="shared" si="10"/>
        <v>501</v>
      </c>
      <c r="AF18" s="31">
        <f t="shared" si="10"/>
        <v>660</v>
      </c>
    </row>
    <row r="19" spans="2:32" ht="23.1" customHeight="1" x14ac:dyDescent="0.25">
      <c r="B19" s="23" t="s">
        <v>46</v>
      </c>
      <c r="C19" s="50">
        <v>45</v>
      </c>
      <c r="D19" s="50">
        <v>11</v>
      </c>
      <c r="E19" s="50">
        <v>6</v>
      </c>
      <c r="F19" s="50">
        <v>48</v>
      </c>
      <c r="G19" s="50">
        <v>1</v>
      </c>
      <c r="H19" s="50">
        <v>0</v>
      </c>
      <c r="I19" s="50">
        <v>10</v>
      </c>
      <c r="J19" s="50">
        <v>8</v>
      </c>
      <c r="K19" s="50">
        <v>2</v>
      </c>
      <c r="L19" s="50">
        <v>0</v>
      </c>
      <c r="M19" s="50">
        <v>415</v>
      </c>
      <c r="N19" s="50">
        <v>0</v>
      </c>
      <c r="O19" s="15">
        <f t="shared" si="0"/>
        <v>131</v>
      </c>
      <c r="P19" s="15">
        <f t="shared" si="1"/>
        <v>546</v>
      </c>
      <c r="R19" s="1" t="s">
        <v>15</v>
      </c>
      <c r="S19" s="17">
        <f t="shared" ref="S19:AF19" si="11">SUM(C46:C49)</f>
        <v>170</v>
      </c>
      <c r="T19" s="17">
        <f t="shared" si="11"/>
        <v>80</v>
      </c>
      <c r="U19" s="17">
        <f t="shared" si="11"/>
        <v>52</v>
      </c>
      <c r="V19" s="17">
        <f t="shared" si="11"/>
        <v>214</v>
      </c>
      <c r="W19" s="17">
        <f t="shared" si="11"/>
        <v>7</v>
      </c>
      <c r="X19" s="17">
        <f t="shared" si="11"/>
        <v>3</v>
      </c>
      <c r="Y19" s="17">
        <f t="shared" si="11"/>
        <v>48</v>
      </c>
      <c r="Z19" s="17">
        <f t="shared" si="11"/>
        <v>18</v>
      </c>
      <c r="AA19" s="17">
        <f t="shared" si="11"/>
        <v>5</v>
      </c>
      <c r="AB19" s="17">
        <f t="shared" si="11"/>
        <v>12</v>
      </c>
      <c r="AC19" s="17">
        <f t="shared" si="11"/>
        <v>1012</v>
      </c>
      <c r="AD19" s="17">
        <f t="shared" si="11"/>
        <v>0</v>
      </c>
      <c r="AE19" s="31">
        <f t="shared" si="11"/>
        <v>609</v>
      </c>
      <c r="AF19" s="31">
        <f t="shared" si="11"/>
        <v>1621</v>
      </c>
    </row>
    <row r="20" spans="2:32" ht="23.1" customHeight="1" x14ac:dyDescent="0.25">
      <c r="B20" s="23" t="s">
        <v>47</v>
      </c>
      <c r="C20" s="50">
        <v>38</v>
      </c>
      <c r="D20" s="50">
        <v>9</v>
      </c>
      <c r="E20" s="50">
        <v>9</v>
      </c>
      <c r="F20" s="50">
        <v>53</v>
      </c>
      <c r="G20" s="50">
        <v>0</v>
      </c>
      <c r="H20" s="50">
        <v>1</v>
      </c>
      <c r="I20" s="50">
        <v>10</v>
      </c>
      <c r="J20" s="50">
        <v>3</v>
      </c>
      <c r="K20" s="50">
        <v>1</v>
      </c>
      <c r="L20" s="50">
        <v>0</v>
      </c>
      <c r="M20" s="50">
        <v>330</v>
      </c>
      <c r="N20" s="50">
        <v>0</v>
      </c>
      <c r="O20" s="15">
        <f t="shared" si="0"/>
        <v>124</v>
      </c>
      <c r="P20" s="15">
        <f t="shared" si="1"/>
        <v>454</v>
      </c>
      <c r="R20" s="1" t="s">
        <v>16</v>
      </c>
      <c r="S20" s="17">
        <f t="shared" ref="S20:AF20" si="12">SUM(C50:C53)</f>
        <v>97</v>
      </c>
      <c r="T20" s="17">
        <f t="shared" si="12"/>
        <v>27</v>
      </c>
      <c r="U20" s="17">
        <f t="shared" si="12"/>
        <v>23</v>
      </c>
      <c r="V20" s="17">
        <f t="shared" si="12"/>
        <v>154</v>
      </c>
      <c r="W20" s="17">
        <f t="shared" si="12"/>
        <v>11</v>
      </c>
      <c r="X20" s="17">
        <f t="shared" si="12"/>
        <v>2</v>
      </c>
      <c r="Y20" s="17">
        <f t="shared" si="12"/>
        <v>14</v>
      </c>
      <c r="Z20" s="17">
        <f t="shared" si="12"/>
        <v>20</v>
      </c>
      <c r="AA20" s="17">
        <f t="shared" si="12"/>
        <v>10</v>
      </c>
      <c r="AB20" s="17">
        <f t="shared" si="12"/>
        <v>13</v>
      </c>
      <c r="AC20" s="17">
        <f t="shared" si="12"/>
        <v>1138</v>
      </c>
      <c r="AD20" s="17">
        <f t="shared" si="12"/>
        <v>0</v>
      </c>
      <c r="AE20" s="31">
        <f t="shared" si="12"/>
        <v>371</v>
      </c>
      <c r="AF20" s="31">
        <f t="shared" si="12"/>
        <v>1509</v>
      </c>
    </row>
    <row r="21" spans="2:32" ht="23.1" customHeight="1" x14ac:dyDescent="0.25">
      <c r="B21" s="23" t="s">
        <v>48</v>
      </c>
      <c r="C21" s="50">
        <v>37</v>
      </c>
      <c r="D21" s="50">
        <v>15</v>
      </c>
      <c r="E21" s="50">
        <v>7</v>
      </c>
      <c r="F21" s="50">
        <v>56</v>
      </c>
      <c r="G21" s="50">
        <v>1</v>
      </c>
      <c r="H21" s="50">
        <v>1</v>
      </c>
      <c r="I21" s="50">
        <v>10</v>
      </c>
      <c r="J21" s="50">
        <v>6</v>
      </c>
      <c r="K21" s="50">
        <v>5</v>
      </c>
      <c r="L21" s="50">
        <v>1</v>
      </c>
      <c r="M21" s="50">
        <v>330</v>
      </c>
      <c r="N21" s="50">
        <v>0</v>
      </c>
      <c r="O21" s="15">
        <f t="shared" si="0"/>
        <v>139</v>
      </c>
      <c r="P21" s="15">
        <f t="shared" si="1"/>
        <v>469</v>
      </c>
      <c r="R21" s="36" t="s">
        <v>20</v>
      </c>
      <c r="S21" s="34">
        <f t="shared" ref="S21:AF21" si="13">SUM(C54:C57)</f>
        <v>87</v>
      </c>
      <c r="T21" s="17">
        <f t="shared" si="13"/>
        <v>32</v>
      </c>
      <c r="U21" s="17">
        <f t="shared" si="13"/>
        <v>21</v>
      </c>
      <c r="V21" s="17">
        <f t="shared" si="13"/>
        <v>148</v>
      </c>
      <c r="W21" s="17">
        <f t="shared" si="13"/>
        <v>6</v>
      </c>
      <c r="X21" s="17">
        <f t="shared" si="13"/>
        <v>2</v>
      </c>
      <c r="Y21" s="17">
        <f t="shared" si="13"/>
        <v>23</v>
      </c>
      <c r="Z21" s="17">
        <f t="shared" si="13"/>
        <v>17</v>
      </c>
      <c r="AA21" s="17">
        <f t="shared" si="13"/>
        <v>14</v>
      </c>
      <c r="AB21" s="17">
        <f t="shared" si="13"/>
        <v>15</v>
      </c>
      <c r="AC21" s="17">
        <f t="shared" si="13"/>
        <v>1117</v>
      </c>
      <c r="AD21" s="17">
        <f t="shared" si="13"/>
        <v>0</v>
      </c>
      <c r="AE21" s="31">
        <f t="shared" si="13"/>
        <v>365</v>
      </c>
      <c r="AF21" s="31">
        <f t="shared" si="13"/>
        <v>1482</v>
      </c>
    </row>
    <row r="22" spans="2:32" ht="23.1" customHeight="1" x14ac:dyDescent="0.25">
      <c r="B22" s="23" t="s">
        <v>49</v>
      </c>
      <c r="C22" s="50">
        <v>45</v>
      </c>
      <c r="D22" s="50">
        <v>6</v>
      </c>
      <c r="E22" s="50">
        <v>3</v>
      </c>
      <c r="F22" s="50">
        <v>37</v>
      </c>
      <c r="G22" s="50">
        <v>2</v>
      </c>
      <c r="H22" s="50">
        <v>0</v>
      </c>
      <c r="I22" s="50">
        <v>11</v>
      </c>
      <c r="J22" s="50">
        <v>5</v>
      </c>
      <c r="K22" s="50">
        <v>0</v>
      </c>
      <c r="L22" s="50">
        <v>2</v>
      </c>
      <c r="M22" s="50">
        <v>300</v>
      </c>
      <c r="N22" s="50">
        <v>0</v>
      </c>
      <c r="O22" s="15">
        <f t="shared" si="0"/>
        <v>111</v>
      </c>
      <c r="P22" s="15">
        <f t="shared" si="1"/>
        <v>411</v>
      </c>
      <c r="R22" s="38" t="s">
        <v>90</v>
      </c>
      <c r="S22" s="39">
        <f>MAX(S10:S12)</f>
        <v>237</v>
      </c>
      <c r="T22" s="39">
        <f t="shared" ref="T22:AF22" si="14">MAX(T10:T12)</f>
        <v>63</v>
      </c>
      <c r="U22" s="39">
        <f t="shared" si="14"/>
        <v>29</v>
      </c>
      <c r="V22" s="39">
        <f t="shared" si="14"/>
        <v>242</v>
      </c>
      <c r="W22" s="39">
        <f t="shared" si="14"/>
        <v>9</v>
      </c>
      <c r="X22" s="39">
        <f t="shared" si="14"/>
        <v>2</v>
      </c>
      <c r="Y22" s="39">
        <f t="shared" si="14"/>
        <v>39</v>
      </c>
      <c r="Z22" s="39">
        <f t="shared" si="14"/>
        <v>20</v>
      </c>
      <c r="AA22" s="39">
        <f t="shared" si="14"/>
        <v>12</v>
      </c>
      <c r="AB22" s="39">
        <f t="shared" si="14"/>
        <v>12</v>
      </c>
      <c r="AC22" s="39">
        <f t="shared" si="14"/>
        <v>1539</v>
      </c>
      <c r="AD22" s="39">
        <f t="shared" si="14"/>
        <v>0</v>
      </c>
      <c r="AE22" s="40">
        <f t="shared" si="14"/>
        <v>652</v>
      </c>
      <c r="AF22" s="40">
        <f t="shared" si="14"/>
        <v>2191</v>
      </c>
    </row>
    <row r="23" spans="2:32" ht="23.1" customHeight="1" x14ac:dyDescent="0.25">
      <c r="B23" s="23" t="s">
        <v>50</v>
      </c>
      <c r="C23" s="50">
        <v>39</v>
      </c>
      <c r="D23" s="50">
        <v>11</v>
      </c>
      <c r="E23" s="50">
        <v>9</v>
      </c>
      <c r="F23" s="50">
        <v>54</v>
      </c>
      <c r="G23" s="50">
        <v>1</v>
      </c>
      <c r="H23" s="50">
        <v>0</v>
      </c>
      <c r="I23" s="50">
        <v>13</v>
      </c>
      <c r="J23" s="50">
        <v>4</v>
      </c>
      <c r="K23" s="50">
        <v>2</v>
      </c>
      <c r="L23" s="50">
        <v>4</v>
      </c>
      <c r="M23" s="50">
        <v>105</v>
      </c>
      <c r="N23" s="50">
        <v>0</v>
      </c>
      <c r="O23" s="15">
        <f t="shared" si="0"/>
        <v>137</v>
      </c>
      <c r="P23" s="15">
        <f t="shared" si="1"/>
        <v>242</v>
      </c>
      <c r="R23" s="38" t="s">
        <v>91</v>
      </c>
      <c r="S23" s="39">
        <f>MAX(S13:S18)</f>
        <v>175</v>
      </c>
      <c r="T23" s="39">
        <f t="shared" ref="T23:AF23" si="15">MAX(T13:T18)</f>
        <v>69</v>
      </c>
      <c r="U23" s="39">
        <f t="shared" si="15"/>
        <v>33</v>
      </c>
      <c r="V23" s="39">
        <f t="shared" si="15"/>
        <v>217</v>
      </c>
      <c r="W23" s="39">
        <f t="shared" si="15"/>
        <v>7</v>
      </c>
      <c r="X23" s="39">
        <f t="shared" si="15"/>
        <v>6</v>
      </c>
      <c r="Y23" s="39">
        <f t="shared" si="15"/>
        <v>54</v>
      </c>
      <c r="Z23" s="39">
        <f t="shared" si="15"/>
        <v>23</v>
      </c>
      <c r="AA23" s="39">
        <f t="shared" si="15"/>
        <v>13</v>
      </c>
      <c r="AB23" s="39">
        <f t="shared" si="15"/>
        <v>13</v>
      </c>
      <c r="AC23" s="39">
        <f t="shared" si="15"/>
        <v>883</v>
      </c>
      <c r="AD23" s="39">
        <f t="shared" si="15"/>
        <v>0</v>
      </c>
      <c r="AE23" s="40">
        <f t="shared" si="15"/>
        <v>543</v>
      </c>
      <c r="AF23" s="40">
        <f t="shared" si="15"/>
        <v>1419</v>
      </c>
    </row>
    <row r="24" spans="2:32" ht="23.1" customHeight="1" x14ac:dyDescent="0.25">
      <c r="B24" s="23" t="s">
        <v>51</v>
      </c>
      <c r="C24" s="50">
        <v>30</v>
      </c>
      <c r="D24" s="50">
        <v>10</v>
      </c>
      <c r="E24" s="50">
        <v>5</v>
      </c>
      <c r="F24" s="50">
        <v>56</v>
      </c>
      <c r="G24" s="50">
        <v>0</v>
      </c>
      <c r="H24" s="50">
        <v>0</v>
      </c>
      <c r="I24" s="50">
        <v>14</v>
      </c>
      <c r="J24" s="50">
        <v>7</v>
      </c>
      <c r="K24" s="50">
        <v>5</v>
      </c>
      <c r="L24" s="50">
        <v>3</v>
      </c>
      <c r="M24" s="50">
        <v>345</v>
      </c>
      <c r="N24" s="50">
        <v>0</v>
      </c>
      <c r="O24" s="15">
        <f t="shared" si="0"/>
        <v>130</v>
      </c>
      <c r="P24" s="15">
        <f t="shared" si="1"/>
        <v>475</v>
      </c>
      <c r="R24" s="38" t="s">
        <v>92</v>
      </c>
      <c r="S24" s="39">
        <f>MAX(S19:S21)</f>
        <v>170</v>
      </c>
      <c r="T24" s="39">
        <f t="shared" ref="T24:AF24" si="16">MAX(T19:T21)</f>
        <v>80</v>
      </c>
      <c r="U24" s="39">
        <f t="shared" si="16"/>
        <v>52</v>
      </c>
      <c r="V24" s="39">
        <f t="shared" si="16"/>
        <v>214</v>
      </c>
      <c r="W24" s="39">
        <f t="shared" si="16"/>
        <v>11</v>
      </c>
      <c r="X24" s="39">
        <f t="shared" si="16"/>
        <v>3</v>
      </c>
      <c r="Y24" s="39">
        <f t="shared" si="16"/>
        <v>48</v>
      </c>
      <c r="Z24" s="39">
        <f t="shared" si="16"/>
        <v>20</v>
      </c>
      <c r="AA24" s="39">
        <f t="shared" si="16"/>
        <v>14</v>
      </c>
      <c r="AB24" s="39">
        <f t="shared" si="16"/>
        <v>15</v>
      </c>
      <c r="AC24" s="39">
        <f t="shared" si="16"/>
        <v>1138</v>
      </c>
      <c r="AD24" s="39">
        <f t="shared" si="16"/>
        <v>0</v>
      </c>
      <c r="AE24" s="40">
        <f t="shared" si="16"/>
        <v>609</v>
      </c>
      <c r="AF24" s="40">
        <f t="shared" si="16"/>
        <v>1621</v>
      </c>
    </row>
    <row r="25" spans="2:32" ht="23.1" customHeight="1" x14ac:dyDescent="0.25">
      <c r="B25" s="23" t="s">
        <v>52</v>
      </c>
      <c r="C25" s="50">
        <v>46</v>
      </c>
      <c r="D25" s="50">
        <v>10</v>
      </c>
      <c r="E25" s="50">
        <v>6</v>
      </c>
      <c r="F25" s="50">
        <v>70</v>
      </c>
      <c r="G25" s="50">
        <v>1</v>
      </c>
      <c r="H25" s="50">
        <v>0</v>
      </c>
      <c r="I25" s="50">
        <v>16</v>
      </c>
      <c r="J25" s="50">
        <v>3</v>
      </c>
      <c r="K25" s="50">
        <v>3</v>
      </c>
      <c r="L25" s="50">
        <v>3</v>
      </c>
      <c r="M25" s="50">
        <v>133</v>
      </c>
      <c r="N25" s="50">
        <v>0</v>
      </c>
      <c r="O25" s="15">
        <f t="shared" si="0"/>
        <v>158</v>
      </c>
      <c r="P25" s="15">
        <f t="shared" si="1"/>
        <v>291</v>
      </c>
      <c r="R25" s="37" t="s">
        <v>85</v>
      </c>
      <c r="S25" s="35">
        <f t="shared" ref="S25:AF25" si="17">SUM(S10:S12)</f>
        <v>630</v>
      </c>
      <c r="T25" s="16">
        <f t="shared" si="17"/>
        <v>154</v>
      </c>
      <c r="U25" s="16">
        <f t="shared" si="17"/>
        <v>82</v>
      </c>
      <c r="V25" s="16">
        <f t="shared" si="17"/>
        <v>629</v>
      </c>
      <c r="W25" s="16">
        <f t="shared" si="17"/>
        <v>20</v>
      </c>
      <c r="X25" s="16">
        <f t="shared" si="17"/>
        <v>3</v>
      </c>
      <c r="Y25" s="16">
        <f t="shared" si="17"/>
        <v>105</v>
      </c>
      <c r="Z25" s="16">
        <f t="shared" si="17"/>
        <v>42</v>
      </c>
      <c r="AA25" s="16">
        <f t="shared" si="17"/>
        <v>24</v>
      </c>
      <c r="AB25" s="16">
        <f t="shared" si="17"/>
        <v>24</v>
      </c>
      <c r="AC25" s="16">
        <f t="shared" si="17"/>
        <v>4317</v>
      </c>
      <c r="AD25" s="16">
        <f t="shared" si="17"/>
        <v>0</v>
      </c>
      <c r="AE25" s="32">
        <f t="shared" si="17"/>
        <v>1713</v>
      </c>
      <c r="AF25" s="32">
        <f t="shared" si="17"/>
        <v>6030</v>
      </c>
    </row>
    <row r="26" spans="2:32" ht="23.1" customHeight="1" x14ac:dyDescent="0.25">
      <c r="B26" s="23" t="s">
        <v>53</v>
      </c>
      <c r="C26" s="50">
        <v>54</v>
      </c>
      <c r="D26" s="50">
        <v>12</v>
      </c>
      <c r="E26" s="50">
        <v>7</v>
      </c>
      <c r="F26" s="50">
        <v>40</v>
      </c>
      <c r="G26" s="50">
        <v>0</v>
      </c>
      <c r="H26" s="50">
        <v>0</v>
      </c>
      <c r="I26" s="50">
        <v>12</v>
      </c>
      <c r="J26" s="50">
        <v>4</v>
      </c>
      <c r="K26" s="50">
        <v>0</v>
      </c>
      <c r="L26" s="50">
        <v>3</v>
      </c>
      <c r="M26" s="50">
        <v>118</v>
      </c>
      <c r="N26" s="50">
        <v>0</v>
      </c>
      <c r="O26" s="15">
        <f t="shared" si="0"/>
        <v>132</v>
      </c>
      <c r="P26" s="15">
        <f t="shared" si="1"/>
        <v>250</v>
      </c>
      <c r="R26" s="28" t="s">
        <v>86</v>
      </c>
      <c r="S26" s="16">
        <f t="shared" ref="S26:AF26" si="18">SUM(S13:S18)</f>
        <v>889</v>
      </c>
      <c r="T26" s="16">
        <f t="shared" si="18"/>
        <v>318</v>
      </c>
      <c r="U26" s="16">
        <f t="shared" si="18"/>
        <v>172</v>
      </c>
      <c r="V26" s="16">
        <f t="shared" si="18"/>
        <v>1081</v>
      </c>
      <c r="W26" s="16">
        <f t="shared" si="18"/>
        <v>31</v>
      </c>
      <c r="X26" s="16">
        <f t="shared" si="18"/>
        <v>15</v>
      </c>
      <c r="Y26" s="16">
        <f t="shared" si="18"/>
        <v>261</v>
      </c>
      <c r="Z26" s="16">
        <f t="shared" si="18"/>
        <v>104</v>
      </c>
      <c r="AA26" s="16">
        <f t="shared" si="18"/>
        <v>56</v>
      </c>
      <c r="AB26" s="16">
        <f t="shared" si="18"/>
        <v>57</v>
      </c>
      <c r="AC26" s="16">
        <f t="shared" si="18"/>
        <v>3727</v>
      </c>
      <c r="AD26" s="16">
        <f t="shared" si="18"/>
        <v>0</v>
      </c>
      <c r="AE26" s="32">
        <f t="shared" si="18"/>
        <v>2984</v>
      </c>
      <c r="AF26" s="32">
        <f t="shared" si="18"/>
        <v>6711</v>
      </c>
    </row>
    <row r="27" spans="2:32" ht="23.1" customHeight="1" x14ac:dyDescent="0.25">
      <c r="B27" s="23" t="s">
        <v>54</v>
      </c>
      <c r="C27" s="50">
        <v>48</v>
      </c>
      <c r="D27" s="50">
        <v>18</v>
      </c>
      <c r="E27" s="50">
        <v>8</v>
      </c>
      <c r="F27" s="50">
        <v>61</v>
      </c>
      <c r="G27" s="50">
        <v>1</v>
      </c>
      <c r="H27" s="50">
        <v>0</v>
      </c>
      <c r="I27" s="50">
        <v>18</v>
      </c>
      <c r="J27" s="50">
        <v>1</v>
      </c>
      <c r="K27" s="50">
        <v>1</v>
      </c>
      <c r="L27" s="50">
        <v>3</v>
      </c>
      <c r="M27" s="50">
        <v>288</v>
      </c>
      <c r="N27" s="50">
        <v>0</v>
      </c>
      <c r="O27" s="15">
        <f t="shared" si="0"/>
        <v>159</v>
      </c>
      <c r="P27" s="15">
        <f t="shared" si="1"/>
        <v>447</v>
      </c>
      <c r="R27" s="29" t="s">
        <v>87</v>
      </c>
      <c r="S27" s="16">
        <f t="shared" ref="S27:AF27" si="19">SUM(S19:S21)</f>
        <v>354</v>
      </c>
      <c r="T27" s="16">
        <f t="shared" si="19"/>
        <v>139</v>
      </c>
      <c r="U27" s="16">
        <f t="shared" si="19"/>
        <v>96</v>
      </c>
      <c r="V27" s="16">
        <f t="shared" si="19"/>
        <v>516</v>
      </c>
      <c r="W27" s="16">
        <f t="shared" si="19"/>
        <v>24</v>
      </c>
      <c r="X27" s="16">
        <f t="shared" si="19"/>
        <v>7</v>
      </c>
      <c r="Y27" s="16">
        <f t="shared" si="19"/>
        <v>85</v>
      </c>
      <c r="Z27" s="16">
        <f t="shared" si="19"/>
        <v>55</v>
      </c>
      <c r="AA27" s="16">
        <f t="shared" si="19"/>
        <v>29</v>
      </c>
      <c r="AB27" s="16">
        <f t="shared" si="19"/>
        <v>40</v>
      </c>
      <c r="AC27" s="16">
        <f t="shared" si="19"/>
        <v>3267</v>
      </c>
      <c r="AD27" s="16">
        <f t="shared" si="19"/>
        <v>0</v>
      </c>
      <c r="AE27" s="32">
        <f t="shared" si="19"/>
        <v>1345</v>
      </c>
      <c r="AF27" s="32">
        <f t="shared" si="19"/>
        <v>4612</v>
      </c>
    </row>
    <row r="28" spans="2:32" ht="23.1" customHeight="1" x14ac:dyDescent="0.25">
      <c r="B28" s="23" t="s">
        <v>55</v>
      </c>
      <c r="C28" s="50">
        <v>37</v>
      </c>
      <c r="D28" s="50">
        <v>16</v>
      </c>
      <c r="E28" s="50">
        <v>8</v>
      </c>
      <c r="F28" s="50">
        <v>28</v>
      </c>
      <c r="G28" s="50">
        <v>1</v>
      </c>
      <c r="H28" s="50">
        <v>0</v>
      </c>
      <c r="I28" s="50">
        <v>12</v>
      </c>
      <c r="J28" s="50">
        <v>3</v>
      </c>
      <c r="K28" s="50">
        <v>3</v>
      </c>
      <c r="L28" s="50">
        <v>3</v>
      </c>
      <c r="M28" s="50">
        <v>245</v>
      </c>
      <c r="N28" s="50">
        <v>0</v>
      </c>
      <c r="O28" s="15">
        <f t="shared" si="0"/>
        <v>111</v>
      </c>
      <c r="P28" s="15">
        <f t="shared" si="1"/>
        <v>356</v>
      </c>
      <c r="R28" s="5" t="s">
        <v>17</v>
      </c>
      <c r="S28" s="16">
        <f t="shared" ref="S28:AF28" si="20">SUM(S10:S21)</f>
        <v>1873</v>
      </c>
      <c r="T28" s="16">
        <f t="shared" si="20"/>
        <v>611</v>
      </c>
      <c r="U28" s="16">
        <f t="shared" si="20"/>
        <v>350</v>
      </c>
      <c r="V28" s="16">
        <f t="shared" si="20"/>
        <v>2226</v>
      </c>
      <c r="W28" s="16">
        <f t="shared" si="20"/>
        <v>75</v>
      </c>
      <c r="X28" s="16">
        <f t="shared" si="20"/>
        <v>25</v>
      </c>
      <c r="Y28" s="16">
        <f t="shared" si="20"/>
        <v>451</v>
      </c>
      <c r="Z28" s="16">
        <f t="shared" si="20"/>
        <v>201</v>
      </c>
      <c r="AA28" s="16">
        <f t="shared" si="20"/>
        <v>109</v>
      </c>
      <c r="AB28" s="16">
        <f t="shared" si="20"/>
        <v>121</v>
      </c>
      <c r="AC28" s="16">
        <f t="shared" si="20"/>
        <v>11311</v>
      </c>
      <c r="AD28" s="16">
        <f t="shared" si="20"/>
        <v>0</v>
      </c>
      <c r="AE28" s="32">
        <f t="shared" si="20"/>
        <v>6042</v>
      </c>
      <c r="AF28" s="32">
        <f t="shared" si="20"/>
        <v>17353</v>
      </c>
    </row>
    <row r="29" spans="2:32" ht="23.1" customHeight="1" x14ac:dyDescent="0.25">
      <c r="B29" s="23" t="s">
        <v>56</v>
      </c>
      <c r="C29" s="50">
        <v>36</v>
      </c>
      <c r="D29" s="50">
        <v>12</v>
      </c>
      <c r="E29" s="50">
        <v>9</v>
      </c>
      <c r="F29" s="50">
        <v>55</v>
      </c>
      <c r="G29" s="50">
        <v>5</v>
      </c>
      <c r="H29" s="50">
        <v>0</v>
      </c>
      <c r="I29" s="50">
        <v>12</v>
      </c>
      <c r="J29" s="50">
        <v>4</v>
      </c>
      <c r="K29" s="50">
        <v>4</v>
      </c>
      <c r="L29" s="50">
        <v>4</v>
      </c>
      <c r="M29" s="50">
        <v>178</v>
      </c>
      <c r="N29" s="50">
        <v>0</v>
      </c>
      <c r="O29" s="15">
        <f t="shared" si="0"/>
        <v>141</v>
      </c>
      <c r="P29" s="15">
        <f t="shared" si="1"/>
        <v>319</v>
      </c>
      <c r="R29"/>
      <c r="S29" s="20"/>
      <c r="T29" s="19"/>
    </row>
    <row r="30" spans="2:32" ht="23.1" customHeight="1" x14ac:dyDescent="0.25">
      <c r="B30" s="23" t="s">
        <v>57</v>
      </c>
      <c r="C30" s="50">
        <v>48</v>
      </c>
      <c r="D30" s="50">
        <v>14</v>
      </c>
      <c r="E30" s="50">
        <v>10</v>
      </c>
      <c r="F30" s="50">
        <v>53</v>
      </c>
      <c r="G30" s="50">
        <v>2</v>
      </c>
      <c r="H30" s="50">
        <v>0</v>
      </c>
      <c r="I30" s="50">
        <v>15</v>
      </c>
      <c r="J30" s="50">
        <v>6</v>
      </c>
      <c r="K30" s="50">
        <v>5</v>
      </c>
      <c r="L30" s="50">
        <v>8</v>
      </c>
      <c r="M30" s="50">
        <v>233</v>
      </c>
      <c r="N30" s="50">
        <v>0</v>
      </c>
      <c r="O30" s="15">
        <f t="shared" si="0"/>
        <v>161</v>
      </c>
      <c r="P30" s="15">
        <f t="shared" si="1"/>
        <v>394</v>
      </c>
    </row>
    <row r="31" spans="2:32" ht="23.1" customHeight="1" x14ac:dyDescent="0.25">
      <c r="B31" s="24" t="s">
        <v>58</v>
      </c>
      <c r="C31" s="50">
        <v>30</v>
      </c>
      <c r="D31" s="50">
        <v>6</v>
      </c>
      <c r="E31" s="50">
        <v>6</v>
      </c>
      <c r="F31" s="50">
        <v>27</v>
      </c>
      <c r="G31" s="50">
        <v>1</v>
      </c>
      <c r="H31" s="50">
        <v>0</v>
      </c>
      <c r="I31" s="50">
        <v>2</v>
      </c>
      <c r="J31" s="50">
        <v>3</v>
      </c>
      <c r="K31" s="50">
        <v>0</v>
      </c>
      <c r="L31" s="50">
        <v>0</v>
      </c>
      <c r="M31" s="50">
        <v>128</v>
      </c>
      <c r="N31" s="50">
        <v>0</v>
      </c>
      <c r="O31" s="15">
        <f t="shared" si="0"/>
        <v>75</v>
      </c>
      <c r="P31" s="15">
        <f t="shared" si="1"/>
        <v>203</v>
      </c>
    </row>
    <row r="32" spans="2:32" ht="23.1" customHeight="1" x14ac:dyDescent="0.25">
      <c r="B32" s="24" t="s">
        <v>59</v>
      </c>
      <c r="C32" s="50">
        <v>34</v>
      </c>
      <c r="D32" s="50">
        <v>11</v>
      </c>
      <c r="E32" s="50">
        <v>3</v>
      </c>
      <c r="F32" s="50">
        <v>49</v>
      </c>
      <c r="G32" s="50">
        <v>1</v>
      </c>
      <c r="H32" s="50">
        <v>3</v>
      </c>
      <c r="I32" s="50">
        <v>5</v>
      </c>
      <c r="J32" s="50">
        <v>6</v>
      </c>
      <c r="K32" s="50">
        <v>1</v>
      </c>
      <c r="L32" s="50">
        <v>1</v>
      </c>
      <c r="M32" s="50">
        <v>147</v>
      </c>
      <c r="N32" s="50">
        <v>0</v>
      </c>
      <c r="O32" s="15">
        <f t="shared" si="0"/>
        <v>114</v>
      </c>
      <c r="P32" s="15">
        <f t="shared" si="1"/>
        <v>261</v>
      </c>
    </row>
    <row r="33" spans="2:20" ht="23.1" customHeight="1" x14ac:dyDescent="0.25">
      <c r="B33" s="23" t="s">
        <v>60</v>
      </c>
      <c r="C33" s="50">
        <v>38</v>
      </c>
      <c r="D33" s="50">
        <v>6</v>
      </c>
      <c r="E33" s="50">
        <v>4</v>
      </c>
      <c r="F33" s="50">
        <v>40</v>
      </c>
      <c r="G33" s="50">
        <v>3</v>
      </c>
      <c r="H33" s="50">
        <v>1</v>
      </c>
      <c r="I33" s="50">
        <v>15</v>
      </c>
      <c r="J33" s="50">
        <v>8</v>
      </c>
      <c r="K33" s="50">
        <v>4</v>
      </c>
      <c r="L33" s="50">
        <v>1</v>
      </c>
      <c r="M33" s="50">
        <v>175</v>
      </c>
      <c r="N33" s="50">
        <v>0</v>
      </c>
      <c r="O33" s="15">
        <f t="shared" si="0"/>
        <v>120</v>
      </c>
      <c r="P33" s="15">
        <f t="shared" si="1"/>
        <v>295</v>
      </c>
    </row>
    <row r="34" spans="2:20" ht="23.1" customHeight="1" x14ac:dyDescent="0.25">
      <c r="B34" s="24" t="s">
        <v>61</v>
      </c>
      <c r="C34" s="50">
        <v>21</v>
      </c>
      <c r="D34" s="50">
        <v>14</v>
      </c>
      <c r="E34" s="50">
        <v>7</v>
      </c>
      <c r="F34" s="50">
        <v>40</v>
      </c>
      <c r="G34" s="50">
        <v>0</v>
      </c>
      <c r="H34" s="50">
        <v>0</v>
      </c>
      <c r="I34" s="50">
        <v>10</v>
      </c>
      <c r="J34" s="50">
        <v>2</v>
      </c>
      <c r="K34" s="50">
        <v>5</v>
      </c>
      <c r="L34" s="50">
        <v>2</v>
      </c>
      <c r="M34" s="50">
        <v>140</v>
      </c>
      <c r="N34" s="50">
        <v>0</v>
      </c>
      <c r="O34" s="15">
        <f t="shared" si="0"/>
        <v>101</v>
      </c>
      <c r="P34" s="15">
        <f t="shared" si="1"/>
        <v>241</v>
      </c>
    </row>
    <row r="35" spans="2:20" ht="23.1" customHeight="1" x14ac:dyDescent="0.25">
      <c r="B35" s="24" t="s">
        <v>62</v>
      </c>
      <c r="C35" s="50">
        <v>31</v>
      </c>
      <c r="D35" s="50">
        <v>28</v>
      </c>
      <c r="E35" s="50">
        <v>10</v>
      </c>
      <c r="F35" s="50">
        <v>33</v>
      </c>
      <c r="G35" s="50">
        <v>0</v>
      </c>
      <c r="H35" s="50">
        <v>0</v>
      </c>
      <c r="I35" s="50">
        <v>10</v>
      </c>
      <c r="J35" s="50">
        <v>4</v>
      </c>
      <c r="K35" s="50">
        <v>5</v>
      </c>
      <c r="L35" s="50">
        <v>2</v>
      </c>
      <c r="M35" s="50">
        <v>90</v>
      </c>
      <c r="N35" s="50">
        <v>0</v>
      </c>
      <c r="O35" s="15">
        <f t="shared" si="0"/>
        <v>123</v>
      </c>
      <c r="P35" s="15">
        <f t="shared" si="1"/>
        <v>213</v>
      </c>
    </row>
    <row r="36" spans="2:20" ht="23.1" customHeight="1" x14ac:dyDescent="0.25">
      <c r="B36" s="24" t="s">
        <v>63</v>
      </c>
      <c r="C36" s="50">
        <v>43</v>
      </c>
      <c r="D36" s="50">
        <v>7</v>
      </c>
      <c r="E36" s="50">
        <v>9</v>
      </c>
      <c r="F36" s="50">
        <v>43</v>
      </c>
      <c r="G36" s="50">
        <v>2</v>
      </c>
      <c r="H36" s="50">
        <v>1</v>
      </c>
      <c r="I36" s="50">
        <v>9</v>
      </c>
      <c r="J36" s="50">
        <v>5</v>
      </c>
      <c r="K36" s="50">
        <v>2</v>
      </c>
      <c r="L36" s="50">
        <v>2</v>
      </c>
      <c r="M36" s="50">
        <v>278</v>
      </c>
      <c r="N36" s="50">
        <v>0</v>
      </c>
      <c r="O36" s="15">
        <f t="shared" si="0"/>
        <v>123</v>
      </c>
      <c r="P36" s="15">
        <f t="shared" si="1"/>
        <v>401</v>
      </c>
    </row>
    <row r="37" spans="2:20" ht="23.1" customHeight="1" x14ac:dyDescent="0.25">
      <c r="B37" s="23" t="s">
        <v>64</v>
      </c>
      <c r="C37" s="50">
        <v>29</v>
      </c>
      <c r="D37" s="50">
        <v>8</v>
      </c>
      <c r="E37" s="50">
        <v>7</v>
      </c>
      <c r="F37" s="50">
        <v>45</v>
      </c>
      <c r="G37" s="50">
        <v>0</v>
      </c>
      <c r="H37" s="50">
        <v>1</v>
      </c>
      <c r="I37" s="50">
        <v>11</v>
      </c>
      <c r="J37" s="50">
        <v>4</v>
      </c>
      <c r="K37" s="50">
        <v>1</v>
      </c>
      <c r="L37" s="50">
        <v>0</v>
      </c>
      <c r="M37" s="50">
        <v>178</v>
      </c>
      <c r="N37" s="50">
        <v>0</v>
      </c>
      <c r="O37" s="15">
        <f t="shared" si="0"/>
        <v>106</v>
      </c>
      <c r="P37" s="15">
        <f t="shared" si="1"/>
        <v>284</v>
      </c>
    </row>
    <row r="38" spans="2:20" ht="23.1" customHeight="1" x14ac:dyDescent="0.25">
      <c r="B38" s="24" t="s">
        <v>65</v>
      </c>
      <c r="C38" s="50">
        <v>40</v>
      </c>
      <c r="D38" s="50">
        <v>20</v>
      </c>
      <c r="E38" s="50">
        <v>9</v>
      </c>
      <c r="F38" s="50">
        <v>40</v>
      </c>
      <c r="G38" s="50">
        <v>2</v>
      </c>
      <c r="H38" s="50">
        <v>2</v>
      </c>
      <c r="I38" s="50">
        <v>12</v>
      </c>
      <c r="J38" s="50">
        <v>2</v>
      </c>
      <c r="K38" s="50">
        <v>2</v>
      </c>
      <c r="L38" s="50">
        <v>0</v>
      </c>
      <c r="M38" s="50">
        <v>170</v>
      </c>
      <c r="N38" s="50">
        <v>0</v>
      </c>
      <c r="O38" s="15">
        <f t="shared" si="0"/>
        <v>129</v>
      </c>
      <c r="P38" s="15">
        <f t="shared" si="1"/>
        <v>299</v>
      </c>
    </row>
    <row r="39" spans="2:20" ht="23.1" customHeight="1" x14ac:dyDescent="0.25">
      <c r="B39" s="24" t="s">
        <v>66</v>
      </c>
      <c r="C39" s="50">
        <v>39</v>
      </c>
      <c r="D39" s="50">
        <v>16</v>
      </c>
      <c r="E39" s="50">
        <v>5</v>
      </c>
      <c r="F39" s="50">
        <v>33</v>
      </c>
      <c r="G39" s="50">
        <v>1</v>
      </c>
      <c r="H39" s="50">
        <v>1</v>
      </c>
      <c r="I39" s="50">
        <v>9</v>
      </c>
      <c r="J39" s="50">
        <v>7</v>
      </c>
      <c r="K39" s="50">
        <v>0</v>
      </c>
      <c r="L39" s="50">
        <v>2</v>
      </c>
      <c r="M39" s="50">
        <v>134</v>
      </c>
      <c r="N39" s="50">
        <v>0</v>
      </c>
      <c r="O39" s="15">
        <f t="shared" si="0"/>
        <v>113</v>
      </c>
      <c r="P39" s="15">
        <f t="shared" si="1"/>
        <v>247</v>
      </c>
    </row>
    <row r="40" spans="2:20" ht="23.1" customHeight="1" x14ac:dyDescent="0.25">
      <c r="B40" s="24" t="s">
        <v>67</v>
      </c>
      <c r="C40" s="50">
        <v>30</v>
      </c>
      <c r="D40" s="50">
        <v>17</v>
      </c>
      <c r="E40" s="50">
        <v>7</v>
      </c>
      <c r="F40" s="50">
        <v>40</v>
      </c>
      <c r="G40" s="50">
        <v>1</v>
      </c>
      <c r="H40" s="50">
        <v>0</v>
      </c>
      <c r="I40" s="50">
        <v>10</v>
      </c>
      <c r="J40" s="50">
        <v>3</v>
      </c>
      <c r="K40" s="50">
        <v>3</v>
      </c>
      <c r="L40" s="50">
        <v>2</v>
      </c>
      <c r="M40" s="50">
        <v>135</v>
      </c>
      <c r="N40" s="50">
        <v>0</v>
      </c>
      <c r="O40" s="15">
        <f t="shared" si="0"/>
        <v>113</v>
      </c>
      <c r="P40" s="15">
        <f t="shared" si="1"/>
        <v>248</v>
      </c>
    </row>
    <row r="41" spans="2:20" ht="23.1" customHeight="1" x14ac:dyDescent="0.25">
      <c r="B41" s="23" t="s">
        <v>68</v>
      </c>
      <c r="C41" s="50">
        <v>38</v>
      </c>
      <c r="D41" s="50">
        <v>16</v>
      </c>
      <c r="E41" s="50">
        <v>8</v>
      </c>
      <c r="F41" s="50">
        <v>48</v>
      </c>
      <c r="G41" s="50">
        <v>1</v>
      </c>
      <c r="H41" s="50">
        <v>0</v>
      </c>
      <c r="I41" s="50">
        <v>7</v>
      </c>
      <c r="J41" s="50">
        <v>5</v>
      </c>
      <c r="K41" s="50">
        <v>1</v>
      </c>
      <c r="L41" s="50">
        <v>2</v>
      </c>
      <c r="M41" s="50">
        <v>48</v>
      </c>
      <c r="N41" s="50">
        <v>0</v>
      </c>
      <c r="O41" s="15">
        <f t="shared" si="0"/>
        <v>126</v>
      </c>
      <c r="P41" s="15">
        <f t="shared" si="1"/>
        <v>174</v>
      </c>
    </row>
    <row r="42" spans="2:20" ht="23.1" customHeight="1" x14ac:dyDescent="0.25">
      <c r="B42" s="24" t="s">
        <v>69</v>
      </c>
      <c r="C42" s="50">
        <v>38</v>
      </c>
      <c r="D42" s="50">
        <v>13</v>
      </c>
      <c r="E42" s="50">
        <v>7</v>
      </c>
      <c r="F42" s="50">
        <v>31</v>
      </c>
      <c r="G42" s="50">
        <v>3</v>
      </c>
      <c r="H42" s="50">
        <v>1</v>
      </c>
      <c r="I42" s="50">
        <v>14</v>
      </c>
      <c r="J42" s="50">
        <v>8</v>
      </c>
      <c r="K42" s="50">
        <v>2</v>
      </c>
      <c r="L42" s="50">
        <v>2</v>
      </c>
      <c r="M42" s="50">
        <v>5</v>
      </c>
      <c r="N42" s="50">
        <v>0</v>
      </c>
      <c r="O42" s="15">
        <f t="shared" si="0"/>
        <v>119</v>
      </c>
      <c r="P42" s="15">
        <f t="shared" si="1"/>
        <v>124</v>
      </c>
    </row>
    <row r="43" spans="2:20" ht="23.1" customHeight="1" x14ac:dyDescent="0.25">
      <c r="B43" s="23" t="s">
        <v>70</v>
      </c>
      <c r="C43" s="50">
        <v>35</v>
      </c>
      <c r="D43" s="50">
        <v>17</v>
      </c>
      <c r="E43" s="50">
        <v>6</v>
      </c>
      <c r="F43" s="50">
        <v>48</v>
      </c>
      <c r="G43" s="50">
        <v>2</v>
      </c>
      <c r="H43" s="50">
        <v>1</v>
      </c>
      <c r="I43" s="50">
        <v>11</v>
      </c>
      <c r="J43" s="50">
        <v>2</v>
      </c>
      <c r="K43" s="50">
        <v>4</v>
      </c>
      <c r="L43" s="50">
        <v>1</v>
      </c>
      <c r="M43" s="50">
        <v>20</v>
      </c>
      <c r="N43" s="50">
        <v>0</v>
      </c>
      <c r="O43" s="15">
        <f t="shared" si="0"/>
        <v>127</v>
      </c>
      <c r="P43" s="15">
        <f t="shared" si="1"/>
        <v>147</v>
      </c>
    </row>
    <row r="44" spans="2:20" ht="23.1" customHeight="1" x14ac:dyDescent="0.25">
      <c r="B44" s="25" t="s">
        <v>71</v>
      </c>
      <c r="C44" s="50">
        <v>33</v>
      </c>
      <c r="D44" s="50">
        <v>15</v>
      </c>
      <c r="E44" s="50">
        <v>11</v>
      </c>
      <c r="F44" s="50">
        <v>41</v>
      </c>
      <c r="G44" s="50">
        <v>1</v>
      </c>
      <c r="H44" s="50">
        <v>0</v>
      </c>
      <c r="I44" s="50">
        <v>5</v>
      </c>
      <c r="J44" s="50">
        <v>5</v>
      </c>
      <c r="K44" s="50">
        <v>3</v>
      </c>
      <c r="L44" s="50">
        <v>5</v>
      </c>
      <c r="M44" s="50">
        <v>59</v>
      </c>
      <c r="N44" s="50">
        <v>0</v>
      </c>
      <c r="O44" s="15">
        <f t="shared" si="0"/>
        <v>119</v>
      </c>
      <c r="P44" s="15">
        <f t="shared" si="1"/>
        <v>178</v>
      </c>
    </row>
    <row r="45" spans="2:20" ht="23.1" customHeight="1" x14ac:dyDescent="0.25">
      <c r="B45" s="23" t="s">
        <v>72</v>
      </c>
      <c r="C45" s="50">
        <v>27</v>
      </c>
      <c r="D45" s="50">
        <v>15</v>
      </c>
      <c r="E45" s="50">
        <v>8</v>
      </c>
      <c r="F45" s="50">
        <v>69</v>
      </c>
      <c r="G45" s="50">
        <v>0</v>
      </c>
      <c r="H45" s="50">
        <v>4</v>
      </c>
      <c r="I45" s="50">
        <v>8</v>
      </c>
      <c r="J45" s="50">
        <v>3</v>
      </c>
      <c r="K45" s="50">
        <v>0</v>
      </c>
      <c r="L45" s="50">
        <v>2</v>
      </c>
      <c r="M45" s="50">
        <v>75</v>
      </c>
      <c r="N45" s="50">
        <v>0</v>
      </c>
      <c r="O45" s="15">
        <f t="shared" si="0"/>
        <v>136</v>
      </c>
      <c r="P45" s="15">
        <f t="shared" si="1"/>
        <v>211</v>
      </c>
    </row>
    <row r="46" spans="2:20" ht="23.1" customHeight="1" x14ac:dyDescent="0.25">
      <c r="B46" s="24" t="s">
        <v>73</v>
      </c>
      <c r="C46" s="50">
        <v>34</v>
      </c>
      <c r="D46" s="50">
        <v>22</v>
      </c>
      <c r="E46" s="50">
        <v>11</v>
      </c>
      <c r="F46" s="50">
        <v>53</v>
      </c>
      <c r="G46" s="50">
        <v>1</v>
      </c>
      <c r="H46" s="50">
        <v>0</v>
      </c>
      <c r="I46" s="50">
        <v>8</v>
      </c>
      <c r="J46" s="50">
        <v>7</v>
      </c>
      <c r="K46" s="50">
        <v>2</v>
      </c>
      <c r="L46" s="50">
        <v>1</v>
      </c>
      <c r="M46" s="50">
        <v>220</v>
      </c>
      <c r="N46" s="50">
        <v>0</v>
      </c>
      <c r="O46" s="15">
        <f t="shared" si="0"/>
        <v>139</v>
      </c>
      <c r="P46" s="15">
        <f t="shared" si="1"/>
        <v>359</v>
      </c>
      <c r="R46" s="8"/>
      <c r="T46"/>
    </row>
    <row r="47" spans="2:20" ht="23.1" customHeight="1" x14ac:dyDescent="0.25">
      <c r="B47" s="24" t="s">
        <v>74</v>
      </c>
      <c r="C47" s="50">
        <v>46</v>
      </c>
      <c r="D47" s="50">
        <v>32</v>
      </c>
      <c r="E47" s="50">
        <v>17</v>
      </c>
      <c r="F47" s="50">
        <v>74</v>
      </c>
      <c r="G47" s="50">
        <v>1</v>
      </c>
      <c r="H47" s="50">
        <v>1</v>
      </c>
      <c r="I47" s="50">
        <v>15</v>
      </c>
      <c r="J47" s="50">
        <v>3</v>
      </c>
      <c r="K47" s="50">
        <v>1</v>
      </c>
      <c r="L47" s="50">
        <v>0</v>
      </c>
      <c r="M47" s="50">
        <v>220</v>
      </c>
      <c r="N47" s="50">
        <v>0</v>
      </c>
      <c r="O47" s="15">
        <f t="shared" si="0"/>
        <v>190</v>
      </c>
      <c r="P47" s="15">
        <f t="shared" si="1"/>
        <v>410</v>
      </c>
      <c r="R47" s="8"/>
      <c r="T47"/>
    </row>
    <row r="48" spans="2:20" ht="23.1" customHeight="1" x14ac:dyDescent="0.25">
      <c r="B48" s="24" t="s">
        <v>75</v>
      </c>
      <c r="C48" s="50">
        <v>37</v>
      </c>
      <c r="D48" s="50">
        <v>15</v>
      </c>
      <c r="E48" s="50">
        <v>10</v>
      </c>
      <c r="F48" s="50">
        <v>43</v>
      </c>
      <c r="G48" s="50">
        <v>3</v>
      </c>
      <c r="H48" s="50">
        <v>0</v>
      </c>
      <c r="I48" s="50">
        <v>14</v>
      </c>
      <c r="J48" s="50">
        <v>6</v>
      </c>
      <c r="K48" s="50">
        <v>2</v>
      </c>
      <c r="L48" s="50">
        <v>7</v>
      </c>
      <c r="M48" s="50">
        <v>317</v>
      </c>
      <c r="N48" s="50">
        <v>0</v>
      </c>
      <c r="O48" s="15">
        <f t="shared" si="0"/>
        <v>137</v>
      </c>
      <c r="P48" s="15">
        <f t="shared" si="1"/>
        <v>454</v>
      </c>
      <c r="R48" s="8"/>
      <c r="T48"/>
    </row>
    <row r="49" spans="2:20" ht="23.1" customHeight="1" x14ac:dyDescent="0.25">
      <c r="B49" s="23" t="s">
        <v>76</v>
      </c>
      <c r="C49" s="50">
        <v>53</v>
      </c>
      <c r="D49" s="50">
        <v>11</v>
      </c>
      <c r="E49" s="50">
        <v>14</v>
      </c>
      <c r="F49" s="50">
        <v>44</v>
      </c>
      <c r="G49" s="50">
        <v>2</v>
      </c>
      <c r="H49" s="50">
        <v>2</v>
      </c>
      <c r="I49" s="50">
        <v>11</v>
      </c>
      <c r="J49" s="50">
        <v>2</v>
      </c>
      <c r="K49" s="50">
        <v>0</v>
      </c>
      <c r="L49" s="50">
        <v>4</v>
      </c>
      <c r="M49" s="50">
        <v>255</v>
      </c>
      <c r="N49" s="50">
        <v>0</v>
      </c>
      <c r="O49" s="15">
        <f t="shared" si="0"/>
        <v>143</v>
      </c>
      <c r="P49" s="15">
        <f t="shared" si="1"/>
        <v>398</v>
      </c>
      <c r="R49" s="8"/>
      <c r="T49"/>
    </row>
    <row r="50" spans="2:20" ht="23.1" customHeight="1" x14ac:dyDescent="0.25">
      <c r="B50" s="24" t="s">
        <v>77</v>
      </c>
      <c r="C50" s="50">
        <v>18</v>
      </c>
      <c r="D50" s="50">
        <v>11</v>
      </c>
      <c r="E50" s="50">
        <v>3</v>
      </c>
      <c r="F50" s="50">
        <v>31</v>
      </c>
      <c r="G50" s="50">
        <v>3</v>
      </c>
      <c r="H50" s="50">
        <v>2</v>
      </c>
      <c r="I50" s="50">
        <v>3</v>
      </c>
      <c r="J50" s="50">
        <v>4</v>
      </c>
      <c r="K50" s="50">
        <v>2</v>
      </c>
      <c r="L50" s="50">
        <v>4</v>
      </c>
      <c r="M50" s="50">
        <v>255</v>
      </c>
      <c r="N50" s="50">
        <v>0</v>
      </c>
      <c r="O50" s="15">
        <f t="shared" si="0"/>
        <v>81</v>
      </c>
      <c r="P50" s="15">
        <f t="shared" si="1"/>
        <v>336</v>
      </c>
      <c r="R50" s="8"/>
      <c r="T50"/>
    </row>
    <row r="51" spans="2:20" ht="23.1" customHeight="1" x14ac:dyDescent="0.25">
      <c r="B51" s="24" t="s">
        <v>78</v>
      </c>
      <c r="C51" s="50">
        <v>35</v>
      </c>
      <c r="D51" s="50">
        <v>5</v>
      </c>
      <c r="E51" s="50">
        <v>11</v>
      </c>
      <c r="F51" s="50">
        <v>61</v>
      </c>
      <c r="G51" s="50">
        <v>1</v>
      </c>
      <c r="H51" s="50">
        <v>0</v>
      </c>
      <c r="I51" s="50">
        <v>4</v>
      </c>
      <c r="J51" s="50">
        <v>10</v>
      </c>
      <c r="K51" s="50">
        <v>4</v>
      </c>
      <c r="L51" s="50">
        <v>2</v>
      </c>
      <c r="M51" s="50">
        <v>340</v>
      </c>
      <c r="N51" s="50">
        <v>0</v>
      </c>
      <c r="O51" s="15">
        <f t="shared" si="0"/>
        <v>133</v>
      </c>
      <c r="P51" s="15">
        <f t="shared" si="1"/>
        <v>473</v>
      </c>
      <c r="R51" s="8"/>
      <c r="T51"/>
    </row>
    <row r="52" spans="2:20" ht="23.1" customHeight="1" x14ac:dyDescent="0.25">
      <c r="B52" s="24" t="s">
        <v>79</v>
      </c>
      <c r="C52" s="50">
        <v>23</v>
      </c>
      <c r="D52" s="50">
        <v>5</v>
      </c>
      <c r="E52" s="50">
        <v>5</v>
      </c>
      <c r="F52" s="50">
        <v>45</v>
      </c>
      <c r="G52" s="50">
        <v>4</v>
      </c>
      <c r="H52" s="50">
        <v>0</v>
      </c>
      <c r="I52" s="50">
        <v>3</v>
      </c>
      <c r="J52" s="50">
        <v>1</v>
      </c>
      <c r="K52" s="50">
        <v>1</v>
      </c>
      <c r="L52" s="50">
        <v>5</v>
      </c>
      <c r="M52" s="50">
        <v>318</v>
      </c>
      <c r="N52" s="50">
        <v>0</v>
      </c>
      <c r="O52" s="15">
        <f t="shared" si="0"/>
        <v>92</v>
      </c>
      <c r="P52" s="15">
        <f t="shared" si="1"/>
        <v>410</v>
      </c>
      <c r="R52" s="8"/>
      <c r="T52"/>
    </row>
    <row r="53" spans="2:20" ht="23.1" customHeight="1" x14ac:dyDescent="0.25">
      <c r="B53" s="23" t="s">
        <v>80</v>
      </c>
      <c r="C53" s="50">
        <v>21</v>
      </c>
      <c r="D53" s="50">
        <v>6</v>
      </c>
      <c r="E53" s="50">
        <v>4</v>
      </c>
      <c r="F53" s="50">
        <v>17</v>
      </c>
      <c r="G53" s="50">
        <v>3</v>
      </c>
      <c r="H53" s="50">
        <v>0</v>
      </c>
      <c r="I53" s="50">
        <v>4</v>
      </c>
      <c r="J53" s="50">
        <v>5</v>
      </c>
      <c r="K53" s="50">
        <v>3</v>
      </c>
      <c r="L53" s="50">
        <v>2</v>
      </c>
      <c r="M53" s="50">
        <v>225</v>
      </c>
      <c r="N53" s="50">
        <v>0</v>
      </c>
      <c r="O53" s="15">
        <f t="shared" si="0"/>
        <v>65</v>
      </c>
      <c r="P53" s="15">
        <f t="shared" si="1"/>
        <v>290</v>
      </c>
      <c r="R53" s="8"/>
      <c r="T53"/>
    </row>
    <row r="54" spans="2:20" ht="23.1" customHeight="1" x14ac:dyDescent="0.25">
      <c r="B54" s="23" t="s">
        <v>81</v>
      </c>
      <c r="C54" s="50">
        <v>25</v>
      </c>
      <c r="D54" s="50">
        <v>4</v>
      </c>
      <c r="E54" s="50">
        <v>7</v>
      </c>
      <c r="F54" s="50">
        <v>33</v>
      </c>
      <c r="G54" s="50">
        <v>2</v>
      </c>
      <c r="H54" s="50">
        <v>0</v>
      </c>
      <c r="I54" s="50">
        <v>6</v>
      </c>
      <c r="J54" s="50">
        <v>2</v>
      </c>
      <c r="K54" s="50">
        <v>2</v>
      </c>
      <c r="L54" s="50">
        <v>1</v>
      </c>
      <c r="M54" s="50">
        <v>323</v>
      </c>
      <c r="N54" s="50">
        <v>0</v>
      </c>
      <c r="O54" s="15">
        <f t="shared" si="0"/>
        <v>82</v>
      </c>
      <c r="P54" s="15">
        <f t="shared" si="1"/>
        <v>405</v>
      </c>
      <c r="R54" s="8"/>
      <c r="T54"/>
    </row>
    <row r="55" spans="2:20" ht="23.1" customHeight="1" x14ac:dyDescent="0.25">
      <c r="B55" s="23" t="s">
        <v>82</v>
      </c>
      <c r="C55" s="50">
        <v>16</v>
      </c>
      <c r="D55" s="50">
        <v>10</v>
      </c>
      <c r="E55" s="50">
        <v>9</v>
      </c>
      <c r="F55" s="50">
        <v>41</v>
      </c>
      <c r="G55" s="50">
        <v>2</v>
      </c>
      <c r="H55" s="50">
        <v>0</v>
      </c>
      <c r="I55" s="50">
        <v>4</v>
      </c>
      <c r="J55" s="50">
        <v>3</v>
      </c>
      <c r="K55" s="50">
        <v>3</v>
      </c>
      <c r="L55" s="50">
        <v>1</v>
      </c>
      <c r="M55" s="50">
        <v>244</v>
      </c>
      <c r="N55" s="50">
        <v>0</v>
      </c>
      <c r="O55" s="15">
        <f t="shared" si="0"/>
        <v>89</v>
      </c>
      <c r="P55" s="15">
        <f t="shared" si="1"/>
        <v>333</v>
      </c>
      <c r="R55" s="8"/>
      <c r="T55"/>
    </row>
    <row r="56" spans="2:20" ht="23.1" customHeight="1" x14ac:dyDescent="0.25">
      <c r="B56" s="23" t="s">
        <v>83</v>
      </c>
      <c r="C56" s="50">
        <v>28</v>
      </c>
      <c r="D56" s="50">
        <v>10</v>
      </c>
      <c r="E56" s="50">
        <v>3</v>
      </c>
      <c r="F56" s="50">
        <v>30</v>
      </c>
      <c r="G56" s="50">
        <v>0</v>
      </c>
      <c r="H56" s="50">
        <v>1</v>
      </c>
      <c r="I56" s="50">
        <v>4</v>
      </c>
      <c r="J56" s="50">
        <v>2</v>
      </c>
      <c r="K56" s="50">
        <v>5</v>
      </c>
      <c r="L56" s="50">
        <v>8</v>
      </c>
      <c r="M56" s="50">
        <v>275</v>
      </c>
      <c r="N56" s="50">
        <v>0</v>
      </c>
      <c r="O56" s="15">
        <f t="shared" si="0"/>
        <v>91</v>
      </c>
      <c r="P56" s="15">
        <f t="shared" si="1"/>
        <v>366</v>
      </c>
      <c r="R56" s="8"/>
      <c r="T56"/>
    </row>
    <row r="57" spans="2:20" ht="23.1" customHeight="1" x14ac:dyDescent="0.25">
      <c r="B57" s="23" t="s">
        <v>84</v>
      </c>
      <c r="C57" s="50">
        <v>18</v>
      </c>
      <c r="D57" s="50">
        <v>8</v>
      </c>
      <c r="E57" s="50">
        <v>2</v>
      </c>
      <c r="F57" s="50">
        <v>44</v>
      </c>
      <c r="G57" s="50">
        <v>2</v>
      </c>
      <c r="H57" s="50">
        <v>1</v>
      </c>
      <c r="I57" s="50">
        <v>9</v>
      </c>
      <c r="J57" s="50">
        <v>10</v>
      </c>
      <c r="K57" s="50">
        <v>4</v>
      </c>
      <c r="L57" s="50">
        <v>5</v>
      </c>
      <c r="M57" s="50">
        <v>275</v>
      </c>
      <c r="N57" s="50">
        <v>0</v>
      </c>
      <c r="O57" s="15">
        <f t="shared" si="0"/>
        <v>103</v>
      </c>
      <c r="P57" s="15">
        <f t="shared" si="1"/>
        <v>378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1873</v>
      </c>
      <c r="D58" s="16">
        <f t="shared" si="21"/>
        <v>611</v>
      </c>
      <c r="E58" s="16">
        <f t="shared" si="21"/>
        <v>350</v>
      </c>
      <c r="F58" s="16">
        <f t="shared" si="21"/>
        <v>2226</v>
      </c>
      <c r="G58" s="16">
        <f t="shared" si="21"/>
        <v>75</v>
      </c>
      <c r="H58" s="16">
        <f t="shared" si="21"/>
        <v>25</v>
      </c>
      <c r="I58" s="16">
        <f t="shared" si="21"/>
        <v>451</v>
      </c>
      <c r="J58" s="16">
        <f t="shared" si="21"/>
        <v>201</v>
      </c>
      <c r="K58" s="16">
        <f t="shared" si="21"/>
        <v>109</v>
      </c>
      <c r="L58" s="16">
        <f t="shared" si="21"/>
        <v>121</v>
      </c>
      <c r="M58" s="16">
        <f t="shared" si="21"/>
        <v>11311</v>
      </c>
      <c r="N58" s="16">
        <f t="shared" si="21"/>
        <v>0</v>
      </c>
      <c r="O58" s="16">
        <f t="shared" si="21"/>
        <v>6042</v>
      </c>
      <c r="P58" s="16">
        <f t="shared" si="21"/>
        <v>17353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0.10793522733821241</v>
      </c>
      <c r="D59" s="43">
        <f t="shared" si="22"/>
        <v>3.521005013542327E-2</v>
      </c>
      <c r="E59" s="43">
        <f t="shared" si="22"/>
        <v>2.0169423154497781E-2</v>
      </c>
      <c r="F59" s="43">
        <f t="shared" si="22"/>
        <v>0.12827753126260588</v>
      </c>
      <c r="G59" s="43">
        <f t="shared" si="22"/>
        <v>4.3220192473923816E-3</v>
      </c>
      <c r="H59" s="43">
        <f t="shared" si="22"/>
        <v>1.4406730824641273E-3</v>
      </c>
      <c r="I59" s="43">
        <f t="shared" si="22"/>
        <v>2.5989742407652856E-2</v>
      </c>
      <c r="J59" s="43">
        <f t="shared" si="22"/>
        <v>1.1583011583011582E-2</v>
      </c>
      <c r="K59" s="43">
        <f t="shared" si="22"/>
        <v>6.2813346395435947E-3</v>
      </c>
      <c r="L59" s="43">
        <f t="shared" si="22"/>
        <v>6.9728577191263755E-3</v>
      </c>
      <c r="M59" s="43">
        <f t="shared" si="22"/>
        <v>0.65181812943006978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0.30999668983780204</v>
      </c>
      <c r="D60" s="44">
        <f t="shared" ref="D60:N60" si="23">D58/$O$58</f>
        <v>0.10112545514730222</v>
      </c>
      <c r="E60" s="44">
        <f t="shared" si="23"/>
        <v>5.7927838464084738E-2</v>
      </c>
      <c r="F60" s="44">
        <f t="shared" si="23"/>
        <v>0.36842105263157893</v>
      </c>
      <c r="G60" s="44">
        <f t="shared" si="23"/>
        <v>1.2413108242303872E-2</v>
      </c>
      <c r="H60" s="44">
        <f t="shared" si="23"/>
        <v>4.1377027474346247E-3</v>
      </c>
      <c r="I60" s="44">
        <f t="shared" si="23"/>
        <v>7.4644157563720628E-2</v>
      </c>
      <c r="J60" s="44">
        <f t="shared" si="23"/>
        <v>3.3267130089374382E-2</v>
      </c>
      <c r="K60" s="44">
        <f t="shared" si="23"/>
        <v>1.8040383978814963E-2</v>
      </c>
      <c r="L60" s="44">
        <f t="shared" si="23"/>
        <v>2.0026481297583582E-2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Bwaise-Kawempe'!C3:G3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3" t="str">
        <f>'22.07 Bwaise-Kawempe'!G5:H5</f>
        <v>Before Steel and Tube</v>
      </c>
      <c r="H5" s="64"/>
      <c r="I5" s="14"/>
      <c r="J5" s="2" t="s">
        <v>5</v>
      </c>
      <c r="K5" s="63" t="s">
        <v>173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Bwaise-Kawempe'!D6:E6</f>
        <v>Bwaise</v>
      </c>
      <c r="E6" s="64"/>
      <c r="F6" s="2" t="s">
        <v>2</v>
      </c>
      <c r="G6" s="63" t="str">
        <f>'22.07 Bwaise-Kawempe'!G6:H6</f>
        <v>Kawempe</v>
      </c>
      <c r="H6" s="64"/>
      <c r="J6" s="2" t="s">
        <v>21</v>
      </c>
      <c r="K6" s="63" t="str">
        <f>'22.07 Bwaise-Kawempe'!K6:L6</f>
        <v>Salima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24</v>
      </c>
      <c r="D10" s="50">
        <v>5</v>
      </c>
      <c r="E10" s="50">
        <v>7</v>
      </c>
      <c r="F10" s="50">
        <v>27</v>
      </c>
      <c r="G10" s="50">
        <v>1</v>
      </c>
      <c r="H10" s="50">
        <v>1</v>
      </c>
      <c r="I10" s="50">
        <v>5</v>
      </c>
      <c r="J10" s="50">
        <v>4</v>
      </c>
      <c r="K10" s="50">
        <v>1</v>
      </c>
      <c r="L10" s="50">
        <v>2</v>
      </c>
      <c r="M10" s="50">
        <v>101</v>
      </c>
      <c r="N10" s="50">
        <v>0</v>
      </c>
      <c r="O10" s="15">
        <f t="shared" ref="O10:O57" si="0">SUM(C10:L10,N10)</f>
        <v>77</v>
      </c>
      <c r="P10" s="15">
        <f t="shared" ref="P10:P57" si="1">SUM(C10:N10)</f>
        <v>178</v>
      </c>
      <c r="R10" s="1" t="s">
        <v>6</v>
      </c>
      <c r="S10" s="17">
        <f t="shared" ref="S10:AF10" si="2">SUM(C10:C13)</f>
        <v>87</v>
      </c>
      <c r="T10" s="17">
        <f t="shared" si="2"/>
        <v>14</v>
      </c>
      <c r="U10" s="17">
        <f t="shared" si="2"/>
        <v>14</v>
      </c>
      <c r="V10" s="17">
        <f t="shared" si="2"/>
        <v>118</v>
      </c>
      <c r="W10" s="17">
        <f t="shared" si="2"/>
        <v>6</v>
      </c>
      <c r="X10" s="17">
        <f t="shared" si="2"/>
        <v>3</v>
      </c>
      <c r="Y10" s="17">
        <f t="shared" si="2"/>
        <v>17</v>
      </c>
      <c r="Z10" s="17">
        <f t="shared" si="2"/>
        <v>6</v>
      </c>
      <c r="AA10" s="17">
        <f t="shared" si="2"/>
        <v>2</v>
      </c>
      <c r="AB10" s="17">
        <f t="shared" si="2"/>
        <v>5</v>
      </c>
      <c r="AC10" s="17">
        <f t="shared" si="2"/>
        <v>561</v>
      </c>
      <c r="AD10" s="17">
        <f t="shared" si="2"/>
        <v>0</v>
      </c>
      <c r="AE10" s="31">
        <f t="shared" si="2"/>
        <v>272</v>
      </c>
      <c r="AF10" s="31">
        <f t="shared" si="2"/>
        <v>833</v>
      </c>
    </row>
    <row r="11" spans="2:32" s="6" customFormat="1" ht="23.1" customHeight="1" x14ac:dyDescent="0.25">
      <c r="B11" s="23" t="s">
        <v>38</v>
      </c>
      <c r="C11" s="50">
        <v>27</v>
      </c>
      <c r="D11" s="50">
        <v>3</v>
      </c>
      <c r="E11" s="50">
        <v>1</v>
      </c>
      <c r="F11" s="50">
        <v>26</v>
      </c>
      <c r="G11" s="50">
        <v>0</v>
      </c>
      <c r="H11" s="50">
        <v>2</v>
      </c>
      <c r="I11" s="50">
        <v>4</v>
      </c>
      <c r="J11" s="50">
        <v>1</v>
      </c>
      <c r="K11" s="50">
        <v>1</v>
      </c>
      <c r="L11" s="50">
        <v>0</v>
      </c>
      <c r="M11" s="50">
        <v>100</v>
      </c>
      <c r="N11" s="50">
        <v>0</v>
      </c>
      <c r="O11" s="15">
        <f t="shared" si="0"/>
        <v>65</v>
      </c>
      <c r="P11" s="15">
        <f t="shared" si="1"/>
        <v>165</v>
      </c>
      <c r="R11" s="1" t="s">
        <v>7</v>
      </c>
      <c r="S11" s="17">
        <f t="shared" ref="S11:AF11" si="3">SUM(C14:C17)</f>
        <v>101</v>
      </c>
      <c r="T11" s="17">
        <f t="shared" si="3"/>
        <v>11</v>
      </c>
      <c r="U11" s="17">
        <f t="shared" si="3"/>
        <v>16</v>
      </c>
      <c r="V11" s="17">
        <f t="shared" si="3"/>
        <v>173</v>
      </c>
      <c r="W11" s="17">
        <f t="shared" si="3"/>
        <v>10</v>
      </c>
      <c r="X11" s="17">
        <f t="shared" si="3"/>
        <v>5</v>
      </c>
      <c r="Y11" s="17">
        <f t="shared" si="3"/>
        <v>32</v>
      </c>
      <c r="Z11" s="17">
        <f t="shared" si="3"/>
        <v>13</v>
      </c>
      <c r="AA11" s="17">
        <f t="shared" si="3"/>
        <v>6</v>
      </c>
      <c r="AB11" s="17">
        <f t="shared" si="3"/>
        <v>12</v>
      </c>
      <c r="AC11" s="17">
        <f t="shared" si="3"/>
        <v>665</v>
      </c>
      <c r="AD11" s="17">
        <f t="shared" si="3"/>
        <v>0</v>
      </c>
      <c r="AE11" s="31">
        <f t="shared" si="3"/>
        <v>379</v>
      </c>
      <c r="AF11" s="31">
        <f t="shared" si="3"/>
        <v>1044</v>
      </c>
    </row>
    <row r="12" spans="2:32" ht="23.1" customHeight="1" x14ac:dyDescent="0.25">
      <c r="B12" s="23" t="s">
        <v>39</v>
      </c>
      <c r="C12" s="50">
        <v>12</v>
      </c>
      <c r="D12" s="50">
        <v>3</v>
      </c>
      <c r="E12" s="50">
        <v>3</v>
      </c>
      <c r="F12" s="50">
        <v>32</v>
      </c>
      <c r="G12" s="50">
        <v>2</v>
      </c>
      <c r="H12" s="50">
        <v>0</v>
      </c>
      <c r="I12" s="50">
        <v>3</v>
      </c>
      <c r="J12" s="50">
        <v>1</v>
      </c>
      <c r="K12" s="50">
        <v>0</v>
      </c>
      <c r="L12" s="50">
        <v>0</v>
      </c>
      <c r="M12" s="50">
        <v>170</v>
      </c>
      <c r="N12" s="50">
        <v>0</v>
      </c>
      <c r="O12" s="15">
        <f t="shared" si="0"/>
        <v>56</v>
      </c>
      <c r="P12" s="15">
        <f t="shared" si="1"/>
        <v>226</v>
      </c>
      <c r="R12" s="1" t="s">
        <v>8</v>
      </c>
      <c r="S12" s="17">
        <f t="shared" ref="S12:AF12" si="4">SUM(C18:C21)</f>
        <v>123</v>
      </c>
      <c r="T12" s="17">
        <f t="shared" si="4"/>
        <v>31</v>
      </c>
      <c r="U12" s="17">
        <f t="shared" si="4"/>
        <v>31</v>
      </c>
      <c r="V12" s="17">
        <f t="shared" si="4"/>
        <v>213</v>
      </c>
      <c r="W12" s="17">
        <f t="shared" si="4"/>
        <v>5</v>
      </c>
      <c r="X12" s="17">
        <f t="shared" si="4"/>
        <v>2</v>
      </c>
      <c r="Y12" s="17">
        <f t="shared" si="4"/>
        <v>32</v>
      </c>
      <c r="Z12" s="17">
        <f t="shared" si="4"/>
        <v>9</v>
      </c>
      <c r="AA12" s="17">
        <f t="shared" si="4"/>
        <v>7</v>
      </c>
      <c r="AB12" s="17">
        <f t="shared" si="4"/>
        <v>5</v>
      </c>
      <c r="AC12" s="17">
        <f t="shared" si="4"/>
        <v>609</v>
      </c>
      <c r="AD12" s="17">
        <f t="shared" si="4"/>
        <v>0</v>
      </c>
      <c r="AE12" s="31">
        <f t="shared" si="4"/>
        <v>458</v>
      </c>
      <c r="AF12" s="31">
        <f t="shared" si="4"/>
        <v>1067</v>
      </c>
    </row>
    <row r="13" spans="2:32" ht="23.1" customHeight="1" x14ac:dyDescent="0.25">
      <c r="B13" s="23" t="s">
        <v>40</v>
      </c>
      <c r="C13" s="50">
        <v>24</v>
      </c>
      <c r="D13" s="50">
        <v>3</v>
      </c>
      <c r="E13" s="50">
        <v>3</v>
      </c>
      <c r="F13" s="50">
        <v>33</v>
      </c>
      <c r="G13" s="50">
        <v>3</v>
      </c>
      <c r="H13" s="50">
        <v>0</v>
      </c>
      <c r="I13" s="50">
        <v>5</v>
      </c>
      <c r="J13" s="50">
        <v>0</v>
      </c>
      <c r="K13" s="50">
        <v>0</v>
      </c>
      <c r="L13" s="50">
        <v>3</v>
      </c>
      <c r="M13" s="50">
        <v>190</v>
      </c>
      <c r="N13" s="50">
        <v>0</v>
      </c>
      <c r="O13" s="15">
        <f t="shared" si="0"/>
        <v>74</v>
      </c>
      <c r="P13" s="15">
        <f t="shared" si="1"/>
        <v>264</v>
      </c>
      <c r="R13" s="1" t="s">
        <v>9</v>
      </c>
      <c r="S13" s="17">
        <f t="shared" ref="S13:AF13" si="5">SUM(C22:C25)</f>
        <v>125</v>
      </c>
      <c r="T13" s="17">
        <f t="shared" si="5"/>
        <v>28</v>
      </c>
      <c r="U13" s="17">
        <f t="shared" si="5"/>
        <v>29</v>
      </c>
      <c r="V13" s="17">
        <f t="shared" si="5"/>
        <v>154</v>
      </c>
      <c r="W13" s="17">
        <f t="shared" si="5"/>
        <v>11</v>
      </c>
      <c r="X13" s="17">
        <f t="shared" si="5"/>
        <v>1</v>
      </c>
      <c r="Y13" s="17">
        <f t="shared" si="5"/>
        <v>46</v>
      </c>
      <c r="Z13" s="17">
        <f t="shared" si="5"/>
        <v>9</v>
      </c>
      <c r="AA13" s="17">
        <f t="shared" si="5"/>
        <v>8</v>
      </c>
      <c r="AB13" s="17">
        <f t="shared" si="5"/>
        <v>12</v>
      </c>
      <c r="AC13" s="17">
        <f t="shared" si="5"/>
        <v>479</v>
      </c>
      <c r="AD13" s="17">
        <f t="shared" si="5"/>
        <v>0</v>
      </c>
      <c r="AE13" s="31">
        <f t="shared" si="5"/>
        <v>423</v>
      </c>
      <c r="AF13" s="31">
        <f t="shared" si="5"/>
        <v>902</v>
      </c>
    </row>
    <row r="14" spans="2:32" ht="23.1" customHeight="1" x14ac:dyDescent="0.25">
      <c r="B14" s="23" t="s">
        <v>41</v>
      </c>
      <c r="C14" s="50">
        <v>20</v>
      </c>
      <c r="D14" s="50">
        <v>3</v>
      </c>
      <c r="E14" s="50">
        <v>4</v>
      </c>
      <c r="F14" s="50">
        <v>49</v>
      </c>
      <c r="G14" s="50">
        <v>6</v>
      </c>
      <c r="H14" s="50">
        <v>2</v>
      </c>
      <c r="I14" s="50">
        <v>10</v>
      </c>
      <c r="J14" s="50">
        <v>3</v>
      </c>
      <c r="K14" s="50">
        <v>2</v>
      </c>
      <c r="L14" s="50">
        <v>3</v>
      </c>
      <c r="M14" s="50">
        <v>145</v>
      </c>
      <c r="N14" s="50">
        <v>0</v>
      </c>
      <c r="O14" s="15">
        <f t="shared" si="0"/>
        <v>102</v>
      </c>
      <c r="P14" s="15">
        <f t="shared" si="1"/>
        <v>247</v>
      </c>
      <c r="R14" s="1" t="s">
        <v>10</v>
      </c>
      <c r="S14" s="17">
        <f t="shared" ref="S14:AF14" si="6">SUM(C26:C29)</f>
        <v>150</v>
      </c>
      <c r="T14" s="17">
        <f t="shared" si="6"/>
        <v>39</v>
      </c>
      <c r="U14" s="17">
        <f t="shared" si="6"/>
        <v>35</v>
      </c>
      <c r="V14" s="17">
        <f t="shared" si="6"/>
        <v>186</v>
      </c>
      <c r="W14" s="17">
        <f t="shared" si="6"/>
        <v>7</v>
      </c>
      <c r="X14" s="17">
        <f t="shared" si="6"/>
        <v>6</v>
      </c>
      <c r="Y14" s="17">
        <f t="shared" si="6"/>
        <v>44</v>
      </c>
      <c r="Z14" s="17">
        <f t="shared" si="6"/>
        <v>6</v>
      </c>
      <c r="AA14" s="17">
        <f t="shared" si="6"/>
        <v>11</v>
      </c>
      <c r="AB14" s="17">
        <f t="shared" si="6"/>
        <v>18</v>
      </c>
      <c r="AC14" s="17">
        <f t="shared" si="6"/>
        <v>414</v>
      </c>
      <c r="AD14" s="17">
        <f t="shared" si="6"/>
        <v>0</v>
      </c>
      <c r="AE14" s="31">
        <f t="shared" si="6"/>
        <v>502</v>
      </c>
      <c r="AF14" s="31">
        <f t="shared" si="6"/>
        <v>916</v>
      </c>
    </row>
    <row r="15" spans="2:32" ht="23.1" customHeight="1" x14ac:dyDescent="0.25">
      <c r="B15" s="23" t="s">
        <v>42</v>
      </c>
      <c r="C15" s="50">
        <v>25</v>
      </c>
      <c r="D15" s="50">
        <v>4</v>
      </c>
      <c r="E15" s="50">
        <v>5</v>
      </c>
      <c r="F15" s="50">
        <v>38</v>
      </c>
      <c r="G15" s="50">
        <v>3</v>
      </c>
      <c r="H15" s="50">
        <v>1</v>
      </c>
      <c r="I15" s="50">
        <v>10</v>
      </c>
      <c r="J15" s="50">
        <v>2</v>
      </c>
      <c r="K15" s="50">
        <v>2</v>
      </c>
      <c r="L15" s="50">
        <v>5</v>
      </c>
      <c r="M15" s="50">
        <v>160</v>
      </c>
      <c r="N15" s="50">
        <v>0</v>
      </c>
      <c r="O15" s="15">
        <f t="shared" si="0"/>
        <v>95</v>
      </c>
      <c r="P15" s="15">
        <f t="shared" si="1"/>
        <v>255</v>
      </c>
      <c r="R15" s="1" t="s">
        <v>11</v>
      </c>
      <c r="S15" s="17">
        <f t="shared" ref="S15:AF15" si="7">SUM(C30:C33)</f>
        <v>110</v>
      </c>
      <c r="T15" s="17">
        <f t="shared" si="7"/>
        <v>23</v>
      </c>
      <c r="U15" s="17">
        <f t="shared" si="7"/>
        <v>18</v>
      </c>
      <c r="V15" s="17">
        <f t="shared" si="7"/>
        <v>140</v>
      </c>
      <c r="W15" s="17">
        <f t="shared" si="7"/>
        <v>4</v>
      </c>
      <c r="X15" s="17">
        <f t="shared" si="7"/>
        <v>3</v>
      </c>
      <c r="Y15" s="17">
        <f t="shared" si="7"/>
        <v>51</v>
      </c>
      <c r="Z15" s="17">
        <f t="shared" si="7"/>
        <v>10</v>
      </c>
      <c r="AA15" s="17">
        <f t="shared" si="7"/>
        <v>5</v>
      </c>
      <c r="AB15" s="17">
        <f t="shared" si="7"/>
        <v>15</v>
      </c>
      <c r="AC15" s="17">
        <f t="shared" si="7"/>
        <v>371</v>
      </c>
      <c r="AD15" s="17">
        <f t="shared" si="7"/>
        <v>0</v>
      </c>
      <c r="AE15" s="31">
        <f t="shared" si="7"/>
        <v>379</v>
      </c>
      <c r="AF15" s="31">
        <f t="shared" si="7"/>
        <v>750</v>
      </c>
    </row>
    <row r="16" spans="2:32" ht="23.1" customHeight="1" x14ac:dyDescent="0.25">
      <c r="B16" s="23" t="s">
        <v>43</v>
      </c>
      <c r="C16" s="50">
        <v>31</v>
      </c>
      <c r="D16" s="50">
        <v>2</v>
      </c>
      <c r="E16" s="50">
        <v>1</v>
      </c>
      <c r="F16" s="50">
        <v>37</v>
      </c>
      <c r="G16" s="50">
        <v>1</v>
      </c>
      <c r="H16" s="50">
        <v>0</v>
      </c>
      <c r="I16" s="50">
        <v>8</v>
      </c>
      <c r="J16" s="50">
        <v>4</v>
      </c>
      <c r="K16" s="50">
        <v>1</v>
      </c>
      <c r="L16" s="50">
        <v>2</v>
      </c>
      <c r="M16" s="50">
        <v>175</v>
      </c>
      <c r="N16" s="50">
        <v>0</v>
      </c>
      <c r="O16" s="15">
        <f t="shared" si="0"/>
        <v>87</v>
      </c>
      <c r="P16" s="15">
        <f t="shared" si="1"/>
        <v>262</v>
      </c>
      <c r="R16" s="1" t="s">
        <v>12</v>
      </c>
      <c r="S16" s="17">
        <f t="shared" ref="S16:AF16" si="8">SUM(C34:C37)</f>
        <v>144</v>
      </c>
      <c r="T16" s="17">
        <f t="shared" si="8"/>
        <v>22</v>
      </c>
      <c r="U16" s="17">
        <f t="shared" si="8"/>
        <v>31</v>
      </c>
      <c r="V16" s="17">
        <f t="shared" si="8"/>
        <v>171</v>
      </c>
      <c r="W16" s="17">
        <f t="shared" si="8"/>
        <v>6</v>
      </c>
      <c r="X16" s="17">
        <f t="shared" si="8"/>
        <v>3</v>
      </c>
      <c r="Y16" s="17">
        <f t="shared" si="8"/>
        <v>66</v>
      </c>
      <c r="Z16" s="17">
        <f t="shared" si="8"/>
        <v>8</v>
      </c>
      <c r="AA16" s="17">
        <f t="shared" si="8"/>
        <v>8</v>
      </c>
      <c r="AB16" s="17">
        <f t="shared" si="8"/>
        <v>19</v>
      </c>
      <c r="AC16" s="17">
        <f t="shared" si="8"/>
        <v>426</v>
      </c>
      <c r="AD16" s="17">
        <f t="shared" si="8"/>
        <v>0</v>
      </c>
      <c r="AE16" s="31">
        <f t="shared" si="8"/>
        <v>478</v>
      </c>
      <c r="AF16" s="31">
        <f t="shared" si="8"/>
        <v>904</v>
      </c>
    </row>
    <row r="17" spans="2:32" ht="23.1" customHeight="1" x14ac:dyDescent="0.25">
      <c r="B17" s="23" t="s">
        <v>44</v>
      </c>
      <c r="C17" s="50">
        <v>25</v>
      </c>
      <c r="D17" s="50">
        <v>2</v>
      </c>
      <c r="E17" s="50">
        <v>6</v>
      </c>
      <c r="F17" s="50">
        <v>49</v>
      </c>
      <c r="G17" s="50">
        <v>0</v>
      </c>
      <c r="H17" s="50">
        <v>2</v>
      </c>
      <c r="I17" s="50">
        <v>4</v>
      </c>
      <c r="J17" s="50">
        <v>4</v>
      </c>
      <c r="K17" s="50">
        <v>1</v>
      </c>
      <c r="L17" s="50">
        <v>2</v>
      </c>
      <c r="M17" s="50">
        <v>185</v>
      </c>
      <c r="N17" s="50">
        <v>0</v>
      </c>
      <c r="O17" s="15">
        <f t="shared" si="0"/>
        <v>95</v>
      </c>
      <c r="P17" s="15">
        <f t="shared" si="1"/>
        <v>280</v>
      </c>
      <c r="R17" s="1" t="s">
        <v>13</v>
      </c>
      <c r="S17" s="17">
        <f t="shared" ref="S17:AF17" si="9">SUM(C38:C41)</f>
        <v>104</v>
      </c>
      <c r="T17" s="17">
        <f t="shared" si="9"/>
        <v>25</v>
      </c>
      <c r="U17" s="17">
        <f t="shared" si="9"/>
        <v>14</v>
      </c>
      <c r="V17" s="17">
        <f t="shared" si="9"/>
        <v>122</v>
      </c>
      <c r="W17" s="17">
        <f t="shared" si="9"/>
        <v>3</v>
      </c>
      <c r="X17" s="17">
        <f t="shared" si="9"/>
        <v>4</v>
      </c>
      <c r="Y17" s="17">
        <f t="shared" si="9"/>
        <v>69</v>
      </c>
      <c r="Z17" s="17">
        <f t="shared" si="9"/>
        <v>25</v>
      </c>
      <c r="AA17" s="17">
        <f t="shared" si="9"/>
        <v>6</v>
      </c>
      <c r="AB17" s="17">
        <f t="shared" si="9"/>
        <v>14</v>
      </c>
      <c r="AC17" s="17">
        <f t="shared" si="9"/>
        <v>186</v>
      </c>
      <c r="AD17" s="17">
        <f t="shared" si="9"/>
        <v>0</v>
      </c>
      <c r="AE17" s="31">
        <f t="shared" si="9"/>
        <v>386</v>
      </c>
      <c r="AF17" s="31">
        <f t="shared" si="9"/>
        <v>572</v>
      </c>
    </row>
    <row r="18" spans="2:32" ht="23.1" customHeight="1" x14ac:dyDescent="0.25">
      <c r="B18" s="23" t="s">
        <v>45</v>
      </c>
      <c r="C18" s="50">
        <v>15</v>
      </c>
      <c r="D18" s="50">
        <v>6</v>
      </c>
      <c r="E18" s="50">
        <v>4</v>
      </c>
      <c r="F18" s="50">
        <v>48</v>
      </c>
      <c r="G18" s="50">
        <v>1</v>
      </c>
      <c r="H18" s="50">
        <v>1</v>
      </c>
      <c r="I18" s="50">
        <v>9</v>
      </c>
      <c r="J18" s="50">
        <v>2</v>
      </c>
      <c r="K18" s="50">
        <v>1</v>
      </c>
      <c r="L18" s="50">
        <v>2</v>
      </c>
      <c r="M18" s="50">
        <v>217</v>
      </c>
      <c r="N18" s="50">
        <v>0</v>
      </c>
      <c r="O18" s="15">
        <f t="shared" si="0"/>
        <v>89</v>
      </c>
      <c r="P18" s="15">
        <f t="shared" si="1"/>
        <v>306</v>
      </c>
      <c r="R18" s="1" t="s">
        <v>14</v>
      </c>
      <c r="S18" s="17">
        <f t="shared" ref="S18:AF18" si="10">SUM(C42:C45)</f>
        <v>111</v>
      </c>
      <c r="T18" s="17">
        <f t="shared" si="10"/>
        <v>22</v>
      </c>
      <c r="U18" s="17">
        <f t="shared" si="10"/>
        <v>34</v>
      </c>
      <c r="V18" s="17">
        <f t="shared" si="10"/>
        <v>149</v>
      </c>
      <c r="W18" s="17">
        <f t="shared" si="10"/>
        <v>5</v>
      </c>
      <c r="X18" s="17">
        <f t="shared" si="10"/>
        <v>1</v>
      </c>
      <c r="Y18" s="17">
        <f t="shared" si="10"/>
        <v>62</v>
      </c>
      <c r="Z18" s="17">
        <f t="shared" si="10"/>
        <v>15</v>
      </c>
      <c r="AA18" s="17">
        <f t="shared" si="10"/>
        <v>7</v>
      </c>
      <c r="AB18" s="17">
        <f t="shared" si="10"/>
        <v>24</v>
      </c>
      <c r="AC18" s="17">
        <f t="shared" si="10"/>
        <v>410</v>
      </c>
      <c r="AD18" s="17">
        <f t="shared" si="10"/>
        <v>0</v>
      </c>
      <c r="AE18" s="31">
        <f t="shared" si="10"/>
        <v>430</v>
      </c>
      <c r="AF18" s="31">
        <f t="shared" si="10"/>
        <v>840</v>
      </c>
    </row>
    <row r="19" spans="2:32" ht="23.1" customHeight="1" x14ac:dyDescent="0.25">
      <c r="B19" s="23" t="s">
        <v>46</v>
      </c>
      <c r="C19" s="50">
        <v>43</v>
      </c>
      <c r="D19" s="50">
        <v>10</v>
      </c>
      <c r="E19" s="50">
        <v>13</v>
      </c>
      <c r="F19" s="50">
        <v>63</v>
      </c>
      <c r="G19" s="50">
        <v>1</v>
      </c>
      <c r="H19" s="50">
        <v>0</v>
      </c>
      <c r="I19" s="50">
        <v>9</v>
      </c>
      <c r="J19" s="50">
        <v>2</v>
      </c>
      <c r="K19" s="50">
        <v>2</v>
      </c>
      <c r="L19" s="50">
        <v>0</v>
      </c>
      <c r="M19" s="50">
        <v>145</v>
      </c>
      <c r="N19" s="50">
        <v>0</v>
      </c>
      <c r="O19" s="15">
        <f t="shared" si="0"/>
        <v>143</v>
      </c>
      <c r="P19" s="15">
        <f t="shared" si="1"/>
        <v>288</v>
      </c>
      <c r="R19" s="1" t="s">
        <v>15</v>
      </c>
      <c r="S19" s="17">
        <f t="shared" ref="S19:AF19" si="11">SUM(C46:C49)</f>
        <v>171</v>
      </c>
      <c r="T19" s="17">
        <f t="shared" si="11"/>
        <v>25</v>
      </c>
      <c r="U19" s="17">
        <f t="shared" si="11"/>
        <v>21</v>
      </c>
      <c r="V19" s="17">
        <f t="shared" si="11"/>
        <v>143</v>
      </c>
      <c r="W19" s="17">
        <f t="shared" si="11"/>
        <v>6</v>
      </c>
      <c r="X19" s="17">
        <f t="shared" si="11"/>
        <v>4</v>
      </c>
      <c r="Y19" s="17">
        <f t="shared" si="11"/>
        <v>38</v>
      </c>
      <c r="Z19" s="17">
        <f t="shared" si="11"/>
        <v>11</v>
      </c>
      <c r="AA19" s="17">
        <f t="shared" si="11"/>
        <v>5</v>
      </c>
      <c r="AB19" s="17">
        <f t="shared" si="11"/>
        <v>28</v>
      </c>
      <c r="AC19" s="17">
        <f t="shared" si="11"/>
        <v>396</v>
      </c>
      <c r="AD19" s="17">
        <f t="shared" si="11"/>
        <v>0</v>
      </c>
      <c r="AE19" s="31">
        <f t="shared" si="11"/>
        <v>452</v>
      </c>
      <c r="AF19" s="31">
        <f t="shared" si="11"/>
        <v>848</v>
      </c>
    </row>
    <row r="20" spans="2:32" ht="23.1" customHeight="1" x14ac:dyDescent="0.25">
      <c r="B20" s="23" t="s">
        <v>47</v>
      </c>
      <c r="C20" s="50">
        <v>45</v>
      </c>
      <c r="D20" s="50">
        <v>10</v>
      </c>
      <c r="E20" s="50">
        <v>10</v>
      </c>
      <c r="F20" s="50">
        <v>80</v>
      </c>
      <c r="G20" s="50">
        <v>3</v>
      </c>
      <c r="H20" s="50">
        <v>0</v>
      </c>
      <c r="I20" s="50">
        <v>5</v>
      </c>
      <c r="J20" s="50">
        <v>3</v>
      </c>
      <c r="K20" s="50">
        <v>3</v>
      </c>
      <c r="L20" s="50">
        <v>2</v>
      </c>
      <c r="M20" s="50">
        <v>180</v>
      </c>
      <c r="N20" s="50">
        <v>0</v>
      </c>
      <c r="O20" s="15">
        <f t="shared" si="0"/>
        <v>161</v>
      </c>
      <c r="P20" s="15">
        <f t="shared" si="1"/>
        <v>341</v>
      </c>
      <c r="R20" s="1" t="s">
        <v>16</v>
      </c>
      <c r="S20" s="17">
        <f t="shared" ref="S20:AF20" si="12">SUM(C50:C53)</f>
        <v>184</v>
      </c>
      <c r="T20" s="17">
        <f t="shared" si="12"/>
        <v>17</v>
      </c>
      <c r="U20" s="17">
        <f t="shared" si="12"/>
        <v>24</v>
      </c>
      <c r="V20" s="17">
        <f t="shared" si="12"/>
        <v>168</v>
      </c>
      <c r="W20" s="17">
        <f t="shared" si="12"/>
        <v>7</v>
      </c>
      <c r="X20" s="17">
        <f t="shared" si="12"/>
        <v>1</v>
      </c>
      <c r="Y20" s="17">
        <f t="shared" si="12"/>
        <v>45</v>
      </c>
      <c r="Z20" s="17">
        <f t="shared" si="12"/>
        <v>17</v>
      </c>
      <c r="AA20" s="17">
        <f t="shared" si="12"/>
        <v>7</v>
      </c>
      <c r="AB20" s="17">
        <f t="shared" si="12"/>
        <v>13</v>
      </c>
      <c r="AC20" s="17">
        <f t="shared" si="12"/>
        <v>525</v>
      </c>
      <c r="AD20" s="17">
        <f t="shared" si="12"/>
        <v>0</v>
      </c>
      <c r="AE20" s="31">
        <f t="shared" si="12"/>
        <v>483</v>
      </c>
      <c r="AF20" s="31">
        <f t="shared" si="12"/>
        <v>1008</v>
      </c>
    </row>
    <row r="21" spans="2:32" ht="23.1" customHeight="1" x14ac:dyDescent="0.25">
      <c r="B21" s="23" t="s">
        <v>48</v>
      </c>
      <c r="C21" s="50">
        <v>20</v>
      </c>
      <c r="D21" s="50">
        <v>5</v>
      </c>
      <c r="E21" s="50">
        <v>4</v>
      </c>
      <c r="F21" s="50">
        <v>22</v>
      </c>
      <c r="G21" s="50">
        <v>0</v>
      </c>
      <c r="H21" s="50">
        <v>1</v>
      </c>
      <c r="I21" s="50">
        <v>9</v>
      </c>
      <c r="J21" s="50">
        <v>2</v>
      </c>
      <c r="K21" s="50">
        <v>1</v>
      </c>
      <c r="L21" s="50">
        <v>1</v>
      </c>
      <c r="M21" s="50">
        <v>67</v>
      </c>
      <c r="N21" s="50">
        <v>0</v>
      </c>
      <c r="O21" s="15">
        <f t="shared" si="0"/>
        <v>65</v>
      </c>
      <c r="P21" s="15">
        <f t="shared" si="1"/>
        <v>132</v>
      </c>
      <c r="R21" s="36" t="s">
        <v>20</v>
      </c>
      <c r="S21" s="34">
        <f t="shared" ref="S21:AF21" si="13">SUM(C54:C57)</f>
        <v>200</v>
      </c>
      <c r="T21" s="17">
        <f t="shared" si="13"/>
        <v>22</v>
      </c>
      <c r="U21" s="17">
        <f t="shared" si="13"/>
        <v>18</v>
      </c>
      <c r="V21" s="17">
        <f t="shared" si="13"/>
        <v>114</v>
      </c>
      <c r="W21" s="17">
        <f t="shared" si="13"/>
        <v>5</v>
      </c>
      <c r="X21" s="17">
        <f t="shared" si="13"/>
        <v>0</v>
      </c>
      <c r="Y21" s="17">
        <f t="shared" si="13"/>
        <v>36</v>
      </c>
      <c r="Z21" s="17">
        <f t="shared" si="13"/>
        <v>15</v>
      </c>
      <c r="AA21" s="17">
        <f t="shared" si="13"/>
        <v>9</v>
      </c>
      <c r="AB21" s="17">
        <f t="shared" si="13"/>
        <v>11</v>
      </c>
      <c r="AC21" s="17">
        <f t="shared" si="13"/>
        <v>674</v>
      </c>
      <c r="AD21" s="17">
        <f t="shared" si="13"/>
        <v>0</v>
      </c>
      <c r="AE21" s="31">
        <f t="shared" si="13"/>
        <v>430</v>
      </c>
      <c r="AF21" s="31">
        <f t="shared" si="13"/>
        <v>1104</v>
      </c>
    </row>
    <row r="22" spans="2:32" ht="23.1" customHeight="1" x14ac:dyDescent="0.25">
      <c r="B22" s="23" t="s">
        <v>49</v>
      </c>
      <c r="C22" s="50">
        <v>44</v>
      </c>
      <c r="D22" s="50">
        <v>7</v>
      </c>
      <c r="E22" s="50">
        <v>9</v>
      </c>
      <c r="F22" s="50">
        <v>40</v>
      </c>
      <c r="G22" s="50">
        <v>5</v>
      </c>
      <c r="H22" s="50">
        <v>0</v>
      </c>
      <c r="I22" s="50">
        <v>20</v>
      </c>
      <c r="J22" s="50">
        <v>1</v>
      </c>
      <c r="K22" s="50">
        <v>1</v>
      </c>
      <c r="L22" s="50">
        <v>1</v>
      </c>
      <c r="M22" s="50">
        <v>126</v>
      </c>
      <c r="N22" s="50">
        <v>0</v>
      </c>
      <c r="O22" s="15">
        <f t="shared" si="0"/>
        <v>128</v>
      </c>
      <c r="P22" s="15">
        <f t="shared" si="1"/>
        <v>254</v>
      </c>
      <c r="R22" s="38" t="s">
        <v>90</v>
      </c>
      <c r="S22" s="39">
        <f>MAX(S10:S12)</f>
        <v>123</v>
      </c>
      <c r="T22" s="39">
        <f t="shared" ref="T22:AF22" si="14">MAX(T10:T12)</f>
        <v>31</v>
      </c>
      <c r="U22" s="39">
        <f t="shared" si="14"/>
        <v>31</v>
      </c>
      <c r="V22" s="39">
        <f t="shared" si="14"/>
        <v>213</v>
      </c>
      <c r="W22" s="39">
        <f t="shared" si="14"/>
        <v>10</v>
      </c>
      <c r="X22" s="39">
        <f t="shared" si="14"/>
        <v>5</v>
      </c>
      <c r="Y22" s="39">
        <f t="shared" si="14"/>
        <v>32</v>
      </c>
      <c r="Z22" s="39">
        <f t="shared" si="14"/>
        <v>13</v>
      </c>
      <c r="AA22" s="39">
        <f t="shared" si="14"/>
        <v>7</v>
      </c>
      <c r="AB22" s="39">
        <f t="shared" si="14"/>
        <v>12</v>
      </c>
      <c r="AC22" s="39">
        <f t="shared" si="14"/>
        <v>665</v>
      </c>
      <c r="AD22" s="39">
        <f t="shared" si="14"/>
        <v>0</v>
      </c>
      <c r="AE22" s="40">
        <f t="shared" si="14"/>
        <v>458</v>
      </c>
      <c r="AF22" s="40">
        <f t="shared" si="14"/>
        <v>1067</v>
      </c>
    </row>
    <row r="23" spans="2:32" ht="23.1" customHeight="1" x14ac:dyDescent="0.25">
      <c r="B23" s="23" t="s">
        <v>50</v>
      </c>
      <c r="C23" s="50">
        <v>15</v>
      </c>
      <c r="D23" s="50">
        <v>4</v>
      </c>
      <c r="E23" s="50">
        <v>5</v>
      </c>
      <c r="F23" s="50">
        <v>25</v>
      </c>
      <c r="G23" s="50">
        <v>2</v>
      </c>
      <c r="H23" s="50">
        <v>0</v>
      </c>
      <c r="I23" s="50">
        <v>9</v>
      </c>
      <c r="J23" s="50">
        <v>2</v>
      </c>
      <c r="K23" s="50">
        <v>1</v>
      </c>
      <c r="L23" s="50">
        <v>3</v>
      </c>
      <c r="M23" s="50">
        <v>100</v>
      </c>
      <c r="N23" s="50">
        <v>0</v>
      </c>
      <c r="O23" s="15">
        <f t="shared" si="0"/>
        <v>66</v>
      </c>
      <c r="P23" s="15">
        <f t="shared" si="1"/>
        <v>166</v>
      </c>
      <c r="R23" s="38" t="s">
        <v>91</v>
      </c>
      <c r="S23" s="39">
        <f>MAX(S13:S18)</f>
        <v>150</v>
      </c>
      <c r="T23" s="39">
        <f t="shared" ref="T23:AF23" si="15">MAX(T13:T18)</f>
        <v>39</v>
      </c>
      <c r="U23" s="39">
        <f t="shared" si="15"/>
        <v>35</v>
      </c>
      <c r="V23" s="39">
        <f t="shared" si="15"/>
        <v>186</v>
      </c>
      <c r="W23" s="39">
        <f t="shared" si="15"/>
        <v>11</v>
      </c>
      <c r="X23" s="39">
        <f t="shared" si="15"/>
        <v>6</v>
      </c>
      <c r="Y23" s="39">
        <f t="shared" si="15"/>
        <v>69</v>
      </c>
      <c r="Z23" s="39">
        <f t="shared" si="15"/>
        <v>25</v>
      </c>
      <c r="AA23" s="39">
        <f t="shared" si="15"/>
        <v>11</v>
      </c>
      <c r="AB23" s="39">
        <f t="shared" si="15"/>
        <v>24</v>
      </c>
      <c r="AC23" s="39">
        <f t="shared" si="15"/>
        <v>479</v>
      </c>
      <c r="AD23" s="39">
        <f t="shared" si="15"/>
        <v>0</v>
      </c>
      <c r="AE23" s="40">
        <f t="shared" si="15"/>
        <v>502</v>
      </c>
      <c r="AF23" s="40">
        <f t="shared" si="15"/>
        <v>916</v>
      </c>
    </row>
    <row r="24" spans="2:32" ht="23.1" customHeight="1" x14ac:dyDescent="0.25">
      <c r="B24" s="23" t="s">
        <v>51</v>
      </c>
      <c r="C24" s="50">
        <v>26</v>
      </c>
      <c r="D24" s="50">
        <v>10</v>
      </c>
      <c r="E24" s="50">
        <v>4</v>
      </c>
      <c r="F24" s="50">
        <v>41</v>
      </c>
      <c r="G24" s="50">
        <v>3</v>
      </c>
      <c r="H24" s="50">
        <v>1</v>
      </c>
      <c r="I24" s="50">
        <v>15</v>
      </c>
      <c r="J24" s="50">
        <v>1</v>
      </c>
      <c r="K24" s="50">
        <v>4</v>
      </c>
      <c r="L24" s="50">
        <v>5</v>
      </c>
      <c r="M24" s="50">
        <v>122</v>
      </c>
      <c r="N24" s="50">
        <v>0</v>
      </c>
      <c r="O24" s="15">
        <f t="shared" si="0"/>
        <v>110</v>
      </c>
      <c r="P24" s="15">
        <f t="shared" si="1"/>
        <v>232</v>
      </c>
      <c r="R24" s="38" t="s">
        <v>92</v>
      </c>
      <c r="S24" s="39">
        <f>MAX(S19:S21)</f>
        <v>200</v>
      </c>
      <c r="T24" s="39">
        <f t="shared" ref="T24:AF24" si="16">MAX(T19:T21)</f>
        <v>25</v>
      </c>
      <c r="U24" s="39">
        <f t="shared" si="16"/>
        <v>24</v>
      </c>
      <c r="V24" s="39">
        <f t="shared" si="16"/>
        <v>168</v>
      </c>
      <c r="W24" s="39">
        <f t="shared" si="16"/>
        <v>7</v>
      </c>
      <c r="X24" s="39">
        <f t="shared" si="16"/>
        <v>4</v>
      </c>
      <c r="Y24" s="39">
        <f t="shared" si="16"/>
        <v>45</v>
      </c>
      <c r="Z24" s="39">
        <f t="shared" si="16"/>
        <v>17</v>
      </c>
      <c r="AA24" s="39">
        <f t="shared" si="16"/>
        <v>9</v>
      </c>
      <c r="AB24" s="39">
        <f t="shared" si="16"/>
        <v>28</v>
      </c>
      <c r="AC24" s="39">
        <f t="shared" si="16"/>
        <v>674</v>
      </c>
      <c r="AD24" s="39">
        <f t="shared" si="16"/>
        <v>0</v>
      </c>
      <c r="AE24" s="40">
        <f t="shared" si="16"/>
        <v>483</v>
      </c>
      <c r="AF24" s="40">
        <f t="shared" si="16"/>
        <v>1104</v>
      </c>
    </row>
    <row r="25" spans="2:32" ht="23.1" customHeight="1" x14ac:dyDescent="0.25">
      <c r="B25" s="23" t="s">
        <v>52</v>
      </c>
      <c r="C25" s="50">
        <v>40</v>
      </c>
      <c r="D25" s="50">
        <v>7</v>
      </c>
      <c r="E25" s="50">
        <v>11</v>
      </c>
      <c r="F25" s="50">
        <v>48</v>
      </c>
      <c r="G25" s="50">
        <v>1</v>
      </c>
      <c r="H25" s="50">
        <v>0</v>
      </c>
      <c r="I25" s="50">
        <v>2</v>
      </c>
      <c r="J25" s="50">
        <v>5</v>
      </c>
      <c r="K25" s="50">
        <v>2</v>
      </c>
      <c r="L25" s="50">
        <v>3</v>
      </c>
      <c r="M25" s="50">
        <v>131</v>
      </c>
      <c r="N25" s="50">
        <v>0</v>
      </c>
      <c r="O25" s="15">
        <f t="shared" si="0"/>
        <v>119</v>
      </c>
      <c r="P25" s="15">
        <f t="shared" si="1"/>
        <v>250</v>
      </c>
      <c r="R25" s="37" t="s">
        <v>85</v>
      </c>
      <c r="S25" s="35">
        <f t="shared" ref="S25:AF25" si="17">SUM(S10:S12)</f>
        <v>311</v>
      </c>
      <c r="T25" s="16">
        <f t="shared" si="17"/>
        <v>56</v>
      </c>
      <c r="U25" s="16">
        <f t="shared" si="17"/>
        <v>61</v>
      </c>
      <c r="V25" s="16">
        <f t="shared" si="17"/>
        <v>504</v>
      </c>
      <c r="W25" s="16">
        <f t="shared" si="17"/>
        <v>21</v>
      </c>
      <c r="X25" s="16">
        <f t="shared" si="17"/>
        <v>10</v>
      </c>
      <c r="Y25" s="16">
        <f t="shared" si="17"/>
        <v>81</v>
      </c>
      <c r="Z25" s="16">
        <f t="shared" si="17"/>
        <v>28</v>
      </c>
      <c r="AA25" s="16">
        <f t="shared" si="17"/>
        <v>15</v>
      </c>
      <c r="AB25" s="16">
        <f t="shared" si="17"/>
        <v>22</v>
      </c>
      <c r="AC25" s="16">
        <f t="shared" si="17"/>
        <v>1835</v>
      </c>
      <c r="AD25" s="16">
        <f t="shared" si="17"/>
        <v>0</v>
      </c>
      <c r="AE25" s="32">
        <f t="shared" si="17"/>
        <v>1109</v>
      </c>
      <c r="AF25" s="32">
        <f t="shared" si="17"/>
        <v>2944</v>
      </c>
    </row>
    <row r="26" spans="2:32" ht="23.1" customHeight="1" x14ac:dyDescent="0.25">
      <c r="B26" s="23" t="s">
        <v>53</v>
      </c>
      <c r="C26" s="50">
        <v>27</v>
      </c>
      <c r="D26" s="50">
        <v>13</v>
      </c>
      <c r="E26" s="50">
        <v>8</v>
      </c>
      <c r="F26" s="50">
        <v>33</v>
      </c>
      <c r="G26" s="50">
        <v>0</v>
      </c>
      <c r="H26" s="50">
        <v>1</v>
      </c>
      <c r="I26" s="50">
        <v>13</v>
      </c>
      <c r="J26" s="50">
        <v>1</v>
      </c>
      <c r="K26" s="50">
        <v>3</v>
      </c>
      <c r="L26" s="50">
        <v>5</v>
      </c>
      <c r="M26" s="50">
        <v>90</v>
      </c>
      <c r="N26" s="50">
        <v>0</v>
      </c>
      <c r="O26" s="15">
        <f t="shared" si="0"/>
        <v>104</v>
      </c>
      <c r="P26" s="15">
        <f t="shared" si="1"/>
        <v>194</v>
      </c>
      <c r="R26" s="28" t="s">
        <v>86</v>
      </c>
      <c r="S26" s="16">
        <f t="shared" ref="S26:AF26" si="18">SUM(S13:S18)</f>
        <v>744</v>
      </c>
      <c r="T26" s="16">
        <f t="shared" si="18"/>
        <v>159</v>
      </c>
      <c r="U26" s="16">
        <f t="shared" si="18"/>
        <v>161</v>
      </c>
      <c r="V26" s="16">
        <f t="shared" si="18"/>
        <v>922</v>
      </c>
      <c r="W26" s="16">
        <f t="shared" si="18"/>
        <v>36</v>
      </c>
      <c r="X26" s="16">
        <f t="shared" si="18"/>
        <v>18</v>
      </c>
      <c r="Y26" s="16">
        <f t="shared" si="18"/>
        <v>338</v>
      </c>
      <c r="Z26" s="16">
        <f t="shared" si="18"/>
        <v>73</v>
      </c>
      <c r="AA26" s="16">
        <f t="shared" si="18"/>
        <v>45</v>
      </c>
      <c r="AB26" s="16">
        <f t="shared" si="18"/>
        <v>102</v>
      </c>
      <c r="AC26" s="16">
        <f t="shared" si="18"/>
        <v>2286</v>
      </c>
      <c r="AD26" s="16">
        <f t="shared" si="18"/>
        <v>0</v>
      </c>
      <c r="AE26" s="32">
        <f t="shared" si="18"/>
        <v>2598</v>
      </c>
      <c r="AF26" s="32">
        <f t="shared" si="18"/>
        <v>4884</v>
      </c>
    </row>
    <row r="27" spans="2:32" ht="23.1" customHeight="1" x14ac:dyDescent="0.25">
      <c r="B27" s="23" t="s">
        <v>54</v>
      </c>
      <c r="C27" s="50">
        <v>42</v>
      </c>
      <c r="D27" s="50">
        <v>8</v>
      </c>
      <c r="E27" s="50">
        <v>12</v>
      </c>
      <c r="F27" s="50">
        <v>61</v>
      </c>
      <c r="G27" s="50">
        <v>2</v>
      </c>
      <c r="H27" s="50">
        <v>0</v>
      </c>
      <c r="I27" s="50">
        <v>12</v>
      </c>
      <c r="J27" s="50">
        <v>0</v>
      </c>
      <c r="K27" s="50">
        <v>3</v>
      </c>
      <c r="L27" s="50">
        <v>5</v>
      </c>
      <c r="M27" s="50">
        <v>152</v>
      </c>
      <c r="N27" s="50">
        <v>0</v>
      </c>
      <c r="O27" s="15">
        <f t="shared" si="0"/>
        <v>145</v>
      </c>
      <c r="P27" s="15">
        <f t="shared" si="1"/>
        <v>297</v>
      </c>
      <c r="R27" s="29" t="s">
        <v>87</v>
      </c>
      <c r="S27" s="16">
        <f t="shared" ref="S27:AF27" si="19">SUM(S19:S21)</f>
        <v>555</v>
      </c>
      <c r="T27" s="16">
        <f t="shared" si="19"/>
        <v>64</v>
      </c>
      <c r="U27" s="16">
        <f t="shared" si="19"/>
        <v>63</v>
      </c>
      <c r="V27" s="16">
        <f t="shared" si="19"/>
        <v>425</v>
      </c>
      <c r="W27" s="16">
        <f t="shared" si="19"/>
        <v>18</v>
      </c>
      <c r="X27" s="16">
        <f t="shared" si="19"/>
        <v>5</v>
      </c>
      <c r="Y27" s="16">
        <f t="shared" si="19"/>
        <v>119</v>
      </c>
      <c r="Z27" s="16">
        <f t="shared" si="19"/>
        <v>43</v>
      </c>
      <c r="AA27" s="16">
        <f t="shared" si="19"/>
        <v>21</v>
      </c>
      <c r="AB27" s="16">
        <f t="shared" si="19"/>
        <v>52</v>
      </c>
      <c r="AC27" s="16">
        <f t="shared" si="19"/>
        <v>1595</v>
      </c>
      <c r="AD27" s="16">
        <f t="shared" si="19"/>
        <v>0</v>
      </c>
      <c r="AE27" s="32">
        <f t="shared" si="19"/>
        <v>1365</v>
      </c>
      <c r="AF27" s="32">
        <f t="shared" si="19"/>
        <v>2960</v>
      </c>
    </row>
    <row r="28" spans="2:32" ht="23.1" customHeight="1" x14ac:dyDescent="0.25">
      <c r="B28" s="23" t="s">
        <v>55</v>
      </c>
      <c r="C28" s="50">
        <v>20</v>
      </c>
      <c r="D28" s="50">
        <v>5</v>
      </c>
      <c r="E28" s="50">
        <v>8</v>
      </c>
      <c r="F28" s="50">
        <v>32</v>
      </c>
      <c r="G28" s="50">
        <v>1</v>
      </c>
      <c r="H28" s="50">
        <v>4</v>
      </c>
      <c r="I28" s="50">
        <v>7</v>
      </c>
      <c r="J28" s="50">
        <v>1</v>
      </c>
      <c r="K28" s="50">
        <v>1</v>
      </c>
      <c r="L28" s="50">
        <v>4</v>
      </c>
      <c r="M28" s="50">
        <v>75</v>
      </c>
      <c r="N28" s="50">
        <v>0</v>
      </c>
      <c r="O28" s="15">
        <f t="shared" si="0"/>
        <v>83</v>
      </c>
      <c r="P28" s="15">
        <f t="shared" si="1"/>
        <v>158</v>
      </c>
      <c r="R28" s="5" t="s">
        <v>17</v>
      </c>
      <c r="S28" s="16">
        <f t="shared" ref="S28:AF28" si="20">SUM(S10:S21)</f>
        <v>1610</v>
      </c>
      <c r="T28" s="16">
        <f t="shared" si="20"/>
        <v>279</v>
      </c>
      <c r="U28" s="16">
        <f t="shared" si="20"/>
        <v>285</v>
      </c>
      <c r="V28" s="16">
        <f t="shared" si="20"/>
        <v>1851</v>
      </c>
      <c r="W28" s="16">
        <f t="shared" si="20"/>
        <v>75</v>
      </c>
      <c r="X28" s="16">
        <f t="shared" si="20"/>
        <v>33</v>
      </c>
      <c r="Y28" s="16">
        <f t="shared" si="20"/>
        <v>538</v>
      </c>
      <c r="Z28" s="16">
        <f t="shared" si="20"/>
        <v>144</v>
      </c>
      <c r="AA28" s="16">
        <f t="shared" si="20"/>
        <v>81</v>
      </c>
      <c r="AB28" s="16">
        <f t="shared" si="20"/>
        <v>176</v>
      </c>
      <c r="AC28" s="16">
        <f t="shared" si="20"/>
        <v>5716</v>
      </c>
      <c r="AD28" s="16">
        <f t="shared" si="20"/>
        <v>0</v>
      </c>
      <c r="AE28" s="32">
        <f t="shared" si="20"/>
        <v>5072</v>
      </c>
      <c r="AF28" s="32">
        <f t="shared" si="20"/>
        <v>10788</v>
      </c>
    </row>
    <row r="29" spans="2:32" ht="23.1" customHeight="1" x14ac:dyDescent="0.25">
      <c r="B29" s="23" t="s">
        <v>56</v>
      </c>
      <c r="C29" s="50">
        <v>61</v>
      </c>
      <c r="D29" s="50">
        <v>13</v>
      </c>
      <c r="E29" s="50">
        <v>7</v>
      </c>
      <c r="F29" s="50">
        <v>60</v>
      </c>
      <c r="G29" s="50">
        <v>4</v>
      </c>
      <c r="H29" s="50">
        <v>1</v>
      </c>
      <c r="I29" s="50">
        <v>12</v>
      </c>
      <c r="J29" s="50">
        <v>4</v>
      </c>
      <c r="K29" s="50">
        <v>4</v>
      </c>
      <c r="L29" s="50">
        <v>4</v>
      </c>
      <c r="M29" s="50">
        <v>97</v>
      </c>
      <c r="N29" s="50">
        <v>0</v>
      </c>
      <c r="O29" s="15">
        <f t="shared" si="0"/>
        <v>170</v>
      </c>
      <c r="P29" s="15">
        <f t="shared" si="1"/>
        <v>267</v>
      </c>
      <c r="R29"/>
      <c r="S29" s="20"/>
      <c r="T29" s="19"/>
    </row>
    <row r="30" spans="2:32" ht="23.1" customHeight="1" x14ac:dyDescent="0.25">
      <c r="B30" s="23" t="s">
        <v>57</v>
      </c>
      <c r="C30" s="50">
        <v>34</v>
      </c>
      <c r="D30" s="50">
        <v>6</v>
      </c>
      <c r="E30" s="50">
        <v>5</v>
      </c>
      <c r="F30" s="50">
        <v>36</v>
      </c>
      <c r="G30" s="50">
        <v>1</v>
      </c>
      <c r="H30" s="50">
        <v>1</v>
      </c>
      <c r="I30" s="50">
        <v>18</v>
      </c>
      <c r="J30" s="50">
        <v>4</v>
      </c>
      <c r="K30" s="50">
        <v>1</v>
      </c>
      <c r="L30" s="50">
        <v>4</v>
      </c>
      <c r="M30" s="50">
        <v>75</v>
      </c>
      <c r="N30" s="50">
        <v>0</v>
      </c>
      <c r="O30" s="15">
        <f t="shared" si="0"/>
        <v>110</v>
      </c>
      <c r="P30" s="15">
        <f t="shared" si="1"/>
        <v>185</v>
      </c>
    </row>
    <row r="31" spans="2:32" ht="23.1" customHeight="1" x14ac:dyDescent="0.25">
      <c r="B31" s="24" t="s">
        <v>58</v>
      </c>
      <c r="C31" s="50">
        <v>24</v>
      </c>
      <c r="D31" s="50">
        <v>4</v>
      </c>
      <c r="E31" s="50">
        <v>4</v>
      </c>
      <c r="F31" s="50">
        <v>31</v>
      </c>
      <c r="G31" s="50">
        <v>0</v>
      </c>
      <c r="H31" s="50">
        <v>0</v>
      </c>
      <c r="I31" s="50">
        <v>10</v>
      </c>
      <c r="J31" s="50">
        <v>1</v>
      </c>
      <c r="K31" s="50">
        <v>0</v>
      </c>
      <c r="L31" s="50">
        <v>5</v>
      </c>
      <c r="M31" s="50">
        <v>105</v>
      </c>
      <c r="N31" s="50">
        <v>0</v>
      </c>
      <c r="O31" s="15">
        <f t="shared" si="0"/>
        <v>79</v>
      </c>
      <c r="P31" s="15">
        <f t="shared" si="1"/>
        <v>184</v>
      </c>
    </row>
    <row r="32" spans="2:32" ht="23.1" customHeight="1" x14ac:dyDescent="0.25">
      <c r="B32" s="24" t="s">
        <v>59</v>
      </c>
      <c r="C32" s="50">
        <v>25</v>
      </c>
      <c r="D32" s="50">
        <v>6</v>
      </c>
      <c r="E32" s="50">
        <v>4</v>
      </c>
      <c r="F32" s="50">
        <v>41</v>
      </c>
      <c r="G32" s="50">
        <v>2</v>
      </c>
      <c r="H32" s="50">
        <v>2</v>
      </c>
      <c r="I32" s="50">
        <v>8</v>
      </c>
      <c r="J32" s="50">
        <v>5</v>
      </c>
      <c r="K32" s="50">
        <v>3</v>
      </c>
      <c r="L32" s="50">
        <v>2</v>
      </c>
      <c r="M32" s="50">
        <v>86</v>
      </c>
      <c r="N32" s="50">
        <v>0</v>
      </c>
      <c r="O32" s="15">
        <f t="shared" si="0"/>
        <v>98</v>
      </c>
      <c r="P32" s="15">
        <f t="shared" si="1"/>
        <v>184</v>
      </c>
    </row>
    <row r="33" spans="2:20" ht="23.1" customHeight="1" x14ac:dyDescent="0.25">
      <c r="B33" s="23" t="s">
        <v>60</v>
      </c>
      <c r="C33" s="50">
        <v>27</v>
      </c>
      <c r="D33" s="50">
        <v>7</v>
      </c>
      <c r="E33" s="50">
        <v>5</v>
      </c>
      <c r="F33" s="50">
        <v>32</v>
      </c>
      <c r="G33" s="50">
        <v>1</v>
      </c>
      <c r="H33" s="50">
        <v>0</v>
      </c>
      <c r="I33" s="50">
        <v>15</v>
      </c>
      <c r="J33" s="50">
        <v>0</v>
      </c>
      <c r="K33" s="50">
        <v>1</v>
      </c>
      <c r="L33" s="50">
        <v>4</v>
      </c>
      <c r="M33" s="50">
        <v>105</v>
      </c>
      <c r="N33" s="50">
        <v>0</v>
      </c>
      <c r="O33" s="15">
        <f t="shared" si="0"/>
        <v>92</v>
      </c>
      <c r="P33" s="15">
        <f t="shared" si="1"/>
        <v>197</v>
      </c>
    </row>
    <row r="34" spans="2:20" ht="23.1" customHeight="1" x14ac:dyDescent="0.25">
      <c r="B34" s="24" t="s">
        <v>61</v>
      </c>
      <c r="C34" s="50">
        <v>32</v>
      </c>
      <c r="D34" s="50">
        <v>6</v>
      </c>
      <c r="E34" s="50">
        <v>8</v>
      </c>
      <c r="F34" s="50">
        <v>36</v>
      </c>
      <c r="G34" s="50">
        <v>1</v>
      </c>
      <c r="H34" s="50">
        <v>0</v>
      </c>
      <c r="I34" s="50">
        <v>14</v>
      </c>
      <c r="J34" s="50">
        <v>0</v>
      </c>
      <c r="K34" s="50">
        <v>1</v>
      </c>
      <c r="L34" s="50">
        <v>4</v>
      </c>
      <c r="M34" s="50">
        <v>111</v>
      </c>
      <c r="N34" s="50">
        <v>0</v>
      </c>
      <c r="O34" s="15">
        <f t="shared" si="0"/>
        <v>102</v>
      </c>
      <c r="P34" s="15">
        <f t="shared" si="1"/>
        <v>213</v>
      </c>
    </row>
    <row r="35" spans="2:20" ht="23.1" customHeight="1" x14ac:dyDescent="0.25">
      <c r="B35" s="24" t="s">
        <v>62</v>
      </c>
      <c r="C35" s="50">
        <v>40</v>
      </c>
      <c r="D35" s="50">
        <v>1</v>
      </c>
      <c r="E35" s="50">
        <v>10</v>
      </c>
      <c r="F35" s="50">
        <v>38</v>
      </c>
      <c r="G35" s="50">
        <v>1</v>
      </c>
      <c r="H35" s="50">
        <v>1</v>
      </c>
      <c r="I35" s="50">
        <v>21</v>
      </c>
      <c r="J35" s="50">
        <v>3</v>
      </c>
      <c r="K35" s="50">
        <v>2</v>
      </c>
      <c r="L35" s="50">
        <v>2</v>
      </c>
      <c r="M35" s="50">
        <v>125</v>
      </c>
      <c r="N35" s="50">
        <v>0</v>
      </c>
      <c r="O35" s="15">
        <f t="shared" si="0"/>
        <v>119</v>
      </c>
      <c r="P35" s="15">
        <f t="shared" si="1"/>
        <v>244</v>
      </c>
    </row>
    <row r="36" spans="2:20" ht="23.1" customHeight="1" x14ac:dyDescent="0.25">
      <c r="B36" s="24" t="s">
        <v>63</v>
      </c>
      <c r="C36" s="50">
        <v>52</v>
      </c>
      <c r="D36" s="50">
        <v>13</v>
      </c>
      <c r="E36" s="50">
        <v>12</v>
      </c>
      <c r="F36" s="50">
        <v>72</v>
      </c>
      <c r="G36" s="50">
        <v>2</v>
      </c>
      <c r="H36" s="50">
        <v>1</v>
      </c>
      <c r="I36" s="50">
        <v>22</v>
      </c>
      <c r="J36" s="50">
        <v>2</v>
      </c>
      <c r="K36" s="50">
        <v>3</v>
      </c>
      <c r="L36" s="50">
        <v>8</v>
      </c>
      <c r="M36" s="50">
        <v>145</v>
      </c>
      <c r="N36" s="50">
        <v>0</v>
      </c>
      <c r="O36" s="15">
        <f t="shared" si="0"/>
        <v>187</v>
      </c>
      <c r="P36" s="15">
        <f t="shared" si="1"/>
        <v>332</v>
      </c>
    </row>
    <row r="37" spans="2:20" ht="23.1" customHeight="1" x14ac:dyDescent="0.25">
      <c r="B37" s="23" t="s">
        <v>64</v>
      </c>
      <c r="C37" s="50">
        <v>20</v>
      </c>
      <c r="D37" s="50">
        <v>2</v>
      </c>
      <c r="E37" s="50">
        <v>1</v>
      </c>
      <c r="F37" s="50">
        <v>25</v>
      </c>
      <c r="G37" s="50">
        <v>2</v>
      </c>
      <c r="H37" s="50">
        <v>1</v>
      </c>
      <c r="I37" s="50">
        <v>9</v>
      </c>
      <c r="J37" s="50">
        <v>3</v>
      </c>
      <c r="K37" s="50">
        <v>2</v>
      </c>
      <c r="L37" s="50">
        <v>5</v>
      </c>
      <c r="M37" s="50">
        <v>45</v>
      </c>
      <c r="N37" s="50">
        <v>0</v>
      </c>
      <c r="O37" s="15">
        <f t="shared" si="0"/>
        <v>70</v>
      </c>
      <c r="P37" s="15">
        <f t="shared" si="1"/>
        <v>115</v>
      </c>
    </row>
    <row r="38" spans="2:20" ht="23.1" customHeight="1" x14ac:dyDescent="0.25">
      <c r="B38" s="24" t="s">
        <v>65</v>
      </c>
      <c r="C38" s="50">
        <v>30</v>
      </c>
      <c r="D38" s="50">
        <v>5</v>
      </c>
      <c r="E38" s="50">
        <v>2</v>
      </c>
      <c r="F38" s="50">
        <v>35</v>
      </c>
      <c r="G38" s="50">
        <v>2</v>
      </c>
      <c r="H38" s="50">
        <v>2</v>
      </c>
      <c r="I38" s="50">
        <v>20</v>
      </c>
      <c r="J38" s="50">
        <v>2</v>
      </c>
      <c r="K38" s="50">
        <v>0</v>
      </c>
      <c r="L38" s="50">
        <v>0</v>
      </c>
      <c r="M38" s="50">
        <v>45</v>
      </c>
      <c r="N38" s="50">
        <v>0</v>
      </c>
      <c r="O38" s="15">
        <f t="shared" si="0"/>
        <v>98</v>
      </c>
      <c r="P38" s="15">
        <f t="shared" si="1"/>
        <v>143</v>
      </c>
    </row>
    <row r="39" spans="2:20" ht="23.1" customHeight="1" x14ac:dyDescent="0.25">
      <c r="B39" s="24" t="s">
        <v>66</v>
      </c>
      <c r="C39" s="50">
        <v>20</v>
      </c>
      <c r="D39" s="50">
        <v>1</v>
      </c>
      <c r="E39" s="50">
        <v>0</v>
      </c>
      <c r="F39" s="50">
        <v>25</v>
      </c>
      <c r="G39" s="50">
        <v>0</v>
      </c>
      <c r="H39" s="50">
        <v>0</v>
      </c>
      <c r="I39" s="50">
        <v>5</v>
      </c>
      <c r="J39" s="50">
        <v>20</v>
      </c>
      <c r="K39" s="50">
        <v>0</v>
      </c>
      <c r="L39" s="50">
        <v>0</v>
      </c>
      <c r="M39" s="50">
        <v>30</v>
      </c>
      <c r="N39" s="50">
        <v>0</v>
      </c>
      <c r="O39" s="15">
        <f t="shared" si="0"/>
        <v>71</v>
      </c>
      <c r="P39" s="15">
        <f t="shared" si="1"/>
        <v>101</v>
      </c>
    </row>
    <row r="40" spans="2:20" ht="23.1" customHeight="1" x14ac:dyDescent="0.25">
      <c r="B40" s="24" t="s">
        <v>67</v>
      </c>
      <c r="C40" s="50">
        <v>24</v>
      </c>
      <c r="D40" s="50">
        <v>8</v>
      </c>
      <c r="E40" s="50">
        <v>8</v>
      </c>
      <c r="F40" s="50">
        <v>25</v>
      </c>
      <c r="G40" s="50">
        <v>1</v>
      </c>
      <c r="H40" s="50">
        <v>0</v>
      </c>
      <c r="I40" s="50">
        <v>26</v>
      </c>
      <c r="J40" s="50">
        <v>2</v>
      </c>
      <c r="K40" s="50">
        <v>2</v>
      </c>
      <c r="L40" s="50">
        <v>11</v>
      </c>
      <c r="M40" s="50">
        <v>48</v>
      </c>
      <c r="N40" s="50">
        <v>0</v>
      </c>
      <c r="O40" s="15">
        <f t="shared" si="0"/>
        <v>107</v>
      </c>
      <c r="P40" s="15">
        <f t="shared" si="1"/>
        <v>155</v>
      </c>
    </row>
    <row r="41" spans="2:20" ht="23.1" customHeight="1" x14ac:dyDescent="0.25">
      <c r="B41" s="23" t="s">
        <v>68</v>
      </c>
      <c r="C41" s="50">
        <v>30</v>
      </c>
      <c r="D41" s="50">
        <v>11</v>
      </c>
      <c r="E41" s="50">
        <v>4</v>
      </c>
      <c r="F41" s="50">
        <v>37</v>
      </c>
      <c r="G41" s="50">
        <v>0</v>
      </c>
      <c r="H41" s="50">
        <v>2</v>
      </c>
      <c r="I41" s="50">
        <v>18</v>
      </c>
      <c r="J41" s="50">
        <v>1</v>
      </c>
      <c r="K41" s="50">
        <v>4</v>
      </c>
      <c r="L41" s="50">
        <v>3</v>
      </c>
      <c r="M41" s="50">
        <v>63</v>
      </c>
      <c r="N41" s="50">
        <v>0</v>
      </c>
      <c r="O41" s="15">
        <f t="shared" si="0"/>
        <v>110</v>
      </c>
      <c r="P41" s="15">
        <f t="shared" si="1"/>
        <v>173</v>
      </c>
    </row>
    <row r="42" spans="2:20" ht="23.1" customHeight="1" x14ac:dyDescent="0.25">
      <c r="B42" s="24" t="s">
        <v>69</v>
      </c>
      <c r="C42" s="50">
        <v>31</v>
      </c>
      <c r="D42" s="50">
        <v>9</v>
      </c>
      <c r="E42" s="50">
        <v>11</v>
      </c>
      <c r="F42" s="50">
        <v>45</v>
      </c>
      <c r="G42" s="50">
        <v>1</v>
      </c>
      <c r="H42" s="50">
        <v>0</v>
      </c>
      <c r="I42" s="50">
        <v>10</v>
      </c>
      <c r="J42" s="50">
        <v>3</v>
      </c>
      <c r="K42" s="50">
        <v>2</v>
      </c>
      <c r="L42" s="50">
        <v>5</v>
      </c>
      <c r="M42" s="50">
        <v>125</v>
      </c>
      <c r="N42" s="50">
        <v>0</v>
      </c>
      <c r="O42" s="15">
        <f t="shared" si="0"/>
        <v>117</v>
      </c>
      <c r="P42" s="15">
        <f t="shared" si="1"/>
        <v>242</v>
      </c>
    </row>
    <row r="43" spans="2:20" ht="23.1" customHeight="1" x14ac:dyDescent="0.25">
      <c r="B43" s="23" t="s">
        <v>70</v>
      </c>
      <c r="C43" s="50">
        <v>29</v>
      </c>
      <c r="D43" s="50">
        <v>4</v>
      </c>
      <c r="E43" s="50">
        <v>8</v>
      </c>
      <c r="F43" s="50">
        <v>34</v>
      </c>
      <c r="G43" s="50">
        <v>1</v>
      </c>
      <c r="H43" s="50">
        <v>0</v>
      </c>
      <c r="I43" s="50">
        <v>16</v>
      </c>
      <c r="J43" s="50">
        <v>3</v>
      </c>
      <c r="K43" s="50">
        <v>3</v>
      </c>
      <c r="L43" s="50">
        <v>10</v>
      </c>
      <c r="M43" s="50">
        <v>119</v>
      </c>
      <c r="N43" s="50">
        <v>0</v>
      </c>
      <c r="O43" s="15">
        <f t="shared" si="0"/>
        <v>108</v>
      </c>
      <c r="P43" s="15">
        <f t="shared" si="1"/>
        <v>227</v>
      </c>
    </row>
    <row r="44" spans="2:20" ht="23.1" customHeight="1" x14ac:dyDescent="0.25">
      <c r="B44" s="25" t="s">
        <v>71</v>
      </c>
      <c r="C44" s="50">
        <v>38</v>
      </c>
      <c r="D44" s="50">
        <v>5</v>
      </c>
      <c r="E44" s="50">
        <v>9</v>
      </c>
      <c r="F44" s="50">
        <v>42</v>
      </c>
      <c r="G44" s="50">
        <v>2</v>
      </c>
      <c r="H44" s="50">
        <v>1</v>
      </c>
      <c r="I44" s="50">
        <v>16</v>
      </c>
      <c r="J44" s="50">
        <v>5</v>
      </c>
      <c r="K44" s="50">
        <v>1</v>
      </c>
      <c r="L44" s="50">
        <v>4</v>
      </c>
      <c r="M44" s="50">
        <v>91</v>
      </c>
      <c r="N44" s="50">
        <v>0</v>
      </c>
      <c r="O44" s="15">
        <f t="shared" si="0"/>
        <v>123</v>
      </c>
      <c r="P44" s="15">
        <f t="shared" si="1"/>
        <v>214</v>
      </c>
    </row>
    <row r="45" spans="2:20" ht="23.1" customHeight="1" x14ac:dyDescent="0.25">
      <c r="B45" s="23" t="s">
        <v>72</v>
      </c>
      <c r="C45" s="50">
        <v>13</v>
      </c>
      <c r="D45" s="50">
        <v>4</v>
      </c>
      <c r="E45" s="50">
        <v>6</v>
      </c>
      <c r="F45" s="50">
        <v>28</v>
      </c>
      <c r="G45" s="50">
        <v>1</v>
      </c>
      <c r="H45" s="50">
        <v>0</v>
      </c>
      <c r="I45" s="50">
        <v>20</v>
      </c>
      <c r="J45" s="50">
        <v>4</v>
      </c>
      <c r="K45" s="50">
        <v>1</v>
      </c>
      <c r="L45" s="50">
        <v>5</v>
      </c>
      <c r="M45" s="50">
        <v>75</v>
      </c>
      <c r="N45" s="50">
        <v>0</v>
      </c>
      <c r="O45" s="15">
        <f t="shared" si="0"/>
        <v>82</v>
      </c>
      <c r="P45" s="15">
        <f t="shared" si="1"/>
        <v>157</v>
      </c>
    </row>
    <row r="46" spans="2:20" ht="23.1" customHeight="1" x14ac:dyDescent="0.25">
      <c r="B46" s="24" t="s">
        <v>73</v>
      </c>
      <c r="C46" s="50">
        <v>38</v>
      </c>
      <c r="D46" s="50">
        <v>5</v>
      </c>
      <c r="E46" s="50">
        <v>3</v>
      </c>
      <c r="F46" s="50">
        <v>36</v>
      </c>
      <c r="G46" s="50">
        <v>1</v>
      </c>
      <c r="H46" s="50">
        <v>0</v>
      </c>
      <c r="I46" s="50">
        <v>11</v>
      </c>
      <c r="J46" s="50">
        <v>4</v>
      </c>
      <c r="K46" s="50">
        <v>1</v>
      </c>
      <c r="L46" s="50">
        <v>13</v>
      </c>
      <c r="M46" s="50">
        <v>82</v>
      </c>
      <c r="N46" s="50">
        <v>0</v>
      </c>
      <c r="O46" s="15">
        <f t="shared" si="0"/>
        <v>112</v>
      </c>
      <c r="P46" s="15">
        <f t="shared" si="1"/>
        <v>194</v>
      </c>
      <c r="R46" s="8"/>
      <c r="T46"/>
    </row>
    <row r="47" spans="2:20" ht="23.1" customHeight="1" x14ac:dyDescent="0.25">
      <c r="B47" s="24" t="s">
        <v>74</v>
      </c>
      <c r="C47" s="50">
        <v>41</v>
      </c>
      <c r="D47" s="50">
        <v>6</v>
      </c>
      <c r="E47" s="50">
        <v>2</v>
      </c>
      <c r="F47" s="50">
        <v>30</v>
      </c>
      <c r="G47" s="50">
        <v>0</v>
      </c>
      <c r="H47" s="50">
        <v>1</v>
      </c>
      <c r="I47" s="50">
        <v>11</v>
      </c>
      <c r="J47" s="50">
        <v>5</v>
      </c>
      <c r="K47" s="50">
        <v>2</v>
      </c>
      <c r="L47" s="50">
        <v>8</v>
      </c>
      <c r="M47" s="50">
        <v>89</v>
      </c>
      <c r="N47" s="50">
        <v>0</v>
      </c>
      <c r="O47" s="15">
        <f t="shared" si="0"/>
        <v>106</v>
      </c>
      <c r="P47" s="15">
        <f t="shared" si="1"/>
        <v>195</v>
      </c>
      <c r="R47" s="8"/>
      <c r="T47"/>
    </row>
    <row r="48" spans="2:20" ht="23.1" customHeight="1" x14ac:dyDescent="0.25">
      <c r="B48" s="24" t="s">
        <v>75</v>
      </c>
      <c r="C48" s="50">
        <v>35</v>
      </c>
      <c r="D48" s="50">
        <v>6</v>
      </c>
      <c r="E48" s="50">
        <v>6</v>
      </c>
      <c r="F48" s="50">
        <v>30</v>
      </c>
      <c r="G48" s="50">
        <v>2</v>
      </c>
      <c r="H48" s="50">
        <v>0</v>
      </c>
      <c r="I48" s="50">
        <v>13</v>
      </c>
      <c r="J48" s="50">
        <v>0</v>
      </c>
      <c r="K48" s="50">
        <v>2</v>
      </c>
      <c r="L48" s="50">
        <v>2</v>
      </c>
      <c r="M48" s="50">
        <v>85</v>
      </c>
      <c r="N48" s="50">
        <v>0</v>
      </c>
      <c r="O48" s="15">
        <f t="shared" si="0"/>
        <v>96</v>
      </c>
      <c r="P48" s="15">
        <f t="shared" si="1"/>
        <v>181</v>
      </c>
      <c r="R48" s="8"/>
      <c r="T48"/>
    </row>
    <row r="49" spans="2:20" ht="23.1" customHeight="1" x14ac:dyDescent="0.25">
      <c r="B49" s="23" t="s">
        <v>76</v>
      </c>
      <c r="C49" s="50">
        <v>57</v>
      </c>
      <c r="D49" s="50">
        <v>8</v>
      </c>
      <c r="E49" s="50">
        <v>10</v>
      </c>
      <c r="F49" s="50">
        <v>47</v>
      </c>
      <c r="G49" s="50">
        <v>3</v>
      </c>
      <c r="H49" s="50">
        <v>3</v>
      </c>
      <c r="I49" s="50">
        <v>3</v>
      </c>
      <c r="J49" s="50">
        <v>2</v>
      </c>
      <c r="K49" s="50">
        <v>0</v>
      </c>
      <c r="L49" s="50">
        <v>5</v>
      </c>
      <c r="M49" s="50">
        <v>140</v>
      </c>
      <c r="N49" s="50">
        <v>0</v>
      </c>
      <c r="O49" s="15">
        <f t="shared" si="0"/>
        <v>138</v>
      </c>
      <c r="P49" s="15">
        <f t="shared" si="1"/>
        <v>278</v>
      </c>
      <c r="R49" s="8"/>
      <c r="T49"/>
    </row>
    <row r="50" spans="2:20" ht="23.1" customHeight="1" x14ac:dyDescent="0.25">
      <c r="B50" s="24" t="s">
        <v>77</v>
      </c>
      <c r="C50" s="50">
        <v>41</v>
      </c>
      <c r="D50" s="50">
        <v>5</v>
      </c>
      <c r="E50" s="50">
        <v>8</v>
      </c>
      <c r="F50" s="50">
        <v>47</v>
      </c>
      <c r="G50" s="50">
        <v>1</v>
      </c>
      <c r="H50" s="50">
        <v>0</v>
      </c>
      <c r="I50" s="50">
        <v>16</v>
      </c>
      <c r="J50" s="50">
        <v>2</v>
      </c>
      <c r="K50" s="50">
        <v>3</v>
      </c>
      <c r="L50" s="50">
        <v>2</v>
      </c>
      <c r="M50" s="50">
        <v>145</v>
      </c>
      <c r="N50" s="50">
        <v>0</v>
      </c>
      <c r="O50" s="15">
        <f t="shared" si="0"/>
        <v>125</v>
      </c>
      <c r="P50" s="15">
        <f t="shared" si="1"/>
        <v>270</v>
      </c>
      <c r="R50" s="8"/>
      <c r="T50"/>
    </row>
    <row r="51" spans="2:20" ht="23.1" customHeight="1" x14ac:dyDescent="0.25">
      <c r="B51" s="24" t="s">
        <v>78</v>
      </c>
      <c r="C51" s="50">
        <v>47</v>
      </c>
      <c r="D51" s="50">
        <v>4</v>
      </c>
      <c r="E51" s="50">
        <v>5</v>
      </c>
      <c r="F51" s="50">
        <v>37</v>
      </c>
      <c r="G51" s="50">
        <v>1</v>
      </c>
      <c r="H51" s="50">
        <v>1</v>
      </c>
      <c r="I51" s="50">
        <v>12</v>
      </c>
      <c r="J51" s="50">
        <v>5</v>
      </c>
      <c r="K51" s="50">
        <v>1</v>
      </c>
      <c r="L51" s="50">
        <v>5</v>
      </c>
      <c r="M51" s="50">
        <v>120</v>
      </c>
      <c r="N51" s="50">
        <v>0</v>
      </c>
      <c r="O51" s="15">
        <f t="shared" si="0"/>
        <v>118</v>
      </c>
      <c r="P51" s="15">
        <f t="shared" si="1"/>
        <v>238</v>
      </c>
      <c r="R51" s="8"/>
      <c r="T51"/>
    </row>
    <row r="52" spans="2:20" ht="23.1" customHeight="1" x14ac:dyDescent="0.25">
      <c r="B52" s="24" t="s">
        <v>79</v>
      </c>
      <c r="C52" s="50">
        <v>50</v>
      </c>
      <c r="D52" s="50">
        <v>4</v>
      </c>
      <c r="E52" s="50">
        <v>2</v>
      </c>
      <c r="F52" s="50">
        <v>45</v>
      </c>
      <c r="G52" s="50">
        <v>2</v>
      </c>
      <c r="H52" s="50">
        <v>0</v>
      </c>
      <c r="I52" s="50">
        <v>10</v>
      </c>
      <c r="J52" s="50">
        <v>6</v>
      </c>
      <c r="K52" s="50">
        <v>1</v>
      </c>
      <c r="L52" s="50">
        <v>3</v>
      </c>
      <c r="M52" s="50">
        <v>145</v>
      </c>
      <c r="N52" s="50">
        <v>0</v>
      </c>
      <c r="O52" s="15">
        <f t="shared" si="0"/>
        <v>123</v>
      </c>
      <c r="P52" s="15">
        <f t="shared" si="1"/>
        <v>268</v>
      </c>
      <c r="R52" s="8"/>
      <c r="T52"/>
    </row>
    <row r="53" spans="2:20" ht="23.1" customHeight="1" x14ac:dyDescent="0.25">
      <c r="B53" s="23" t="s">
        <v>80</v>
      </c>
      <c r="C53" s="50">
        <v>46</v>
      </c>
      <c r="D53" s="50">
        <v>4</v>
      </c>
      <c r="E53" s="50">
        <v>9</v>
      </c>
      <c r="F53" s="50">
        <v>39</v>
      </c>
      <c r="G53" s="50">
        <v>3</v>
      </c>
      <c r="H53" s="50">
        <v>0</v>
      </c>
      <c r="I53" s="50">
        <v>7</v>
      </c>
      <c r="J53" s="50">
        <v>4</v>
      </c>
      <c r="K53" s="50">
        <v>2</v>
      </c>
      <c r="L53" s="50">
        <v>3</v>
      </c>
      <c r="M53" s="50">
        <v>115</v>
      </c>
      <c r="N53" s="50">
        <v>0</v>
      </c>
      <c r="O53" s="15">
        <f t="shared" si="0"/>
        <v>117</v>
      </c>
      <c r="P53" s="15">
        <f t="shared" si="1"/>
        <v>232</v>
      </c>
      <c r="R53" s="8"/>
      <c r="T53"/>
    </row>
    <row r="54" spans="2:20" ht="23.1" customHeight="1" x14ac:dyDescent="0.25">
      <c r="B54" s="23" t="s">
        <v>81</v>
      </c>
      <c r="C54" s="50">
        <v>58</v>
      </c>
      <c r="D54" s="50">
        <v>8</v>
      </c>
      <c r="E54" s="50">
        <v>5</v>
      </c>
      <c r="F54" s="50">
        <v>34</v>
      </c>
      <c r="G54" s="50">
        <v>2</v>
      </c>
      <c r="H54" s="50">
        <v>0</v>
      </c>
      <c r="I54" s="50">
        <v>11</v>
      </c>
      <c r="J54" s="50">
        <v>2</v>
      </c>
      <c r="K54" s="50">
        <v>3</v>
      </c>
      <c r="L54" s="50">
        <v>0</v>
      </c>
      <c r="M54" s="50">
        <v>139</v>
      </c>
      <c r="N54" s="50">
        <v>0</v>
      </c>
      <c r="O54" s="15">
        <f t="shared" si="0"/>
        <v>123</v>
      </c>
      <c r="P54" s="15">
        <f t="shared" si="1"/>
        <v>262</v>
      </c>
      <c r="R54" s="8"/>
      <c r="T54"/>
    </row>
    <row r="55" spans="2:20" ht="23.1" customHeight="1" x14ac:dyDescent="0.25">
      <c r="B55" s="23" t="s">
        <v>82</v>
      </c>
      <c r="C55" s="50">
        <v>46</v>
      </c>
      <c r="D55" s="50">
        <v>5</v>
      </c>
      <c r="E55" s="50">
        <v>4</v>
      </c>
      <c r="F55" s="50">
        <v>37</v>
      </c>
      <c r="G55" s="50">
        <v>2</v>
      </c>
      <c r="H55" s="50">
        <v>0</v>
      </c>
      <c r="I55" s="50">
        <v>6</v>
      </c>
      <c r="J55" s="50">
        <v>5</v>
      </c>
      <c r="K55" s="50">
        <v>2</v>
      </c>
      <c r="L55" s="50">
        <v>2</v>
      </c>
      <c r="M55" s="50">
        <v>150</v>
      </c>
      <c r="N55" s="50">
        <v>0</v>
      </c>
      <c r="O55" s="15">
        <f t="shared" si="0"/>
        <v>109</v>
      </c>
      <c r="P55" s="15">
        <f t="shared" si="1"/>
        <v>259</v>
      </c>
      <c r="R55" s="8"/>
      <c r="T55"/>
    </row>
    <row r="56" spans="2:20" ht="23.1" customHeight="1" x14ac:dyDescent="0.25">
      <c r="B56" s="23" t="s">
        <v>83</v>
      </c>
      <c r="C56" s="50">
        <v>48</v>
      </c>
      <c r="D56" s="50">
        <v>6</v>
      </c>
      <c r="E56" s="50">
        <v>4</v>
      </c>
      <c r="F56" s="50">
        <v>37</v>
      </c>
      <c r="G56" s="50">
        <v>0</v>
      </c>
      <c r="H56" s="50">
        <v>0</v>
      </c>
      <c r="I56" s="50">
        <v>12</v>
      </c>
      <c r="J56" s="50">
        <v>5</v>
      </c>
      <c r="K56" s="50">
        <v>0</v>
      </c>
      <c r="L56" s="50">
        <v>5</v>
      </c>
      <c r="M56" s="50">
        <v>165</v>
      </c>
      <c r="N56" s="50">
        <v>0</v>
      </c>
      <c r="O56" s="15">
        <f t="shared" si="0"/>
        <v>117</v>
      </c>
      <c r="P56" s="15">
        <f t="shared" si="1"/>
        <v>282</v>
      </c>
      <c r="R56" s="8"/>
      <c r="T56"/>
    </row>
    <row r="57" spans="2:20" ht="23.1" customHeight="1" x14ac:dyDescent="0.25">
      <c r="B57" s="23" t="s">
        <v>84</v>
      </c>
      <c r="C57" s="50">
        <v>48</v>
      </c>
      <c r="D57" s="50">
        <v>3</v>
      </c>
      <c r="E57" s="50">
        <v>5</v>
      </c>
      <c r="F57" s="50">
        <v>6</v>
      </c>
      <c r="G57" s="50">
        <v>1</v>
      </c>
      <c r="H57" s="50">
        <v>0</v>
      </c>
      <c r="I57" s="50">
        <v>7</v>
      </c>
      <c r="J57" s="50">
        <v>3</v>
      </c>
      <c r="K57" s="50">
        <v>4</v>
      </c>
      <c r="L57" s="50">
        <v>4</v>
      </c>
      <c r="M57" s="50">
        <v>220</v>
      </c>
      <c r="N57" s="50">
        <v>0</v>
      </c>
      <c r="O57" s="15">
        <f t="shared" si="0"/>
        <v>81</v>
      </c>
      <c r="P57" s="15">
        <f t="shared" si="1"/>
        <v>301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1610</v>
      </c>
      <c r="D58" s="16">
        <f t="shared" si="21"/>
        <v>279</v>
      </c>
      <c r="E58" s="16">
        <f t="shared" si="21"/>
        <v>285</v>
      </c>
      <c r="F58" s="16">
        <f t="shared" si="21"/>
        <v>1851</v>
      </c>
      <c r="G58" s="16">
        <f t="shared" si="21"/>
        <v>75</v>
      </c>
      <c r="H58" s="16">
        <f t="shared" si="21"/>
        <v>33</v>
      </c>
      <c r="I58" s="16">
        <f t="shared" si="21"/>
        <v>538</v>
      </c>
      <c r="J58" s="16">
        <f t="shared" si="21"/>
        <v>144</v>
      </c>
      <c r="K58" s="16">
        <f t="shared" si="21"/>
        <v>81</v>
      </c>
      <c r="L58" s="16">
        <f t="shared" si="21"/>
        <v>176</v>
      </c>
      <c r="M58" s="16">
        <f t="shared" si="21"/>
        <v>5716</v>
      </c>
      <c r="N58" s="16">
        <f t="shared" si="21"/>
        <v>0</v>
      </c>
      <c r="O58" s="16">
        <f t="shared" si="21"/>
        <v>5072</v>
      </c>
      <c r="P58" s="16">
        <f t="shared" si="21"/>
        <v>10788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0.1492398961809418</v>
      </c>
      <c r="D59" s="43">
        <f t="shared" si="22"/>
        <v>2.5862068965517241E-2</v>
      </c>
      <c r="E59" s="43">
        <f t="shared" si="22"/>
        <v>2.6418242491657397E-2</v>
      </c>
      <c r="F59" s="43">
        <f t="shared" si="22"/>
        <v>0.17157953281423804</v>
      </c>
      <c r="G59" s="43">
        <f t="shared" si="22"/>
        <v>6.9521690767519462E-3</v>
      </c>
      <c r="H59" s="43">
        <f t="shared" si="22"/>
        <v>3.0589543937708566E-3</v>
      </c>
      <c r="I59" s="43">
        <f t="shared" si="22"/>
        <v>4.987022617723396E-2</v>
      </c>
      <c r="J59" s="43">
        <f t="shared" si="22"/>
        <v>1.3348164627363738E-2</v>
      </c>
      <c r="K59" s="43">
        <f t="shared" si="22"/>
        <v>7.508342602892102E-3</v>
      </c>
      <c r="L59" s="43">
        <f t="shared" si="22"/>
        <v>1.6314423433444566E-2</v>
      </c>
      <c r="M59" s="43">
        <f t="shared" si="22"/>
        <v>0.52984797923618832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0.31742902208201895</v>
      </c>
      <c r="D60" s="44">
        <f t="shared" ref="D60:N60" si="23">D58/$O$58</f>
        <v>5.5007886435331228E-2</v>
      </c>
      <c r="E60" s="44">
        <f t="shared" si="23"/>
        <v>5.619085173501577E-2</v>
      </c>
      <c r="F60" s="44">
        <f t="shared" si="23"/>
        <v>0.3649447949526814</v>
      </c>
      <c r="G60" s="44">
        <f t="shared" si="23"/>
        <v>1.4787066246056782E-2</v>
      </c>
      <c r="H60" s="44">
        <f t="shared" si="23"/>
        <v>6.5063091482649845E-3</v>
      </c>
      <c r="I60" s="44">
        <f t="shared" si="23"/>
        <v>0.10607255520504733</v>
      </c>
      <c r="J60" s="44">
        <f t="shared" si="23"/>
        <v>2.8391167192429023E-2</v>
      </c>
      <c r="K60" s="44">
        <f t="shared" si="23"/>
        <v>1.5970031545741326E-2</v>
      </c>
      <c r="L60" s="44">
        <f t="shared" si="23"/>
        <v>3.4700315457413249E-2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AD61" sqref="AD6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kawempe-Bwaise'!C3:G3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'23.07 Bwaise-Kawempe'!D5</f>
        <v>23.07.19</v>
      </c>
      <c r="E5" s="3"/>
      <c r="F5" s="41" t="s">
        <v>1</v>
      </c>
      <c r="G5" s="63" t="str">
        <f>'22.07 Bwaise-Kawempe'!G5:H5</f>
        <v>Before Steel and Tube</v>
      </c>
      <c r="H5" s="64"/>
      <c r="I5" s="14"/>
      <c r="J5" s="2" t="s">
        <v>5</v>
      </c>
      <c r="K5" s="63" t="s">
        <v>175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kawempe-Bwaise'!D6:E6</f>
        <v>Kawempe</v>
      </c>
      <c r="E6" s="64"/>
      <c r="F6" s="2" t="s">
        <v>2</v>
      </c>
      <c r="G6" s="63" t="str">
        <f>'22.07 kawempe-Bwaise'!G6:H6</f>
        <v>Bwaise</v>
      </c>
      <c r="H6" s="64"/>
      <c r="J6" s="2" t="s">
        <v>21</v>
      </c>
      <c r="K6" s="63" t="str">
        <f>'22.07 Bwaise-Kawempe'!K6:L6</f>
        <v>Salima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54</v>
      </c>
      <c r="D10" s="50">
        <v>11</v>
      </c>
      <c r="E10" s="50">
        <v>5</v>
      </c>
      <c r="F10" s="50">
        <v>56</v>
      </c>
      <c r="G10" s="50">
        <v>3</v>
      </c>
      <c r="H10" s="50">
        <v>1</v>
      </c>
      <c r="I10" s="50">
        <v>3</v>
      </c>
      <c r="J10" s="50">
        <v>2</v>
      </c>
      <c r="K10" s="50">
        <v>4</v>
      </c>
      <c r="L10" s="50">
        <v>3</v>
      </c>
      <c r="M10" s="50">
        <v>295</v>
      </c>
      <c r="N10" s="50">
        <v>0</v>
      </c>
      <c r="O10" s="15">
        <f t="shared" ref="O10:O57" si="0">SUM(C10:L10,N10)</f>
        <v>142</v>
      </c>
      <c r="P10" s="15">
        <f t="shared" ref="P10:P57" si="1">SUM(C10:N10)</f>
        <v>437</v>
      </c>
      <c r="R10" s="1" t="s">
        <v>6</v>
      </c>
      <c r="S10" s="17">
        <f t="shared" ref="S10:AF10" si="2">SUM(C10:C13)</f>
        <v>196</v>
      </c>
      <c r="T10" s="17">
        <f t="shared" si="2"/>
        <v>41</v>
      </c>
      <c r="U10" s="17">
        <f t="shared" si="2"/>
        <v>29</v>
      </c>
      <c r="V10" s="17">
        <f t="shared" si="2"/>
        <v>201</v>
      </c>
      <c r="W10" s="17">
        <f t="shared" si="2"/>
        <v>8</v>
      </c>
      <c r="X10" s="17">
        <f t="shared" si="2"/>
        <v>2</v>
      </c>
      <c r="Y10" s="17">
        <f t="shared" si="2"/>
        <v>23</v>
      </c>
      <c r="Z10" s="17">
        <f t="shared" si="2"/>
        <v>12</v>
      </c>
      <c r="AA10" s="17">
        <f t="shared" si="2"/>
        <v>10</v>
      </c>
      <c r="AB10" s="17">
        <f t="shared" si="2"/>
        <v>9</v>
      </c>
      <c r="AC10" s="17">
        <f t="shared" si="2"/>
        <v>1270</v>
      </c>
      <c r="AD10" s="17">
        <f t="shared" si="2"/>
        <v>0</v>
      </c>
      <c r="AE10" s="31">
        <f t="shared" si="2"/>
        <v>531</v>
      </c>
      <c r="AF10" s="31">
        <f t="shared" si="2"/>
        <v>1801</v>
      </c>
    </row>
    <row r="11" spans="2:32" s="6" customFormat="1" ht="23.1" customHeight="1" x14ac:dyDescent="0.25">
      <c r="B11" s="23" t="s">
        <v>38</v>
      </c>
      <c r="C11" s="50">
        <v>45</v>
      </c>
      <c r="D11" s="50">
        <v>8</v>
      </c>
      <c r="E11" s="50">
        <v>7</v>
      </c>
      <c r="F11" s="50">
        <v>44</v>
      </c>
      <c r="G11" s="50">
        <v>4</v>
      </c>
      <c r="H11" s="50">
        <v>0</v>
      </c>
      <c r="I11" s="50">
        <v>3</v>
      </c>
      <c r="J11" s="50">
        <v>2</v>
      </c>
      <c r="K11" s="50">
        <v>1</v>
      </c>
      <c r="L11" s="50">
        <v>0</v>
      </c>
      <c r="M11" s="50">
        <v>265</v>
      </c>
      <c r="N11" s="50">
        <v>0</v>
      </c>
      <c r="O11" s="15">
        <f t="shared" si="0"/>
        <v>114</v>
      </c>
      <c r="P11" s="15">
        <f t="shared" si="1"/>
        <v>379</v>
      </c>
      <c r="R11" s="1" t="s">
        <v>7</v>
      </c>
      <c r="S11" s="17">
        <f t="shared" ref="S11:AF11" si="3">SUM(C14:C17)</f>
        <v>131</v>
      </c>
      <c r="T11" s="17">
        <f t="shared" si="3"/>
        <v>36</v>
      </c>
      <c r="U11" s="17">
        <f t="shared" si="3"/>
        <v>19</v>
      </c>
      <c r="V11" s="17">
        <f t="shared" si="3"/>
        <v>196</v>
      </c>
      <c r="W11" s="17">
        <f t="shared" si="3"/>
        <v>6</v>
      </c>
      <c r="X11" s="17">
        <f t="shared" si="3"/>
        <v>1</v>
      </c>
      <c r="Y11" s="17">
        <f t="shared" si="3"/>
        <v>18</v>
      </c>
      <c r="Z11" s="17">
        <f t="shared" si="3"/>
        <v>6</v>
      </c>
      <c r="AA11" s="17">
        <f t="shared" si="3"/>
        <v>8</v>
      </c>
      <c r="AB11" s="17">
        <f t="shared" si="3"/>
        <v>9</v>
      </c>
      <c r="AC11" s="17">
        <f t="shared" si="3"/>
        <v>1305</v>
      </c>
      <c r="AD11" s="17">
        <f t="shared" si="3"/>
        <v>0</v>
      </c>
      <c r="AE11" s="31">
        <f t="shared" si="3"/>
        <v>430</v>
      </c>
      <c r="AF11" s="31">
        <f t="shared" si="3"/>
        <v>1735</v>
      </c>
    </row>
    <row r="12" spans="2:32" ht="23.1" customHeight="1" x14ac:dyDescent="0.25">
      <c r="B12" s="23" t="s">
        <v>39</v>
      </c>
      <c r="C12" s="50">
        <v>54</v>
      </c>
      <c r="D12" s="50">
        <v>14</v>
      </c>
      <c r="E12" s="50">
        <v>7</v>
      </c>
      <c r="F12" s="50">
        <v>59</v>
      </c>
      <c r="G12" s="50">
        <v>1</v>
      </c>
      <c r="H12" s="50">
        <v>0</v>
      </c>
      <c r="I12" s="50">
        <v>10</v>
      </c>
      <c r="J12" s="50">
        <v>5</v>
      </c>
      <c r="K12" s="50">
        <v>1</v>
      </c>
      <c r="L12" s="50">
        <v>3</v>
      </c>
      <c r="M12" s="50">
        <v>355</v>
      </c>
      <c r="N12" s="50">
        <v>0</v>
      </c>
      <c r="O12" s="15">
        <f t="shared" si="0"/>
        <v>154</v>
      </c>
      <c r="P12" s="15">
        <f t="shared" si="1"/>
        <v>509</v>
      </c>
      <c r="R12" s="1" t="s">
        <v>8</v>
      </c>
      <c r="S12" s="17">
        <f t="shared" ref="S12:AF12" si="4">SUM(C18:C21)</f>
        <v>127</v>
      </c>
      <c r="T12" s="17">
        <f t="shared" si="4"/>
        <v>16</v>
      </c>
      <c r="U12" s="17">
        <f t="shared" si="4"/>
        <v>26</v>
      </c>
      <c r="V12" s="17">
        <f t="shared" si="4"/>
        <v>152</v>
      </c>
      <c r="W12" s="17">
        <f t="shared" si="4"/>
        <v>4</v>
      </c>
      <c r="X12" s="17">
        <f t="shared" si="4"/>
        <v>0</v>
      </c>
      <c r="Y12" s="17">
        <f t="shared" si="4"/>
        <v>23</v>
      </c>
      <c r="Z12" s="17">
        <f t="shared" si="4"/>
        <v>14</v>
      </c>
      <c r="AA12" s="17">
        <f t="shared" si="4"/>
        <v>15</v>
      </c>
      <c r="AB12" s="17">
        <f t="shared" si="4"/>
        <v>12</v>
      </c>
      <c r="AC12" s="17">
        <f t="shared" si="4"/>
        <v>1299</v>
      </c>
      <c r="AD12" s="17">
        <f t="shared" si="4"/>
        <v>0</v>
      </c>
      <c r="AE12" s="31">
        <f t="shared" si="4"/>
        <v>389</v>
      </c>
      <c r="AF12" s="31">
        <f t="shared" si="4"/>
        <v>1688</v>
      </c>
    </row>
    <row r="13" spans="2:32" ht="23.1" customHeight="1" x14ac:dyDescent="0.25">
      <c r="B13" s="23" t="s">
        <v>40</v>
      </c>
      <c r="C13" s="50">
        <v>43</v>
      </c>
      <c r="D13" s="50">
        <v>8</v>
      </c>
      <c r="E13" s="50">
        <v>10</v>
      </c>
      <c r="F13" s="50">
        <v>42</v>
      </c>
      <c r="G13" s="50">
        <v>0</v>
      </c>
      <c r="H13" s="50">
        <v>1</v>
      </c>
      <c r="I13" s="50">
        <v>7</v>
      </c>
      <c r="J13" s="50">
        <v>3</v>
      </c>
      <c r="K13" s="50">
        <v>4</v>
      </c>
      <c r="L13" s="50">
        <v>3</v>
      </c>
      <c r="M13" s="50">
        <v>355</v>
      </c>
      <c r="N13" s="50">
        <v>0</v>
      </c>
      <c r="O13" s="15">
        <f t="shared" si="0"/>
        <v>121</v>
      </c>
      <c r="P13" s="15">
        <f t="shared" si="1"/>
        <v>476</v>
      </c>
      <c r="R13" s="1" t="s">
        <v>9</v>
      </c>
      <c r="S13" s="17">
        <f t="shared" ref="S13:AF13" si="5">SUM(C22:C25)</f>
        <v>157</v>
      </c>
      <c r="T13" s="17">
        <f t="shared" si="5"/>
        <v>41</v>
      </c>
      <c r="U13" s="17">
        <f t="shared" si="5"/>
        <v>32</v>
      </c>
      <c r="V13" s="17">
        <f t="shared" si="5"/>
        <v>169</v>
      </c>
      <c r="W13" s="17">
        <f t="shared" si="5"/>
        <v>7</v>
      </c>
      <c r="X13" s="17">
        <f t="shared" si="5"/>
        <v>1</v>
      </c>
      <c r="Y13" s="17">
        <f t="shared" si="5"/>
        <v>33</v>
      </c>
      <c r="Z13" s="17">
        <f t="shared" si="5"/>
        <v>21</v>
      </c>
      <c r="AA13" s="17">
        <f t="shared" si="5"/>
        <v>14</v>
      </c>
      <c r="AB13" s="17">
        <f t="shared" si="5"/>
        <v>6</v>
      </c>
      <c r="AC13" s="17">
        <f t="shared" si="5"/>
        <v>1324</v>
      </c>
      <c r="AD13" s="17">
        <f t="shared" si="5"/>
        <v>0</v>
      </c>
      <c r="AE13" s="31">
        <f t="shared" si="5"/>
        <v>481</v>
      </c>
      <c r="AF13" s="31">
        <f t="shared" si="5"/>
        <v>1805</v>
      </c>
    </row>
    <row r="14" spans="2:32" ht="23.1" customHeight="1" x14ac:dyDescent="0.25">
      <c r="B14" s="23" t="s">
        <v>41</v>
      </c>
      <c r="C14" s="50">
        <v>35</v>
      </c>
      <c r="D14" s="50">
        <v>12</v>
      </c>
      <c r="E14" s="50">
        <v>4</v>
      </c>
      <c r="F14" s="50">
        <v>65</v>
      </c>
      <c r="G14" s="50">
        <v>2</v>
      </c>
      <c r="H14" s="50">
        <v>0</v>
      </c>
      <c r="I14" s="50">
        <v>3</v>
      </c>
      <c r="J14" s="50">
        <v>0</v>
      </c>
      <c r="K14" s="50">
        <v>2</v>
      </c>
      <c r="L14" s="50">
        <v>3</v>
      </c>
      <c r="M14" s="50">
        <v>285</v>
      </c>
      <c r="N14" s="50">
        <v>0</v>
      </c>
      <c r="O14" s="15">
        <f t="shared" si="0"/>
        <v>126</v>
      </c>
      <c r="P14" s="15">
        <f t="shared" si="1"/>
        <v>411</v>
      </c>
      <c r="R14" s="1" t="s">
        <v>10</v>
      </c>
      <c r="S14" s="17">
        <f t="shared" ref="S14:AF14" si="6">SUM(C26:C29)</f>
        <v>139</v>
      </c>
      <c r="T14" s="17">
        <f t="shared" si="6"/>
        <v>53</v>
      </c>
      <c r="U14" s="17">
        <f t="shared" si="6"/>
        <v>46</v>
      </c>
      <c r="V14" s="17">
        <f t="shared" si="6"/>
        <v>162</v>
      </c>
      <c r="W14" s="17">
        <f t="shared" si="6"/>
        <v>5</v>
      </c>
      <c r="X14" s="17">
        <f t="shared" si="6"/>
        <v>0</v>
      </c>
      <c r="Y14" s="17">
        <f t="shared" si="6"/>
        <v>31</v>
      </c>
      <c r="Z14" s="17">
        <f t="shared" si="6"/>
        <v>15</v>
      </c>
      <c r="AA14" s="17">
        <f t="shared" si="6"/>
        <v>9</v>
      </c>
      <c r="AB14" s="17">
        <f t="shared" si="6"/>
        <v>9</v>
      </c>
      <c r="AC14" s="17">
        <f t="shared" si="6"/>
        <v>788</v>
      </c>
      <c r="AD14" s="17">
        <f t="shared" si="6"/>
        <v>0</v>
      </c>
      <c r="AE14" s="31">
        <f t="shared" si="6"/>
        <v>469</v>
      </c>
      <c r="AF14" s="31">
        <f t="shared" si="6"/>
        <v>1257</v>
      </c>
    </row>
    <row r="15" spans="2:32" ht="23.1" customHeight="1" x14ac:dyDescent="0.25">
      <c r="B15" s="23" t="s">
        <v>42</v>
      </c>
      <c r="C15" s="50">
        <v>37</v>
      </c>
      <c r="D15" s="50">
        <v>7</v>
      </c>
      <c r="E15" s="50">
        <v>3</v>
      </c>
      <c r="F15" s="50">
        <v>50</v>
      </c>
      <c r="G15" s="50">
        <v>0</v>
      </c>
      <c r="H15" s="50">
        <v>1</v>
      </c>
      <c r="I15" s="50">
        <v>6</v>
      </c>
      <c r="J15" s="50">
        <v>2</v>
      </c>
      <c r="K15" s="50">
        <v>1</v>
      </c>
      <c r="L15" s="50">
        <v>3</v>
      </c>
      <c r="M15" s="50">
        <v>370</v>
      </c>
      <c r="N15" s="50">
        <v>0</v>
      </c>
      <c r="O15" s="15">
        <f t="shared" si="0"/>
        <v>110</v>
      </c>
      <c r="P15" s="15">
        <f t="shared" si="1"/>
        <v>480</v>
      </c>
      <c r="R15" s="1" t="s">
        <v>11</v>
      </c>
      <c r="S15" s="17">
        <f t="shared" ref="S15:AF15" si="7">SUM(C30:C33)</f>
        <v>158</v>
      </c>
      <c r="T15" s="17">
        <f t="shared" si="7"/>
        <v>32</v>
      </c>
      <c r="U15" s="17">
        <f t="shared" si="7"/>
        <v>36</v>
      </c>
      <c r="V15" s="17">
        <f t="shared" si="7"/>
        <v>152</v>
      </c>
      <c r="W15" s="17">
        <f t="shared" si="7"/>
        <v>8</v>
      </c>
      <c r="X15" s="17">
        <f t="shared" si="7"/>
        <v>2</v>
      </c>
      <c r="Y15" s="17">
        <f t="shared" si="7"/>
        <v>33</v>
      </c>
      <c r="Z15" s="17">
        <f t="shared" si="7"/>
        <v>15</v>
      </c>
      <c r="AA15" s="17">
        <f t="shared" si="7"/>
        <v>7</v>
      </c>
      <c r="AB15" s="17">
        <f t="shared" si="7"/>
        <v>14</v>
      </c>
      <c r="AC15" s="17">
        <f t="shared" si="7"/>
        <v>528</v>
      </c>
      <c r="AD15" s="17">
        <f t="shared" si="7"/>
        <v>0</v>
      </c>
      <c r="AE15" s="31">
        <f t="shared" si="7"/>
        <v>457</v>
      </c>
      <c r="AF15" s="31">
        <f t="shared" si="7"/>
        <v>985</v>
      </c>
    </row>
    <row r="16" spans="2:32" ht="23.1" customHeight="1" x14ac:dyDescent="0.25">
      <c r="B16" s="23" t="s">
        <v>43</v>
      </c>
      <c r="C16" s="50">
        <v>22</v>
      </c>
      <c r="D16" s="50">
        <v>13</v>
      </c>
      <c r="E16" s="50">
        <v>6</v>
      </c>
      <c r="F16" s="50">
        <v>46</v>
      </c>
      <c r="G16" s="50">
        <v>2</v>
      </c>
      <c r="H16" s="50">
        <v>0</v>
      </c>
      <c r="I16" s="50">
        <v>6</v>
      </c>
      <c r="J16" s="50">
        <v>1</v>
      </c>
      <c r="K16" s="50">
        <v>2</v>
      </c>
      <c r="L16" s="50">
        <v>3</v>
      </c>
      <c r="M16" s="50">
        <v>350</v>
      </c>
      <c r="N16" s="50">
        <v>0</v>
      </c>
      <c r="O16" s="15">
        <f t="shared" si="0"/>
        <v>101</v>
      </c>
      <c r="P16" s="15">
        <f t="shared" si="1"/>
        <v>451</v>
      </c>
      <c r="R16" s="1" t="s">
        <v>12</v>
      </c>
      <c r="S16" s="17">
        <f t="shared" ref="S16:AF16" si="8">SUM(C34:C37)</f>
        <v>118</v>
      </c>
      <c r="T16" s="17">
        <f t="shared" si="8"/>
        <v>35</v>
      </c>
      <c r="U16" s="17">
        <f t="shared" si="8"/>
        <v>35</v>
      </c>
      <c r="V16" s="17">
        <f t="shared" si="8"/>
        <v>165</v>
      </c>
      <c r="W16" s="17">
        <f t="shared" si="8"/>
        <v>9</v>
      </c>
      <c r="X16" s="17">
        <f t="shared" si="8"/>
        <v>3</v>
      </c>
      <c r="Y16" s="17">
        <f t="shared" si="8"/>
        <v>18</v>
      </c>
      <c r="Z16" s="17">
        <f t="shared" si="8"/>
        <v>15</v>
      </c>
      <c r="AA16" s="17">
        <f t="shared" si="8"/>
        <v>12</v>
      </c>
      <c r="AB16" s="17">
        <f t="shared" si="8"/>
        <v>5</v>
      </c>
      <c r="AC16" s="17">
        <f t="shared" si="8"/>
        <v>400</v>
      </c>
      <c r="AD16" s="17">
        <f t="shared" si="8"/>
        <v>0</v>
      </c>
      <c r="AE16" s="31">
        <f t="shared" si="8"/>
        <v>415</v>
      </c>
      <c r="AF16" s="31">
        <f t="shared" si="8"/>
        <v>815</v>
      </c>
    </row>
    <row r="17" spans="2:32" ht="23.1" customHeight="1" x14ac:dyDescent="0.25">
      <c r="B17" s="23" t="s">
        <v>44</v>
      </c>
      <c r="C17" s="50">
        <v>37</v>
      </c>
      <c r="D17" s="50">
        <v>4</v>
      </c>
      <c r="E17" s="50">
        <v>6</v>
      </c>
      <c r="F17" s="50">
        <v>35</v>
      </c>
      <c r="G17" s="50">
        <v>2</v>
      </c>
      <c r="H17" s="50">
        <v>0</v>
      </c>
      <c r="I17" s="50">
        <v>3</v>
      </c>
      <c r="J17" s="50">
        <v>3</v>
      </c>
      <c r="K17" s="50">
        <v>3</v>
      </c>
      <c r="L17" s="50">
        <v>0</v>
      </c>
      <c r="M17" s="50">
        <v>300</v>
      </c>
      <c r="N17" s="50">
        <v>0</v>
      </c>
      <c r="O17" s="15">
        <f t="shared" si="0"/>
        <v>93</v>
      </c>
      <c r="P17" s="15">
        <f t="shared" si="1"/>
        <v>393</v>
      </c>
      <c r="R17" s="1" t="s">
        <v>13</v>
      </c>
      <c r="S17" s="17">
        <f t="shared" ref="S17:AF17" si="9">SUM(C38:C41)</f>
        <v>69</v>
      </c>
      <c r="T17" s="17">
        <f t="shared" si="9"/>
        <v>23</v>
      </c>
      <c r="U17" s="17">
        <f t="shared" si="9"/>
        <v>21</v>
      </c>
      <c r="V17" s="17">
        <f t="shared" si="9"/>
        <v>94</v>
      </c>
      <c r="W17" s="17">
        <f t="shared" si="9"/>
        <v>10</v>
      </c>
      <c r="X17" s="17">
        <f t="shared" si="9"/>
        <v>5</v>
      </c>
      <c r="Y17" s="17">
        <f t="shared" si="9"/>
        <v>21</v>
      </c>
      <c r="Z17" s="17">
        <f t="shared" si="9"/>
        <v>7</v>
      </c>
      <c r="AA17" s="17">
        <f t="shared" si="9"/>
        <v>14</v>
      </c>
      <c r="AB17" s="17">
        <f t="shared" si="9"/>
        <v>17</v>
      </c>
      <c r="AC17" s="17">
        <f t="shared" si="9"/>
        <v>334</v>
      </c>
      <c r="AD17" s="17">
        <f t="shared" si="9"/>
        <v>0</v>
      </c>
      <c r="AE17" s="31">
        <f t="shared" si="9"/>
        <v>281</v>
      </c>
      <c r="AF17" s="31">
        <f t="shared" si="9"/>
        <v>615</v>
      </c>
    </row>
    <row r="18" spans="2:32" ht="23.1" customHeight="1" x14ac:dyDescent="0.25">
      <c r="B18" s="23" t="s">
        <v>45</v>
      </c>
      <c r="C18" s="50">
        <v>33</v>
      </c>
      <c r="D18" s="50">
        <v>6</v>
      </c>
      <c r="E18" s="50">
        <v>10</v>
      </c>
      <c r="F18" s="50">
        <v>38</v>
      </c>
      <c r="G18" s="50">
        <v>2</v>
      </c>
      <c r="H18" s="50">
        <v>0</v>
      </c>
      <c r="I18" s="50">
        <v>3</v>
      </c>
      <c r="J18" s="50">
        <v>4</v>
      </c>
      <c r="K18" s="50">
        <v>4</v>
      </c>
      <c r="L18" s="50">
        <v>3</v>
      </c>
      <c r="M18" s="50">
        <v>375</v>
      </c>
      <c r="N18" s="50">
        <v>0</v>
      </c>
      <c r="O18" s="15">
        <f t="shared" si="0"/>
        <v>103</v>
      </c>
      <c r="P18" s="15">
        <f t="shared" si="1"/>
        <v>478</v>
      </c>
      <c r="R18" s="1" t="s">
        <v>14</v>
      </c>
      <c r="S18" s="17">
        <f t="shared" ref="S18:AF18" si="10">SUM(C42:C45)</f>
        <v>150</v>
      </c>
      <c r="T18" s="17">
        <f t="shared" si="10"/>
        <v>59</v>
      </c>
      <c r="U18" s="17">
        <f t="shared" si="10"/>
        <v>52</v>
      </c>
      <c r="V18" s="17">
        <f t="shared" si="10"/>
        <v>169</v>
      </c>
      <c r="W18" s="17">
        <f t="shared" si="10"/>
        <v>8</v>
      </c>
      <c r="X18" s="17">
        <f t="shared" si="10"/>
        <v>4</v>
      </c>
      <c r="Y18" s="17">
        <f t="shared" si="10"/>
        <v>22</v>
      </c>
      <c r="Z18" s="17">
        <f t="shared" si="10"/>
        <v>16</v>
      </c>
      <c r="AA18" s="17">
        <f t="shared" si="10"/>
        <v>17</v>
      </c>
      <c r="AB18" s="17">
        <f t="shared" si="10"/>
        <v>11</v>
      </c>
      <c r="AC18" s="17">
        <f t="shared" si="10"/>
        <v>663</v>
      </c>
      <c r="AD18" s="17">
        <f t="shared" si="10"/>
        <v>0</v>
      </c>
      <c r="AE18" s="31">
        <f t="shared" si="10"/>
        <v>508</v>
      </c>
      <c r="AF18" s="31">
        <f t="shared" si="10"/>
        <v>1171</v>
      </c>
    </row>
    <row r="19" spans="2:32" ht="23.1" customHeight="1" x14ac:dyDescent="0.25">
      <c r="B19" s="23" t="s">
        <v>46</v>
      </c>
      <c r="C19" s="50">
        <v>25</v>
      </c>
      <c r="D19" s="50">
        <v>3</v>
      </c>
      <c r="E19" s="50">
        <v>5</v>
      </c>
      <c r="F19" s="50">
        <v>41</v>
      </c>
      <c r="G19" s="50">
        <v>1</v>
      </c>
      <c r="H19" s="50">
        <v>0</v>
      </c>
      <c r="I19" s="50">
        <v>5</v>
      </c>
      <c r="J19" s="50">
        <v>5</v>
      </c>
      <c r="K19" s="50">
        <v>6</v>
      </c>
      <c r="L19" s="50">
        <v>4</v>
      </c>
      <c r="M19" s="50">
        <v>410</v>
      </c>
      <c r="N19" s="50">
        <v>0</v>
      </c>
      <c r="O19" s="15">
        <f t="shared" si="0"/>
        <v>95</v>
      </c>
      <c r="P19" s="15">
        <f t="shared" si="1"/>
        <v>505</v>
      </c>
      <c r="R19" s="1" t="s">
        <v>15</v>
      </c>
      <c r="S19" s="17">
        <f t="shared" ref="S19:AF19" si="11">SUM(C46:C49)</f>
        <v>113</v>
      </c>
      <c r="T19" s="17">
        <f t="shared" si="11"/>
        <v>56</v>
      </c>
      <c r="U19" s="17">
        <f t="shared" si="11"/>
        <v>28</v>
      </c>
      <c r="V19" s="17">
        <f t="shared" si="11"/>
        <v>138</v>
      </c>
      <c r="W19" s="17">
        <f t="shared" si="11"/>
        <v>3</v>
      </c>
      <c r="X19" s="17">
        <f t="shared" si="11"/>
        <v>2</v>
      </c>
      <c r="Y19" s="17">
        <f t="shared" si="11"/>
        <v>31</v>
      </c>
      <c r="Z19" s="17">
        <f t="shared" si="11"/>
        <v>10</v>
      </c>
      <c r="AA19" s="17">
        <f t="shared" si="11"/>
        <v>15</v>
      </c>
      <c r="AB19" s="17">
        <f t="shared" si="11"/>
        <v>12</v>
      </c>
      <c r="AC19" s="17">
        <f t="shared" si="11"/>
        <v>871</v>
      </c>
      <c r="AD19" s="17">
        <f t="shared" si="11"/>
        <v>0</v>
      </c>
      <c r="AE19" s="31">
        <f t="shared" si="11"/>
        <v>408</v>
      </c>
      <c r="AF19" s="31">
        <f t="shared" si="11"/>
        <v>1279</v>
      </c>
    </row>
    <row r="20" spans="2:32" ht="23.1" customHeight="1" x14ac:dyDescent="0.25">
      <c r="B20" s="23" t="s">
        <v>47</v>
      </c>
      <c r="C20" s="50">
        <v>33</v>
      </c>
      <c r="D20" s="50">
        <v>4</v>
      </c>
      <c r="E20" s="50">
        <v>5</v>
      </c>
      <c r="F20" s="50">
        <v>38</v>
      </c>
      <c r="G20" s="50">
        <v>0</v>
      </c>
      <c r="H20" s="50">
        <v>0</v>
      </c>
      <c r="I20" s="50">
        <v>8</v>
      </c>
      <c r="J20" s="50">
        <v>4</v>
      </c>
      <c r="K20" s="50">
        <v>1</v>
      </c>
      <c r="L20" s="50">
        <v>4</v>
      </c>
      <c r="M20" s="50">
        <v>345</v>
      </c>
      <c r="N20" s="50">
        <v>0</v>
      </c>
      <c r="O20" s="15">
        <f t="shared" si="0"/>
        <v>97</v>
      </c>
      <c r="P20" s="15">
        <f t="shared" si="1"/>
        <v>442</v>
      </c>
      <c r="R20" s="1" t="s">
        <v>16</v>
      </c>
      <c r="S20" s="17">
        <f t="shared" ref="S20:AF20" si="12">SUM(C50:C53)</f>
        <v>116</v>
      </c>
      <c r="T20" s="17">
        <f t="shared" si="12"/>
        <v>40</v>
      </c>
      <c r="U20" s="17">
        <f t="shared" si="12"/>
        <v>22</v>
      </c>
      <c r="V20" s="17">
        <f t="shared" si="12"/>
        <v>117</v>
      </c>
      <c r="W20" s="17">
        <f t="shared" si="12"/>
        <v>9</v>
      </c>
      <c r="X20" s="17">
        <f t="shared" si="12"/>
        <v>2</v>
      </c>
      <c r="Y20" s="17">
        <f t="shared" si="12"/>
        <v>32</v>
      </c>
      <c r="Z20" s="17">
        <f t="shared" si="12"/>
        <v>9</v>
      </c>
      <c r="AA20" s="17">
        <f t="shared" si="12"/>
        <v>25</v>
      </c>
      <c r="AB20" s="17">
        <f t="shared" si="12"/>
        <v>11</v>
      </c>
      <c r="AC20" s="17">
        <f t="shared" si="12"/>
        <v>797</v>
      </c>
      <c r="AD20" s="17">
        <f t="shared" si="12"/>
        <v>0</v>
      </c>
      <c r="AE20" s="31">
        <f t="shared" si="12"/>
        <v>383</v>
      </c>
      <c r="AF20" s="31">
        <f t="shared" si="12"/>
        <v>1180</v>
      </c>
    </row>
    <row r="21" spans="2:32" ht="23.1" customHeight="1" x14ac:dyDescent="0.25">
      <c r="B21" s="23" t="s">
        <v>48</v>
      </c>
      <c r="C21" s="50">
        <v>36</v>
      </c>
      <c r="D21" s="50">
        <v>3</v>
      </c>
      <c r="E21" s="50">
        <v>6</v>
      </c>
      <c r="F21" s="50">
        <v>35</v>
      </c>
      <c r="G21" s="50">
        <v>1</v>
      </c>
      <c r="H21" s="50">
        <v>0</v>
      </c>
      <c r="I21" s="50">
        <v>7</v>
      </c>
      <c r="J21" s="50">
        <v>1</v>
      </c>
      <c r="K21" s="50">
        <v>4</v>
      </c>
      <c r="L21" s="50">
        <v>1</v>
      </c>
      <c r="M21" s="50">
        <v>169</v>
      </c>
      <c r="N21" s="50">
        <v>0</v>
      </c>
      <c r="O21" s="15">
        <f t="shared" si="0"/>
        <v>94</v>
      </c>
      <c r="P21" s="15">
        <f t="shared" si="1"/>
        <v>263</v>
      </c>
      <c r="R21" s="36" t="s">
        <v>20</v>
      </c>
      <c r="S21" s="34">
        <f t="shared" ref="S21:AF21" si="13">SUM(C54:C57)</f>
        <v>108</v>
      </c>
      <c r="T21" s="17">
        <f t="shared" si="13"/>
        <v>45</v>
      </c>
      <c r="U21" s="17">
        <f t="shared" si="13"/>
        <v>15</v>
      </c>
      <c r="V21" s="17">
        <f t="shared" si="13"/>
        <v>165</v>
      </c>
      <c r="W21" s="17">
        <f t="shared" si="13"/>
        <v>12</v>
      </c>
      <c r="X21" s="17">
        <f t="shared" si="13"/>
        <v>5</v>
      </c>
      <c r="Y21" s="17">
        <f t="shared" si="13"/>
        <v>17</v>
      </c>
      <c r="Z21" s="17">
        <f t="shared" si="13"/>
        <v>9</v>
      </c>
      <c r="AA21" s="17">
        <f t="shared" si="13"/>
        <v>22</v>
      </c>
      <c r="AB21" s="17">
        <f t="shared" si="13"/>
        <v>14</v>
      </c>
      <c r="AC21" s="17">
        <f t="shared" si="13"/>
        <v>1114</v>
      </c>
      <c r="AD21" s="17">
        <f t="shared" si="13"/>
        <v>0</v>
      </c>
      <c r="AE21" s="31">
        <f t="shared" si="13"/>
        <v>412</v>
      </c>
      <c r="AF21" s="31">
        <f t="shared" si="13"/>
        <v>1526</v>
      </c>
    </row>
    <row r="22" spans="2:32" ht="23.1" customHeight="1" x14ac:dyDescent="0.25">
      <c r="B22" s="23" t="s">
        <v>49</v>
      </c>
      <c r="C22" s="50">
        <v>48</v>
      </c>
      <c r="D22" s="50">
        <v>9</v>
      </c>
      <c r="E22" s="50">
        <v>8</v>
      </c>
      <c r="F22" s="50">
        <v>30</v>
      </c>
      <c r="G22" s="50">
        <v>1</v>
      </c>
      <c r="H22" s="50">
        <v>0</v>
      </c>
      <c r="I22" s="50">
        <v>8</v>
      </c>
      <c r="J22" s="50">
        <v>8</v>
      </c>
      <c r="K22" s="50">
        <v>6</v>
      </c>
      <c r="L22" s="50">
        <v>2</v>
      </c>
      <c r="M22" s="50">
        <v>370</v>
      </c>
      <c r="N22" s="50">
        <v>0</v>
      </c>
      <c r="O22" s="15">
        <f t="shared" si="0"/>
        <v>120</v>
      </c>
      <c r="P22" s="15">
        <f t="shared" si="1"/>
        <v>490</v>
      </c>
      <c r="R22" s="38" t="s">
        <v>90</v>
      </c>
      <c r="S22" s="39">
        <f>MAX(S10:S12)</f>
        <v>196</v>
      </c>
      <c r="T22" s="39">
        <f t="shared" ref="T22:AF22" si="14">MAX(T10:T12)</f>
        <v>41</v>
      </c>
      <c r="U22" s="39">
        <f t="shared" si="14"/>
        <v>29</v>
      </c>
      <c r="V22" s="39">
        <f t="shared" si="14"/>
        <v>201</v>
      </c>
      <c r="W22" s="39">
        <f t="shared" si="14"/>
        <v>8</v>
      </c>
      <c r="X22" s="39">
        <f t="shared" si="14"/>
        <v>2</v>
      </c>
      <c r="Y22" s="39">
        <f t="shared" si="14"/>
        <v>23</v>
      </c>
      <c r="Z22" s="39">
        <f t="shared" si="14"/>
        <v>14</v>
      </c>
      <c r="AA22" s="39">
        <f t="shared" si="14"/>
        <v>15</v>
      </c>
      <c r="AB22" s="39">
        <f t="shared" si="14"/>
        <v>12</v>
      </c>
      <c r="AC22" s="39">
        <f t="shared" si="14"/>
        <v>1305</v>
      </c>
      <c r="AD22" s="39">
        <f t="shared" si="14"/>
        <v>0</v>
      </c>
      <c r="AE22" s="40">
        <f t="shared" si="14"/>
        <v>531</v>
      </c>
      <c r="AF22" s="40">
        <f t="shared" si="14"/>
        <v>1801</v>
      </c>
    </row>
    <row r="23" spans="2:32" ht="23.1" customHeight="1" x14ac:dyDescent="0.25">
      <c r="B23" s="23" t="s">
        <v>50</v>
      </c>
      <c r="C23" s="50">
        <v>33</v>
      </c>
      <c r="D23" s="50">
        <v>10</v>
      </c>
      <c r="E23" s="50">
        <v>7</v>
      </c>
      <c r="F23" s="50">
        <v>39</v>
      </c>
      <c r="G23" s="50">
        <v>1</v>
      </c>
      <c r="H23" s="50">
        <v>0</v>
      </c>
      <c r="I23" s="50">
        <v>1</v>
      </c>
      <c r="J23" s="50">
        <v>3</v>
      </c>
      <c r="K23" s="50">
        <v>1</v>
      </c>
      <c r="L23" s="50">
        <v>1</v>
      </c>
      <c r="M23" s="50">
        <v>455</v>
      </c>
      <c r="N23" s="50">
        <v>0</v>
      </c>
      <c r="O23" s="15">
        <f t="shared" si="0"/>
        <v>96</v>
      </c>
      <c r="P23" s="15">
        <f t="shared" si="1"/>
        <v>551</v>
      </c>
      <c r="R23" s="38" t="s">
        <v>91</v>
      </c>
      <c r="S23" s="39">
        <f>MAX(S13:S18)</f>
        <v>158</v>
      </c>
      <c r="T23" s="39">
        <f t="shared" ref="T23:AF23" si="15">MAX(T13:T18)</f>
        <v>59</v>
      </c>
      <c r="U23" s="39">
        <f t="shared" si="15"/>
        <v>52</v>
      </c>
      <c r="V23" s="39">
        <f t="shared" si="15"/>
        <v>169</v>
      </c>
      <c r="W23" s="39">
        <f t="shared" si="15"/>
        <v>10</v>
      </c>
      <c r="X23" s="39">
        <f t="shared" si="15"/>
        <v>5</v>
      </c>
      <c r="Y23" s="39">
        <f t="shared" si="15"/>
        <v>33</v>
      </c>
      <c r="Z23" s="39">
        <f t="shared" si="15"/>
        <v>21</v>
      </c>
      <c r="AA23" s="39">
        <f t="shared" si="15"/>
        <v>17</v>
      </c>
      <c r="AB23" s="39">
        <f t="shared" si="15"/>
        <v>17</v>
      </c>
      <c r="AC23" s="39">
        <f t="shared" si="15"/>
        <v>1324</v>
      </c>
      <c r="AD23" s="39">
        <f t="shared" si="15"/>
        <v>0</v>
      </c>
      <c r="AE23" s="40">
        <f t="shared" si="15"/>
        <v>508</v>
      </c>
      <c r="AF23" s="40">
        <f t="shared" si="15"/>
        <v>1805</v>
      </c>
    </row>
    <row r="24" spans="2:32" ht="23.1" customHeight="1" x14ac:dyDescent="0.25">
      <c r="B24" s="23" t="s">
        <v>51</v>
      </c>
      <c r="C24" s="50">
        <v>45</v>
      </c>
      <c r="D24" s="50">
        <v>9</v>
      </c>
      <c r="E24" s="50">
        <v>8</v>
      </c>
      <c r="F24" s="50">
        <v>68</v>
      </c>
      <c r="G24" s="50">
        <v>1</v>
      </c>
      <c r="H24" s="50">
        <v>1</v>
      </c>
      <c r="I24" s="50">
        <v>15</v>
      </c>
      <c r="J24" s="50">
        <v>2</v>
      </c>
      <c r="K24" s="50">
        <v>3</v>
      </c>
      <c r="L24" s="50">
        <v>2</v>
      </c>
      <c r="M24" s="50">
        <v>388</v>
      </c>
      <c r="N24" s="50">
        <v>0</v>
      </c>
      <c r="O24" s="15">
        <f t="shared" si="0"/>
        <v>154</v>
      </c>
      <c r="P24" s="15">
        <f t="shared" si="1"/>
        <v>542</v>
      </c>
      <c r="R24" s="38" t="s">
        <v>92</v>
      </c>
      <c r="S24" s="39">
        <f>MAX(S19:S21)</f>
        <v>116</v>
      </c>
      <c r="T24" s="39">
        <f t="shared" ref="T24:AF24" si="16">MAX(T19:T21)</f>
        <v>56</v>
      </c>
      <c r="U24" s="39">
        <f t="shared" si="16"/>
        <v>28</v>
      </c>
      <c r="V24" s="39">
        <f t="shared" si="16"/>
        <v>165</v>
      </c>
      <c r="W24" s="39">
        <f t="shared" si="16"/>
        <v>12</v>
      </c>
      <c r="X24" s="39">
        <f t="shared" si="16"/>
        <v>5</v>
      </c>
      <c r="Y24" s="39">
        <f t="shared" si="16"/>
        <v>32</v>
      </c>
      <c r="Z24" s="39">
        <f t="shared" si="16"/>
        <v>10</v>
      </c>
      <c r="AA24" s="39">
        <f t="shared" si="16"/>
        <v>25</v>
      </c>
      <c r="AB24" s="39">
        <f t="shared" si="16"/>
        <v>14</v>
      </c>
      <c r="AC24" s="39">
        <f t="shared" si="16"/>
        <v>1114</v>
      </c>
      <c r="AD24" s="39">
        <f t="shared" si="16"/>
        <v>0</v>
      </c>
      <c r="AE24" s="40">
        <f t="shared" si="16"/>
        <v>412</v>
      </c>
      <c r="AF24" s="40">
        <f t="shared" si="16"/>
        <v>1526</v>
      </c>
    </row>
    <row r="25" spans="2:32" ht="23.1" customHeight="1" x14ac:dyDescent="0.25">
      <c r="B25" s="23" t="s">
        <v>52</v>
      </c>
      <c r="C25" s="50">
        <v>31</v>
      </c>
      <c r="D25" s="50">
        <v>13</v>
      </c>
      <c r="E25" s="50">
        <v>9</v>
      </c>
      <c r="F25" s="50">
        <v>32</v>
      </c>
      <c r="G25" s="50">
        <v>4</v>
      </c>
      <c r="H25" s="50">
        <v>0</v>
      </c>
      <c r="I25" s="50">
        <v>9</v>
      </c>
      <c r="J25" s="50">
        <v>8</v>
      </c>
      <c r="K25" s="50">
        <v>4</v>
      </c>
      <c r="L25" s="50">
        <v>1</v>
      </c>
      <c r="M25" s="50">
        <v>111</v>
      </c>
      <c r="N25" s="50">
        <v>0</v>
      </c>
      <c r="O25" s="15">
        <f t="shared" si="0"/>
        <v>111</v>
      </c>
      <c r="P25" s="15">
        <f t="shared" si="1"/>
        <v>222</v>
      </c>
      <c r="R25" s="37" t="s">
        <v>85</v>
      </c>
      <c r="S25" s="35">
        <f t="shared" ref="S25:AF25" si="17">SUM(S10:S12)</f>
        <v>454</v>
      </c>
      <c r="T25" s="16">
        <f t="shared" si="17"/>
        <v>93</v>
      </c>
      <c r="U25" s="16">
        <f t="shared" si="17"/>
        <v>74</v>
      </c>
      <c r="V25" s="16">
        <f t="shared" si="17"/>
        <v>549</v>
      </c>
      <c r="W25" s="16">
        <f t="shared" si="17"/>
        <v>18</v>
      </c>
      <c r="X25" s="16">
        <f t="shared" si="17"/>
        <v>3</v>
      </c>
      <c r="Y25" s="16">
        <f t="shared" si="17"/>
        <v>64</v>
      </c>
      <c r="Z25" s="16">
        <f t="shared" si="17"/>
        <v>32</v>
      </c>
      <c r="AA25" s="16">
        <f t="shared" si="17"/>
        <v>33</v>
      </c>
      <c r="AB25" s="16">
        <f t="shared" si="17"/>
        <v>30</v>
      </c>
      <c r="AC25" s="16">
        <f t="shared" si="17"/>
        <v>3874</v>
      </c>
      <c r="AD25" s="16">
        <f t="shared" si="17"/>
        <v>0</v>
      </c>
      <c r="AE25" s="32">
        <f t="shared" si="17"/>
        <v>1350</v>
      </c>
      <c r="AF25" s="32">
        <f t="shared" si="17"/>
        <v>5224</v>
      </c>
    </row>
    <row r="26" spans="2:32" ht="23.1" customHeight="1" x14ac:dyDescent="0.25">
      <c r="B26" s="23" t="s">
        <v>53</v>
      </c>
      <c r="C26" s="50">
        <v>31</v>
      </c>
      <c r="D26" s="50">
        <v>10</v>
      </c>
      <c r="E26" s="50">
        <v>9</v>
      </c>
      <c r="F26" s="50">
        <v>35</v>
      </c>
      <c r="G26" s="50">
        <v>1</v>
      </c>
      <c r="H26" s="50">
        <v>0</v>
      </c>
      <c r="I26" s="50">
        <v>10</v>
      </c>
      <c r="J26" s="50">
        <v>4</v>
      </c>
      <c r="K26" s="50">
        <v>7</v>
      </c>
      <c r="L26" s="50">
        <v>4</v>
      </c>
      <c r="M26" s="50">
        <v>198</v>
      </c>
      <c r="N26" s="50">
        <v>0</v>
      </c>
      <c r="O26" s="15">
        <f t="shared" si="0"/>
        <v>111</v>
      </c>
      <c r="P26" s="15">
        <f t="shared" si="1"/>
        <v>309</v>
      </c>
      <c r="R26" s="28" t="s">
        <v>86</v>
      </c>
      <c r="S26" s="16">
        <f t="shared" ref="S26:AF26" si="18">SUM(S13:S18)</f>
        <v>791</v>
      </c>
      <c r="T26" s="16">
        <f t="shared" si="18"/>
        <v>243</v>
      </c>
      <c r="U26" s="16">
        <f t="shared" si="18"/>
        <v>222</v>
      </c>
      <c r="V26" s="16">
        <f t="shared" si="18"/>
        <v>911</v>
      </c>
      <c r="W26" s="16">
        <f t="shared" si="18"/>
        <v>47</v>
      </c>
      <c r="X26" s="16">
        <f t="shared" si="18"/>
        <v>15</v>
      </c>
      <c r="Y26" s="16">
        <f t="shared" si="18"/>
        <v>158</v>
      </c>
      <c r="Z26" s="16">
        <f t="shared" si="18"/>
        <v>89</v>
      </c>
      <c r="AA26" s="16">
        <f t="shared" si="18"/>
        <v>73</v>
      </c>
      <c r="AB26" s="16">
        <f t="shared" si="18"/>
        <v>62</v>
      </c>
      <c r="AC26" s="16">
        <f t="shared" si="18"/>
        <v>4037</v>
      </c>
      <c r="AD26" s="16">
        <f t="shared" si="18"/>
        <v>0</v>
      </c>
      <c r="AE26" s="32">
        <f t="shared" si="18"/>
        <v>2611</v>
      </c>
      <c r="AF26" s="32">
        <f t="shared" si="18"/>
        <v>6648</v>
      </c>
    </row>
    <row r="27" spans="2:32" ht="23.1" customHeight="1" x14ac:dyDescent="0.25">
      <c r="B27" s="23" t="s">
        <v>54</v>
      </c>
      <c r="C27" s="50">
        <v>39</v>
      </c>
      <c r="D27" s="50">
        <v>18</v>
      </c>
      <c r="E27" s="50">
        <v>12</v>
      </c>
      <c r="F27" s="50">
        <v>43</v>
      </c>
      <c r="G27" s="50">
        <v>1</v>
      </c>
      <c r="H27" s="50">
        <v>0</v>
      </c>
      <c r="I27" s="50">
        <v>8</v>
      </c>
      <c r="J27" s="50">
        <v>2</v>
      </c>
      <c r="K27" s="50">
        <v>1</v>
      </c>
      <c r="L27" s="50">
        <v>1</v>
      </c>
      <c r="M27" s="50">
        <v>223</v>
      </c>
      <c r="N27" s="50">
        <v>0</v>
      </c>
      <c r="O27" s="15">
        <f t="shared" si="0"/>
        <v>125</v>
      </c>
      <c r="P27" s="15">
        <f t="shared" si="1"/>
        <v>348</v>
      </c>
      <c r="R27" s="29" t="s">
        <v>87</v>
      </c>
      <c r="S27" s="16">
        <f t="shared" ref="S27:AF27" si="19">SUM(S19:S21)</f>
        <v>337</v>
      </c>
      <c r="T27" s="16">
        <f t="shared" si="19"/>
        <v>141</v>
      </c>
      <c r="U27" s="16">
        <f t="shared" si="19"/>
        <v>65</v>
      </c>
      <c r="V27" s="16">
        <f t="shared" si="19"/>
        <v>420</v>
      </c>
      <c r="W27" s="16">
        <f t="shared" si="19"/>
        <v>24</v>
      </c>
      <c r="X27" s="16">
        <f t="shared" si="19"/>
        <v>9</v>
      </c>
      <c r="Y27" s="16">
        <f t="shared" si="19"/>
        <v>80</v>
      </c>
      <c r="Z27" s="16">
        <f t="shared" si="19"/>
        <v>28</v>
      </c>
      <c r="AA27" s="16">
        <f t="shared" si="19"/>
        <v>62</v>
      </c>
      <c r="AB27" s="16">
        <f t="shared" si="19"/>
        <v>37</v>
      </c>
      <c r="AC27" s="16">
        <f t="shared" si="19"/>
        <v>2782</v>
      </c>
      <c r="AD27" s="16">
        <f t="shared" si="19"/>
        <v>0</v>
      </c>
      <c r="AE27" s="32">
        <f t="shared" si="19"/>
        <v>1203</v>
      </c>
      <c r="AF27" s="32">
        <f t="shared" si="19"/>
        <v>3985</v>
      </c>
    </row>
    <row r="28" spans="2:32" ht="23.1" customHeight="1" x14ac:dyDescent="0.25">
      <c r="B28" s="23" t="s">
        <v>55</v>
      </c>
      <c r="C28" s="50">
        <v>39</v>
      </c>
      <c r="D28" s="50">
        <v>14</v>
      </c>
      <c r="E28" s="50">
        <v>15</v>
      </c>
      <c r="F28" s="50">
        <v>42</v>
      </c>
      <c r="G28" s="50">
        <v>3</v>
      </c>
      <c r="H28" s="50">
        <v>0</v>
      </c>
      <c r="I28" s="50">
        <v>6</v>
      </c>
      <c r="J28" s="50">
        <v>4</v>
      </c>
      <c r="K28" s="50">
        <v>0</v>
      </c>
      <c r="L28" s="50">
        <v>2</v>
      </c>
      <c r="M28" s="50">
        <v>170</v>
      </c>
      <c r="N28" s="50">
        <v>0</v>
      </c>
      <c r="O28" s="15">
        <f t="shared" si="0"/>
        <v>125</v>
      </c>
      <c r="P28" s="15">
        <f t="shared" si="1"/>
        <v>295</v>
      </c>
      <c r="R28" s="5" t="s">
        <v>17</v>
      </c>
      <c r="S28" s="16">
        <f t="shared" ref="S28:AF28" si="20">SUM(S10:S21)</f>
        <v>1582</v>
      </c>
      <c r="T28" s="16">
        <f t="shared" si="20"/>
        <v>477</v>
      </c>
      <c r="U28" s="16">
        <f t="shared" si="20"/>
        <v>361</v>
      </c>
      <c r="V28" s="16">
        <f t="shared" si="20"/>
        <v>1880</v>
      </c>
      <c r="W28" s="16">
        <f t="shared" si="20"/>
        <v>89</v>
      </c>
      <c r="X28" s="16">
        <f t="shared" si="20"/>
        <v>27</v>
      </c>
      <c r="Y28" s="16">
        <f t="shared" si="20"/>
        <v>302</v>
      </c>
      <c r="Z28" s="16">
        <f t="shared" si="20"/>
        <v>149</v>
      </c>
      <c r="AA28" s="16">
        <f t="shared" si="20"/>
        <v>168</v>
      </c>
      <c r="AB28" s="16">
        <f t="shared" si="20"/>
        <v>129</v>
      </c>
      <c r="AC28" s="16">
        <f t="shared" si="20"/>
        <v>10693</v>
      </c>
      <c r="AD28" s="16">
        <f t="shared" si="20"/>
        <v>0</v>
      </c>
      <c r="AE28" s="32">
        <f t="shared" si="20"/>
        <v>5164</v>
      </c>
      <c r="AF28" s="32">
        <f t="shared" si="20"/>
        <v>15857</v>
      </c>
    </row>
    <row r="29" spans="2:32" ht="23.1" customHeight="1" x14ac:dyDescent="0.25">
      <c r="B29" s="23" t="s">
        <v>56</v>
      </c>
      <c r="C29" s="50">
        <v>30</v>
      </c>
      <c r="D29" s="50">
        <v>11</v>
      </c>
      <c r="E29" s="50">
        <v>10</v>
      </c>
      <c r="F29" s="50">
        <v>42</v>
      </c>
      <c r="G29" s="50">
        <v>0</v>
      </c>
      <c r="H29" s="50">
        <v>0</v>
      </c>
      <c r="I29" s="50">
        <v>7</v>
      </c>
      <c r="J29" s="50">
        <v>5</v>
      </c>
      <c r="K29" s="50">
        <v>1</v>
      </c>
      <c r="L29" s="50">
        <v>2</v>
      </c>
      <c r="M29" s="50">
        <v>197</v>
      </c>
      <c r="N29" s="50">
        <v>0</v>
      </c>
      <c r="O29" s="15">
        <f t="shared" si="0"/>
        <v>108</v>
      </c>
      <c r="P29" s="15">
        <f t="shared" si="1"/>
        <v>305</v>
      </c>
      <c r="R29"/>
      <c r="S29" s="20"/>
      <c r="T29" s="19"/>
    </row>
    <row r="30" spans="2:32" ht="23.1" customHeight="1" x14ac:dyDescent="0.25">
      <c r="B30" s="23" t="s">
        <v>57</v>
      </c>
      <c r="C30" s="50">
        <v>42</v>
      </c>
      <c r="D30" s="50">
        <v>5</v>
      </c>
      <c r="E30" s="50">
        <v>11</v>
      </c>
      <c r="F30" s="50">
        <v>33</v>
      </c>
      <c r="G30" s="50">
        <v>2</v>
      </c>
      <c r="H30" s="50">
        <v>0</v>
      </c>
      <c r="I30" s="50">
        <v>3</v>
      </c>
      <c r="J30" s="50">
        <v>3</v>
      </c>
      <c r="K30" s="50">
        <v>3</v>
      </c>
      <c r="L30" s="50">
        <v>2</v>
      </c>
      <c r="M30" s="50">
        <v>130</v>
      </c>
      <c r="N30" s="50">
        <v>0</v>
      </c>
      <c r="O30" s="15">
        <f t="shared" si="0"/>
        <v>104</v>
      </c>
      <c r="P30" s="15">
        <f t="shared" si="1"/>
        <v>234</v>
      </c>
    </row>
    <row r="31" spans="2:32" ht="23.1" customHeight="1" x14ac:dyDescent="0.25">
      <c r="B31" s="24" t="s">
        <v>58</v>
      </c>
      <c r="C31" s="50">
        <v>47</v>
      </c>
      <c r="D31" s="50">
        <v>9</v>
      </c>
      <c r="E31" s="50">
        <v>8</v>
      </c>
      <c r="F31" s="50">
        <v>33</v>
      </c>
      <c r="G31" s="50">
        <v>1</v>
      </c>
      <c r="H31" s="50">
        <v>0</v>
      </c>
      <c r="I31" s="50">
        <v>10</v>
      </c>
      <c r="J31" s="50">
        <v>4</v>
      </c>
      <c r="K31" s="50">
        <v>1</v>
      </c>
      <c r="L31" s="50">
        <v>5</v>
      </c>
      <c r="M31" s="50">
        <v>157</v>
      </c>
      <c r="N31" s="50">
        <v>0</v>
      </c>
      <c r="O31" s="15">
        <f t="shared" si="0"/>
        <v>118</v>
      </c>
      <c r="P31" s="15">
        <f t="shared" si="1"/>
        <v>275</v>
      </c>
    </row>
    <row r="32" spans="2:32" ht="23.1" customHeight="1" x14ac:dyDescent="0.25">
      <c r="B32" s="24" t="s">
        <v>59</v>
      </c>
      <c r="C32" s="50">
        <v>49</v>
      </c>
      <c r="D32" s="50">
        <v>8</v>
      </c>
      <c r="E32" s="50">
        <v>8</v>
      </c>
      <c r="F32" s="50">
        <v>49</v>
      </c>
      <c r="G32" s="50">
        <v>1</v>
      </c>
      <c r="H32" s="50">
        <v>1</v>
      </c>
      <c r="I32" s="50">
        <v>13</v>
      </c>
      <c r="J32" s="50">
        <v>4</v>
      </c>
      <c r="K32" s="50">
        <v>1</v>
      </c>
      <c r="L32" s="50">
        <v>2</v>
      </c>
      <c r="M32" s="50">
        <v>123</v>
      </c>
      <c r="N32" s="50">
        <v>0</v>
      </c>
      <c r="O32" s="15">
        <f t="shared" si="0"/>
        <v>136</v>
      </c>
      <c r="P32" s="15">
        <f t="shared" si="1"/>
        <v>259</v>
      </c>
    </row>
    <row r="33" spans="2:20" ht="23.1" customHeight="1" x14ac:dyDescent="0.25">
      <c r="B33" s="23" t="s">
        <v>60</v>
      </c>
      <c r="C33" s="50">
        <v>20</v>
      </c>
      <c r="D33" s="50">
        <v>10</v>
      </c>
      <c r="E33" s="50">
        <v>9</v>
      </c>
      <c r="F33" s="50">
        <v>37</v>
      </c>
      <c r="G33" s="50">
        <v>4</v>
      </c>
      <c r="H33" s="50">
        <v>1</v>
      </c>
      <c r="I33" s="50">
        <v>7</v>
      </c>
      <c r="J33" s="50">
        <v>4</v>
      </c>
      <c r="K33" s="50">
        <v>2</v>
      </c>
      <c r="L33" s="50">
        <v>5</v>
      </c>
      <c r="M33" s="50">
        <v>118</v>
      </c>
      <c r="N33" s="50">
        <v>0</v>
      </c>
      <c r="O33" s="15">
        <f t="shared" si="0"/>
        <v>99</v>
      </c>
      <c r="P33" s="15">
        <f t="shared" si="1"/>
        <v>217</v>
      </c>
    </row>
    <row r="34" spans="2:20" ht="23.1" customHeight="1" x14ac:dyDescent="0.25">
      <c r="B34" s="24" t="s">
        <v>61</v>
      </c>
      <c r="C34" s="50">
        <v>47</v>
      </c>
      <c r="D34" s="50">
        <v>12</v>
      </c>
      <c r="E34" s="50">
        <v>8</v>
      </c>
      <c r="F34" s="50">
        <v>47</v>
      </c>
      <c r="G34" s="50">
        <v>2</v>
      </c>
      <c r="H34" s="50">
        <v>0</v>
      </c>
      <c r="I34" s="50">
        <v>4</v>
      </c>
      <c r="J34" s="50">
        <v>6</v>
      </c>
      <c r="K34" s="50">
        <v>4</v>
      </c>
      <c r="L34" s="50">
        <v>1</v>
      </c>
      <c r="M34" s="50">
        <v>104</v>
      </c>
      <c r="N34" s="50">
        <v>0</v>
      </c>
      <c r="O34" s="15">
        <f t="shared" si="0"/>
        <v>131</v>
      </c>
      <c r="P34" s="15">
        <f t="shared" si="1"/>
        <v>235</v>
      </c>
    </row>
    <row r="35" spans="2:20" ht="23.1" customHeight="1" x14ac:dyDescent="0.25">
      <c r="B35" s="24" t="s">
        <v>62</v>
      </c>
      <c r="C35" s="50">
        <v>33</v>
      </c>
      <c r="D35" s="50">
        <v>10</v>
      </c>
      <c r="E35" s="50">
        <v>13</v>
      </c>
      <c r="F35" s="50">
        <v>50</v>
      </c>
      <c r="G35" s="50">
        <v>4</v>
      </c>
      <c r="H35" s="50">
        <v>1</v>
      </c>
      <c r="I35" s="50">
        <v>7</v>
      </c>
      <c r="J35" s="50">
        <v>2</v>
      </c>
      <c r="K35" s="50">
        <v>4</v>
      </c>
      <c r="L35" s="50">
        <v>2</v>
      </c>
      <c r="M35" s="50">
        <v>124</v>
      </c>
      <c r="N35" s="50">
        <v>0</v>
      </c>
      <c r="O35" s="15">
        <f t="shared" si="0"/>
        <v>126</v>
      </c>
      <c r="P35" s="15">
        <f t="shared" si="1"/>
        <v>250</v>
      </c>
    </row>
    <row r="36" spans="2:20" ht="23.1" customHeight="1" x14ac:dyDescent="0.25">
      <c r="B36" s="24" t="s">
        <v>63</v>
      </c>
      <c r="C36" s="50">
        <v>17</v>
      </c>
      <c r="D36" s="50">
        <v>3</v>
      </c>
      <c r="E36" s="50">
        <v>6</v>
      </c>
      <c r="F36" s="50">
        <v>28</v>
      </c>
      <c r="G36" s="50">
        <v>2</v>
      </c>
      <c r="H36" s="50">
        <v>0</v>
      </c>
      <c r="I36" s="50">
        <v>4</v>
      </c>
      <c r="J36" s="50">
        <v>6</v>
      </c>
      <c r="K36" s="50">
        <v>0</v>
      </c>
      <c r="L36" s="50">
        <v>1</v>
      </c>
      <c r="M36" s="50">
        <v>90</v>
      </c>
      <c r="N36" s="50">
        <v>0</v>
      </c>
      <c r="O36" s="15">
        <f t="shared" si="0"/>
        <v>67</v>
      </c>
      <c r="P36" s="15">
        <f t="shared" si="1"/>
        <v>157</v>
      </c>
    </row>
    <row r="37" spans="2:20" ht="23.1" customHeight="1" x14ac:dyDescent="0.25">
      <c r="B37" s="23" t="s">
        <v>64</v>
      </c>
      <c r="C37" s="50">
        <v>21</v>
      </c>
      <c r="D37" s="50">
        <v>10</v>
      </c>
      <c r="E37" s="50">
        <v>8</v>
      </c>
      <c r="F37" s="50">
        <v>40</v>
      </c>
      <c r="G37" s="50">
        <v>1</v>
      </c>
      <c r="H37" s="50">
        <v>2</v>
      </c>
      <c r="I37" s="50">
        <v>3</v>
      </c>
      <c r="J37" s="50">
        <v>1</v>
      </c>
      <c r="K37" s="50">
        <v>4</v>
      </c>
      <c r="L37" s="50">
        <v>1</v>
      </c>
      <c r="M37" s="50">
        <v>82</v>
      </c>
      <c r="N37" s="50">
        <v>0</v>
      </c>
      <c r="O37" s="15">
        <f t="shared" si="0"/>
        <v>91</v>
      </c>
      <c r="P37" s="15">
        <f t="shared" si="1"/>
        <v>173</v>
      </c>
    </row>
    <row r="38" spans="2:20" ht="23.1" customHeight="1" x14ac:dyDescent="0.25">
      <c r="B38" s="24" t="s">
        <v>65</v>
      </c>
      <c r="C38" s="50">
        <v>24</v>
      </c>
      <c r="D38" s="50">
        <v>5</v>
      </c>
      <c r="E38" s="50">
        <v>4</v>
      </c>
      <c r="F38" s="50">
        <v>24</v>
      </c>
      <c r="G38" s="50">
        <v>3</v>
      </c>
      <c r="H38" s="50">
        <v>1</v>
      </c>
      <c r="I38" s="50">
        <v>3</v>
      </c>
      <c r="J38" s="50">
        <v>1</v>
      </c>
      <c r="K38" s="50">
        <v>3</v>
      </c>
      <c r="L38" s="50">
        <v>2</v>
      </c>
      <c r="M38" s="50">
        <v>73</v>
      </c>
      <c r="N38" s="50">
        <v>0</v>
      </c>
      <c r="O38" s="15">
        <f t="shared" si="0"/>
        <v>70</v>
      </c>
      <c r="P38" s="15">
        <f t="shared" si="1"/>
        <v>143</v>
      </c>
    </row>
    <row r="39" spans="2:20" ht="23.1" customHeight="1" x14ac:dyDescent="0.25">
      <c r="B39" s="24" t="s">
        <v>66</v>
      </c>
      <c r="C39" s="50">
        <v>10</v>
      </c>
      <c r="D39" s="50">
        <v>4</v>
      </c>
      <c r="E39" s="50">
        <v>5</v>
      </c>
      <c r="F39" s="50">
        <v>15</v>
      </c>
      <c r="G39" s="50">
        <v>3</v>
      </c>
      <c r="H39" s="50">
        <v>1</v>
      </c>
      <c r="I39" s="50">
        <v>2</v>
      </c>
      <c r="J39" s="50">
        <v>0</v>
      </c>
      <c r="K39" s="50">
        <v>2</v>
      </c>
      <c r="L39" s="50">
        <v>3</v>
      </c>
      <c r="M39" s="50">
        <v>38</v>
      </c>
      <c r="N39" s="50">
        <v>0</v>
      </c>
      <c r="O39" s="15">
        <f t="shared" si="0"/>
        <v>45</v>
      </c>
      <c r="P39" s="15">
        <f t="shared" si="1"/>
        <v>83</v>
      </c>
    </row>
    <row r="40" spans="2:20" ht="23.1" customHeight="1" x14ac:dyDescent="0.25">
      <c r="B40" s="24" t="s">
        <v>67</v>
      </c>
      <c r="C40" s="50">
        <v>11</v>
      </c>
      <c r="D40" s="50">
        <v>5</v>
      </c>
      <c r="E40" s="50">
        <v>5</v>
      </c>
      <c r="F40" s="50">
        <v>28</v>
      </c>
      <c r="G40" s="50">
        <v>2</v>
      </c>
      <c r="H40" s="50">
        <v>1</v>
      </c>
      <c r="I40" s="50">
        <v>9</v>
      </c>
      <c r="J40" s="50">
        <v>2</v>
      </c>
      <c r="K40" s="50">
        <v>4</v>
      </c>
      <c r="L40" s="50">
        <v>5</v>
      </c>
      <c r="M40" s="50">
        <v>104</v>
      </c>
      <c r="N40" s="50">
        <v>0</v>
      </c>
      <c r="O40" s="15">
        <f t="shared" si="0"/>
        <v>72</v>
      </c>
      <c r="P40" s="15">
        <f t="shared" si="1"/>
        <v>176</v>
      </c>
    </row>
    <row r="41" spans="2:20" ht="23.1" customHeight="1" x14ac:dyDescent="0.25">
      <c r="B41" s="23" t="s">
        <v>68</v>
      </c>
      <c r="C41" s="50">
        <v>24</v>
      </c>
      <c r="D41" s="50">
        <v>9</v>
      </c>
      <c r="E41" s="50">
        <v>7</v>
      </c>
      <c r="F41" s="50">
        <v>27</v>
      </c>
      <c r="G41" s="50">
        <v>2</v>
      </c>
      <c r="H41" s="50">
        <v>2</v>
      </c>
      <c r="I41" s="50">
        <v>7</v>
      </c>
      <c r="J41" s="50">
        <v>4</v>
      </c>
      <c r="K41" s="50">
        <v>5</v>
      </c>
      <c r="L41" s="50">
        <v>7</v>
      </c>
      <c r="M41" s="50">
        <v>119</v>
      </c>
      <c r="N41" s="50">
        <v>0</v>
      </c>
      <c r="O41" s="15">
        <f t="shared" si="0"/>
        <v>94</v>
      </c>
      <c r="P41" s="15">
        <f t="shared" si="1"/>
        <v>213</v>
      </c>
    </row>
    <row r="42" spans="2:20" ht="23.1" customHeight="1" x14ac:dyDescent="0.25">
      <c r="B42" s="24" t="s">
        <v>69</v>
      </c>
      <c r="C42" s="50">
        <v>46</v>
      </c>
      <c r="D42" s="50">
        <v>18</v>
      </c>
      <c r="E42" s="50">
        <v>16</v>
      </c>
      <c r="F42" s="50">
        <v>51</v>
      </c>
      <c r="G42" s="50">
        <v>2</v>
      </c>
      <c r="H42" s="50">
        <v>2</v>
      </c>
      <c r="I42" s="50">
        <v>9</v>
      </c>
      <c r="J42" s="50">
        <v>5</v>
      </c>
      <c r="K42" s="50">
        <v>6</v>
      </c>
      <c r="L42" s="50">
        <v>6</v>
      </c>
      <c r="M42" s="50">
        <v>100</v>
      </c>
      <c r="N42" s="50">
        <v>0</v>
      </c>
      <c r="O42" s="15">
        <f t="shared" si="0"/>
        <v>161</v>
      </c>
      <c r="P42" s="15">
        <f t="shared" si="1"/>
        <v>261</v>
      </c>
    </row>
    <row r="43" spans="2:20" ht="23.1" customHeight="1" x14ac:dyDescent="0.25">
      <c r="B43" s="23" t="s">
        <v>70</v>
      </c>
      <c r="C43" s="50">
        <v>32</v>
      </c>
      <c r="D43" s="50">
        <v>18</v>
      </c>
      <c r="E43" s="50">
        <v>14</v>
      </c>
      <c r="F43" s="50">
        <v>47</v>
      </c>
      <c r="G43" s="50">
        <v>1</v>
      </c>
      <c r="H43" s="50">
        <v>0</v>
      </c>
      <c r="I43" s="50">
        <v>4</v>
      </c>
      <c r="J43" s="50">
        <v>5</v>
      </c>
      <c r="K43" s="50">
        <v>2</v>
      </c>
      <c r="L43" s="50">
        <v>0</v>
      </c>
      <c r="M43" s="50">
        <v>170</v>
      </c>
      <c r="N43" s="50">
        <v>0</v>
      </c>
      <c r="O43" s="15">
        <f t="shared" si="0"/>
        <v>123</v>
      </c>
      <c r="P43" s="15">
        <f t="shared" si="1"/>
        <v>293</v>
      </c>
    </row>
    <row r="44" spans="2:20" ht="23.1" customHeight="1" x14ac:dyDescent="0.25">
      <c r="B44" s="25" t="s">
        <v>71</v>
      </c>
      <c r="C44" s="50">
        <v>39</v>
      </c>
      <c r="D44" s="50">
        <v>15</v>
      </c>
      <c r="E44" s="50">
        <v>8</v>
      </c>
      <c r="F44" s="50">
        <v>36</v>
      </c>
      <c r="G44" s="50">
        <v>3</v>
      </c>
      <c r="H44" s="50">
        <v>0</v>
      </c>
      <c r="I44" s="50">
        <v>6</v>
      </c>
      <c r="J44" s="50">
        <v>5</v>
      </c>
      <c r="K44" s="50">
        <v>6</v>
      </c>
      <c r="L44" s="50">
        <v>3</v>
      </c>
      <c r="M44" s="50">
        <v>173</v>
      </c>
      <c r="N44" s="50">
        <v>0</v>
      </c>
      <c r="O44" s="15">
        <f t="shared" si="0"/>
        <v>121</v>
      </c>
      <c r="P44" s="15">
        <f t="shared" si="1"/>
        <v>294</v>
      </c>
    </row>
    <row r="45" spans="2:20" ht="23.1" customHeight="1" x14ac:dyDescent="0.25">
      <c r="B45" s="23" t="s">
        <v>72</v>
      </c>
      <c r="C45" s="50">
        <v>33</v>
      </c>
      <c r="D45" s="50">
        <v>8</v>
      </c>
      <c r="E45" s="50">
        <v>14</v>
      </c>
      <c r="F45" s="50">
        <v>35</v>
      </c>
      <c r="G45" s="50">
        <v>2</v>
      </c>
      <c r="H45" s="50">
        <v>2</v>
      </c>
      <c r="I45" s="50">
        <v>3</v>
      </c>
      <c r="J45" s="50">
        <v>1</v>
      </c>
      <c r="K45" s="50">
        <v>3</v>
      </c>
      <c r="L45" s="50">
        <v>2</v>
      </c>
      <c r="M45" s="50">
        <v>220</v>
      </c>
      <c r="N45" s="50">
        <v>0</v>
      </c>
      <c r="O45" s="15">
        <f t="shared" si="0"/>
        <v>103</v>
      </c>
      <c r="P45" s="15">
        <f t="shared" si="1"/>
        <v>323</v>
      </c>
    </row>
    <row r="46" spans="2:20" ht="23.1" customHeight="1" x14ac:dyDescent="0.25">
      <c r="B46" s="24" t="s">
        <v>73</v>
      </c>
      <c r="C46" s="50">
        <v>26</v>
      </c>
      <c r="D46" s="50">
        <v>12</v>
      </c>
      <c r="E46" s="50">
        <v>11</v>
      </c>
      <c r="F46" s="50">
        <v>25</v>
      </c>
      <c r="G46" s="50">
        <v>2</v>
      </c>
      <c r="H46" s="50">
        <v>0</v>
      </c>
      <c r="I46" s="50">
        <v>7</v>
      </c>
      <c r="J46" s="50">
        <v>3</v>
      </c>
      <c r="K46" s="50">
        <v>2</v>
      </c>
      <c r="L46" s="50">
        <v>1</v>
      </c>
      <c r="M46" s="50">
        <v>225</v>
      </c>
      <c r="N46" s="50">
        <v>0</v>
      </c>
      <c r="O46" s="15">
        <f t="shared" si="0"/>
        <v>89</v>
      </c>
      <c r="P46" s="15">
        <f t="shared" si="1"/>
        <v>314</v>
      </c>
      <c r="R46" s="8"/>
      <c r="T46"/>
    </row>
    <row r="47" spans="2:20" ht="23.1" customHeight="1" x14ac:dyDescent="0.25">
      <c r="B47" s="24" t="s">
        <v>74</v>
      </c>
      <c r="C47" s="50">
        <v>22</v>
      </c>
      <c r="D47" s="50">
        <v>13</v>
      </c>
      <c r="E47" s="50">
        <v>7</v>
      </c>
      <c r="F47" s="50">
        <v>35</v>
      </c>
      <c r="G47" s="50">
        <v>1</v>
      </c>
      <c r="H47" s="50">
        <v>0</v>
      </c>
      <c r="I47" s="50">
        <v>9</v>
      </c>
      <c r="J47" s="50">
        <v>3</v>
      </c>
      <c r="K47" s="50">
        <v>6</v>
      </c>
      <c r="L47" s="50">
        <v>1</v>
      </c>
      <c r="M47" s="50">
        <v>268</v>
      </c>
      <c r="N47" s="50">
        <v>0</v>
      </c>
      <c r="O47" s="15">
        <f t="shared" si="0"/>
        <v>97</v>
      </c>
      <c r="P47" s="15">
        <f t="shared" si="1"/>
        <v>365</v>
      </c>
      <c r="R47" s="8"/>
      <c r="T47"/>
    </row>
    <row r="48" spans="2:20" ht="23.1" customHeight="1" x14ac:dyDescent="0.25">
      <c r="B48" s="24" t="s">
        <v>75</v>
      </c>
      <c r="C48" s="50">
        <v>21</v>
      </c>
      <c r="D48" s="50">
        <v>19</v>
      </c>
      <c r="E48" s="50">
        <v>5</v>
      </c>
      <c r="F48" s="50">
        <v>44</v>
      </c>
      <c r="G48" s="50">
        <v>0</v>
      </c>
      <c r="H48" s="50">
        <v>0</v>
      </c>
      <c r="I48" s="50">
        <v>9</v>
      </c>
      <c r="J48" s="50">
        <v>3</v>
      </c>
      <c r="K48" s="50">
        <v>4</v>
      </c>
      <c r="L48" s="50">
        <v>0</v>
      </c>
      <c r="M48" s="50">
        <v>225</v>
      </c>
      <c r="N48" s="50">
        <v>0</v>
      </c>
      <c r="O48" s="15">
        <f t="shared" si="0"/>
        <v>105</v>
      </c>
      <c r="P48" s="15">
        <f t="shared" si="1"/>
        <v>330</v>
      </c>
      <c r="R48" s="8"/>
      <c r="T48"/>
    </row>
    <row r="49" spans="2:20" ht="23.1" customHeight="1" x14ac:dyDescent="0.25">
      <c r="B49" s="23" t="s">
        <v>76</v>
      </c>
      <c r="C49" s="50">
        <v>44</v>
      </c>
      <c r="D49" s="50">
        <v>12</v>
      </c>
      <c r="E49" s="50">
        <v>5</v>
      </c>
      <c r="F49" s="50">
        <v>34</v>
      </c>
      <c r="G49" s="50">
        <v>0</v>
      </c>
      <c r="H49" s="50">
        <v>2</v>
      </c>
      <c r="I49" s="50">
        <v>6</v>
      </c>
      <c r="J49" s="50">
        <v>1</v>
      </c>
      <c r="K49" s="50">
        <v>3</v>
      </c>
      <c r="L49" s="50">
        <v>10</v>
      </c>
      <c r="M49" s="50">
        <v>153</v>
      </c>
      <c r="N49" s="50">
        <v>0</v>
      </c>
      <c r="O49" s="15">
        <f t="shared" si="0"/>
        <v>117</v>
      </c>
      <c r="P49" s="15">
        <f t="shared" si="1"/>
        <v>270</v>
      </c>
      <c r="R49" s="8"/>
      <c r="T49"/>
    </row>
    <row r="50" spans="2:20" ht="23.1" customHeight="1" x14ac:dyDescent="0.25">
      <c r="B50" s="24" t="s">
        <v>77</v>
      </c>
      <c r="C50" s="50">
        <v>26</v>
      </c>
      <c r="D50" s="50">
        <v>7</v>
      </c>
      <c r="E50" s="50">
        <v>3</v>
      </c>
      <c r="F50" s="50">
        <v>3</v>
      </c>
      <c r="G50" s="50">
        <v>1</v>
      </c>
      <c r="H50" s="50">
        <v>0</v>
      </c>
      <c r="I50" s="50">
        <v>9</v>
      </c>
      <c r="J50" s="50">
        <v>2</v>
      </c>
      <c r="K50" s="50">
        <v>5</v>
      </c>
      <c r="L50" s="50">
        <v>3</v>
      </c>
      <c r="M50" s="50">
        <v>165</v>
      </c>
      <c r="N50" s="50">
        <v>0</v>
      </c>
      <c r="O50" s="15">
        <f t="shared" si="0"/>
        <v>59</v>
      </c>
      <c r="P50" s="15">
        <f t="shared" si="1"/>
        <v>224</v>
      </c>
      <c r="R50" s="8"/>
      <c r="T50"/>
    </row>
    <row r="51" spans="2:20" ht="23.1" customHeight="1" x14ac:dyDescent="0.25">
      <c r="B51" s="24" t="s">
        <v>78</v>
      </c>
      <c r="C51" s="50">
        <v>28</v>
      </c>
      <c r="D51" s="50">
        <v>8</v>
      </c>
      <c r="E51" s="50">
        <v>7</v>
      </c>
      <c r="F51" s="50">
        <v>35</v>
      </c>
      <c r="G51" s="50">
        <v>3</v>
      </c>
      <c r="H51" s="50">
        <v>0</v>
      </c>
      <c r="I51" s="50">
        <v>1</v>
      </c>
      <c r="J51" s="50">
        <v>1</v>
      </c>
      <c r="K51" s="50">
        <v>7</v>
      </c>
      <c r="L51" s="50">
        <v>4</v>
      </c>
      <c r="M51" s="50">
        <v>180</v>
      </c>
      <c r="N51" s="50">
        <v>0</v>
      </c>
      <c r="O51" s="15">
        <f t="shared" si="0"/>
        <v>94</v>
      </c>
      <c r="P51" s="15">
        <f t="shared" si="1"/>
        <v>274</v>
      </c>
      <c r="R51" s="8"/>
      <c r="T51"/>
    </row>
    <row r="52" spans="2:20" ht="23.1" customHeight="1" x14ac:dyDescent="0.25">
      <c r="B52" s="24" t="s">
        <v>79</v>
      </c>
      <c r="C52" s="50">
        <v>35</v>
      </c>
      <c r="D52" s="50">
        <v>15</v>
      </c>
      <c r="E52" s="50">
        <v>6</v>
      </c>
      <c r="F52" s="50">
        <v>48</v>
      </c>
      <c r="G52" s="50">
        <v>3</v>
      </c>
      <c r="H52" s="50">
        <v>2</v>
      </c>
      <c r="I52" s="50">
        <v>16</v>
      </c>
      <c r="J52" s="50">
        <v>5</v>
      </c>
      <c r="K52" s="50">
        <v>5</v>
      </c>
      <c r="L52" s="50">
        <v>4</v>
      </c>
      <c r="M52" s="50">
        <v>230</v>
      </c>
      <c r="N52" s="50">
        <v>0</v>
      </c>
      <c r="O52" s="15">
        <f t="shared" si="0"/>
        <v>139</v>
      </c>
      <c r="P52" s="15">
        <f t="shared" si="1"/>
        <v>369</v>
      </c>
      <c r="R52" s="8"/>
      <c r="T52"/>
    </row>
    <row r="53" spans="2:20" ht="23.1" customHeight="1" x14ac:dyDescent="0.25">
      <c r="B53" s="23" t="s">
        <v>80</v>
      </c>
      <c r="C53" s="50">
        <v>27</v>
      </c>
      <c r="D53" s="50">
        <v>10</v>
      </c>
      <c r="E53" s="50">
        <v>6</v>
      </c>
      <c r="F53" s="50">
        <v>31</v>
      </c>
      <c r="G53" s="50">
        <v>2</v>
      </c>
      <c r="H53" s="50">
        <v>0</v>
      </c>
      <c r="I53" s="50">
        <v>6</v>
      </c>
      <c r="J53" s="50">
        <v>1</v>
      </c>
      <c r="K53" s="50">
        <v>8</v>
      </c>
      <c r="L53" s="50">
        <v>0</v>
      </c>
      <c r="M53" s="50">
        <v>222</v>
      </c>
      <c r="N53" s="50">
        <v>0</v>
      </c>
      <c r="O53" s="15">
        <f t="shared" si="0"/>
        <v>91</v>
      </c>
      <c r="P53" s="15">
        <f t="shared" si="1"/>
        <v>313</v>
      </c>
      <c r="R53" s="8"/>
      <c r="T53"/>
    </row>
    <row r="54" spans="2:20" ht="23.1" customHeight="1" x14ac:dyDescent="0.25">
      <c r="B54" s="23" t="s">
        <v>81</v>
      </c>
      <c r="C54" s="50">
        <v>41</v>
      </c>
      <c r="D54" s="50">
        <v>12</v>
      </c>
      <c r="E54" s="50">
        <v>5</v>
      </c>
      <c r="F54" s="50">
        <v>49</v>
      </c>
      <c r="G54" s="50">
        <v>4</v>
      </c>
      <c r="H54" s="50">
        <v>2</v>
      </c>
      <c r="I54" s="50">
        <v>6</v>
      </c>
      <c r="J54" s="50">
        <v>4</v>
      </c>
      <c r="K54" s="50">
        <v>8</v>
      </c>
      <c r="L54" s="50">
        <v>3</v>
      </c>
      <c r="M54" s="50">
        <v>245</v>
      </c>
      <c r="N54" s="50">
        <v>0</v>
      </c>
      <c r="O54" s="15">
        <f t="shared" si="0"/>
        <v>134</v>
      </c>
      <c r="P54" s="15">
        <f t="shared" si="1"/>
        <v>379</v>
      </c>
      <c r="R54" s="8"/>
      <c r="T54"/>
    </row>
    <row r="55" spans="2:20" ht="23.1" customHeight="1" x14ac:dyDescent="0.25">
      <c r="B55" s="23" t="s">
        <v>82</v>
      </c>
      <c r="C55" s="50">
        <v>28</v>
      </c>
      <c r="D55" s="50">
        <v>7</v>
      </c>
      <c r="E55" s="50">
        <v>6</v>
      </c>
      <c r="F55" s="50">
        <v>40</v>
      </c>
      <c r="G55" s="50">
        <v>3</v>
      </c>
      <c r="H55" s="50">
        <v>0</v>
      </c>
      <c r="I55" s="50">
        <v>3</v>
      </c>
      <c r="J55" s="50">
        <v>2</v>
      </c>
      <c r="K55" s="50">
        <v>3</v>
      </c>
      <c r="L55" s="50">
        <v>7</v>
      </c>
      <c r="M55" s="50">
        <v>273</v>
      </c>
      <c r="N55" s="50">
        <v>0</v>
      </c>
      <c r="O55" s="15">
        <f t="shared" si="0"/>
        <v>99</v>
      </c>
      <c r="P55" s="15">
        <f t="shared" si="1"/>
        <v>372</v>
      </c>
      <c r="R55" s="8"/>
      <c r="T55"/>
    </row>
    <row r="56" spans="2:20" ht="23.1" customHeight="1" x14ac:dyDescent="0.25">
      <c r="B56" s="23" t="s">
        <v>83</v>
      </c>
      <c r="C56" s="50">
        <v>24</v>
      </c>
      <c r="D56" s="50">
        <v>14</v>
      </c>
      <c r="E56" s="50">
        <v>1</v>
      </c>
      <c r="F56" s="50">
        <v>36</v>
      </c>
      <c r="G56" s="50">
        <v>2</v>
      </c>
      <c r="H56" s="50">
        <v>0</v>
      </c>
      <c r="I56" s="50">
        <v>3</v>
      </c>
      <c r="J56" s="50">
        <v>0</v>
      </c>
      <c r="K56" s="50">
        <v>6</v>
      </c>
      <c r="L56" s="50">
        <v>3</v>
      </c>
      <c r="M56" s="50">
        <v>275</v>
      </c>
      <c r="N56" s="50">
        <v>0</v>
      </c>
      <c r="O56" s="15">
        <f t="shared" si="0"/>
        <v>89</v>
      </c>
      <c r="P56" s="15">
        <f t="shared" si="1"/>
        <v>364</v>
      </c>
      <c r="R56" s="8"/>
      <c r="T56"/>
    </row>
    <row r="57" spans="2:20" ht="23.1" customHeight="1" x14ac:dyDescent="0.25">
      <c r="B57" s="23" t="s">
        <v>84</v>
      </c>
      <c r="C57" s="50">
        <v>15</v>
      </c>
      <c r="D57" s="50">
        <v>12</v>
      </c>
      <c r="E57" s="50">
        <v>3</v>
      </c>
      <c r="F57" s="50">
        <v>40</v>
      </c>
      <c r="G57" s="50">
        <v>3</v>
      </c>
      <c r="H57" s="50">
        <v>3</v>
      </c>
      <c r="I57" s="50">
        <v>5</v>
      </c>
      <c r="J57" s="50">
        <v>3</v>
      </c>
      <c r="K57" s="50">
        <v>5</v>
      </c>
      <c r="L57" s="50">
        <v>1</v>
      </c>
      <c r="M57" s="50">
        <v>321</v>
      </c>
      <c r="N57" s="50">
        <v>0</v>
      </c>
      <c r="O57" s="15">
        <f t="shared" si="0"/>
        <v>90</v>
      </c>
      <c r="P57" s="15">
        <f t="shared" si="1"/>
        <v>411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1582</v>
      </c>
      <c r="D58" s="16">
        <f t="shared" si="21"/>
        <v>477</v>
      </c>
      <c r="E58" s="16">
        <f t="shared" si="21"/>
        <v>361</v>
      </c>
      <c r="F58" s="16">
        <f t="shared" si="21"/>
        <v>1880</v>
      </c>
      <c r="G58" s="16">
        <f t="shared" si="21"/>
        <v>89</v>
      </c>
      <c r="H58" s="16">
        <f t="shared" si="21"/>
        <v>27</v>
      </c>
      <c r="I58" s="16">
        <f t="shared" si="21"/>
        <v>302</v>
      </c>
      <c r="J58" s="16">
        <f t="shared" si="21"/>
        <v>149</v>
      </c>
      <c r="K58" s="16">
        <f t="shared" si="21"/>
        <v>168</v>
      </c>
      <c r="L58" s="16">
        <f t="shared" si="21"/>
        <v>129</v>
      </c>
      <c r="M58" s="16">
        <f t="shared" si="21"/>
        <v>10693</v>
      </c>
      <c r="N58" s="16">
        <f t="shared" si="21"/>
        <v>0</v>
      </c>
      <c r="O58" s="16">
        <f t="shared" si="21"/>
        <v>5164</v>
      </c>
      <c r="P58" s="16">
        <f t="shared" si="21"/>
        <v>15857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9.9766664564545623E-2</v>
      </c>
      <c r="D59" s="43">
        <f t="shared" si="22"/>
        <v>3.0081352084253013E-2</v>
      </c>
      <c r="E59" s="43">
        <f t="shared" si="22"/>
        <v>2.2765970864602383E-2</v>
      </c>
      <c r="F59" s="43">
        <f t="shared" si="22"/>
        <v>0.11855962666330327</v>
      </c>
      <c r="G59" s="43">
        <f t="shared" si="22"/>
        <v>5.6126631771457403E-3</v>
      </c>
      <c r="H59" s="43">
        <f t="shared" si="22"/>
        <v>1.7027180425048874E-3</v>
      </c>
      <c r="I59" s="43">
        <f t="shared" si="22"/>
        <v>1.9045216623573186E-2</v>
      </c>
      <c r="J59" s="43">
        <f t="shared" si="22"/>
        <v>9.3964810493788239E-3</v>
      </c>
      <c r="K59" s="43">
        <f t="shared" si="22"/>
        <v>1.0594690042252632E-2</v>
      </c>
      <c r="L59" s="43">
        <f t="shared" si="22"/>
        <v>8.1352084253011291E-3</v>
      </c>
      <c r="M59" s="43">
        <f t="shared" si="22"/>
        <v>0.67433940846313933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0.30635166537567776</v>
      </c>
      <c r="D60" s="44">
        <f t="shared" ref="D60:N60" si="23">D58/$O$58</f>
        <v>9.23702556158017E-2</v>
      </c>
      <c r="E60" s="44">
        <f t="shared" si="23"/>
        <v>6.9907048799380325E-2</v>
      </c>
      <c r="F60" s="44">
        <f t="shared" si="23"/>
        <v>0.36405886909372581</v>
      </c>
      <c r="G60" s="44">
        <f t="shared" si="23"/>
        <v>1.7234701781564679E-2</v>
      </c>
      <c r="H60" s="44">
        <f t="shared" si="23"/>
        <v>5.2285050348567005E-3</v>
      </c>
      <c r="I60" s="44">
        <f t="shared" si="23"/>
        <v>5.8481797056545312E-2</v>
      </c>
      <c r="J60" s="44">
        <f t="shared" si="23"/>
        <v>2.8853601859024011E-2</v>
      </c>
      <c r="K60" s="44">
        <f t="shared" si="23"/>
        <v>3.2532920216886134E-2</v>
      </c>
      <c r="L60" s="44">
        <f t="shared" si="23"/>
        <v>2.4980635166537569E-2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S63" sqref="S6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>
        <v>27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Bwaise-Kawempe'!C3:G3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3" t="str">
        <f>'22.07 Bwaise-Kawempe'!G5:H5</f>
        <v>Before Steel and Tube</v>
      </c>
      <c r="H5" s="64"/>
      <c r="I5" s="14"/>
      <c r="J5" s="2" t="s">
        <v>5</v>
      </c>
      <c r="K5" s="63" t="str">
        <f>'22.07 Bwaise-Kawempe'!K5:L5</f>
        <v>Kajjubi Eddie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Bwaise-Kawempe'!D6:E6</f>
        <v>Bwaise</v>
      </c>
      <c r="E6" s="64"/>
      <c r="F6" s="2" t="s">
        <v>2</v>
      </c>
      <c r="G6" s="63" t="str">
        <f>'22.07 Bwaise-Kawempe'!G6:H6</f>
        <v>Kawempe</v>
      </c>
      <c r="H6" s="64"/>
      <c r="J6" s="2" t="s">
        <v>21</v>
      </c>
      <c r="K6" s="63" t="str">
        <f>'22.07 Bwaise-Kawempe'!K6:L6</f>
        <v>Salima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</v>
      </c>
      <c r="D10" s="50">
        <v>1</v>
      </c>
      <c r="E10" s="50">
        <v>1</v>
      </c>
      <c r="F10" s="50">
        <v>27</v>
      </c>
      <c r="G10" s="50">
        <v>0</v>
      </c>
      <c r="H10" s="50">
        <v>0</v>
      </c>
      <c r="I10" s="50">
        <v>5</v>
      </c>
      <c r="J10" s="50">
        <v>0</v>
      </c>
      <c r="K10" s="50">
        <v>1</v>
      </c>
      <c r="L10" s="50">
        <v>2</v>
      </c>
      <c r="M10" s="50">
        <v>110</v>
      </c>
      <c r="N10" s="50">
        <v>0</v>
      </c>
      <c r="O10" s="15">
        <f t="shared" ref="O10:O57" si="0">SUM(C10:L10,N10)</f>
        <v>47</v>
      </c>
      <c r="P10" s="15">
        <f t="shared" ref="P10:P57" si="1">SUM(C10:N10)</f>
        <v>157</v>
      </c>
      <c r="R10" s="1" t="s">
        <v>6</v>
      </c>
      <c r="S10" s="17">
        <f t="shared" ref="S10:AF10" si="2">SUM(C10:C13)</f>
        <v>100</v>
      </c>
      <c r="T10" s="17">
        <f t="shared" si="2"/>
        <v>8</v>
      </c>
      <c r="U10" s="17">
        <f t="shared" si="2"/>
        <v>12</v>
      </c>
      <c r="V10" s="17">
        <f t="shared" si="2"/>
        <v>144</v>
      </c>
      <c r="W10" s="17">
        <f t="shared" si="2"/>
        <v>10</v>
      </c>
      <c r="X10" s="17">
        <f t="shared" si="2"/>
        <v>2</v>
      </c>
      <c r="Y10" s="17">
        <f t="shared" si="2"/>
        <v>31</v>
      </c>
      <c r="Z10" s="17">
        <f t="shared" si="2"/>
        <v>4</v>
      </c>
      <c r="AA10" s="17">
        <f t="shared" si="2"/>
        <v>4</v>
      </c>
      <c r="AB10" s="17">
        <f t="shared" si="2"/>
        <v>4</v>
      </c>
      <c r="AC10" s="17">
        <f t="shared" si="2"/>
        <v>798</v>
      </c>
      <c r="AD10" s="17">
        <f t="shared" si="2"/>
        <v>0</v>
      </c>
      <c r="AE10" s="31">
        <f t="shared" si="2"/>
        <v>319</v>
      </c>
      <c r="AF10" s="31">
        <f t="shared" si="2"/>
        <v>1117</v>
      </c>
    </row>
    <row r="11" spans="2:32" s="6" customFormat="1" ht="23.1" customHeight="1" x14ac:dyDescent="0.25">
      <c r="B11" s="23" t="s">
        <v>38</v>
      </c>
      <c r="C11" s="50">
        <v>28</v>
      </c>
      <c r="D11" s="50">
        <v>2</v>
      </c>
      <c r="E11" s="50">
        <v>4</v>
      </c>
      <c r="F11" s="50">
        <v>34</v>
      </c>
      <c r="G11" s="50">
        <v>0</v>
      </c>
      <c r="H11" s="50">
        <v>1</v>
      </c>
      <c r="I11" s="50">
        <v>6</v>
      </c>
      <c r="J11" s="50">
        <v>1</v>
      </c>
      <c r="K11" s="50">
        <v>1</v>
      </c>
      <c r="L11" s="50">
        <v>1</v>
      </c>
      <c r="M11" s="50">
        <v>200</v>
      </c>
      <c r="N11" s="50">
        <v>0</v>
      </c>
      <c r="O11" s="15">
        <f t="shared" si="0"/>
        <v>78</v>
      </c>
      <c r="P11" s="15">
        <f t="shared" si="1"/>
        <v>278</v>
      </c>
      <c r="R11" s="1" t="s">
        <v>7</v>
      </c>
      <c r="S11" s="17">
        <f t="shared" ref="S11:AF11" si="3">SUM(C14:C17)</f>
        <v>106</v>
      </c>
      <c r="T11" s="17">
        <f t="shared" si="3"/>
        <v>12</v>
      </c>
      <c r="U11" s="17">
        <f t="shared" si="3"/>
        <v>18</v>
      </c>
      <c r="V11" s="17">
        <f t="shared" si="3"/>
        <v>178</v>
      </c>
      <c r="W11" s="17">
        <f t="shared" si="3"/>
        <v>6</v>
      </c>
      <c r="X11" s="17">
        <f t="shared" si="3"/>
        <v>3</v>
      </c>
      <c r="Y11" s="17">
        <f t="shared" si="3"/>
        <v>33</v>
      </c>
      <c r="Z11" s="17">
        <f t="shared" si="3"/>
        <v>5</v>
      </c>
      <c r="AA11" s="17">
        <f t="shared" si="3"/>
        <v>8</v>
      </c>
      <c r="AB11" s="17">
        <f t="shared" si="3"/>
        <v>10</v>
      </c>
      <c r="AC11" s="17">
        <f t="shared" si="3"/>
        <v>1065</v>
      </c>
      <c r="AD11" s="17">
        <f t="shared" si="3"/>
        <v>2</v>
      </c>
      <c r="AE11" s="31">
        <f t="shared" si="3"/>
        <v>381</v>
      </c>
      <c r="AF11" s="31">
        <f t="shared" si="3"/>
        <v>1446</v>
      </c>
    </row>
    <row r="12" spans="2:32" ht="23.1" customHeight="1" x14ac:dyDescent="0.25">
      <c r="B12" s="23" t="s">
        <v>39</v>
      </c>
      <c r="C12" s="50">
        <v>33</v>
      </c>
      <c r="D12" s="50">
        <v>4</v>
      </c>
      <c r="E12" s="50">
        <v>2</v>
      </c>
      <c r="F12" s="50">
        <v>39</v>
      </c>
      <c r="G12" s="50">
        <v>3</v>
      </c>
      <c r="H12" s="50">
        <v>1</v>
      </c>
      <c r="I12" s="50">
        <v>7</v>
      </c>
      <c r="J12" s="50">
        <v>2</v>
      </c>
      <c r="K12" s="50">
        <v>1</v>
      </c>
      <c r="L12" s="50">
        <v>1</v>
      </c>
      <c r="M12" s="50">
        <v>263</v>
      </c>
      <c r="N12" s="50">
        <v>0</v>
      </c>
      <c r="O12" s="15">
        <f t="shared" si="0"/>
        <v>93</v>
      </c>
      <c r="P12" s="15">
        <f t="shared" si="1"/>
        <v>356</v>
      </c>
      <c r="R12" s="1" t="s">
        <v>8</v>
      </c>
      <c r="S12" s="17">
        <f t="shared" ref="S12:AF12" si="4">SUM(C18:C21)</f>
        <v>96</v>
      </c>
      <c r="T12" s="17">
        <f t="shared" si="4"/>
        <v>14</v>
      </c>
      <c r="U12" s="17">
        <f t="shared" si="4"/>
        <v>20</v>
      </c>
      <c r="V12" s="17">
        <f t="shared" si="4"/>
        <v>183</v>
      </c>
      <c r="W12" s="17">
        <f t="shared" si="4"/>
        <v>9</v>
      </c>
      <c r="X12" s="17">
        <f t="shared" si="4"/>
        <v>2</v>
      </c>
      <c r="Y12" s="17">
        <f t="shared" si="4"/>
        <v>50</v>
      </c>
      <c r="Z12" s="17">
        <f t="shared" si="4"/>
        <v>0</v>
      </c>
      <c r="AA12" s="17">
        <f t="shared" si="4"/>
        <v>3</v>
      </c>
      <c r="AB12" s="17">
        <f t="shared" si="4"/>
        <v>8</v>
      </c>
      <c r="AC12" s="17">
        <f t="shared" si="4"/>
        <v>730</v>
      </c>
      <c r="AD12" s="17">
        <f t="shared" si="4"/>
        <v>0</v>
      </c>
      <c r="AE12" s="31">
        <f t="shared" si="4"/>
        <v>385</v>
      </c>
      <c r="AF12" s="31">
        <f t="shared" si="4"/>
        <v>1115</v>
      </c>
    </row>
    <row r="13" spans="2:32" ht="23.1" customHeight="1" x14ac:dyDescent="0.25">
      <c r="B13" s="23" t="s">
        <v>40</v>
      </c>
      <c r="C13" s="50">
        <v>29</v>
      </c>
      <c r="D13" s="50">
        <v>1</v>
      </c>
      <c r="E13" s="50">
        <v>5</v>
      </c>
      <c r="F13" s="50">
        <v>44</v>
      </c>
      <c r="G13" s="50">
        <v>7</v>
      </c>
      <c r="H13" s="50">
        <v>0</v>
      </c>
      <c r="I13" s="50">
        <v>13</v>
      </c>
      <c r="J13" s="50">
        <v>1</v>
      </c>
      <c r="K13" s="50">
        <v>1</v>
      </c>
      <c r="L13" s="50">
        <v>0</v>
      </c>
      <c r="M13" s="50">
        <v>225</v>
      </c>
      <c r="N13" s="50">
        <v>0</v>
      </c>
      <c r="O13" s="15">
        <f t="shared" si="0"/>
        <v>101</v>
      </c>
      <c r="P13" s="15">
        <f t="shared" si="1"/>
        <v>326</v>
      </c>
      <c r="R13" s="1" t="s">
        <v>9</v>
      </c>
      <c r="S13" s="17">
        <f t="shared" ref="S13:AF13" si="5">SUM(C22:C25)</f>
        <v>145</v>
      </c>
      <c r="T13" s="17">
        <f t="shared" si="5"/>
        <v>23</v>
      </c>
      <c r="U13" s="17">
        <f t="shared" si="5"/>
        <v>23</v>
      </c>
      <c r="V13" s="17">
        <f t="shared" si="5"/>
        <v>194</v>
      </c>
      <c r="W13" s="17">
        <f t="shared" si="5"/>
        <v>2</v>
      </c>
      <c r="X13" s="17">
        <f t="shared" si="5"/>
        <v>1</v>
      </c>
      <c r="Y13" s="17">
        <f t="shared" si="5"/>
        <v>54</v>
      </c>
      <c r="Z13" s="17">
        <f t="shared" si="5"/>
        <v>9</v>
      </c>
      <c r="AA13" s="17">
        <f t="shared" si="5"/>
        <v>14</v>
      </c>
      <c r="AB13" s="17">
        <f t="shared" si="5"/>
        <v>13</v>
      </c>
      <c r="AC13" s="17">
        <f t="shared" si="5"/>
        <v>569</v>
      </c>
      <c r="AD13" s="17">
        <f t="shared" si="5"/>
        <v>0</v>
      </c>
      <c r="AE13" s="31">
        <f t="shared" si="5"/>
        <v>478</v>
      </c>
      <c r="AF13" s="31">
        <f t="shared" si="5"/>
        <v>1047</v>
      </c>
    </row>
    <row r="14" spans="2:32" ht="23.1" customHeight="1" x14ac:dyDescent="0.25">
      <c r="B14" s="23" t="s">
        <v>41</v>
      </c>
      <c r="C14" s="50">
        <v>25</v>
      </c>
      <c r="D14" s="50">
        <v>3</v>
      </c>
      <c r="E14" s="50">
        <v>3</v>
      </c>
      <c r="F14" s="50">
        <v>39</v>
      </c>
      <c r="G14" s="50">
        <v>4</v>
      </c>
      <c r="H14" s="50">
        <v>2</v>
      </c>
      <c r="I14" s="50">
        <v>2</v>
      </c>
      <c r="J14" s="50">
        <v>1</v>
      </c>
      <c r="K14" s="50">
        <v>1</v>
      </c>
      <c r="L14" s="50">
        <v>2</v>
      </c>
      <c r="M14" s="50">
        <v>285</v>
      </c>
      <c r="N14" s="50">
        <v>0</v>
      </c>
      <c r="O14" s="15">
        <f t="shared" si="0"/>
        <v>82</v>
      </c>
      <c r="P14" s="15">
        <f t="shared" si="1"/>
        <v>367</v>
      </c>
      <c r="R14" s="1" t="s">
        <v>10</v>
      </c>
      <c r="S14" s="17">
        <f t="shared" ref="S14:AF14" si="6">SUM(C26:C29)</f>
        <v>216</v>
      </c>
      <c r="T14" s="17">
        <f t="shared" si="6"/>
        <v>26</v>
      </c>
      <c r="U14" s="17">
        <f t="shared" si="6"/>
        <v>32</v>
      </c>
      <c r="V14" s="17">
        <f t="shared" si="6"/>
        <v>150</v>
      </c>
      <c r="W14" s="17">
        <f t="shared" si="6"/>
        <v>3</v>
      </c>
      <c r="X14" s="17">
        <f t="shared" si="6"/>
        <v>3</v>
      </c>
      <c r="Y14" s="17">
        <f t="shared" si="6"/>
        <v>53</v>
      </c>
      <c r="Z14" s="17">
        <f t="shared" si="6"/>
        <v>12</v>
      </c>
      <c r="AA14" s="17">
        <f t="shared" si="6"/>
        <v>6</v>
      </c>
      <c r="AB14" s="17">
        <f t="shared" si="6"/>
        <v>13</v>
      </c>
      <c r="AC14" s="17">
        <f t="shared" si="6"/>
        <v>526</v>
      </c>
      <c r="AD14" s="17">
        <f t="shared" si="6"/>
        <v>0</v>
      </c>
      <c r="AE14" s="31">
        <f t="shared" si="6"/>
        <v>514</v>
      </c>
      <c r="AF14" s="31">
        <f t="shared" si="6"/>
        <v>1040</v>
      </c>
    </row>
    <row r="15" spans="2:32" ht="23.1" customHeight="1" x14ac:dyDescent="0.25">
      <c r="B15" s="23" t="s">
        <v>42</v>
      </c>
      <c r="C15" s="50">
        <v>23</v>
      </c>
      <c r="D15" s="50">
        <v>4</v>
      </c>
      <c r="E15" s="50">
        <v>3</v>
      </c>
      <c r="F15" s="50">
        <v>33</v>
      </c>
      <c r="G15" s="50">
        <v>1</v>
      </c>
      <c r="H15" s="50">
        <v>0</v>
      </c>
      <c r="I15" s="50">
        <v>8</v>
      </c>
      <c r="J15" s="50">
        <v>2</v>
      </c>
      <c r="K15" s="50">
        <v>3</v>
      </c>
      <c r="L15" s="50">
        <v>2</v>
      </c>
      <c r="M15" s="50">
        <v>270</v>
      </c>
      <c r="N15" s="50">
        <v>1</v>
      </c>
      <c r="O15" s="15">
        <f t="shared" si="0"/>
        <v>80</v>
      </c>
      <c r="P15" s="15">
        <f t="shared" si="1"/>
        <v>350</v>
      </c>
      <c r="R15" s="1" t="s">
        <v>11</v>
      </c>
      <c r="S15" s="17">
        <f t="shared" ref="S15:AF15" si="7">SUM(C30:C33)</f>
        <v>131</v>
      </c>
      <c r="T15" s="17">
        <f t="shared" si="7"/>
        <v>26</v>
      </c>
      <c r="U15" s="17">
        <f t="shared" si="7"/>
        <v>22</v>
      </c>
      <c r="V15" s="17">
        <f t="shared" si="7"/>
        <v>109</v>
      </c>
      <c r="W15" s="17">
        <f t="shared" si="7"/>
        <v>9</v>
      </c>
      <c r="X15" s="17">
        <f t="shared" si="7"/>
        <v>3</v>
      </c>
      <c r="Y15" s="17">
        <f t="shared" si="7"/>
        <v>53</v>
      </c>
      <c r="Z15" s="17">
        <f t="shared" si="7"/>
        <v>21</v>
      </c>
      <c r="AA15" s="17">
        <f t="shared" si="7"/>
        <v>12</v>
      </c>
      <c r="AB15" s="17">
        <f t="shared" si="7"/>
        <v>11</v>
      </c>
      <c r="AC15" s="17">
        <f t="shared" si="7"/>
        <v>439</v>
      </c>
      <c r="AD15" s="17">
        <f t="shared" si="7"/>
        <v>0</v>
      </c>
      <c r="AE15" s="31">
        <f t="shared" si="7"/>
        <v>397</v>
      </c>
      <c r="AF15" s="31">
        <f t="shared" si="7"/>
        <v>836</v>
      </c>
    </row>
    <row r="16" spans="2:32" ht="23.1" customHeight="1" x14ac:dyDescent="0.25">
      <c r="B16" s="23" t="s">
        <v>43</v>
      </c>
      <c r="C16" s="50">
        <v>31</v>
      </c>
      <c r="D16" s="50">
        <v>3</v>
      </c>
      <c r="E16" s="50">
        <v>5</v>
      </c>
      <c r="F16" s="50">
        <v>54</v>
      </c>
      <c r="G16" s="50">
        <v>1</v>
      </c>
      <c r="H16" s="50">
        <v>0</v>
      </c>
      <c r="I16" s="50">
        <v>10</v>
      </c>
      <c r="J16" s="50">
        <v>0</v>
      </c>
      <c r="K16" s="50">
        <v>1</v>
      </c>
      <c r="L16" s="50">
        <v>2</v>
      </c>
      <c r="M16" s="50">
        <v>255</v>
      </c>
      <c r="N16" s="50">
        <v>0</v>
      </c>
      <c r="O16" s="15">
        <f t="shared" si="0"/>
        <v>107</v>
      </c>
      <c r="P16" s="15">
        <f t="shared" si="1"/>
        <v>362</v>
      </c>
      <c r="R16" s="1" t="s">
        <v>12</v>
      </c>
      <c r="S16" s="17">
        <f t="shared" ref="S16:AF16" si="8">SUM(C34:C37)</f>
        <v>109</v>
      </c>
      <c r="T16" s="17">
        <f t="shared" si="8"/>
        <v>21</v>
      </c>
      <c r="U16" s="17">
        <f t="shared" si="8"/>
        <v>14</v>
      </c>
      <c r="V16" s="17">
        <f t="shared" si="8"/>
        <v>125</v>
      </c>
      <c r="W16" s="17">
        <f t="shared" si="8"/>
        <v>5</v>
      </c>
      <c r="X16" s="17">
        <f t="shared" si="8"/>
        <v>2</v>
      </c>
      <c r="Y16" s="17">
        <f t="shared" si="8"/>
        <v>40</v>
      </c>
      <c r="Z16" s="17">
        <f t="shared" si="8"/>
        <v>13</v>
      </c>
      <c r="AA16" s="17">
        <f t="shared" si="8"/>
        <v>8</v>
      </c>
      <c r="AB16" s="17">
        <f t="shared" si="8"/>
        <v>6</v>
      </c>
      <c r="AC16" s="17">
        <f t="shared" si="8"/>
        <v>364</v>
      </c>
      <c r="AD16" s="17">
        <f t="shared" si="8"/>
        <v>0</v>
      </c>
      <c r="AE16" s="31">
        <f t="shared" si="8"/>
        <v>343</v>
      </c>
      <c r="AF16" s="31">
        <f t="shared" si="8"/>
        <v>707</v>
      </c>
    </row>
    <row r="17" spans="2:32" ht="23.1" customHeight="1" x14ac:dyDescent="0.25">
      <c r="B17" s="23" t="s">
        <v>44</v>
      </c>
      <c r="C17" s="50">
        <v>27</v>
      </c>
      <c r="D17" s="50">
        <v>2</v>
      </c>
      <c r="E17" s="50">
        <v>7</v>
      </c>
      <c r="F17" s="50">
        <v>52</v>
      </c>
      <c r="G17" s="50">
        <v>0</v>
      </c>
      <c r="H17" s="50">
        <v>1</v>
      </c>
      <c r="I17" s="50">
        <v>13</v>
      </c>
      <c r="J17" s="50">
        <v>2</v>
      </c>
      <c r="K17" s="50">
        <v>3</v>
      </c>
      <c r="L17" s="50">
        <v>4</v>
      </c>
      <c r="M17" s="50">
        <v>255</v>
      </c>
      <c r="N17" s="50">
        <v>1</v>
      </c>
      <c r="O17" s="15">
        <f t="shared" si="0"/>
        <v>112</v>
      </c>
      <c r="P17" s="15">
        <f t="shared" si="1"/>
        <v>367</v>
      </c>
      <c r="R17" s="1" t="s">
        <v>13</v>
      </c>
      <c r="S17" s="17">
        <f t="shared" ref="S17:AF17" si="9">SUM(C38:C41)</f>
        <v>104</v>
      </c>
      <c r="T17" s="17">
        <f t="shared" si="9"/>
        <v>17</v>
      </c>
      <c r="U17" s="17">
        <f t="shared" si="9"/>
        <v>29</v>
      </c>
      <c r="V17" s="17">
        <f t="shared" si="9"/>
        <v>142</v>
      </c>
      <c r="W17" s="17">
        <f t="shared" si="9"/>
        <v>4</v>
      </c>
      <c r="X17" s="17">
        <f t="shared" si="9"/>
        <v>2</v>
      </c>
      <c r="Y17" s="17">
        <f t="shared" si="9"/>
        <v>50</v>
      </c>
      <c r="Z17" s="17">
        <f t="shared" si="9"/>
        <v>16</v>
      </c>
      <c r="AA17" s="17">
        <f t="shared" si="9"/>
        <v>8</v>
      </c>
      <c r="AB17" s="17">
        <f t="shared" si="9"/>
        <v>17</v>
      </c>
      <c r="AC17" s="17">
        <f t="shared" si="9"/>
        <v>360</v>
      </c>
      <c r="AD17" s="17">
        <f t="shared" si="9"/>
        <v>0</v>
      </c>
      <c r="AE17" s="31">
        <f t="shared" si="9"/>
        <v>389</v>
      </c>
      <c r="AF17" s="31">
        <f t="shared" si="9"/>
        <v>749</v>
      </c>
    </row>
    <row r="18" spans="2:32" ht="23.1" customHeight="1" x14ac:dyDescent="0.25">
      <c r="B18" s="23" t="s">
        <v>45</v>
      </c>
      <c r="C18" s="50">
        <v>29</v>
      </c>
      <c r="D18" s="50">
        <v>5</v>
      </c>
      <c r="E18" s="50">
        <v>5</v>
      </c>
      <c r="F18" s="50">
        <v>30</v>
      </c>
      <c r="G18" s="50">
        <v>3</v>
      </c>
      <c r="H18" s="50">
        <v>1</v>
      </c>
      <c r="I18" s="50">
        <v>13</v>
      </c>
      <c r="J18" s="50">
        <v>0</v>
      </c>
      <c r="K18" s="50">
        <v>1</v>
      </c>
      <c r="L18" s="50">
        <v>4</v>
      </c>
      <c r="M18" s="50">
        <v>160</v>
      </c>
      <c r="N18" s="50">
        <v>0</v>
      </c>
      <c r="O18" s="15">
        <f t="shared" si="0"/>
        <v>91</v>
      </c>
      <c r="P18" s="15">
        <f t="shared" si="1"/>
        <v>251</v>
      </c>
      <c r="R18" s="1" t="s">
        <v>14</v>
      </c>
      <c r="S18" s="17">
        <f t="shared" ref="S18:AF18" si="10">SUM(C42:C45)</f>
        <v>132</v>
      </c>
      <c r="T18" s="17">
        <f t="shared" si="10"/>
        <v>13</v>
      </c>
      <c r="U18" s="17">
        <f t="shared" si="10"/>
        <v>28</v>
      </c>
      <c r="V18" s="17">
        <f t="shared" si="10"/>
        <v>128</v>
      </c>
      <c r="W18" s="17">
        <f t="shared" si="10"/>
        <v>4</v>
      </c>
      <c r="X18" s="17">
        <f t="shared" si="10"/>
        <v>0</v>
      </c>
      <c r="Y18" s="17">
        <f t="shared" si="10"/>
        <v>59</v>
      </c>
      <c r="Z18" s="17">
        <f t="shared" si="10"/>
        <v>25</v>
      </c>
      <c r="AA18" s="17">
        <f t="shared" si="10"/>
        <v>7</v>
      </c>
      <c r="AB18" s="17">
        <f t="shared" si="10"/>
        <v>9</v>
      </c>
      <c r="AC18" s="17">
        <f t="shared" si="10"/>
        <v>365</v>
      </c>
      <c r="AD18" s="17">
        <f t="shared" si="10"/>
        <v>0</v>
      </c>
      <c r="AE18" s="31">
        <f t="shared" si="10"/>
        <v>405</v>
      </c>
      <c r="AF18" s="31">
        <f t="shared" si="10"/>
        <v>770</v>
      </c>
    </row>
    <row r="19" spans="2:32" ht="23.1" customHeight="1" x14ac:dyDescent="0.25">
      <c r="B19" s="23" t="s">
        <v>46</v>
      </c>
      <c r="C19" s="50">
        <v>26</v>
      </c>
      <c r="D19" s="50">
        <v>4</v>
      </c>
      <c r="E19" s="50">
        <v>4</v>
      </c>
      <c r="F19" s="50">
        <v>55</v>
      </c>
      <c r="G19" s="50">
        <v>2</v>
      </c>
      <c r="H19" s="50">
        <v>0</v>
      </c>
      <c r="I19" s="50">
        <v>14</v>
      </c>
      <c r="J19" s="50">
        <v>0</v>
      </c>
      <c r="K19" s="50">
        <v>2</v>
      </c>
      <c r="L19" s="50">
        <v>3</v>
      </c>
      <c r="M19" s="50">
        <v>215</v>
      </c>
      <c r="N19" s="50">
        <v>0</v>
      </c>
      <c r="O19" s="15">
        <f t="shared" si="0"/>
        <v>110</v>
      </c>
      <c r="P19" s="15">
        <f t="shared" si="1"/>
        <v>325</v>
      </c>
      <c r="R19" s="1" t="s">
        <v>15</v>
      </c>
      <c r="S19" s="17">
        <f t="shared" ref="S19:AF19" si="11">SUM(C46:C49)</f>
        <v>144</v>
      </c>
      <c r="T19" s="17">
        <f t="shared" si="11"/>
        <v>20</v>
      </c>
      <c r="U19" s="17">
        <f t="shared" si="11"/>
        <v>24</v>
      </c>
      <c r="V19" s="17">
        <f t="shared" si="11"/>
        <v>162</v>
      </c>
      <c r="W19" s="17">
        <f t="shared" si="11"/>
        <v>8</v>
      </c>
      <c r="X19" s="17">
        <f t="shared" si="11"/>
        <v>1</v>
      </c>
      <c r="Y19" s="17">
        <f t="shared" si="11"/>
        <v>47</v>
      </c>
      <c r="Z19" s="17">
        <f t="shared" si="11"/>
        <v>23</v>
      </c>
      <c r="AA19" s="17">
        <f t="shared" si="11"/>
        <v>8</v>
      </c>
      <c r="AB19" s="17">
        <f t="shared" si="11"/>
        <v>14</v>
      </c>
      <c r="AC19" s="17">
        <f t="shared" si="11"/>
        <v>485</v>
      </c>
      <c r="AD19" s="17">
        <f t="shared" si="11"/>
        <v>0</v>
      </c>
      <c r="AE19" s="31">
        <f t="shared" si="11"/>
        <v>451</v>
      </c>
      <c r="AF19" s="31">
        <f t="shared" si="11"/>
        <v>936</v>
      </c>
    </row>
    <row r="20" spans="2:32" ht="23.1" customHeight="1" x14ac:dyDescent="0.25">
      <c r="B20" s="23" t="s">
        <v>47</v>
      </c>
      <c r="C20" s="50">
        <v>28</v>
      </c>
      <c r="D20" s="50">
        <v>2</v>
      </c>
      <c r="E20" s="50">
        <v>9</v>
      </c>
      <c r="F20" s="50">
        <v>62</v>
      </c>
      <c r="G20" s="50">
        <v>2</v>
      </c>
      <c r="H20" s="50">
        <v>1</v>
      </c>
      <c r="I20" s="50">
        <v>13</v>
      </c>
      <c r="J20" s="50">
        <v>0</v>
      </c>
      <c r="K20" s="50">
        <v>0</v>
      </c>
      <c r="L20" s="50">
        <v>0</v>
      </c>
      <c r="M20" s="50">
        <v>195</v>
      </c>
      <c r="N20" s="50">
        <v>0</v>
      </c>
      <c r="O20" s="15">
        <f t="shared" si="0"/>
        <v>117</v>
      </c>
      <c r="P20" s="15">
        <f t="shared" si="1"/>
        <v>312</v>
      </c>
      <c r="R20" s="1" t="s">
        <v>16</v>
      </c>
      <c r="S20" s="17">
        <f t="shared" ref="S20:AF20" si="12">SUM(C50:C53)</f>
        <v>151</v>
      </c>
      <c r="T20" s="17">
        <f t="shared" si="12"/>
        <v>18</v>
      </c>
      <c r="U20" s="17">
        <f t="shared" si="12"/>
        <v>11</v>
      </c>
      <c r="V20" s="17">
        <f t="shared" si="12"/>
        <v>122</v>
      </c>
      <c r="W20" s="17">
        <f t="shared" si="12"/>
        <v>4</v>
      </c>
      <c r="X20" s="17">
        <f t="shared" si="12"/>
        <v>1</v>
      </c>
      <c r="Y20" s="17">
        <f t="shared" si="12"/>
        <v>27</v>
      </c>
      <c r="Z20" s="17">
        <f t="shared" si="12"/>
        <v>24</v>
      </c>
      <c r="AA20" s="17">
        <f t="shared" si="12"/>
        <v>7</v>
      </c>
      <c r="AB20" s="17">
        <f t="shared" si="12"/>
        <v>7</v>
      </c>
      <c r="AC20" s="17">
        <f t="shared" si="12"/>
        <v>411</v>
      </c>
      <c r="AD20" s="17">
        <f t="shared" si="12"/>
        <v>0</v>
      </c>
      <c r="AE20" s="31">
        <f t="shared" si="12"/>
        <v>372</v>
      </c>
      <c r="AF20" s="31">
        <f t="shared" si="12"/>
        <v>783</v>
      </c>
    </row>
    <row r="21" spans="2:32" ht="23.1" customHeight="1" x14ac:dyDescent="0.25">
      <c r="B21" s="23" t="s">
        <v>48</v>
      </c>
      <c r="C21" s="50">
        <v>13</v>
      </c>
      <c r="D21" s="50">
        <v>3</v>
      </c>
      <c r="E21" s="50">
        <v>2</v>
      </c>
      <c r="F21" s="50">
        <v>36</v>
      </c>
      <c r="G21" s="50">
        <v>2</v>
      </c>
      <c r="H21" s="50">
        <v>0</v>
      </c>
      <c r="I21" s="50">
        <v>10</v>
      </c>
      <c r="J21" s="50">
        <v>0</v>
      </c>
      <c r="K21" s="50">
        <v>0</v>
      </c>
      <c r="L21" s="50">
        <v>1</v>
      </c>
      <c r="M21" s="50">
        <v>160</v>
      </c>
      <c r="N21" s="50">
        <v>0</v>
      </c>
      <c r="O21" s="15">
        <f t="shared" si="0"/>
        <v>67</v>
      </c>
      <c r="P21" s="15">
        <f t="shared" si="1"/>
        <v>227</v>
      </c>
      <c r="R21" s="36" t="s">
        <v>20</v>
      </c>
      <c r="S21" s="34">
        <f t="shared" ref="S21:AF21" si="13">SUM(C54:C57)</f>
        <v>175</v>
      </c>
      <c r="T21" s="17">
        <f t="shared" si="13"/>
        <v>26</v>
      </c>
      <c r="U21" s="17">
        <f t="shared" si="13"/>
        <v>13</v>
      </c>
      <c r="V21" s="17">
        <f t="shared" si="13"/>
        <v>147</v>
      </c>
      <c r="W21" s="17">
        <f t="shared" si="13"/>
        <v>13</v>
      </c>
      <c r="X21" s="17">
        <f t="shared" si="13"/>
        <v>0</v>
      </c>
      <c r="Y21" s="17">
        <f t="shared" si="13"/>
        <v>47</v>
      </c>
      <c r="Z21" s="17">
        <f t="shared" si="13"/>
        <v>17</v>
      </c>
      <c r="AA21" s="17">
        <f t="shared" si="13"/>
        <v>10</v>
      </c>
      <c r="AB21" s="17">
        <f t="shared" si="13"/>
        <v>13</v>
      </c>
      <c r="AC21" s="17">
        <f t="shared" si="13"/>
        <v>664</v>
      </c>
      <c r="AD21" s="17">
        <f t="shared" si="13"/>
        <v>0</v>
      </c>
      <c r="AE21" s="31">
        <f t="shared" si="13"/>
        <v>461</v>
      </c>
      <c r="AF21" s="31">
        <f t="shared" si="13"/>
        <v>1125</v>
      </c>
    </row>
    <row r="22" spans="2:32" ht="23.1" customHeight="1" x14ac:dyDescent="0.25">
      <c r="B22" s="23" t="s">
        <v>49</v>
      </c>
      <c r="C22" s="50">
        <v>27</v>
      </c>
      <c r="D22" s="50">
        <v>4</v>
      </c>
      <c r="E22" s="50">
        <v>6</v>
      </c>
      <c r="F22" s="50">
        <v>48</v>
      </c>
      <c r="G22" s="50">
        <v>1</v>
      </c>
      <c r="H22" s="50">
        <v>0</v>
      </c>
      <c r="I22" s="50">
        <v>12</v>
      </c>
      <c r="J22" s="50">
        <v>1</v>
      </c>
      <c r="K22" s="50">
        <v>3</v>
      </c>
      <c r="L22" s="50">
        <v>6</v>
      </c>
      <c r="M22" s="50">
        <v>145</v>
      </c>
      <c r="N22" s="50">
        <v>0</v>
      </c>
      <c r="O22" s="15">
        <f t="shared" si="0"/>
        <v>108</v>
      </c>
      <c r="P22" s="15">
        <f t="shared" si="1"/>
        <v>253</v>
      </c>
      <c r="R22" s="38" t="s">
        <v>90</v>
      </c>
      <c r="S22" s="39">
        <f>MAX(S10:S12)</f>
        <v>106</v>
      </c>
      <c r="T22" s="39">
        <f t="shared" ref="T22:AF22" si="14">MAX(T10:T12)</f>
        <v>14</v>
      </c>
      <c r="U22" s="39">
        <f t="shared" si="14"/>
        <v>20</v>
      </c>
      <c r="V22" s="39">
        <f t="shared" si="14"/>
        <v>183</v>
      </c>
      <c r="W22" s="39">
        <f t="shared" si="14"/>
        <v>10</v>
      </c>
      <c r="X22" s="39">
        <f t="shared" si="14"/>
        <v>3</v>
      </c>
      <c r="Y22" s="39">
        <f t="shared" si="14"/>
        <v>50</v>
      </c>
      <c r="Z22" s="39">
        <f t="shared" si="14"/>
        <v>5</v>
      </c>
      <c r="AA22" s="39">
        <f t="shared" si="14"/>
        <v>8</v>
      </c>
      <c r="AB22" s="39">
        <f t="shared" si="14"/>
        <v>10</v>
      </c>
      <c r="AC22" s="39">
        <f t="shared" si="14"/>
        <v>1065</v>
      </c>
      <c r="AD22" s="39">
        <f t="shared" si="14"/>
        <v>2</v>
      </c>
      <c r="AE22" s="40">
        <f t="shared" si="14"/>
        <v>385</v>
      </c>
      <c r="AF22" s="40">
        <f t="shared" si="14"/>
        <v>1446</v>
      </c>
    </row>
    <row r="23" spans="2:32" ht="23.1" customHeight="1" x14ac:dyDescent="0.25">
      <c r="B23" s="23" t="s">
        <v>50</v>
      </c>
      <c r="C23" s="50">
        <v>26</v>
      </c>
      <c r="D23" s="50">
        <v>6</v>
      </c>
      <c r="E23" s="50">
        <v>2</v>
      </c>
      <c r="F23" s="50">
        <v>53</v>
      </c>
      <c r="G23" s="50">
        <v>0</v>
      </c>
      <c r="H23" s="50">
        <v>1</v>
      </c>
      <c r="I23" s="50">
        <v>10</v>
      </c>
      <c r="J23" s="50">
        <v>3</v>
      </c>
      <c r="K23" s="50">
        <v>5</v>
      </c>
      <c r="L23" s="50">
        <v>4</v>
      </c>
      <c r="M23" s="50">
        <v>225</v>
      </c>
      <c r="N23" s="50">
        <v>0</v>
      </c>
      <c r="O23" s="15">
        <f t="shared" si="0"/>
        <v>110</v>
      </c>
      <c r="P23" s="15">
        <f t="shared" si="1"/>
        <v>335</v>
      </c>
      <c r="R23" s="38" t="s">
        <v>91</v>
      </c>
      <c r="S23" s="39">
        <f>MAX(S13:S18)</f>
        <v>216</v>
      </c>
      <c r="T23" s="39">
        <f t="shared" ref="T23:AF23" si="15">MAX(T13:T18)</f>
        <v>26</v>
      </c>
      <c r="U23" s="39">
        <f t="shared" si="15"/>
        <v>32</v>
      </c>
      <c r="V23" s="39">
        <f t="shared" si="15"/>
        <v>194</v>
      </c>
      <c r="W23" s="39">
        <f t="shared" si="15"/>
        <v>9</v>
      </c>
      <c r="X23" s="39">
        <f t="shared" si="15"/>
        <v>3</v>
      </c>
      <c r="Y23" s="39">
        <f t="shared" si="15"/>
        <v>59</v>
      </c>
      <c r="Z23" s="39">
        <f t="shared" si="15"/>
        <v>25</v>
      </c>
      <c r="AA23" s="39">
        <f t="shared" si="15"/>
        <v>14</v>
      </c>
      <c r="AB23" s="39">
        <f t="shared" si="15"/>
        <v>17</v>
      </c>
      <c r="AC23" s="39">
        <f t="shared" si="15"/>
        <v>569</v>
      </c>
      <c r="AD23" s="39">
        <f t="shared" si="15"/>
        <v>0</v>
      </c>
      <c r="AE23" s="40">
        <f t="shared" si="15"/>
        <v>514</v>
      </c>
      <c r="AF23" s="40">
        <f t="shared" si="15"/>
        <v>1047</v>
      </c>
    </row>
    <row r="24" spans="2:32" ht="23.1" customHeight="1" x14ac:dyDescent="0.25">
      <c r="B24" s="23" t="s">
        <v>51</v>
      </c>
      <c r="C24" s="50">
        <v>47</v>
      </c>
      <c r="D24" s="50">
        <v>8</v>
      </c>
      <c r="E24" s="50">
        <v>8</v>
      </c>
      <c r="F24" s="50">
        <v>51</v>
      </c>
      <c r="G24" s="50">
        <v>1</v>
      </c>
      <c r="H24" s="50">
        <v>0</v>
      </c>
      <c r="I24" s="50">
        <v>23</v>
      </c>
      <c r="J24" s="50">
        <v>0</v>
      </c>
      <c r="K24" s="50">
        <v>6</v>
      </c>
      <c r="L24" s="50">
        <v>2</v>
      </c>
      <c r="M24" s="50">
        <v>19</v>
      </c>
      <c r="N24" s="50">
        <v>0</v>
      </c>
      <c r="O24" s="15">
        <f t="shared" si="0"/>
        <v>146</v>
      </c>
      <c r="P24" s="15">
        <f t="shared" si="1"/>
        <v>165</v>
      </c>
      <c r="R24" s="38" t="s">
        <v>92</v>
      </c>
      <c r="S24" s="39">
        <f>MAX(S19:S21)</f>
        <v>175</v>
      </c>
      <c r="T24" s="39">
        <f t="shared" ref="T24:AF24" si="16">MAX(T19:T21)</f>
        <v>26</v>
      </c>
      <c r="U24" s="39">
        <f t="shared" si="16"/>
        <v>24</v>
      </c>
      <c r="V24" s="39">
        <f t="shared" si="16"/>
        <v>162</v>
      </c>
      <c r="W24" s="39">
        <f t="shared" si="16"/>
        <v>13</v>
      </c>
      <c r="X24" s="39">
        <f t="shared" si="16"/>
        <v>1</v>
      </c>
      <c r="Y24" s="39">
        <f t="shared" si="16"/>
        <v>47</v>
      </c>
      <c r="Z24" s="39">
        <f t="shared" si="16"/>
        <v>24</v>
      </c>
      <c r="AA24" s="39">
        <f t="shared" si="16"/>
        <v>10</v>
      </c>
      <c r="AB24" s="39">
        <f t="shared" si="16"/>
        <v>14</v>
      </c>
      <c r="AC24" s="39">
        <f t="shared" si="16"/>
        <v>664</v>
      </c>
      <c r="AD24" s="39">
        <f t="shared" si="16"/>
        <v>0</v>
      </c>
      <c r="AE24" s="40">
        <f t="shared" si="16"/>
        <v>461</v>
      </c>
      <c r="AF24" s="40">
        <f t="shared" si="16"/>
        <v>1125</v>
      </c>
    </row>
    <row r="25" spans="2:32" ht="23.1" customHeight="1" x14ac:dyDescent="0.25">
      <c r="B25" s="23" t="s">
        <v>52</v>
      </c>
      <c r="C25" s="50">
        <v>45</v>
      </c>
      <c r="D25" s="50">
        <v>5</v>
      </c>
      <c r="E25" s="50">
        <v>7</v>
      </c>
      <c r="F25" s="50">
        <v>42</v>
      </c>
      <c r="G25" s="50">
        <v>0</v>
      </c>
      <c r="H25" s="50">
        <v>0</v>
      </c>
      <c r="I25" s="50">
        <v>9</v>
      </c>
      <c r="J25" s="50">
        <v>5</v>
      </c>
      <c r="K25" s="50">
        <v>0</v>
      </c>
      <c r="L25" s="50">
        <v>1</v>
      </c>
      <c r="M25" s="50">
        <v>180</v>
      </c>
      <c r="N25" s="50">
        <v>0</v>
      </c>
      <c r="O25" s="15">
        <f t="shared" si="0"/>
        <v>114</v>
      </c>
      <c r="P25" s="15">
        <f t="shared" si="1"/>
        <v>294</v>
      </c>
      <c r="R25" s="37" t="s">
        <v>85</v>
      </c>
      <c r="S25" s="35">
        <f t="shared" ref="S25:AF25" si="17">SUM(S10:S12)</f>
        <v>302</v>
      </c>
      <c r="T25" s="16">
        <f t="shared" si="17"/>
        <v>34</v>
      </c>
      <c r="U25" s="16">
        <f t="shared" si="17"/>
        <v>50</v>
      </c>
      <c r="V25" s="16">
        <f t="shared" si="17"/>
        <v>505</v>
      </c>
      <c r="W25" s="16">
        <f t="shared" si="17"/>
        <v>25</v>
      </c>
      <c r="X25" s="16">
        <f t="shared" si="17"/>
        <v>7</v>
      </c>
      <c r="Y25" s="16">
        <f t="shared" si="17"/>
        <v>114</v>
      </c>
      <c r="Z25" s="16">
        <f t="shared" si="17"/>
        <v>9</v>
      </c>
      <c r="AA25" s="16">
        <f t="shared" si="17"/>
        <v>15</v>
      </c>
      <c r="AB25" s="16">
        <f t="shared" si="17"/>
        <v>22</v>
      </c>
      <c r="AC25" s="16">
        <f t="shared" si="17"/>
        <v>2593</v>
      </c>
      <c r="AD25" s="16">
        <f t="shared" si="17"/>
        <v>2</v>
      </c>
      <c r="AE25" s="32">
        <f t="shared" si="17"/>
        <v>1085</v>
      </c>
      <c r="AF25" s="32">
        <f t="shared" si="17"/>
        <v>3678</v>
      </c>
    </row>
    <row r="26" spans="2:32" ht="23.1" customHeight="1" x14ac:dyDescent="0.25">
      <c r="B26" s="23" t="s">
        <v>53</v>
      </c>
      <c r="C26" s="50">
        <v>52</v>
      </c>
      <c r="D26" s="50">
        <v>9</v>
      </c>
      <c r="E26" s="50">
        <v>7</v>
      </c>
      <c r="F26" s="50">
        <v>45</v>
      </c>
      <c r="G26" s="50">
        <v>0</v>
      </c>
      <c r="H26" s="50">
        <v>1</v>
      </c>
      <c r="I26" s="50">
        <v>20</v>
      </c>
      <c r="J26" s="50">
        <v>1</v>
      </c>
      <c r="K26" s="50">
        <v>4</v>
      </c>
      <c r="L26" s="50">
        <v>7</v>
      </c>
      <c r="M26" s="50">
        <v>145</v>
      </c>
      <c r="N26" s="50">
        <v>0</v>
      </c>
      <c r="O26" s="15">
        <f t="shared" si="0"/>
        <v>146</v>
      </c>
      <c r="P26" s="15">
        <f t="shared" si="1"/>
        <v>291</v>
      </c>
      <c r="R26" s="28" t="s">
        <v>86</v>
      </c>
      <c r="S26" s="16">
        <f t="shared" ref="S26:AF26" si="18">SUM(S13:S18)</f>
        <v>837</v>
      </c>
      <c r="T26" s="16">
        <f t="shared" si="18"/>
        <v>126</v>
      </c>
      <c r="U26" s="16">
        <f t="shared" si="18"/>
        <v>148</v>
      </c>
      <c r="V26" s="16">
        <f t="shared" si="18"/>
        <v>848</v>
      </c>
      <c r="W26" s="16">
        <f t="shared" si="18"/>
        <v>27</v>
      </c>
      <c r="X26" s="16">
        <f t="shared" si="18"/>
        <v>11</v>
      </c>
      <c r="Y26" s="16">
        <f t="shared" si="18"/>
        <v>309</v>
      </c>
      <c r="Z26" s="16">
        <f t="shared" si="18"/>
        <v>96</v>
      </c>
      <c r="AA26" s="16">
        <f t="shared" si="18"/>
        <v>55</v>
      </c>
      <c r="AB26" s="16">
        <f t="shared" si="18"/>
        <v>69</v>
      </c>
      <c r="AC26" s="16">
        <f t="shared" si="18"/>
        <v>2623</v>
      </c>
      <c r="AD26" s="16">
        <f t="shared" si="18"/>
        <v>0</v>
      </c>
      <c r="AE26" s="32">
        <f t="shared" si="18"/>
        <v>2526</v>
      </c>
      <c r="AF26" s="32">
        <f t="shared" si="18"/>
        <v>5149</v>
      </c>
    </row>
    <row r="27" spans="2:32" ht="23.1" customHeight="1" x14ac:dyDescent="0.25">
      <c r="B27" s="23" t="s">
        <v>54</v>
      </c>
      <c r="C27" s="50">
        <v>16</v>
      </c>
      <c r="D27" s="50">
        <v>3</v>
      </c>
      <c r="E27" s="50">
        <v>8</v>
      </c>
      <c r="F27" s="50">
        <v>26</v>
      </c>
      <c r="G27" s="50">
        <v>0</v>
      </c>
      <c r="H27" s="50">
        <v>0</v>
      </c>
      <c r="I27" s="50">
        <v>5</v>
      </c>
      <c r="J27" s="50">
        <v>0</v>
      </c>
      <c r="K27" s="50">
        <v>1</v>
      </c>
      <c r="L27" s="50">
        <v>3</v>
      </c>
      <c r="M27" s="50">
        <v>96</v>
      </c>
      <c r="N27" s="50">
        <v>0</v>
      </c>
      <c r="O27" s="15">
        <f t="shared" si="0"/>
        <v>62</v>
      </c>
      <c r="P27" s="15">
        <f t="shared" si="1"/>
        <v>158</v>
      </c>
      <c r="R27" s="29" t="s">
        <v>87</v>
      </c>
      <c r="S27" s="16">
        <f t="shared" ref="S27:AF27" si="19">SUM(S19:S21)</f>
        <v>470</v>
      </c>
      <c r="T27" s="16">
        <f t="shared" si="19"/>
        <v>64</v>
      </c>
      <c r="U27" s="16">
        <f t="shared" si="19"/>
        <v>48</v>
      </c>
      <c r="V27" s="16">
        <f t="shared" si="19"/>
        <v>431</v>
      </c>
      <c r="W27" s="16">
        <f t="shared" si="19"/>
        <v>25</v>
      </c>
      <c r="X27" s="16">
        <f t="shared" si="19"/>
        <v>2</v>
      </c>
      <c r="Y27" s="16">
        <f t="shared" si="19"/>
        <v>121</v>
      </c>
      <c r="Z27" s="16">
        <f t="shared" si="19"/>
        <v>64</v>
      </c>
      <c r="AA27" s="16">
        <f t="shared" si="19"/>
        <v>25</v>
      </c>
      <c r="AB27" s="16">
        <f t="shared" si="19"/>
        <v>34</v>
      </c>
      <c r="AC27" s="16">
        <f t="shared" si="19"/>
        <v>1560</v>
      </c>
      <c r="AD27" s="16">
        <f t="shared" si="19"/>
        <v>0</v>
      </c>
      <c r="AE27" s="32">
        <f t="shared" si="19"/>
        <v>1284</v>
      </c>
      <c r="AF27" s="32">
        <f t="shared" si="19"/>
        <v>2844</v>
      </c>
    </row>
    <row r="28" spans="2:32" ht="23.1" customHeight="1" x14ac:dyDescent="0.25">
      <c r="B28" s="23" t="s">
        <v>55</v>
      </c>
      <c r="C28" s="50">
        <v>96</v>
      </c>
      <c r="D28" s="50">
        <v>7</v>
      </c>
      <c r="E28" s="50">
        <v>6</v>
      </c>
      <c r="F28" s="50">
        <v>36</v>
      </c>
      <c r="G28" s="50">
        <v>0</v>
      </c>
      <c r="H28" s="50">
        <v>2</v>
      </c>
      <c r="I28" s="50">
        <v>15</v>
      </c>
      <c r="J28" s="50">
        <v>5</v>
      </c>
      <c r="K28" s="50">
        <v>1</v>
      </c>
      <c r="L28" s="50">
        <v>2</v>
      </c>
      <c r="M28" s="50">
        <v>155</v>
      </c>
      <c r="N28" s="50">
        <v>0</v>
      </c>
      <c r="O28" s="15">
        <f t="shared" si="0"/>
        <v>170</v>
      </c>
      <c r="P28" s="15">
        <f t="shared" si="1"/>
        <v>325</v>
      </c>
      <c r="R28" s="5" t="s">
        <v>17</v>
      </c>
      <c r="S28" s="16">
        <f t="shared" ref="S28:AF28" si="20">SUM(S10:S21)</f>
        <v>1609</v>
      </c>
      <c r="T28" s="16">
        <f t="shared" si="20"/>
        <v>224</v>
      </c>
      <c r="U28" s="16">
        <f t="shared" si="20"/>
        <v>246</v>
      </c>
      <c r="V28" s="16">
        <f t="shared" si="20"/>
        <v>1784</v>
      </c>
      <c r="W28" s="16">
        <f t="shared" si="20"/>
        <v>77</v>
      </c>
      <c r="X28" s="16">
        <f t="shared" si="20"/>
        <v>20</v>
      </c>
      <c r="Y28" s="16">
        <f t="shared" si="20"/>
        <v>544</v>
      </c>
      <c r="Z28" s="16">
        <f t="shared" si="20"/>
        <v>169</v>
      </c>
      <c r="AA28" s="16">
        <f t="shared" si="20"/>
        <v>95</v>
      </c>
      <c r="AB28" s="16">
        <f t="shared" si="20"/>
        <v>125</v>
      </c>
      <c r="AC28" s="16">
        <f t="shared" si="20"/>
        <v>6776</v>
      </c>
      <c r="AD28" s="16">
        <f t="shared" si="20"/>
        <v>2</v>
      </c>
      <c r="AE28" s="32">
        <f t="shared" si="20"/>
        <v>4895</v>
      </c>
      <c r="AF28" s="32">
        <f t="shared" si="20"/>
        <v>11671</v>
      </c>
    </row>
    <row r="29" spans="2:32" ht="23.1" customHeight="1" x14ac:dyDescent="0.25">
      <c r="B29" s="23" t="s">
        <v>56</v>
      </c>
      <c r="C29" s="50">
        <v>52</v>
      </c>
      <c r="D29" s="50">
        <v>7</v>
      </c>
      <c r="E29" s="50">
        <v>11</v>
      </c>
      <c r="F29" s="50">
        <v>43</v>
      </c>
      <c r="G29" s="50">
        <v>3</v>
      </c>
      <c r="H29" s="50">
        <v>0</v>
      </c>
      <c r="I29" s="50">
        <v>13</v>
      </c>
      <c r="J29" s="50">
        <v>6</v>
      </c>
      <c r="K29" s="50">
        <v>0</v>
      </c>
      <c r="L29" s="50">
        <v>1</v>
      </c>
      <c r="M29" s="50">
        <v>130</v>
      </c>
      <c r="N29" s="50">
        <v>0</v>
      </c>
      <c r="O29" s="15">
        <f t="shared" si="0"/>
        <v>136</v>
      </c>
      <c r="P29" s="15">
        <f t="shared" si="1"/>
        <v>266</v>
      </c>
      <c r="R29"/>
      <c r="S29" s="20"/>
      <c r="T29" s="19"/>
    </row>
    <row r="30" spans="2:32" ht="23.1" customHeight="1" x14ac:dyDescent="0.25">
      <c r="B30" s="23" t="s">
        <v>57</v>
      </c>
      <c r="C30" s="50">
        <v>36</v>
      </c>
      <c r="D30" s="50">
        <v>7</v>
      </c>
      <c r="E30" s="50">
        <v>8</v>
      </c>
      <c r="F30" s="50">
        <v>33</v>
      </c>
      <c r="G30" s="50">
        <v>2</v>
      </c>
      <c r="H30" s="50">
        <v>1</v>
      </c>
      <c r="I30" s="50">
        <v>16</v>
      </c>
      <c r="J30" s="50">
        <v>9</v>
      </c>
      <c r="K30" s="50">
        <v>4</v>
      </c>
      <c r="L30" s="50">
        <v>3</v>
      </c>
      <c r="M30" s="50">
        <v>90</v>
      </c>
      <c r="N30" s="50">
        <v>0</v>
      </c>
      <c r="O30" s="15">
        <f t="shared" si="0"/>
        <v>119</v>
      </c>
      <c r="P30" s="15">
        <f t="shared" si="1"/>
        <v>209</v>
      </c>
    </row>
    <row r="31" spans="2:32" ht="23.1" customHeight="1" x14ac:dyDescent="0.25">
      <c r="B31" s="24" t="s">
        <v>58</v>
      </c>
      <c r="C31" s="50">
        <v>37</v>
      </c>
      <c r="D31" s="50">
        <v>10</v>
      </c>
      <c r="E31" s="50">
        <v>8</v>
      </c>
      <c r="F31" s="50">
        <v>31</v>
      </c>
      <c r="G31" s="50">
        <v>4</v>
      </c>
      <c r="H31" s="50">
        <v>1</v>
      </c>
      <c r="I31" s="50">
        <v>11</v>
      </c>
      <c r="J31" s="50">
        <v>2</v>
      </c>
      <c r="K31" s="50">
        <v>4</v>
      </c>
      <c r="L31" s="50">
        <v>3</v>
      </c>
      <c r="M31" s="50">
        <v>135</v>
      </c>
      <c r="N31" s="50">
        <v>0</v>
      </c>
      <c r="O31" s="15">
        <f t="shared" si="0"/>
        <v>111</v>
      </c>
      <c r="P31" s="15">
        <f t="shared" si="1"/>
        <v>246</v>
      </c>
    </row>
    <row r="32" spans="2:32" ht="23.1" customHeight="1" x14ac:dyDescent="0.25">
      <c r="B32" s="24" t="s">
        <v>59</v>
      </c>
      <c r="C32" s="50">
        <v>33</v>
      </c>
      <c r="D32" s="50">
        <v>3</v>
      </c>
      <c r="E32" s="50">
        <v>3</v>
      </c>
      <c r="F32" s="50">
        <v>41</v>
      </c>
      <c r="G32" s="50">
        <v>1</v>
      </c>
      <c r="H32" s="50">
        <v>0</v>
      </c>
      <c r="I32" s="50">
        <v>7</v>
      </c>
      <c r="J32" s="50">
        <v>7</v>
      </c>
      <c r="K32" s="50">
        <v>1</v>
      </c>
      <c r="L32" s="50">
        <v>1</v>
      </c>
      <c r="M32" s="50">
        <v>110</v>
      </c>
      <c r="N32" s="50">
        <v>0</v>
      </c>
      <c r="O32" s="15">
        <f t="shared" si="0"/>
        <v>97</v>
      </c>
      <c r="P32" s="15">
        <f t="shared" si="1"/>
        <v>207</v>
      </c>
    </row>
    <row r="33" spans="2:20" ht="23.1" customHeight="1" x14ac:dyDescent="0.25">
      <c r="B33" s="23" t="s">
        <v>60</v>
      </c>
      <c r="C33" s="50">
        <v>25</v>
      </c>
      <c r="D33" s="50">
        <v>6</v>
      </c>
      <c r="E33" s="50">
        <v>3</v>
      </c>
      <c r="F33" s="50">
        <v>4</v>
      </c>
      <c r="G33" s="50">
        <v>2</v>
      </c>
      <c r="H33" s="50">
        <v>1</v>
      </c>
      <c r="I33" s="50">
        <v>19</v>
      </c>
      <c r="J33" s="50">
        <v>3</v>
      </c>
      <c r="K33" s="50">
        <v>3</v>
      </c>
      <c r="L33" s="50">
        <v>4</v>
      </c>
      <c r="M33" s="50">
        <v>104</v>
      </c>
      <c r="N33" s="50">
        <v>0</v>
      </c>
      <c r="O33" s="15">
        <f t="shared" si="0"/>
        <v>70</v>
      </c>
      <c r="P33" s="15">
        <f t="shared" si="1"/>
        <v>174</v>
      </c>
    </row>
    <row r="34" spans="2:20" ht="23.1" customHeight="1" x14ac:dyDescent="0.25">
      <c r="B34" s="24" t="s">
        <v>61</v>
      </c>
      <c r="C34" s="50">
        <v>44</v>
      </c>
      <c r="D34" s="50">
        <v>11</v>
      </c>
      <c r="E34" s="50">
        <v>4</v>
      </c>
      <c r="F34" s="50">
        <v>50</v>
      </c>
      <c r="G34" s="50">
        <v>2</v>
      </c>
      <c r="H34" s="50">
        <v>0</v>
      </c>
      <c r="I34" s="50">
        <v>15</v>
      </c>
      <c r="J34" s="50">
        <v>3</v>
      </c>
      <c r="K34" s="50">
        <v>3</v>
      </c>
      <c r="L34" s="50">
        <v>3</v>
      </c>
      <c r="M34" s="50">
        <v>135</v>
      </c>
      <c r="N34" s="50">
        <v>0</v>
      </c>
      <c r="O34" s="15">
        <f t="shared" si="0"/>
        <v>135</v>
      </c>
      <c r="P34" s="15">
        <f t="shared" si="1"/>
        <v>270</v>
      </c>
    </row>
    <row r="35" spans="2:20" ht="23.1" customHeight="1" x14ac:dyDescent="0.25">
      <c r="B35" s="24" t="s">
        <v>62</v>
      </c>
      <c r="C35" s="50">
        <v>24</v>
      </c>
      <c r="D35" s="50">
        <v>4</v>
      </c>
      <c r="E35" s="50">
        <v>6</v>
      </c>
      <c r="F35" s="50">
        <v>23</v>
      </c>
      <c r="G35" s="50">
        <v>2</v>
      </c>
      <c r="H35" s="50">
        <v>0</v>
      </c>
      <c r="I35" s="50">
        <v>9</v>
      </c>
      <c r="J35" s="50">
        <v>4</v>
      </c>
      <c r="K35" s="50">
        <v>2</v>
      </c>
      <c r="L35" s="50">
        <v>0</v>
      </c>
      <c r="M35" s="50">
        <v>120</v>
      </c>
      <c r="N35" s="50">
        <v>0</v>
      </c>
      <c r="O35" s="15">
        <f t="shared" si="0"/>
        <v>74</v>
      </c>
      <c r="P35" s="15">
        <f t="shared" si="1"/>
        <v>194</v>
      </c>
    </row>
    <row r="36" spans="2:20" ht="23.1" customHeight="1" x14ac:dyDescent="0.25">
      <c r="B36" s="24" t="s">
        <v>63</v>
      </c>
      <c r="C36" s="50">
        <v>17</v>
      </c>
      <c r="D36" s="50">
        <v>5</v>
      </c>
      <c r="E36" s="50">
        <v>1</v>
      </c>
      <c r="F36" s="50">
        <v>24</v>
      </c>
      <c r="G36" s="50">
        <v>1</v>
      </c>
      <c r="H36" s="50">
        <v>1</v>
      </c>
      <c r="I36" s="50">
        <v>9</v>
      </c>
      <c r="J36" s="50">
        <v>3</v>
      </c>
      <c r="K36" s="50">
        <v>0</v>
      </c>
      <c r="L36" s="50">
        <v>3</v>
      </c>
      <c r="M36" s="50">
        <v>69</v>
      </c>
      <c r="N36" s="50">
        <v>0</v>
      </c>
      <c r="O36" s="15">
        <f t="shared" si="0"/>
        <v>64</v>
      </c>
      <c r="P36" s="15">
        <f t="shared" si="1"/>
        <v>133</v>
      </c>
    </row>
    <row r="37" spans="2:20" ht="23.1" customHeight="1" x14ac:dyDescent="0.25">
      <c r="B37" s="23" t="s">
        <v>64</v>
      </c>
      <c r="C37" s="50">
        <v>24</v>
      </c>
      <c r="D37" s="50">
        <v>1</v>
      </c>
      <c r="E37" s="50">
        <v>3</v>
      </c>
      <c r="F37" s="50">
        <v>28</v>
      </c>
      <c r="G37" s="50">
        <v>0</v>
      </c>
      <c r="H37" s="50">
        <v>1</v>
      </c>
      <c r="I37" s="50">
        <v>7</v>
      </c>
      <c r="J37" s="50">
        <v>3</v>
      </c>
      <c r="K37" s="50">
        <v>3</v>
      </c>
      <c r="L37" s="50">
        <v>0</v>
      </c>
      <c r="M37" s="50">
        <v>40</v>
      </c>
      <c r="N37" s="50">
        <v>0</v>
      </c>
      <c r="O37" s="15">
        <f t="shared" si="0"/>
        <v>70</v>
      </c>
      <c r="P37" s="15">
        <f t="shared" si="1"/>
        <v>110</v>
      </c>
    </row>
    <row r="38" spans="2:20" ht="23.1" customHeight="1" x14ac:dyDescent="0.25">
      <c r="B38" s="24" t="s">
        <v>65</v>
      </c>
      <c r="C38" s="50">
        <v>25</v>
      </c>
      <c r="D38" s="50">
        <v>2</v>
      </c>
      <c r="E38" s="50">
        <v>9</v>
      </c>
      <c r="F38" s="50">
        <v>35</v>
      </c>
      <c r="G38" s="50">
        <v>1</v>
      </c>
      <c r="H38" s="50">
        <v>1</v>
      </c>
      <c r="I38" s="50">
        <v>10</v>
      </c>
      <c r="J38" s="50">
        <v>0</v>
      </c>
      <c r="K38" s="50">
        <v>2</v>
      </c>
      <c r="L38" s="50">
        <v>5</v>
      </c>
      <c r="M38" s="50">
        <v>75</v>
      </c>
      <c r="N38" s="50">
        <v>0</v>
      </c>
      <c r="O38" s="15">
        <f t="shared" si="0"/>
        <v>90</v>
      </c>
      <c r="P38" s="15">
        <f t="shared" si="1"/>
        <v>165</v>
      </c>
    </row>
    <row r="39" spans="2:20" ht="23.1" customHeight="1" x14ac:dyDescent="0.25">
      <c r="B39" s="24" t="s">
        <v>66</v>
      </c>
      <c r="C39" s="50">
        <v>24</v>
      </c>
      <c r="D39" s="50">
        <v>5</v>
      </c>
      <c r="E39" s="50">
        <v>5</v>
      </c>
      <c r="F39" s="50">
        <v>29</v>
      </c>
      <c r="G39" s="50">
        <v>1</v>
      </c>
      <c r="H39" s="50">
        <v>0</v>
      </c>
      <c r="I39" s="50">
        <v>12</v>
      </c>
      <c r="J39" s="50">
        <v>8</v>
      </c>
      <c r="K39" s="50">
        <v>2</v>
      </c>
      <c r="L39" s="50">
        <v>5</v>
      </c>
      <c r="M39" s="50">
        <v>80</v>
      </c>
      <c r="N39" s="50">
        <v>0</v>
      </c>
      <c r="O39" s="15">
        <f t="shared" si="0"/>
        <v>91</v>
      </c>
      <c r="P39" s="15">
        <f t="shared" si="1"/>
        <v>171</v>
      </c>
    </row>
    <row r="40" spans="2:20" ht="23.1" customHeight="1" x14ac:dyDescent="0.25">
      <c r="B40" s="24" t="s">
        <v>67</v>
      </c>
      <c r="C40" s="50">
        <v>23</v>
      </c>
      <c r="D40" s="50">
        <v>5</v>
      </c>
      <c r="E40" s="50">
        <v>7</v>
      </c>
      <c r="F40" s="50">
        <v>35</v>
      </c>
      <c r="G40" s="50">
        <v>1</v>
      </c>
      <c r="H40" s="50">
        <v>0</v>
      </c>
      <c r="I40" s="50">
        <v>9</v>
      </c>
      <c r="J40" s="50">
        <v>6</v>
      </c>
      <c r="K40" s="50">
        <v>3</v>
      </c>
      <c r="L40" s="50">
        <v>2</v>
      </c>
      <c r="M40" s="50">
        <v>110</v>
      </c>
      <c r="N40" s="50">
        <v>0</v>
      </c>
      <c r="O40" s="15">
        <f t="shared" si="0"/>
        <v>91</v>
      </c>
      <c r="P40" s="15">
        <f t="shared" si="1"/>
        <v>201</v>
      </c>
    </row>
    <row r="41" spans="2:20" ht="23.1" customHeight="1" x14ac:dyDescent="0.25">
      <c r="B41" s="23" t="s">
        <v>68</v>
      </c>
      <c r="C41" s="50">
        <v>32</v>
      </c>
      <c r="D41" s="50">
        <v>5</v>
      </c>
      <c r="E41" s="50">
        <v>8</v>
      </c>
      <c r="F41" s="50">
        <v>43</v>
      </c>
      <c r="G41" s="50">
        <v>1</v>
      </c>
      <c r="H41" s="50">
        <v>1</v>
      </c>
      <c r="I41" s="50">
        <v>19</v>
      </c>
      <c r="J41" s="50">
        <v>2</v>
      </c>
      <c r="K41" s="50">
        <v>1</v>
      </c>
      <c r="L41" s="50">
        <v>5</v>
      </c>
      <c r="M41" s="50">
        <v>95</v>
      </c>
      <c r="N41" s="50">
        <v>0</v>
      </c>
      <c r="O41" s="15">
        <f t="shared" si="0"/>
        <v>117</v>
      </c>
      <c r="P41" s="15">
        <f t="shared" si="1"/>
        <v>212</v>
      </c>
    </row>
    <row r="42" spans="2:20" ht="23.1" customHeight="1" x14ac:dyDescent="0.25">
      <c r="B42" s="24" t="s">
        <v>69</v>
      </c>
      <c r="C42" s="50">
        <v>40</v>
      </c>
      <c r="D42" s="50">
        <v>1</v>
      </c>
      <c r="E42" s="50">
        <v>8</v>
      </c>
      <c r="F42" s="50">
        <v>35</v>
      </c>
      <c r="G42" s="50">
        <v>0</v>
      </c>
      <c r="H42" s="50">
        <v>0</v>
      </c>
      <c r="I42" s="50">
        <v>19</v>
      </c>
      <c r="J42" s="50">
        <v>4</v>
      </c>
      <c r="K42" s="50">
        <v>1</v>
      </c>
      <c r="L42" s="50">
        <v>1</v>
      </c>
      <c r="M42" s="50">
        <v>125</v>
      </c>
      <c r="N42" s="50">
        <v>0</v>
      </c>
      <c r="O42" s="15">
        <f t="shared" si="0"/>
        <v>109</v>
      </c>
      <c r="P42" s="15">
        <f t="shared" si="1"/>
        <v>234</v>
      </c>
    </row>
    <row r="43" spans="2:20" ht="23.1" customHeight="1" x14ac:dyDescent="0.25">
      <c r="B43" s="23" t="s">
        <v>70</v>
      </c>
      <c r="C43" s="50">
        <v>32</v>
      </c>
      <c r="D43" s="50">
        <v>6</v>
      </c>
      <c r="E43" s="50">
        <v>8</v>
      </c>
      <c r="F43" s="50">
        <v>32</v>
      </c>
      <c r="G43" s="50">
        <v>1</v>
      </c>
      <c r="H43" s="50">
        <v>0</v>
      </c>
      <c r="I43" s="50">
        <v>13</v>
      </c>
      <c r="J43" s="50">
        <v>5</v>
      </c>
      <c r="K43" s="50">
        <v>0</v>
      </c>
      <c r="L43" s="50">
        <v>2</v>
      </c>
      <c r="M43" s="50">
        <v>80</v>
      </c>
      <c r="N43" s="50">
        <v>0</v>
      </c>
      <c r="O43" s="15">
        <f t="shared" si="0"/>
        <v>99</v>
      </c>
      <c r="P43" s="15">
        <f t="shared" si="1"/>
        <v>179</v>
      </c>
    </row>
    <row r="44" spans="2:20" ht="23.1" customHeight="1" x14ac:dyDescent="0.25">
      <c r="B44" s="25" t="s">
        <v>71</v>
      </c>
      <c r="C44" s="50">
        <v>31</v>
      </c>
      <c r="D44" s="50">
        <v>5</v>
      </c>
      <c r="E44" s="50">
        <v>7</v>
      </c>
      <c r="F44" s="50">
        <v>24</v>
      </c>
      <c r="G44" s="50">
        <v>2</v>
      </c>
      <c r="H44" s="50">
        <v>0</v>
      </c>
      <c r="I44" s="50">
        <v>13</v>
      </c>
      <c r="J44" s="50">
        <v>6</v>
      </c>
      <c r="K44" s="50">
        <v>2</v>
      </c>
      <c r="L44" s="50">
        <v>5</v>
      </c>
      <c r="M44" s="50">
        <v>75</v>
      </c>
      <c r="N44" s="50">
        <v>0</v>
      </c>
      <c r="O44" s="15">
        <f t="shared" si="0"/>
        <v>95</v>
      </c>
      <c r="P44" s="15">
        <f t="shared" si="1"/>
        <v>170</v>
      </c>
    </row>
    <row r="45" spans="2:20" ht="23.1" customHeight="1" x14ac:dyDescent="0.25">
      <c r="B45" s="23" t="s">
        <v>72</v>
      </c>
      <c r="C45" s="50">
        <v>29</v>
      </c>
      <c r="D45" s="50">
        <v>1</v>
      </c>
      <c r="E45" s="50">
        <v>5</v>
      </c>
      <c r="F45" s="50">
        <v>37</v>
      </c>
      <c r="G45" s="50">
        <v>1</v>
      </c>
      <c r="H45" s="50">
        <v>0</v>
      </c>
      <c r="I45" s="50">
        <v>14</v>
      </c>
      <c r="J45" s="50">
        <v>10</v>
      </c>
      <c r="K45" s="50">
        <v>4</v>
      </c>
      <c r="L45" s="50">
        <v>1</v>
      </c>
      <c r="M45" s="50">
        <v>85</v>
      </c>
      <c r="N45" s="50">
        <v>0</v>
      </c>
      <c r="O45" s="15">
        <f t="shared" si="0"/>
        <v>102</v>
      </c>
      <c r="P45" s="15">
        <f t="shared" si="1"/>
        <v>187</v>
      </c>
    </row>
    <row r="46" spans="2:20" ht="23.1" customHeight="1" x14ac:dyDescent="0.25">
      <c r="B46" s="24" t="s">
        <v>73</v>
      </c>
      <c r="C46" s="50">
        <v>34</v>
      </c>
      <c r="D46" s="50">
        <v>7</v>
      </c>
      <c r="E46" s="50">
        <v>7</v>
      </c>
      <c r="F46" s="50">
        <v>45</v>
      </c>
      <c r="G46" s="50">
        <v>3</v>
      </c>
      <c r="H46" s="50">
        <v>0</v>
      </c>
      <c r="I46" s="50">
        <v>9</v>
      </c>
      <c r="J46" s="50">
        <v>7</v>
      </c>
      <c r="K46" s="50">
        <v>0</v>
      </c>
      <c r="L46" s="50">
        <v>2</v>
      </c>
      <c r="M46" s="50">
        <v>135</v>
      </c>
      <c r="N46" s="50">
        <v>0</v>
      </c>
      <c r="O46" s="15">
        <f t="shared" si="0"/>
        <v>114</v>
      </c>
      <c r="P46" s="15">
        <f t="shared" si="1"/>
        <v>249</v>
      </c>
      <c r="R46" s="8"/>
      <c r="T46"/>
    </row>
    <row r="47" spans="2:20" ht="23.1" customHeight="1" x14ac:dyDescent="0.25">
      <c r="B47" s="24" t="s">
        <v>74</v>
      </c>
      <c r="C47" s="50">
        <v>37</v>
      </c>
      <c r="D47" s="50">
        <v>3</v>
      </c>
      <c r="E47" s="50">
        <v>4</v>
      </c>
      <c r="F47" s="50">
        <v>36</v>
      </c>
      <c r="G47" s="50">
        <v>1</v>
      </c>
      <c r="H47" s="50">
        <v>0</v>
      </c>
      <c r="I47" s="50">
        <v>16</v>
      </c>
      <c r="J47" s="50">
        <v>6</v>
      </c>
      <c r="K47" s="50">
        <v>4</v>
      </c>
      <c r="L47" s="50">
        <v>5</v>
      </c>
      <c r="M47" s="50">
        <v>125</v>
      </c>
      <c r="N47" s="50">
        <v>0</v>
      </c>
      <c r="O47" s="15">
        <f t="shared" si="0"/>
        <v>112</v>
      </c>
      <c r="P47" s="15">
        <f t="shared" si="1"/>
        <v>237</v>
      </c>
      <c r="R47" s="8"/>
      <c r="T47"/>
    </row>
    <row r="48" spans="2:20" ht="23.1" customHeight="1" x14ac:dyDescent="0.25">
      <c r="B48" s="24" t="s">
        <v>75</v>
      </c>
      <c r="C48" s="50">
        <v>36</v>
      </c>
      <c r="D48" s="50">
        <v>3</v>
      </c>
      <c r="E48" s="50">
        <v>5</v>
      </c>
      <c r="F48" s="50">
        <v>44</v>
      </c>
      <c r="G48" s="50">
        <v>3</v>
      </c>
      <c r="H48" s="50">
        <v>1</v>
      </c>
      <c r="I48" s="50">
        <v>11</v>
      </c>
      <c r="J48" s="50">
        <v>7</v>
      </c>
      <c r="K48" s="50">
        <v>3</v>
      </c>
      <c r="L48" s="50">
        <v>5</v>
      </c>
      <c r="M48" s="50">
        <v>110</v>
      </c>
      <c r="N48" s="50">
        <v>0</v>
      </c>
      <c r="O48" s="15">
        <f t="shared" si="0"/>
        <v>118</v>
      </c>
      <c r="P48" s="15">
        <f t="shared" si="1"/>
        <v>228</v>
      </c>
      <c r="R48" s="8"/>
      <c r="T48"/>
    </row>
    <row r="49" spans="2:20" ht="23.1" customHeight="1" x14ac:dyDescent="0.25">
      <c r="B49" s="23" t="s">
        <v>76</v>
      </c>
      <c r="C49" s="50">
        <v>37</v>
      </c>
      <c r="D49" s="50">
        <v>7</v>
      </c>
      <c r="E49" s="50">
        <v>8</v>
      </c>
      <c r="F49" s="50">
        <v>37</v>
      </c>
      <c r="G49" s="50">
        <v>1</v>
      </c>
      <c r="H49" s="50">
        <v>0</v>
      </c>
      <c r="I49" s="50">
        <v>11</v>
      </c>
      <c r="J49" s="50">
        <v>3</v>
      </c>
      <c r="K49" s="50">
        <v>1</v>
      </c>
      <c r="L49" s="50">
        <v>2</v>
      </c>
      <c r="M49" s="50">
        <v>115</v>
      </c>
      <c r="N49" s="50">
        <v>0</v>
      </c>
      <c r="O49" s="15">
        <f t="shared" si="0"/>
        <v>107</v>
      </c>
      <c r="P49" s="15">
        <f t="shared" si="1"/>
        <v>222</v>
      </c>
      <c r="R49" s="8"/>
      <c r="T49"/>
    </row>
    <row r="50" spans="2:20" ht="23.1" customHeight="1" x14ac:dyDescent="0.25">
      <c r="B50" s="24" t="s">
        <v>77</v>
      </c>
      <c r="C50" s="50">
        <v>47</v>
      </c>
      <c r="D50" s="50">
        <v>3</v>
      </c>
      <c r="E50" s="50">
        <v>4</v>
      </c>
      <c r="F50" s="50">
        <v>31</v>
      </c>
      <c r="G50" s="50">
        <v>0</v>
      </c>
      <c r="H50" s="50">
        <v>1</v>
      </c>
      <c r="I50" s="50">
        <v>7</v>
      </c>
      <c r="J50" s="50">
        <v>3</v>
      </c>
      <c r="K50" s="50">
        <v>1</v>
      </c>
      <c r="L50" s="50">
        <v>1</v>
      </c>
      <c r="M50" s="50">
        <v>80</v>
      </c>
      <c r="N50" s="50">
        <v>0</v>
      </c>
      <c r="O50" s="15">
        <f t="shared" si="0"/>
        <v>98</v>
      </c>
      <c r="P50" s="15">
        <f t="shared" si="1"/>
        <v>178</v>
      </c>
      <c r="R50" s="8"/>
      <c r="T50"/>
    </row>
    <row r="51" spans="2:20" ht="23.1" customHeight="1" x14ac:dyDescent="0.25">
      <c r="B51" s="24" t="s">
        <v>78</v>
      </c>
      <c r="C51" s="50">
        <v>33</v>
      </c>
      <c r="D51" s="50">
        <v>2</v>
      </c>
      <c r="E51" s="50">
        <v>1</v>
      </c>
      <c r="F51" s="50">
        <v>33</v>
      </c>
      <c r="G51" s="50">
        <v>3</v>
      </c>
      <c r="H51" s="50">
        <v>0</v>
      </c>
      <c r="I51" s="50">
        <v>7</v>
      </c>
      <c r="J51" s="50">
        <v>7</v>
      </c>
      <c r="K51" s="50">
        <v>3</v>
      </c>
      <c r="L51" s="50">
        <v>3</v>
      </c>
      <c r="M51" s="50">
        <v>111</v>
      </c>
      <c r="N51" s="50">
        <v>0</v>
      </c>
      <c r="O51" s="15">
        <f t="shared" si="0"/>
        <v>92</v>
      </c>
      <c r="P51" s="15">
        <f t="shared" si="1"/>
        <v>203</v>
      </c>
      <c r="R51" s="8"/>
      <c r="T51"/>
    </row>
    <row r="52" spans="2:20" ht="23.1" customHeight="1" x14ac:dyDescent="0.25">
      <c r="B52" s="24" t="s">
        <v>79</v>
      </c>
      <c r="C52" s="50">
        <v>45</v>
      </c>
      <c r="D52" s="50">
        <v>4</v>
      </c>
      <c r="E52" s="50">
        <v>3</v>
      </c>
      <c r="F52" s="50">
        <v>31</v>
      </c>
      <c r="G52" s="50">
        <v>0</v>
      </c>
      <c r="H52" s="50">
        <v>0</v>
      </c>
      <c r="I52" s="50">
        <v>2</v>
      </c>
      <c r="J52" s="50">
        <v>5</v>
      </c>
      <c r="K52" s="50">
        <v>1</v>
      </c>
      <c r="L52" s="50">
        <v>1</v>
      </c>
      <c r="M52" s="50">
        <v>110</v>
      </c>
      <c r="N52" s="50">
        <v>0</v>
      </c>
      <c r="O52" s="15">
        <f t="shared" si="0"/>
        <v>92</v>
      </c>
      <c r="P52" s="15">
        <f t="shared" si="1"/>
        <v>202</v>
      </c>
      <c r="R52" s="8"/>
      <c r="T52"/>
    </row>
    <row r="53" spans="2:20" ht="23.1" customHeight="1" x14ac:dyDescent="0.25">
      <c r="B53" s="23" t="s">
        <v>80</v>
      </c>
      <c r="C53" s="50">
        <v>26</v>
      </c>
      <c r="D53" s="50">
        <v>9</v>
      </c>
      <c r="E53" s="50">
        <v>3</v>
      </c>
      <c r="F53" s="50">
        <v>27</v>
      </c>
      <c r="G53" s="50">
        <v>1</v>
      </c>
      <c r="H53" s="50">
        <v>0</v>
      </c>
      <c r="I53" s="50">
        <v>11</v>
      </c>
      <c r="J53" s="50">
        <v>9</v>
      </c>
      <c r="K53" s="50">
        <v>2</v>
      </c>
      <c r="L53" s="50">
        <v>2</v>
      </c>
      <c r="M53" s="50">
        <v>110</v>
      </c>
      <c r="N53" s="50">
        <v>0</v>
      </c>
      <c r="O53" s="15">
        <f t="shared" si="0"/>
        <v>90</v>
      </c>
      <c r="P53" s="15">
        <f t="shared" si="1"/>
        <v>200</v>
      </c>
      <c r="R53" s="8"/>
      <c r="T53"/>
    </row>
    <row r="54" spans="2:20" ht="23.1" customHeight="1" x14ac:dyDescent="0.25">
      <c r="B54" s="23" t="s">
        <v>81</v>
      </c>
      <c r="C54" s="50">
        <v>52</v>
      </c>
      <c r="D54" s="50">
        <v>4</v>
      </c>
      <c r="E54" s="50">
        <v>2</v>
      </c>
      <c r="F54" s="50">
        <v>46</v>
      </c>
      <c r="G54" s="50">
        <v>4</v>
      </c>
      <c r="H54" s="50">
        <v>0</v>
      </c>
      <c r="I54" s="50">
        <v>16</v>
      </c>
      <c r="J54" s="50">
        <v>5</v>
      </c>
      <c r="K54" s="50">
        <v>2</v>
      </c>
      <c r="L54" s="50">
        <v>1</v>
      </c>
      <c r="M54" s="50">
        <v>154</v>
      </c>
      <c r="N54" s="50">
        <v>0</v>
      </c>
      <c r="O54" s="15">
        <f t="shared" si="0"/>
        <v>132</v>
      </c>
      <c r="P54" s="15">
        <f t="shared" si="1"/>
        <v>286</v>
      </c>
      <c r="R54" s="8"/>
      <c r="T54"/>
    </row>
    <row r="55" spans="2:20" ht="23.1" customHeight="1" x14ac:dyDescent="0.25">
      <c r="B55" s="23" t="s">
        <v>82</v>
      </c>
      <c r="C55" s="50">
        <v>42</v>
      </c>
      <c r="D55" s="50">
        <v>8</v>
      </c>
      <c r="E55" s="50">
        <v>0</v>
      </c>
      <c r="F55" s="50">
        <v>24</v>
      </c>
      <c r="G55" s="50">
        <v>1</v>
      </c>
      <c r="H55" s="50">
        <v>0</v>
      </c>
      <c r="I55" s="50">
        <v>12</v>
      </c>
      <c r="J55" s="50">
        <v>2</v>
      </c>
      <c r="K55" s="50">
        <v>0</v>
      </c>
      <c r="L55" s="50">
        <v>1</v>
      </c>
      <c r="M55" s="50">
        <v>175</v>
      </c>
      <c r="N55" s="50">
        <v>0</v>
      </c>
      <c r="O55" s="15">
        <f t="shared" si="0"/>
        <v>90</v>
      </c>
      <c r="P55" s="15">
        <f t="shared" si="1"/>
        <v>265</v>
      </c>
      <c r="R55" s="8"/>
      <c r="T55"/>
    </row>
    <row r="56" spans="2:20" ht="23.1" customHeight="1" x14ac:dyDescent="0.25">
      <c r="B56" s="23" t="s">
        <v>83</v>
      </c>
      <c r="C56" s="50">
        <v>37</v>
      </c>
      <c r="D56" s="50">
        <v>7</v>
      </c>
      <c r="E56" s="50">
        <v>6</v>
      </c>
      <c r="F56" s="50">
        <v>31</v>
      </c>
      <c r="G56" s="50">
        <v>3</v>
      </c>
      <c r="H56" s="50">
        <v>0</v>
      </c>
      <c r="I56" s="50">
        <v>9</v>
      </c>
      <c r="J56" s="50">
        <v>8</v>
      </c>
      <c r="K56" s="50">
        <v>2</v>
      </c>
      <c r="L56" s="50">
        <v>5</v>
      </c>
      <c r="M56" s="50">
        <v>145</v>
      </c>
      <c r="N56" s="50">
        <v>0</v>
      </c>
      <c r="O56" s="15">
        <f t="shared" si="0"/>
        <v>108</v>
      </c>
      <c r="P56" s="15">
        <f t="shared" si="1"/>
        <v>253</v>
      </c>
      <c r="R56" s="8"/>
      <c r="T56"/>
    </row>
    <row r="57" spans="2:20" ht="23.1" customHeight="1" x14ac:dyDescent="0.25">
      <c r="B57" s="23" t="s">
        <v>84</v>
      </c>
      <c r="C57" s="50">
        <v>44</v>
      </c>
      <c r="D57" s="50">
        <v>7</v>
      </c>
      <c r="E57" s="50">
        <v>5</v>
      </c>
      <c r="F57" s="50">
        <v>46</v>
      </c>
      <c r="G57" s="50">
        <v>5</v>
      </c>
      <c r="H57" s="50">
        <v>0</v>
      </c>
      <c r="I57" s="50">
        <v>10</v>
      </c>
      <c r="J57" s="50">
        <v>2</v>
      </c>
      <c r="K57" s="50">
        <v>6</v>
      </c>
      <c r="L57" s="50">
        <v>6</v>
      </c>
      <c r="M57" s="50">
        <v>190</v>
      </c>
      <c r="N57" s="50">
        <v>0</v>
      </c>
      <c r="O57" s="15">
        <f t="shared" si="0"/>
        <v>131</v>
      </c>
      <c r="P57" s="15">
        <f t="shared" si="1"/>
        <v>321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1609</v>
      </c>
      <c r="D58" s="16">
        <f t="shared" si="21"/>
        <v>224</v>
      </c>
      <c r="E58" s="16">
        <f t="shared" si="21"/>
        <v>246</v>
      </c>
      <c r="F58" s="16">
        <f t="shared" si="21"/>
        <v>1784</v>
      </c>
      <c r="G58" s="16">
        <f t="shared" si="21"/>
        <v>77</v>
      </c>
      <c r="H58" s="16">
        <f t="shared" si="21"/>
        <v>20</v>
      </c>
      <c r="I58" s="16">
        <f t="shared" si="21"/>
        <v>544</v>
      </c>
      <c r="J58" s="16">
        <f t="shared" si="21"/>
        <v>169</v>
      </c>
      <c r="K58" s="16">
        <f t="shared" si="21"/>
        <v>95</v>
      </c>
      <c r="L58" s="16">
        <f t="shared" si="21"/>
        <v>125</v>
      </c>
      <c r="M58" s="16">
        <f t="shared" si="21"/>
        <v>6776</v>
      </c>
      <c r="N58" s="16">
        <f t="shared" si="21"/>
        <v>2</v>
      </c>
      <c r="O58" s="16">
        <f t="shared" si="21"/>
        <v>4895</v>
      </c>
      <c r="P58" s="16">
        <f t="shared" si="21"/>
        <v>11671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0.13786307942764117</v>
      </c>
      <c r="D59" s="43">
        <f t="shared" si="22"/>
        <v>1.9192871219261418E-2</v>
      </c>
      <c r="E59" s="43">
        <f t="shared" si="22"/>
        <v>2.107788535686745E-2</v>
      </c>
      <c r="F59" s="43">
        <f t="shared" si="22"/>
        <v>0.15285751006768913</v>
      </c>
      <c r="G59" s="43">
        <f t="shared" si="22"/>
        <v>6.5975494816211122E-3</v>
      </c>
      <c r="H59" s="43">
        <f t="shared" si="22"/>
        <v>1.7136492160054837E-3</v>
      </c>
      <c r="I59" s="43">
        <f t="shared" si="22"/>
        <v>4.6611258675349154E-2</v>
      </c>
      <c r="J59" s="43">
        <f t="shared" si="22"/>
        <v>1.4480335875246338E-2</v>
      </c>
      <c r="K59" s="43">
        <f t="shared" si="22"/>
        <v>8.1398337760260481E-3</v>
      </c>
      <c r="L59" s="43">
        <f t="shared" si="22"/>
        <v>1.0710307600034273E-2</v>
      </c>
      <c r="M59" s="43">
        <f t="shared" si="22"/>
        <v>0.58058435438265787</v>
      </c>
      <c r="N59" s="43">
        <f t="shared" si="22"/>
        <v>1.7136492160054837E-4</v>
      </c>
      <c r="R59" s="8"/>
      <c r="T59"/>
    </row>
    <row r="60" spans="2:20" ht="23.1" customHeight="1" x14ac:dyDescent="0.25">
      <c r="B60" s="42" t="s">
        <v>94</v>
      </c>
      <c r="C60" s="44">
        <f>C58/$O$58</f>
        <v>0.32870275791624104</v>
      </c>
      <c r="D60" s="44">
        <f t="shared" ref="D60:N60" si="23">D58/$O$58</f>
        <v>4.5760980592441269E-2</v>
      </c>
      <c r="E60" s="44">
        <f t="shared" si="23"/>
        <v>5.0255362614913174E-2</v>
      </c>
      <c r="F60" s="44">
        <f t="shared" si="23"/>
        <v>0.36445352400408582</v>
      </c>
      <c r="G60" s="44">
        <f t="shared" si="23"/>
        <v>1.5730337078651686E-2</v>
      </c>
      <c r="H60" s="44">
        <f t="shared" si="23"/>
        <v>4.0858018386108275E-3</v>
      </c>
      <c r="I60" s="44">
        <f t="shared" si="23"/>
        <v>0.11113381001021451</v>
      </c>
      <c r="J60" s="44">
        <f t="shared" si="23"/>
        <v>3.4525025536261494E-2</v>
      </c>
      <c r="K60" s="44">
        <f t="shared" si="23"/>
        <v>1.9407558733401432E-2</v>
      </c>
      <c r="L60" s="44">
        <f t="shared" si="23"/>
        <v>2.5536261491317672E-2</v>
      </c>
      <c r="M60" s="44"/>
      <c r="N60" s="44">
        <f t="shared" si="23"/>
        <v>4.0858018386108274E-4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  <c r="S63" s="8">
        <v>0</v>
      </c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kawempe-Bwaise'!C3:G3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Bwaise-Kawempe'!D5</f>
        <v>24.07.19</v>
      </c>
      <c r="E5" s="3"/>
      <c r="F5" s="41" t="s">
        <v>1</v>
      </c>
      <c r="G5" s="63" t="str">
        <f>'22.07 Bwaise-Kawempe'!G5:H5</f>
        <v>Before Steel and Tube</v>
      </c>
      <c r="H5" s="64"/>
      <c r="I5" s="14"/>
      <c r="J5" s="2" t="s">
        <v>5</v>
      </c>
      <c r="K5" s="63" t="s">
        <v>177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kawempe-Bwaise'!D6:E6</f>
        <v>Kawempe</v>
      </c>
      <c r="E6" s="64"/>
      <c r="F6" s="2" t="s">
        <v>2</v>
      </c>
      <c r="G6" s="63" t="str">
        <f>'22.07 kawempe-Bwaise'!G6:H6</f>
        <v>Bwaise</v>
      </c>
      <c r="H6" s="64"/>
      <c r="J6" s="2" t="s">
        <v>21</v>
      </c>
      <c r="K6" s="63" t="str">
        <f>'22.07 Bwaise-Kawempe'!K6:L6</f>
        <v>Salima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63</v>
      </c>
      <c r="D10" s="50">
        <v>10</v>
      </c>
      <c r="E10" s="50">
        <v>5</v>
      </c>
      <c r="F10" s="50">
        <v>72</v>
      </c>
      <c r="G10" s="50">
        <v>3</v>
      </c>
      <c r="H10" s="50">
        <v>1</v>
      </c>
      <c r="I10" s="50">
        <v>5</v>
      </c>
      <c r="J10" s="50">
        <v>6</v>
      </c>
      <c r="K10" s="50">
        <v>4</v>
      </c>
      <c r="L10" s="50">
        <v>0</v>
      </c>
      <c r="M10" s="50">
        <v>175</v>
      </c>
      <c r="N10" s="50">
        <v>0</v>
      </c>
      <c r="O10" s="15">
        <f t="shared" ref="O10:O57" si="0">SUM(C10:L10,N10)</f>
        <v>169</v>
      </c>
      <c r="P10" s="15">
        <f t="shared" ref="P10:P57" si="1">SUM(C10:N10)</f>
        <v>344</v>
      </c>
      <c r="R10" s="1" t="s">
        <v>6</v>
      </c>
      <c r="S10" s="17">
        <f t="shared" ref="S10:AF10" si="2">SUM(C10:C13)</f>
        <v>233</v>
      </c>
      <c r="T10" s="17">
        <f t="shared" si="2"/>
        <v>45</v>
      </c>
      <c r="U10" s="17">
        <f t="shared" si="2"/>
        <v>27</v>
      </c>
      <c r="V10" s="17">
        <f t="shared" si="2"/>
        <v>241</v>
      </c>
      <c r="W10" s="17">
        <f t="shared" si="2"/>
        <v>9</v>
      </c>
      <c r="X10" s="17">
        <f t="shared" si="2"/>
        <v>1</v>
      </c>
      <c r="Y10" s="17">
        <f t="shared" si="2"/>
        <v>28</v>
      </c>
      <c r="Z10" s="17">
        <f t="shared" si="2"/>
        <v>24</v>
      </c>
      <c r="AA10" s="17">
        <f t="shared" si="2"/>
        <v>18</v>
      </c>
      <c r="AB10" s="17">
        <f t="shared" si="2"/>
        <v>3</v>
      </c>
      <c r="AC10" s="17">
        <f t="shared" si="2"/>
        <v>810</v>
      </c>
      <c r="AD10" s="17">
        <f t="shared" si="2"/>
        <v>0</v>
      </c>
      <c r="AE10" s="31">
        <f t="shared" si="2"/>
        <v>629</v>
      </c>
      <c r="AF10" s="31">
        <f t="shared" si="2"/>
        <v>1439</v>
      </c>
    </row>
    <row r="11" spans="2:32" s="6" customFormat="1" ht="23.1" customHeight="1" x14ac:dyDescent="0.25">
      <c r="B11" s="23" t="s">
        <v>38</v>
      </c>
      <c r="C11" s="50">
        <v>61</v>
      </c>
      <c r="D11" s="50">
        <v>16</v>
      </c>
      <c r="E11" s="50">
        <v>7</v>
      </c>
      <c r="F11" s="50">
        <v>59</v>
      </c>
      <c r="G11" s="50">
        <v>4</v>
      </c>
      <c r="H11" s="50">
        <v>0</v>
      </c>
      <c r="I11" s="50">
        <v>9</v>
      </c>
      <c r="J11" s="50">
        <v>9</v>
      </c>
      <c r="K11" s="50">
        <v>3</v>
      </c>
      <c r="L11" s="50">
        <v>1</v>
      </c>
      <c r="M11" s="50">
        <v>200</v>
      </c>
      <c r="N11" s="50">
        <v>0</v>
      </c>
      <c r="O11" s="15">
        <f t="shared" si="0"/>
        <v>169</v>
      </c>
      <c r="P11" s="15">
        <f t="shared" si="1"/>
        <v>369</v>
      </c>
      <c r="R11" s="1" t="s">
        <v>7</v>
      </c>
      <c r="S11" s="17">
        <f t="shared" ref="S11:AF11" si="3">SUM(C14:C17)</f>
        <v>205</v>
      </c>
      <c r="T11" s="17">
        <f t="shared" si="3"/>
        <v>37</v>
      </c>
      <c r="U11" s="17">
        <f t="shared" si="3"/>
        <v>27</v>
      </c>
      <c r="V11" s="17">
        <f t="shared" si="3"/>
        <v>256</v>
      </c>
      <c r="W11" s="17">
        <f t="shared" si="3"/>
        <v>8</v>
      </c>
      <c r="X11" s="17">
        <f t="shared" si="3"/>
        <v>1</v>
      </c>
      <c r="Y11" s="17">
        <f t="shared" si="3"/>
        <v>26</v>
      </c>
      <c r="Z11" s="17">
        <f t="shared" si="3"/>
        <v>23</v>
      </c>
      <c r="AA11" s="17">
        <f t="shared" si="3"/>
        <v>8</v>
      </c>
      <c r="AB11" s="17">
        <f t="shared" si="3"/>
        <v>7</v>
      </c>
      <c r="AC11" s="17">
        <f t="shared" si="3"/>
        <v>1015</v>
      </c>
      <c r="AD11" s="17">
        <f t="shared" si="3"/>
        <v>0</v>
      </c>
      <c r="AE11" s="31">
        <f t="shared" si="3"/>
        <v>598</v>
      </c>
      <c r="AF11" s="31">
        <f t="shared" si="3"/>
        <v>1613</v>
      </c>
    </row>
    <row r="12" spans="2:32" ht="23.1" customHeight="1" x14ac:dyDescent="0.25">
      <c r="B12" s="23" t="s">
        <v>39</v>
      </c>
      <c r="C12" s="50">
        <v>63</v>
      </c>
      <c r="D12" s="50">
        <v>9</v>
      </c>
      <c r="E12" s="50">
        <v>10</v>
      </c>
      <c r="F12" s="50">
        <v>51</v>
      </c>
      <c r="G12" s="50">
        <v>2</v>
      </c>
      <c r="H12" s="50">
        <v>0</v>
      </c>
      <c r="I12" s="50">
        <v>5</v>
      </c>
      <c r="J12" s="50">
        <v>6</v>
      </c>
      <c r="K12" s="50">
        <v>7</v>
      </c>
      <c r="L12" s="50">
        <v>0</v>
      </c>
      <c r="M12" s="50">
        <v>210</v>
      </c>
      <c r="N12" s="50">
        <v>0</v>
      </c>
      <c r="O12" s="15">
        <f t="shared" si="0"/>
        <v>153</v>
      </c>
      <c r="P12" s="15">
        <f t="shared" si="1"/>
        <v>363</v>
      </c>
      <c r="R12" s="1" t="s">
        <v>8</v>
      </c>
      <c r="S12" s="17">
        <f t="shared" ref="S12:AF12" si="4">SUM(C18:C21)</f>
        <v>197</v>
      </c>
      <c r="T12" s="17">
        <f t="shared" si="4"/>
        <v>50</v>
      </c>
      <c r="U12" s="17">
        <f t="shared" si="4"/>
        <v>25</v>
      </c>
      <c r="V12" s="17">
        <f t="shared" si="4"/>
        <v>203</v>
      </c>
      <c r="W12" s="17">
        <f t="shared" si="4"/>
        <v>15</v>
      </c>
      <c r="X12" s="17">
        <f t="shared" si="4"/>
        <v>0</v>
      </c>
      <c r="Y12" s="17">
        <f t="shared" si="4"/>
        <v>37</v>
      </c>
      <c r="Z12" s="17">
        <f t="shared" si="4"/>
        <v>44</v>
      </c>
      <c r="AA12" s="17">
        <f t="shared" si="4"/>
        <v>8</v>
      </c>
      <c r="AB12" s="17">
        <f t="shared" si="4"/>
        <v>8</v>
      </c>
      <c r="AC12" s="17">
        <f t="shared" si="4"/>
        <v>861</v>
      </c>
      <c r="AD12" s="17">
        <f t="shared" si="4"/>
        <v>0</v>
      </c>
      <c r="AE12" s="31">
        <f t="shared" si="4"/>
        <v>587</v>
      </c>
      <c r="AF12" s="31">
        <f t="shared" si="4"/>
        <v>1448</v>
      </c>
    </row>
    <row r="13" spans="2:32" ht="23.1" customHeight="1" x14ac:dyDescent="0.25">
      <c r="B13" s="23" t="s">
        <v>40</v>
      </c>
      <c r="C13" s="50">
        <v>46</v>
      </c>
      <c r="D13" s="50">
        <v>10</v>
      </c>
      <c r="E13" s="50">
        <v>5</v>
      </c>
      <c r="F13" s="50">
        <v>59</v>
      </c>
      <c r="G13" s="50">
        <v>0</v>
      </c>
      <c r="H13" s="50">
        <v>0</v>
      </c>
      <c r="I13" s="50">
        <v>9</v>
      </c>
      <c r="J13" s="50">
        <v>3</v>
      </c>
      <c r="K13" s="50">
        <v>4</v>
      </c>
      <c r="L13" s="50">
        <v>2</v>
      </c>
      <c r="M13" s="50">
        <v>225</v>
      </c>
      <c r="N13" s="50">
        <v>0</v>
      </c>
      <c r="O13" s="15">
        <f t="shared" si="0"/>
        <v>138</v>
      </c>
      <c r="P13" s="15">
        <f t="shared" si="1"/>
        <v>363</v>
      </c>
      <c r="R13" s="1" t="s">
        <v>9</v>
      </c>
      <c r="S13" s="17">
        <f t="shared" ref="S13:AF13" si="5">SUM(C22:C25)</f>
        <v>176</v>
      </c>
      <c r="T13" s="17">
        <f t="shared" si="5"/>
        <v>38</v>
      </c>
      <c r="U13" s="17">
        <f t="shared" si="5"/>
        <v>28</v>
      </c>
      <c r="V13" s="17">
        <f t="shared" si="5"/>
        <v>213</v>
      </c>
      <c r="W13" s="17">
        <f t="shared" si="5"/>
        <v>3</v>
      </c>
      <c r="X13" s="17">
        <f t="shared" si="5"/>
        <v>3</v>
      </c>
      <c r="Y13" s="17">
        <f t="shared" si="5"/>
        <v>41</v>
      </c>
      <c r="Z13" s="17">
        <f t="shared" si="5"/>
        <v>41</v>
      </c>
      <c r="AA13" s="17">
        <f t="shared" si="5"/>
        <v>11</v>
      </c>
      <c r="AB13" s="17">
        <f t="shared" si="5"/>
        <v>1</v>
      </c>
      <c r="AC13" s="17">
        <f t="shared" si="5"/>
        <v>726</v>
      </c>
      <c r="AD13" s="17">
        <f t="shared" si="5"/>
        <v>0</v>
      </c>
      <c r="AE13" s="31">
        <f t="shared" si="5"/>
        <v>555</v>
      </c>
      <c r="AF13" s="31">
        <f t="shared" si="5"/>
        <v>1281</v>
      </c>
    </row>
    <row r="14" spans="2:32" ht="23.1" customHeight="1" x14ac:dyDescent="0.25">
      <c r="B14" s="23" t="s">
        <v>41</v>
      </c>
      <c r="C14" s="50">
        <v>55</v>
      </c>
      <c r="D14" s="50">
        <v>8</v>
      </c>
      <c r="E14" s="50">
        <v>7</v>
      </c>
      <c r="F14" s="50">
        <v>39</v>
      </c>
      <c r="G14" s="50">
        <v>2</v>
      </c>
      <c r="H14" s="50">
        <v>0</v>
      </c>
      <c r="I14" s="50">
        <v>3</v>
      </c>
      <c r="J14" s="50">
        <v>4</v>
      </c>
      <c r="K14" s="50">
        <v>0</v>
      </c>
      <c r="L14" s="50">
        <v>0</v>
      </c>
      <c r="M14" s="50">
        <v>220</v>
      </c>
      <c r="N14" s="50">
        <v>0</v>
      </c>
      <c r="O14" s="15">
        <f t="shared" si="0"/>
        <v>118</v>
      </c>
      <c r="P14" s="15">
        <f t="shared" si="1"/>
        <v>338</v>
      </c>
      <c r="R14" s="1" t="s">
        <v>10</v>
      </c>
      <c r="S14" s="17">
        <f t="shared" ref="S14:AF14" si="6">SUM(C26:C29)</f>
        <v>141</v>
      </c>
      <c r="T14" s="17">
        <f t="shared" si="6"/>
        <v>40</v>
      </c>
      <c r="U14" s="17">
        <f t="shared" si="6"/>
        <v>27</v>
      </c>
      <c r="V14" s="17">
        <f t="shared" si="6"/>
        <v>164</v>
      </c>
      <c r="W14" s="17">
        <f t="shared" si="6"/>
        <v>4</v>
      </c>
      <c r="X14" s="17">
        <f t="shared" si="6"/>
        <v>0</v>
      </c>
      <c r="Y14" s="17">
        <f t="shared" si="6"/>
        <v>27</v>
      </c>
      <c r="Z14" s="17">
        <f t="shared" si="6"/>
        <v>50</v>
      </c>
      <c r="AA14" s="17">
        <f t="shared" si="6"/>
        <v>5</v>
      </c>
      <c r="AB14" s="17">
        <f t="shared" si="6"/>
        <v>1</v>
      </c>
      <c r="AC14" s="17">
        <f t="shared" si="6"/>
        <v>720</v>
      </c>
      <c r="AD14" s="17">
        <f t="shared" si="6"/>
        <v>0</v>
      </c>
      <c r="AE14" s="31">
        <f t="shared" si="6"/>
        <v>459</v>
      </c>
      <c r="AF14" s="31">
        <f t="shared" si="6"/>
        <v>1179</v>
      </c>
    </row>
    <row r="15" spans="2:32" ht="23.1" customHeight="1" x14ac:dyDescent="0.25">
      <c r="B15" s="23" t="s">
        <v>42</v>
      </c>
      <c r="C15" s="50">
        <v>34</v>
      </c>
      <c r="D15" s="50">
        <v>9</v>
      </c>
      <c r="E15" s="50">
        <v>6</v>
      </c>
      <c r="F15" s="50">
        <v>36</v>
      </c>
      <c r="G15" s="50">
        <v>2</v>
      </c>
      <c r="H15" s="50">
        <v>0</v>
      </c>
      <c r="I15" s="50">
        <v>4</v>
      </c>
      <c r="J15" s="50">
        <v>6</v>
      </c>
      <c r="K15" s="50">
        <v>2</v>
      </c>
      <c r="L15" s="50">
        <v>0</v>
      </c>
      <c r="M15" s="50">
        <v>205</v>
      </c>
      <c r="N15" s="50">
        <v>0</v>
      </c>
      <c r="O15" s="15">
        <f t="shared" si="0"/>
        <v>99</v>
      </c>
      <c r="P15" s="15">
        <f t="shared" si="1"/>
        <v>304</v>
      </c>
      <c r="R15" s="1" t="s">
        <v>11</v>
      </c>
      <c r="S15" s="17">
        <f t="shared" ref="S15:AF15" si="7">SUM(C30:C33)</f>
        <v>115</v>
      </c>
      <c r="T15" s="17">
        <f t="shared" si="7"/>
        <v>50</v>
      </c>
      <c r="U15" s="17">
        <f t="shared" si="7"/>
        <v>22</v>
      </c>
      <c r="V15" s="17">
        <f t="shared" si="7"/>
        <v>136</v>
      </c>
      <c r="W15" s="17">
        <f t="shared" si="7"/>
        <v>8</v>
      </c>
      <c r="X15" s="17">
        <f t="shared" si="7"/>
        <v>3</v>
      </c>
      <c r="Y15" s="17">
        <f t="shared" si="7"/>
        <v>29</v>
      </c>
      <c r="Z15" s="17">
        <f t="shared" si="7"/>
        <v>45</v>
      </c>
      <c r="AA15" s="17">
        <f t="shared" si="7"/>
        <v>9</v>
      </c>
      <c r="AB15" s="17">
        <f t="shared" si="7"/>
        <v>13</v>
      </c>
      <c r="AC15" s="17">
        <f t="shared" si="7"/>
        <v>729</v>
      </c>
      <c r="AD15" s="17">
        <f t="shared" si="7"/>
        <v>0</v>
      </c>
      <c r="AE15" s="31">
        <f t="shared" si="7"/>
        <v>430</v>
      </c>
      <c r="AF15" s="31">
        <f t="shared" si="7"/>
        <v>1159</v>
      </c>
    </row>
    <row r="16" spans="2:32" ht="23.1" customHeight="1" x14ac:dyDescent="0.25">
      <c r="B16" s="23" t="s">
        <v>43</v>
      </c>
      <c r="C16" s="50">
        <v>72</v>
      </c>
      <c r="D16" s="50">
        <v>11</v>
      </c>
      <c r="E16" s="50">
        <v>11</v>
      </c>
      <c r="F16" s="50">
        <v>113</v>
      </c>
      <c r="G16" s="50">
        <v>3</v>
      </c>
      <c r="H16" s="50">
        <v>1</v>
      </c>
      <c r="I16" s="50">
        <v>8</v>
      </c>
      <c r="J16" s="50">
        <v>3</v>
      </c>
      <c r="K16" s="50">
        <v>4</v>
      </c>
      <c r="L16" s="50">
        <v>3</v>
      </c>
      <c r="M16" s="50">
        <v>330</v>
      </c>
      <c r="N16" s="50">
        <v>0</v>
      </c>
      <c r="O16" s="15">
        <f t="shared" si="0"/>
        <v>229</v>
      </c>
      <c r="P16" s="15">
        <f t="shared" si="1"/>
        <v>559</v>
      </c>
      <c r="R16" s="1" t="s">
        <v>12</v>
      </c>
      <c r="S16" s="17">
        <f t="shared" ref="S16:AF16" si="8">SUM(C34:C37)</f>
        <v>87</v>
      </c>
      <c r="T16" s="17">
        <f t="shared" si="8"/>
        <v>38</v>
      </c>
      <c r="U16" s="17">
        <f t="shared" si="8"/>
        <v>28</v>
      </c>
      <c r="V16" s="17">
        <f t="shared" si="8"/>
        <v>108</v>
      </c>
      <c r="W16" s="17">
        <f t="shared" si="8"/>
        <v>7</v>
      </c>
      <c r="X16" s="17">
        <f t="shared" si="8"/>
        <v>1</v>
      </c>
      <c r="Y16" s="17">
        <f t="shared" si="8"/>
        <v>22</v>
      </c>
      <c r="Z16" s="17">
        <f t="shared" si="8"/>
        <v>28</v>
      </c>
      <c r="AA16" s="17">
        <f t="shared" si="8"/>
        <v>13</v>
      </c>
      <c r="AB16" s="17">
        <f t="shared" si="8"/>
        <v>5</v>
      </c>
      <c r="AC16" s="17">
        <f t="shared" si="8"/>
        <v>563</v>
      </c>
      <c r="AD16" s="17">
        <f t="shared" si="8"/>
        <v>0</v>
      </c>
      <c r="AE16" s="31">
        <f t="shared" si="8"/>
        <v>337</v>
      </c>
      <c r="AF16" s="31">
        <f t="shared" si="8"/>
        <v>900</v>
      </c>
    </row>
    <row r="17" spans="2:32" ht="23.1" customHeight="1" x14ac:dyDescent="0.25">
      <c r="B17" s="23" t="s">
        <v>44</v>
      </c>
      <c r="C17" s="50">
        <v>44</v>
      </c>
      <c r="D17" s="50">
        <v>9</v>
      </c>
      <c r="E17" s="50">
        <v>3</v>
      </c>
      <c r="F17" s="50">
        <v>68</v>
      </c>
      <c r="G17" s="50">
        <v>1</v>
      </c>
      <c r="H17" s="50">
        <v>0</v>
      </c>
      <c r="I17" s="50">
        <v>11</v>
      </c>
      <c r="J17" s="50">
        <v>10</v>
      </c>
      <c r="K17" s="50">
        <v>2</v>
      </c>
      <c r="L17" s="50">
        <v>4</v>
      </c>
      <c r="M17" s="50">
        <v>260</v>
      </c>
      <c r="N17" s="50">
        <v>0</v>
      </c>
      <c r="O17" s="15">
        <f t="shared" si="0"/>
        <v>152</v>
      </c>
      <c r="P17" s="15">
        <f t="shared" si="1"/>
        <v>412</v>
      </c>
      <c r="R17" s="1" t="s">
        <v>13</v>
      </c>
      <c r="S17" s="17">
        <f t="shared" ref="S17:AF17" si="9">SUM(C38:C41)</f>
        <v>128</v>
      </c>
      <c r="T17" s="17">
        <f t="shared" si="9"/>
        <v>47</v>
      </c>
      <c r="U17" s="17">
        <f t="shared" si="9"/>
        <v>24</v>
      </c>
      <c r="V17" s="17">
        <f t="shared" si="9"/>
        <v>172</v>
      </c>
      <c r="W17" s="17">
        <f t="shared" si="9"/>
        <v>8</v>
      </c>
      <c r="X17" s="17">
        <f t="shared" si="9"/>
        <v>6</v>
      </c>
      <c r="Y17" s="17">
        <f t="shared" si="9"/>
        <v>37</v>
      </c>
      <c r="Z17" s="17">
        <f t="shared" si="9"/>
        <v>22</v>
      </c>
      <c r="AA17" s="17">
        <f t="shared" si="9"/>
        <v>11</v>
      </c>
      <c r="AB17" s="17">
        <f t="shared" si="9"/>
        <v>6</v>
      </c>
      <c r="AC17" s="17">
        <f t="shared" si="9"/>
        <v>565</v>
      </c>
      <c r="AD17" s="17">
        <f t="shared" si="9"/>
        <v>0</v>
      </c>
      <c r="AE17" s="31">
        <f t="shared" si="9"/>
        <v>461</v>
      </c>
      <c r="AF17" s="31">
        <f t="shared" si="9"/>
        <v>1026</v>
      </c>
    </row>
    <row r="18" spans="2:32" ht="23.1" customHeight="1" x14ac:dyDescent="0.25">
      <c r="B18" s="23" t="s">
        <v>45</v>
      </c>
      <c r="C18" s="50">
        <v>62</v>
      </c>
      <c r="D18" s="50">
        <v>15</v>
      </c>
      <c r="E18" s="50">
        <v>12</v>
      </c>
      <c r="F18" s="50">
        <v>72</v>
      </c>
      <c r="G18" s="50">
        <v>1</v>
      </c>
      <c r="H18" s="50">
        <v>0</v>
      </c>
      <c r="I18" s="50">
        <v>7</v>
      </c>
      <c r="J18" s="50">
        <v>15</v>
      </c>
      <c r="K18" s="50">
        <v>4</v>
      </c>
      <c r="L18" s="50">
        <v>4</v>
      </c>
      <c r="M18" s="50">
        <v>275</v>
      </c>
      <c r="N18" s="50">
        <v>0</v>
      </c>
      <c r="O18" s="15">
        <f t="shared" si="0"/>
        <v>192</v>
      </c>
      <c r="P18" s="15">
        <f t="shared" si="1"/>
        <v>467</v>
      </c>
      <c r="R18" s="1" t="s">
        <v>14</v>
      </c>
      <c r="S18" s="17">
        <f t="shared" ref="S18:AF18" si="10">SUM(C42:C45)</f>
        <v>138</v>
      </c>
      <c r="T18" s="17">
        <f t="shared" si="10"/>
        <v>80</v>
      </c>
      <c r="U18" s="17">
        <f t="shared" si="10"/>
        <v>27</v>
      </c>
      <c r="V18" s="17">
        <f t="shared" si="10"/>
        <v>158</v>
      </c>
      <c r="W18" s="17">
        <f t="shared" si="10"/>
        <v>8</v>
      </c>
      <c r="X18" s="17">
        <f t="shared" si="10"/>
        <v>2</v>
      </c>
      <c r="Y18" s="17">
        <f t="shared" si="10"/>
        <v>43</v>
      </c>
      <c r="Z18" s="17">
        <f t="shared" si="10"/>
        <v>39</v>
      </c>
      <c r="AA18" s="17">
        <f t="shared" si="10"/>
        <v>11</v>
      </c>
      <c r="AB18" s="17">
        <f t="shared" si="10"/>
        <v>4</v>
      </c>
      <c r="AC18" s="17">
        <f t="shared" si="10"/>
        <v>469</v>
      </c>
      <c r="AD18" s="17">
        <f t="shared" si="10"/>
        <v>0</v>
      </c>
      <c r="AE18" s="31">
        <f t="shared" si="10"/>
        <v>510</v>
      </c>
      <c r="AF18" s="31">
        <f t="shared" si="10"/>
        <v>979</v>
      </c>
    </row>
    <row r="19" spans="2:32" ht="23.1" customHeight="1" x14ac:dyDescent="0.25">
      <c r="B19" s="23" t="s">
        <v>46</v>
      </c>
      <c r="C19" s="50">
        <v>65</v>
      </c>
      <c r="D19" s="50">
        <v>8</v>
      </c>
      <c r="E19" s="50">
        <v>6</v>
      </c>
      <c r="F19" s="50">
        <v>51</v>
      </c>
      <c r="G19" s="50">
        <v>4</v>
      </c>
      <c r="H19" s="50">
        <v>0</v>
      </c>
      <c r="I19" s="50">
        <v>17</v>
      </c>
      <c r="J19" s="50">
        <v>8</v>
      </c>
      <c r="K19" s="50">
        <v>2</v>
      </c>
      <c r="L19" s="50">
        <v>2</v>
      </c>
      <c r="M19" s="50">
        <v>211</v>
      </c>
      <c r="N19" s="50">
        <v>0</v>
      </c>
      <c r="O19" s="15">
        <f t="shared" si="0"/>
        <v>163</v>
      </c>
      <c r="P19" s="15">
        <f t="shared" si="1"/>
        <v>374</v>
      </c>
      <c r="R19" s="1" t="s">
        <v>15</v>
      </c>
      <c r="S19" s="17">
        <f t="shared" ref="S19:AF19" si="11">SUM(C46:C49)</f>
        <v>130</v>
      </c>
      <c r="T19" s="17">
        <f t="shared" si="11"/>
        <v>56</v>
      </c>
      <c r="U19" s="17">
        <f t="shared" si="11"/>
        <v>40</v>
      </c>
      <c r="V19" s="17">
        <f t="shared" si="11"/>
        <v>156</v>
      </c>
      <c r="W19" s="17">
        <f t="shared" si="11"/>
        <v>6</v>
      </c>
      <c r="X19" s="17">
        <f t="shared" si="11"/>
        <v>6</v>
      </c>
      <c r="Y19" s="17">
        <f t="shared" si="11"/>
        <v>24</v>
      </c>
      <c r="Z19" s="17">
        <f t="shared" si="11"/>
        <v>38</v>
      </c>
      <c r="AA19" s="17">
        <f t="shared" si="11"/>
        <v>14</v>
      </c>
      <c r="AB19" s="17">
        <f t="shared" si="11"/>
        <v>8</v>
      </c>
      <c r="AC19" s="17">
        <f t="shared" si="11"/>
        <v>666</v>
      </c>
      <c r="AD19" s="17">
        <f t="shared" si="11"/>
        <v>0</v>
      </c>
      <c r="AE19" s="31">
        <f t="shared" si="11"/>
        <v>478</v>
      </c>
      <c r="AF19" s="31">
        <f t="shared" si="11"/>
        <v>1144</v>
      </c>
    </row>
    <row r="20" spans="2:32" ht="23.1" customHeight="1" x14ac:dyDescent="0.25">
      <c r="B20" s="23" t="s">
        <v>47</v>
      </c>
      <c r="C20" s="50">
        <v>37</v>
      </c>
      <c r="D20" s="50">
        <v>12</v>
      </c>
      <c r="E20" s="50">
        <v>3</v>
      </c>
      <c r="F20" s="50">
        <v>30</v>
      </c>
      <c r="G20" s="50">
        <v>8</v>
      </c>
      <c r="H20" s="50">
        <v>0</v>
      </c>
      <c r="I20" s="50">
        <v>3</v>
      </c>
      <c r="J20" s="50">
        <v>8</v>
      </c>
      <c r="K20" s="50">
        <v>1</v>
      </c>
      <c r="L20" s="50">
        <v>2</v>
      </c>
      <c r="M20" s="50">
        <v>170</v>
      </c>
      <c r="N20" s="50">
        <v>0</v>
      </c>
      <c r="O20" s="15">
        <f t="shared" si="0"/>
        <v>104</v>
      </c>
      <c r="P20" s="15">
        <f t="shared" si="1"/>
        <v>274</v>
      </c>
      <c r="R20" s="1" t="s">
        <v>16</v>
      </c>
      <c r="S20" s="17">
        <f t="shared" ref="S20:AF20" si="12">SUM(C50:C53)</f>
        <v>94</v>
      </c>
      <c r="T20" s="17">
        <f t="shared" si="12"/>
        <v>39</v>
      </c>
      <c r="U20" s="17">
        <f t="shared" si="12"/>
        <v>33</v>
      </c>
      <c r="V20" s="17">
        <f t="shared" si="12"/>
        <v>180</v>
      </c>
      <c r="W20" s="17">
        <f t="shared" si="12"/>
        <v>7</v>
      </c>
      <c r="X20" s="17">
        <f t="shared" si="12"/>
        <v>3</v>
      </c>
      <c r="Y20" s="17">
        <f t="shared" si="12"/>
        <v>25</v>
      </c>
      <c r="Z20" s="17">
        <f t="shared" si="12"/>
        <v>25</v>
      </c>
      <c r="AA20" s="17">
        <f t="shared" si="12"/>
        <v>7</v>
      </c>
      <c r="AB20" s="17">
        <f t="shared" si="12"/>
        <v>13</v>
      </c>
      <c r="AC20" s="17">
        <f t="shared" si="12"/>
        <v>737</v>
      </c>
      <c r="AD20" s="17">
        <f t="shared" si="12"/>
        <v>0</v>
      </c>
      <c r="AE20" s="31">
        <f t="shared" si="12"/>
        <v>426</v>
      </c>
      <c r="AF20" s="31">
        <f t="shared" si="12"/>
        <v>1163</v>
      </c>
    </row>
    <row r="21" spans="2:32" ht="23.1" customHeight="1" x14ac:dyDescent="0.25">
      <c r="B21" s="23" t="s">
        <v>48</v>
      </c>
      <c r="C21" s="50">
        <v>33</v>
      </c>
      <c r="D21" s="50">
        <v>15</v>
      </c>
      <c r="E21" s="50">
        <v>4</v>
      </c>
      <c r="F21" s="50">
        <v>50</v>
      </c>
      <c r="G21" s="50">
        <v>2</v>
      </c>
      <c r="H21" s="50">
        <v>0</v>
      </c>
      <c r="I21" s="50">
        <v>10</v>
      </c>
      <c r="J21" s="50">
        <v>13</v>
      </c>
      <c r="K21" s="50">
        <v>1</v>
      </c>
      <c r="L21" s="50">
        <v>0</v>
      </c>
      <c r="M21" s="50">
        <v>205</v>
      </c>
      <c r="N21" s="50">
        <v>0</v>
      </c>
      <c r="O21" s="15">
        <f t="shared" si="0"/>
        <v>128</v>
      </c>
      <c r="P21" s="15">
        <f t="shared" si="1"/>
        <v>333</v>
      </c>
      <c r="R21" s="36" t="s">
        <v>20</v>
      </c>
      <c r="S21" s="34">
        <f t="shared" ref="S21:AF21" si="13">SUM(C54:C57)</f>
        <v>91</v>
      </c>
      <c r="T21" s="17">
        <f t="shared" si="13"/>
        <v>52</v>
      </c>
      <c r="U21" s="17">
        <f t="shared" si="13"/>
        <v>19</v>
      </c>
      <c r="V21" s="17">
        <f t="shared" si="13"/>
        <v>187</v>
      </c>
      <c r="W21" s="17">
        <f t="shared" si="13"/>
        <v>7</v>
      </c>
      <c r="X21" s="17">
        <f t="shared" si="13"/>
        <v>5</v>
      </c>
      <c r="Y21" s="17">
        <f t="shared" si="13"/>
        <v>24</v>
      </c>
      <c r="Z21" s="17">
        <f t="shared" si="13"/>
        <v>17</v>
      </c>
      <c r="AA21" s="17">
        <f t="shared" si="13"/>
        <v>5</v>
      </c>
      <c r="AB21" s="17">
        <f t="shared" si="13"/>
        <v>6</v>
      </c>
      <c r="AC21" s="17">
        <f t="shared" si="13"/>
        <v>1082</v>
      </c>
      <c r="AD21" s="17">
        <f t="shared" si="13"/>
        <v>0</v>
      </c>
      <c r="AE21" s="31">
        <f t="shared" si="13"/>
        <v>413</v>
      </c>
      <c r="AF21" s="31">
        <f t="shared" si="13"/>
        <v>1495</v>
      </c>
    </row>
    <row r="22" spans="2:32" ht="23.1" customHeight="1" x14ac:dyDescent="0.25">
      <c r="B22" s="23" t="s">
        <v>49</v>
      </c>
      <c r="C22" s="50">
        <v>39</v>
      </c>
      <c r="D22" s="50">
        <v>5</v>
      </c>
      <c r="E22" s="50">
        <v>5</v>
      </c>
      <c r="F22" s="50">
        <v>43</v>
      </c>
      <c r="G22" s="50">
        <v>2</v>
      </c>
      <c r="H22" s="50">
        <v>1</v>
      </c>
      <c r="I22" s="50">
        <v>6</v>
      </c>
      <c r="J22" s="50">
        <v>10</v>
      </c>
      <c r="K22" s="50">
        <v>2</v>
      </c>
      <c r="L22" s="50">
        <v>0</v>
      </c>
      <c r="M22" s="50">
        <v>175</v>
      </c>
      <c r="N22" s="50">
        <v>0</v>
      </c>
      <c r="O22" s="15">
        <f t="shared" si="0"/>
        <v>113</v>
      </c>
      <c r="P22" s="15">
        <f t="shared" si="1"/>
        <v>288</v>
      </c>
      <c r="R22" s="38" t="s">
        <v>90</v>
      </c>
      <c r="S22" s="39">
        <f>MAX(S10:S12)</f>
        <v>233</v>
      </c>
      <c r="T22" s="39">
        <f t="shared" ref="T22:AF22" si="14">MAX(T10:T12)</f>
        <v>50</v>
      </c>
      <c r="U22" s="39">
        <f t="shared" si="14"/>
        <v>27</v>
      </c>
      <c r="V22" s="39">
        <f t="shared" si="14"/>
        <v>256</v>
      </c>
      <c r="W22" s="39">
        <f t="shared" si="14"/>
        <v>15</v>
      </c>
      <c r="X22" s="39">
        <f t="shared" si="14"/>
        <v>1</v>
      </c>
      <c r="Y22" s="39">
        <f t="shared" si="14"/>
        <v>37</v>
      </c>
      <c r="Z22" s="39">
        <f t="shared" si="14"/>
        <v>44</v>
      </c>
      <c r="AA22" s="39">
        <f t="shared" si="14"/>
        <v>18</v>
      </c>
      <c r="AB22" s="39">
        <f t="shared" si="14"/>
        <v>8</v>
      </c>
      <c r="AC22" s="39">
        <f t="shared" si="14"/>
        <v>1015</v>
      </c>
      <c r="AD22" s="39">
        <f t="shared" si="14"/>
        <v>0</v>
      </c>
      <c r="AE22" s="40">
        <f t="shared" si="14"/>
        <v>629</v>
      </c>
      <c r="AF22" s="40">
        <f t="shared" si="14"/>
        <v>1613</v>
      </c>
    </row>
    <row r="23" spans="2:32" ht="23.1" customHeight="1" x14ac:dyDescent="0.25">
      <c r="B23" s="23" t="s">
        <v>50</v>
      </c>
      <c r="C23" s="50">
        <v>43</v>
      </c>
      <c r="D23" s="50">
        <v>14</v>
      </c>
      <c r="E23" s="50">
        <v>5</v>
      </c>
      <c r="F23" s="50">
        <v>55</v>
      </c>
      <c r="G23" s="50">
        <v>0</v>
      </c>
      <c r="H23" s="50">
        <v>1</v>
      </c>
      <c r="I23" s="50">
        <v>8</v>
      </c>
      <c r="J23" s="50">
        <v>15</v>
      </c>
      <c r="K23" s="50">
        <v>3</v>
      </c>
      <c r="L23" s="50">
        <v>0</v>
      </c>
      <c r="M23" s="50">
        <v>150</v>
      </c>
      <c r="N23" s="50">
        <v>0</v>
      </c>
      <c r="O23" s="15">
        <f t="shared" si="0"/>
        <v>144</v>
      </c>
      <c r="P23" s="15">
        <f t="shared" si="1"/>
        <v>294</v>
      </c>
      <c r="R23" s="38" t="s">
        <v>91</v>
      </c>
      <c r="S23" s="39">
        <f>MAX(S13:S18)</f>
        <v>176</v>
      </c>
      <c r="T23" s="39">
        <f t="shared" ref="T23:AF23" si="15">MAX(T13:T18)</f>
        <v>80</v>
      </c>
      <c r="U23" s="39">
        <f t="shared" si="15"/>
        <v>28</v>
      </c>
      <c r="V23" s="39">
        <f t="shared" si="15"/>
        <v>213</v>
      </c>
      <c r="W23" s="39">
        <f t="shared" si="15"/>
        <v>8</v>
      </c>
      <c r="X23" s="39">
        <f t="shared" si="15"/>
        <v>6</v>
      </c>
      <c r="Y23" s="39">
        <f t="shared" si="15"/>
        <v>43</v>
      </c>
      <c r="Z23" s="39">
        <f t="shared" si="15"/>
        <v>50</v>
      </c>
      <c r="AA23" s="39">
        <f t="shared" si="15"/>
        <v>13</v>
      </c>
      <c r="AB23" s="39">
        <f t="shared" si="15"/>
        <v>13</v>
      </c>
      <c r="AC23" s="39">
        <f t="shared" si="15"/>
        <v>729</v>
      </c>
      <c r="AD23" s="39">
        <f t="shared" si="15"/>
        <v>0</v>
      </c>
      <c r="AE23" s="40">
        <f t="shared" si="15"/>
        <v>555</v>
      </c>
      <c r="AF23" s="40">
        <f t="shared" si="15"/>
        <v>1281</v>
      </c>
    </row>
    <row r="24" spans="2:32" ht="23.1" customHeight="1" x14ac:dyDescent="0.25">
      <c r="B24" s="23" t="s">
        <v>51</v>
      </c>
      <c r="C24" s="50">
        <v>41</v>
      </c>
      <c r="D24" s="50">
        <v>8</v>
      </c>
      <c r="E24" s="50">
        <v>9</v>
      </c>
      <c r="F24" s="50">
        <v>69</v>
      </c>
      <c r="G24" s="50">
        <v>0</v>
      </c>
      <c r="H24" s="50">
        <v>1</v>
      </c>
      <c r="I24" s="50">
        <v>13</v>
      </c>
      <c r="J24" s="50">
        <v>8</v>
      </c>
      <c r="K24" s="50">
        <v>5</v>
      </c>
      <c r="L24" s="50">
        <v>1</v>
      </c>
      <c r="M24" s="50">
        <v>200</v>
      </c>
      <c r="N24" s="50">
        <v>0</v>
      </c>
      <c r="O24" s="15">
        <f t="shared" si="0"/>
        <v>155</v>
      </c>
      <c r="P24" s="15">
        <f t="shared" si="1"/>
        <v>355</v>
      </c>
      <c r="R24" s="38" t="s">
        <v>92</v>
      </c>
      <c r="S24" s="39">
        <f>MAX(S19:S21)</f>
        <v>130</v>
      </c>
      <c r="T24" s="39">
        <f t="shared" ref="T24:AF24" si="16">MAX(T19:T21)</f>
        <v>56</v>
      </c>
      <c r="U24" s="39">
        <f t="shared" si="16"/>
        <v>40</v>
      </c>
      <c r="V24" s="39">
        <f t="shared" si="16"/>
        <v>187</v>
      </c>
      <c r="W24" s="39">
        <f t="shared" si="16"/>
        <v>7</v>
      </c>
      <c r="X24" s="39">
        <f t="shared" si="16"/>
        <v>6</v>
      </c>
      <c r="Y24" s="39">
        <f t="shared" si="16"/>
        <v>25</v>
      </c>
      <c r="Z24" s="39">
        <f t="shared" si="16"/>
        <v>38</v>
      </c>
      <c r="AA24" s="39">
        <f t="shared" si="16"/>
        <v>14</v>
      </c>
      <c r="AB24" s="39">
        <f t="shared" si="16"/>
        <v>13</v>
      </c>
      <c r="AC24" s="39">
        <f t="shared" si="16"/>
        <v>1082</v>
      </c>
      <c r="AD24" s="39">
        <f t="shared" si="16"/>
        <v>0</v>
      </c>
      <c r="AE24" s="40">
        <f t="shared" si="16"/>
        <v>478</v>
      </c>
      <c r="AF24" s="40">
        <f t="shared" si="16"/>
        <v>1495</v>
      </c>
    </row>
    <row r="25" spans="2:32" ht="23.1" customHeight="1" x14ac:dyDescent="0.25">
      <c r="B25" s="23" t="s">
        <v>52</v>
      </c>
      <c r="C25" s="50">
        <v>53</v>
      </c>
      <c r="D25" s="50">
        <v>11</v>
      </c>
      <c r="E25" s="50">
        <v>9</v>
      </c>
      <c r="F25" s="50">
        <v>46</v>
      </c>
      <c r="G25" s="50">
        <v>1</v>
      </c>
      <c r="H25" s="50">
        <v>0</v>
      </c>
      <c r="I25" s="50">
        <v>14</v>
      </c>
      <c r="J25" s="50">
        <v>8</v>
      </c>
      <c r="K25" s="50">
        <v>1</v>
      </c>
      <c r="L25" s="50">
        <v>0</v>
      </c>
      <c r="M25" s="50">
        <v>201</v>
      </c>
      <c r="N25" s="50">
        <v>0</v>
      </c>
      <c r="O25" s="15">
        <f t="shared" si="0"/>
        <v>143</v>
      </c>
      <c r="P25" s="15">
        <f t="shared" si="1"/>
        <v>344</v>
      </c>
      <c r="R25" s="37" t="s">
        <v>85</v>
      </c>
      <c r="S25" s="35">
        <f t="shared" ref="S25:AF25" si="17">SUM(S10:S12)</f>
        <v>635</v>
      </c>
      <c r="T25" s="16">
        <f t="shared" si="17"/>
        <v>132</v>
      </c>
      <c r="U25" s="16">
        <f t="shared" si="17"/>
        <v>79</v>
      </c>
      <c r="V25" s="16">
        <f t="shared" si="17"/>
        <v>700</v>
      </c>
      <c r="W25" s="16">
        <f t="shared" si="17"/>
        <v>32</v>
      </c>
      <c r="X25" s="16">
        <f t="shared" si="17"/>
        <v>2</v>
      </c>
      <c r="Y25" s="16">
        <f t="shared" si="17"/>
        <v>91</v>
      </c>
      <c r="Z25" s="16">
        <f t="shared" si="17"/>
        <v>91</v>
      </c>
      <c r="AA25" s="16">
        <f t="shared" si="17"/>
        <v>34</v>
      </c>
      <c r="AB25" s="16">
        <f t="shared" si="17"/>
        <v>18</v>
      </c>
      <c r="AC25" s="16">
        <f t="shared" si="17"/>
        <v>2686</v>
      </c>
      <c r="AD25" s="16">
        <f t="shared" si="17"/>
        <v>0</v>
      </c>
      <c r="AE25" s="32">
        <f t="shared" si="17"/>
        <v>1814</v>
      </c>
      <c r="AF25" s="32">
        <f t="shared" si="17"/>
        <v>4500</v>
      </c>
    </row>
    <row r="26" spans="2:32" ht="23.1" customHeight="1" x14ac:dyDescent="0.25">
      <c r="B26" s="23" t="s">
        <v>53</v>
      </c>
      <c r="C26" s="50">
        <v>41</v>
      </c>
      <c r="D26" s="50">
        <v>10</v>
      </c>
      <c r="E26" s="50">
        <v>8</v>
      </c>
      <c r="F26" s="50">
        <v>41</v>
      </c>
      <c r="G26" s="50">
        <v>0</v>
      </c>
      <c r="H26" s="50">
        <v>0</v>
      </c>
      <c r="I26" s="50">
        <v>12</v>
      </c>
      <c r="J26" s="50">
        <v>19</v>
      </c>
      <c r="K26" s="50">
        <v>0</v>
      </c>
      <c r="L26" s="50">
        <v>0</v>
      </c>
      <c r="M26" s="50">
        <v>231</v>
      </c>
      <c r="N26" s="50">
        <v>0</v>
      </c>
      <c r="O26" s="15">
        <f t="shared" si="0"/>
        <v>131</v>
      </c>
      <c r="P26" s="15">
        <f t="shared" si="1"/>
        <v>362</v>
      </c>
      <c r="R26" s="28" t="s">
        <v>86</v>
      </c>
      <c r="S26" s="16">
        <f t="shared" ref="S26:AF26" si="18">SUM(S13:S18)</f>
        <v>785</v>
      </c>
      <c r="T26" s="16">
        <f t="shared" si="18"/>
        <v>293</v>
      </c>
      <c r="U26" s="16">
        <f t="shared" si="18"/>
        <v>156</v>
      </c>
      <c r="V26" s="16">
        <f t="shared" si="18"/>
        <v>951</v>
      </c>
      <c r="W26" s="16">
        <f t="shared" si="18"/>
        <v>38</v>
      </c>
      <c r="X26" s="16">
        <f t="shared" si="18"/>
        <v>15</v>
      </c>
      <c r="Y26" s="16">
        <f t="shared" si="18"/>
        <v>199</v>
      </c>
      <c r="Z26" s="16">
        <f t="shared" si="18"/>
        <v>225</v>
      </c>
      <c r="AA26" s="16">
        <f t="shared" si="18"/>
        <v>60</v>
      </c>
      <c r="AB26" s="16">
        <f t="shared" si="18"/>
        <v>30</v>
      </c>
      <c r="AC26" s="16">
        <f t="shared" si="18"/>
        <v>3772</v>
      </c>
      <c r="AD26" s="16">
        <f t="shared" si="18"/>
        <v>0</v>
      </c>
      <c r="AE26" s="32">
        <f t="shared" si="18"/>
        <v>2752</v>
      </c>
      <c r="AF26" s="32">
        <f t="shared" si="18"/>
        <v>6524</v>
      </c>
    </row>
    <row r="27" spans="2:32" ht="23.1" customHeight="1" x14ac:dyDescent="0.25">
      <c r="B27" s="23" t="s">
        <v>54</v>
      </c>
      <c r="C27" s="50">
        <v>31</v>
      </c>
      <c r="D27" s="50">
        <v>10</v>
      </c>
      <c r="E27" s="50">
        <v>6</v>
      </c>
      <c r="F27" s="50">
        <v>51</v>
      </c>
      <c r="G27" s="50">
        <v>1</v>
      </c>
      <c r="H27" s="50">
        <v>0</v>
      </c>
      <c r="I27" s="50">
        <v>5</v>
      </c>
      <c r="J27" s="50">
        <v>7</v>
      </c>
      <c r="K27" s="50">
        <v>3</v>
      </c>
      <c r="L27" s="50">
        <v>0</v>
      </c>
      <c r="M27" s="50">
        <v>150</v>
      </c>
      <c r="N27" s="50">
        <v>0</v>
      </c>
      <c r="O27" s="15">
        <f t="shared" si="0"/>
        <v>114</v>
      </c>
      <c r="P27" s="15">
        <f t="shared" si="1"/>
        <v>264</v>
      </c>
      <c r="R27" s="29" t="s">
        <v>87</v>
      </c>
      <c r="S27" s="16">
        <f t="shared" ref="S27:AF27" si="19">SUM(S19:S21)</f>
        <v>315</v>
      </c>
      <c r="T27" s="16">
        <f t="shared" si="19"/>
        <v>147</v>
      </c>
      <c r="U27" s="16">
        <f t="shared" si="19"/>
        <v>92</v>
      </c>
      <c r="V27" s="16">
        <f t="shared" si="19"/>
        <v>523</v>
      </c>
      <c r="W27" s="16">
        <f t="shared" si="19"/>
        <v>20</v>
      </c>
      <c r="X27" s="16">
        <f t="shared" si="19"/>
        <v>14</v>
      </c>
      <c r="Y27" s="16">
        <f t="shared" si="19"/>
        <v>73</v>
      </c>
      <c r="Z27" s="16">
        <f t="shared" si="19"/>
        <v>80</v>
      </c>
      <c r="AA27" s="16">
        <f t="shared" si="19"/>
        <v>26</v>
      </c>
      <c r="AB27" s="16">
        <f t="shared" si="19"/>
        <v>27</v>
      </c>
      <c r="AC27" s="16">
        <f t="shared" si="19"/>
        <v>2485</v>
      </c>
      <c r="AD27" s="16">
        <f t="shared" si="19"/>
        <v>0</v>
      </c>
      <c r="AE27" s="32">
        <f t="shared" si="19"/>
        <v>1317</v>
      </c>
      <c r="AF27" s="32">
        <f t="shared" si="19"/>
        <v>3802</v>
      </c>
    </row>
    <row r="28" spans="2:32" ht="23.1" customHeight="1" x14ac:dyDescent="0.25">
      <c r="B28" s="23" t="s">
        <v>55</v>
      </c>
      <c r="C28" s="50">
        <v>40</v>
      </c>
      <c r="D28" s="50">
        <v>13</v>
      </c>
      <c r="E28" s="50">
        <v>8</v>
      </c>
      <c r="F28" s="50">
        <v>42</v>
      </c>
      <c r="G28" s="50">
        <v>1</v>
      </c>
      <c r="H28" s="50">
        <v>0</v>
      </c>
      <c r="I28" s="50">
        <v>5</v>
      </c>
      <c r="J28" s="50">
        <v>13</v>
      </c>
      <c r="K28" s="50">
        <v>1</v>
      </c>
      <c r="L28" s="50">
        <v>0</v>
      </c>
      <c r="M28" s="50">
        <v>154</v>
      </c>
      <c r="N28" s="50">
        <v>0</v>
      </c>
      <c r="O28" s="15">
        <f t="shared" si="0"/>
        <v>123</v>
      </c>
      <c r="P28" s="15">
        <f t="shared" si="1"/>
        <v>277</v>
      </c>
      <c r="R28" s="5" t="s">
        <v>17</v>
      </c>
      <c r="S28" s="16">
        <f t="shared" ref="S28:AF28" si="20">SUM(S10:S21)</f>
        <v>1735</v>
      </c>
      <c r="T28" s="16">
        <f t="shared" si="20"/>
        <v>572</v>
      </c>
      <c r="U28" s="16">
        <f t="shared" si="20"/>
        <v>327</v>
      </c>
      <c r="V28" s="16">
        <f t="shared" si="20"/>
        <v>2174</v>
      </c>
      <c r="W28" s="16">
        <f t="shared" si="20"/>
        <v>90</v>
      </c>
      <c r="X28" s="16">
        <f t="shared" si="20"/>
        <v>31</v>
      </c>
      <c r="Y28" s="16">
        <f t="shared" si="20"/>
        <v>363</v>
      </c>
      <c r="Z28" s="16">
        <f t="shared" si="20"/>
        <v>396</v>
      </c>
      <c r="AA28" s="16">
        <f t="shared" si="20"/>
        <v>120</v>
      </c>
      <c r="AB28" s="16">
        <f t="shared" si="20"/>
        <v>75</v>
      </c>
      <c r="AC28" s="16">
        <f t="shared" si="20"/>
        <v>8943</v>
      </c>
      <c r="AD28" s="16">
        <f t="shared" si="20"/>
        <v>0</v>
      </c>
      <c r="AE28" s="32">
        <f t="shared" si="20"/>
        <v>5883</v>
      </c>
      <c r="AF28" s="32">
        <f t="shared" si="20"/>
        <v>14826</v>
      </c>
    </row>
    <row r="29" spans="2:32" ht="23.1" customHeight="1" x14ac:dyDescent="0.25">
      <c r="B29" s="23" t="s">
        <v>56</v>
      </c>
      <c r="C29" s="50">
        <v>29</v>
      </c>
      <c r="D29" s="50">
        <v>7</v>
      </c>
      <c r="E29" s="50">
        <v>5</v>
      </c>
      <c r="F29" s="50">
        <v>30</v>
      </c>
      <c r="G29" s="50">
        <v>2</v>
      </c>
      <c r="H29" s="50">
        <v>0</v>
      </c>
      <c r="I29" s="50">
        <v>5</v>
      </c>
      <c r="J29" s="50">
        <v>11</v>
      </c>
      <c r="K29" s="50">
        <v>1</v>
      </c>
      <c r="L29" s="50">
        <v>1</v>
      </c>
      <c r="M29" s="50">
        <v>185</v>
      </c>
      <c r="N29" s="50">
        <v>0</v>
      </c>
      <c r="O29" s="15">
        <f t="shared" si="0"/>
        <v>91</v>
      </c>
      <c r="P29" s="15">
        <f t="shared" si="1"/>
        <v>276</v>
      </c>
      <c r="R29"/>
      <c r="S29" s="20"/>
      <c r="T29" s="19"/>
    </row>
    <row r="30" spans="2:32" ht="23.1" customHeight="1" x14ac:dyDescent="0.25">
      <c r="B30" s="23" t="s">
        <v>57</v>
      </c>
      <c r="C30" s="50">
        <v>38</v>
      </c>
      <c r="D30" s="50">
        <v>5</v>
      </c>
      <c r="E30" s="50">
        <v>6</v>
      </c>
      <c r="F30" s="50">
        <v>24</v>
      </c>
      <c r="G30" s="50">
        <v>1</v>
      </c>
      <c r="H30" s="50">
        <v>1</v>
      </c>
      <c r="I30" s="50">
        <v>3</v>
      </c>
      <c r="J30" s="50">
        <v>15</v>
      </c>
      <c r="K30" s="50">
        <v>3</v>
      </c>
      <c r="L30" s="50">
        <v>5</v>
      </c>
      <c r="M30" s="50">
        <v>145</v>
      </c>
      <c r="N30" s="50">
        <v>0</v>
      </c>
      <c r="O30" s="15">
        <f t="shared" si="0"/>
        <v>101</v>
      </c>
      <c r="P30" s="15">
        <f t="shared" si="1"/>
        <v>246</v>
      </c>
    </row>
    <row r="31" spans="2:32" ht="23.1" customHeight="1" x14ac:dyDescent="0.25">
      <c r="B31" s="24" t="s">
        <v>58</v>
      </c>
      <c r="C31" s="50">
        <v>20</v>
      </c>
      <c r="D31" s="50">
        <v>15</v>
      </c>
      <c r="E31" s="50">
        <v>4</v>
      </c>
      <c r="F31" s="50">
        <v>35</v>
      </c>
      <c r="G31" s="50">
        <v>2</v>
      </c>
      <c r="H31" s="50">
        <v>1</v>
      </c>
      <c r="I31" s="50">
        <v>11</v>
      </c>
      <c r="J31" s="50">
        <v>10</v>
      </c>
      <c r="K31" s="50">
        <v>3</v>
      </c>
      <c r="L31" s="50">
        <v>5</v>
      </c>
      <c r="M31" s="50">
        <v>170</v>
      </c>
      <c r="N31" s="50">
        <v>0</v>
      </c>
      <c r="O31" s="15">
        <f t="shared" si="0"/>
        <v>106</v>
      </c>
      <c r="P31" s="15">
        <f t="shared" si="1"/>
        <v>276</v>
      </c>
    </row>
    <row r="32" spans="2:32" ht="23.1" customHeight="1" x14ac:dyDescent="0.25">
      <c r="B32" s="24" t="s">
        <v>59</v>
      </c>
      <c r="C32" s="50">
        <v>27</v>
      </c>
      <c r="D32" s="50">
        <v>13</v>
      </c>
      <c r="E32" s="50">
        <v>7</v>
      </c>
      <c r="F32" s="50">
        <v>31</v>
      </c>
      <c r="G32" s="50">
        <v>1</v>
      </c>
      <c r="H32" s="50">
        <v>1</v>
      </c>
      <c r="I32" s="50">
        <v>7</v>
      </c>
      <c r="J32" s="50">
        <v>10</v>
      </c>
      <c r="K32" s="50">
        <v>0</v>
      </c>
      <c r="L32" s="50">
        <v>1</v>
      </c>
      <c r="M32" s="50">
        <v>216</v>
      </c>
      <c r="N32" s="50">
        <v>0</v>
      </c>
      <c r="O32" s="15">
        <f t="shared" si="0"/>
        <v>98</v>
      </c>
      <c r="P32" s="15">
        <f t="shared" si="1"/>
        <v>314</v>
      </c>
    </row>
    <row r="33" spans="2:20" ht="23.1" customHeight="1" x14ac:dyDescent="0.25">
      <c r="B33" s="23" t="s">
        <v>60</v>
      </c>
      <c r="C33" s="50">
        <v>30</v>
      </c>
      <c r="D33" s="50">
        <v>17</v>
      </c>
      <c r="E33" s="50">
        <v>5</v>
      </c>
      <c r="F33" s="50">
        <v>46</v>
      </c>
      <c r="G33" s="50">
        <v>4</v>
      </c>
      <c r="H33" s="50">
        <v>0</v>
      </c>
      <c r="I33" s="50">
        <v>8</v>
      </c>
      <c r="J33" s="50">
        <v>10</v>
      </c>
      <c r="K33" s="50">
        <v>3</v>
      </c>
      <c r="L33" s="50">
        <v>2</v>
      </c>
      <c r="M33" s="50">
        <v>198</v>
      </c>
      <c r="N33" s="50">
        <v>0</v>
      </c>
      <c r="O33" s="15">
        <f t="shared" si="0"/>
        <v>125</v>
      </c>
      <c r="P33" s="15">
        <f t="shared" si="1"/>
        <v>323</v>
      </c>
    </row>
    <row r="34" spans="2:20" ht="23.1" customHeight="1" x14ac:dyDescent="0.25">
      <c r="B34" s="24" t="s">
        <v>61</v>
      </c>
      <c r="C34" s="50">
        <v>16</v>
      </c>
      <c r="D34" s="50">
        <v>15</v>
      </c>
      <c r="E34" s="50">
        <v>6</v>
      </c>
      <c r="F34" s="50">
        <v>24</v>
      </c>
      <c r="G34" s="50">
        <v>1</v>
      </c>
      <c r="H34" s="50">
        <v>0</v>
      </c>
      <c r="I34" s="50">
        <v>1</v>
      </c>
      <c r="J34" s="50">
        <v>9</v>
      </c>
      <c r="K34" s="50">
        <v>1</v>
      </c>
      <c r="L34" s="50">
        <v>0</v>
      </c>
      <c r="M34" s="50">
        <v>110</v>
      </c>
      <c r="N34" s="50">
        <v>0</v>
      </c>
      <c r="O34" s="15">
        <f t="shared" si="0"/>
        <v>73</v>
      </c>
      <c r="P34" s="15">
        <f t="shared" si="1"/>
        <v>183</v>
      </c>
    </row>
    <row r="35" spans="2:20" ht="23.1" customHeight="1" x14ac:dyDescent="0.25">
      <c r="B35" s="24" t="s">
        <v>62</v>
      </c>
      <c r="C35" s="50">
        <v>17</v>
      </c>
      <c r="D35" s="50">
        <v>3</v>
      </c>
      <c r="E35" s="50">
        <v>8</v>
      </c>
      <c r="F35" s="50">
        <v>25</v>
      </c>
      <c r="G35" s="50">
        <v>0</v>
      </c>
      <c r="H35" s="50">
        <v>0</v>
      </c>
      <c r="I35" s="50">
        <v>6</v>
      </c>
      <c r="J35" s="50">
        <v>6</v>
      </c>
      <c r="K35" s="50">
        <v>3</v>
      </c>
      <c r="L35" s="50">
        <v>1</v>
      </c>
      <c r="M35" s="50">
        <v>117</v>
      </c>
      <c r="N35" s="50">
        <v>0</v>
      </c>
      <c r="O35" s="15">
        <f t="shared" si="0"/>
        <v>69</v>
      </c>
      <c r="P35" s="15">
        <f t="shared" si="1"/>
        <v>186</v>
      </c>
    </row>
    <row r="36" spans="2:20" ht="23.1" customHeight="1" x14ac:dyDescent="0.25">
      <c r="B36" s="24" t="s">
        <v>63</v>
      </c>
      <c r="C36" s="50">
        <v>27</v>
      </c>
      <c r="D36" s="50">
        <v>13</v>
      </c>
      <c r="E36" s="50">
        <v>8</v>
      </c>
      <c r="F36" s="50">
        <v>42</v>
      </c>
      <c r="G36" s="50">
        <v>5</v>
      </c>
      <c r="H36" s="50">
        <v>0</v>
      </c>
      <c r="I36" s="50">
        <v>6</v>
      </c>
      <c r="J36" s="50">
        <v>7</v>
      </c>
      <c r="K36" s="50">
        <v>5</v>
      </c>
      <c r="L36" s="50">
        <v>0</v>
      </c>
      <c r="M36" s="50">
        <v>176</v>
      </c>
      <c r="N36" s="50">
        <v>0</v>
      </c>
      <c r="O36" s="15">
        <f t="shared" si="0"/>
        <v>113</v>
      </c>
      <c r="P36" s="15">
        <f t="shared" si="1"/>
        <v>289</v>
      </c>
    </row>
    <row r="37" spans="2:20" ht="23.1" customHeight="1" x14ac:dyDescent="0.25">
      <c r="B37" s="23" t="s">
        <v>64</v>
      </c>
      <c r="C37" s="50">
        <v>27</v>
      </c>
      <c r="D37" s="50">
        <v>7</v>
      </c>
      <c r="E37" s="50">
        <v>6</v>
      </c>
      <c r="F37" s="50">
        <v>17</v>
      </c>
      <c r="G37" s="50">
        <v>1</v>
      </c>
      <c r="H37" s="50">
        <v>1</v>
      </c>
      <c r="I37" s="50">
        <v>9</v>
      </c>
      <c r="J37" s="50">
        <v>6</v>
      </c>
      <c r="K37" s="50">
        <v>4</v>
      </c>
      <c r="L37" s="50">
        <v>4</v>
      </c>
      <c r="M37" s="50">
        <v>160</v>
      </c>
      <c r="N37" s="50">
        <v>0</v>
      </c>
      <c r="O37" s="15">
        <f t="shared" si="0"/>
        <v>82</v>
      </c>
      <c r="P37" s="15">
        <f t="shared" si="1"/>
        <v>242</v>
      </c>
    </row>
    <row r="38" spans="2:20" ht="23.1" customHeight="1" x14ac:dyDescent="0.25">
      <c r="B38" s="24" t="s">
        <v>65</v>
      </c>
      <c r="C38" s="50">
        <v>23</v>
      </c>
      <c r="D38" s="50">
        <v>17</v>
      </c>
      <c r="E38" s="50">
        <v>7</v>
      </c>
      <c r="F38" s="50">
        <v>44</v>
      </c>
      <c r="G38" s="50">
        <v>3</v>
      </c>
      <c r="H38" s="50">
        <v>0</v>
      </c>
      <c r="I38" s="50">
        <v>13</v>
      </c>
      <c r="J38" s="50">
        <v>1</v>
      </c>
      <c r="K38" s="50">
        <v>6</v>
      </c>
      <c r="L38" s="50">
        <v>0</v>
      </c>
      <c r="M38" s="50">
        <v>140</v>
      </c>
      <c r="N38" s="50">
        <v>0</v>
      </c>
      <c r="O38" s="15">
        <f t="shared" si="0"/>
        <v>114</v>
      </c>
      <c r="P38" s="15">
        <f t="shared" si="1"/>
        <v>254</v>
      </c>
    </row>
    <row r="39" spans="2:20" ht="23.1" customHeight="1" x14ac:dyDescent="0.25">
      <c r="B39" s="24" t="s">
        <v>66</v>
      </c>
      <c r="C39" s="50">
        <v>34</v>
      </c>
      <c r="D39" s="50">
        <v>9</v>
      </c>
      <c r="E39" s="50">
        <v>6</v>
      </c>
      <c r="F39" s="50">
        <v>39</v>
      </c>
      <c r="G39" s="50">
        <v>2</v>
      </c>
      <c r="H39" s="50">
        <v>1</v>
      </c>
      <c r="I39" s="50">
        <v>4</v>
      </c>
      <c r="J39" s="50">
        <v>5</v>
      </c>
      <c r="K39" s="50">
        <v>0</v>
      </c>
      <c r="L39" s="50">
        <v>0</v>
      </c>
      <c r="M39" s="50">
        <v>150</v>
      </c>
      <c r="N39" s="50">
        <v>0</v>
      </c>
      <c r="O39" s="15">
        <f t="shared" si="0"/>
        <v>100</v>
      </c>
      <c r="P39" s="15">
        <f t="shared" si="1"/>
        <v>250</v>
      </c>
    </row>
    <row r="40" spans="2:20" ht="23.1" customHeight="1" x14ac:dyDescent="0.25">
      <c r="B40" s="24" t="s">
        <v>67</v>
      </c>
      <c r="C40" s="50">
        <v>31</v>
      </c>
      <c r="D40" s="50">
        <v>15</v>
      </c>
      <c r="E40" s="50">
        <v>3</v>
      </c>
      <c r="F40" s="50">
        <v>42</v>
      </c>
      <c r="G40" s="50">
        <v>2</v>
      </c>
      <c r="H40" s="50">
        <v>3</v>
      </c>
      <c r="I40" s="50">
        <v>10</v>
      </c>
      <c r="J40" s="50">
        <v>9</v>
      </c>
      <c r="K40" s="50">
        <v>2</v>
      </c>
      <c r="L40" s="50">
        <v>5</v>
      </c>
      <c r="M40" s="50">
        <v>140</v>
      </c>
      <c r="N40" s="50">
        <v>0</v>
      </c>
      <c r="O40" s="15">
        <f t="shared" si="0"/>
        <v>122</v>
      </c>
      <c r="P40" s="15">
        <f t="shared" si="1"/>
        <v>262</v>
      </c>
    </row>
    <row r="41" spans="2:20" ht="23.1" customHeight="1" x14ac:dyDescent="0.25">
      <c r="B41" s="23" t="s">
        <v>68</v>
      </c>
      <c r="C41" s="50">
        <v>40</v>
      </c>
      <c r="D41" s="50">
        <v>6</v>
      </c>
      <c r="E41" s="50">
        <v>8</v>
      </c>
      <c r="F41" s="50">
        <v>47</v>
      </c>
      <c r="G41" s="50">
        <v>1</v>
      </c>
      <c r="H41" s="50">
        <v>2</v>
      </c>
      <c r="I41" s="50">
        <v>10</v>
      </c>
      <c r="J41" s="50">
        <v>7</v>
      </c>
      <c r="K41" s="50">
        <v>3</v>
      </c>
      <c r="L41" s="50">
        <v>1</v>
      </c>
      <c r="M41" s="50">
        <v>135</v>
      </c>
      <c r="N41" s="50">
        <v>0</v>
      </c>
      <c r="O41" s="15">
        <f t="shared" si="0"/>
        <v>125</v>
      </c>
      <c r="P41" s="15">
        <f t="shared" si="1"/>
        <v>260</v>
      </c>
    </row>
    <row r="42" spans="2:20" ht="23.1" customHeight="1" x14ac:dyDescent="0.25">
      <c r="B42" s="24" t="s">
        <v>69</v>
      </c>
      <c r="C42" s="50">
        <v>33</v>
      </c>
      <c r="D42" s="50">
        <v>27</v>
      </c>
      <c r="E42" s="50">
        <v>6</v>
      </c>
      <c r="F42" s="50">
        <v>28</v>
      </c>
      <c r="G42" s="50">
        <v>2</v>
      </c>
      <c r="H42" s="50">
        <v>1</v>
      </c>
      <c r="I42" s="50">
        <v>9</v>
      </c>
      <c r="J42" s="50">
        <v>5</v>
      </c>
      <c r="K42" s="50">
        <v>3</v>
      </c>
      <c r="L42" s="50">
        <v>0</v>
      </c>
      <c r="M42" s="50">
        <v>80</v>
      </c>
      <c r="N42" s="50">
        <v>0</v>
      </c>
      <c r="O42" s="15">
        <f t="shared" si="0"/>
        <v>114</v>
      </c>
      <c r="P42" s="15">
        <f t="shared" si="1"/>
        <v>194</v>
      </c>
    </row>
    <row r="43" spans="2:20" ht="23.1" customHeight="1" x14ac:dyDescent="0.25">
      <c r="B43" s="23" t="s">
        <v>70</v>
      </c>
      <c r="C43" s="50">
        <v>35</v>
      </c>
      <c r="D43" s="50">
        <v>19</v>
      </c>
      <c r="E43" s="50">
        <v>10</v>
      </c>
      <c r="F43" s="50">
        <v>49</v>
      </c>
      <c r="G43" s="50">
        <v>2</v>
      </c>
      <c r="H43" s="50">
        <v>0</v>
      </c>
      <c r="I43" s="50">
        <v>17</v>
      </c>
      <c r="J43" s="50">
        <v>8</v>
      </c>
      <c r="K43" s="50">
        <v>3</v>
      </c>
      <c r="L43" s="50">
        <v>3</v>
      </c>
      <c r="M43" s="50">
        <v>140</v>
      </c>
      <c r="N43" s="50">
        <v>0</v>
      </c>
      <c r="O43" s="15">
        <f t="shared" si="0"/>
        <v>146</v>
      </c>
      <c r="P43" s="15">
        <f t="shared" si="1"/>
        <v>286</v>
      </c>
    </row>
    <row r="44" spans="2:20" ht="23.1" customHeight="1" x14ac:dyDescent="0.25">
      <c r="B44" s="25" t="s">
        <v>71</v>
      </c>
      <c r="C44" s="50">
        <v>46</v>
      </c>
      <c r="D44" s="50">
        <v>29</v>
      </c>
      <c r="E44" s="50">
        <v>5</v>
      </c>
      <c r="F44" s="50">
        <v>50</v>
      </c>
      <c r="G44" s="50">
        <v>3</v>
      </c>
      <c r="H44" s="50">
        <v>0</v>
      </c>
      <c r="I44" s="50">
        <v>10</v>
      </c>
      <c r="J44" s="50">
        <v>18</v>
      </c>
      <c r="K44" s="50">
        <v>4</v>
      </c>
      <c r="L44" s="50">
        <v>1</v>
      </c>
      <c r="M44" s="50">
        <v>109</v>
      </c>
      <c r="N44" s="50">
        <v>0</v>
      </c>
      <c r="O44" s="15">
        <f t="shared" si="0"/>
        <v>166</v>
      </c>
      <c r="P44" s="15">
        <f t="shared" si="1"/>
        <v>275</v>
      </c>
    </row>
    <row r="45" spans="2:20" ht="23.1" customHeight="1" x14ac:dyDescent="0.25">
      <c r="B45" s="23" t="s">
        <v>72</v>
      </c>
      <c r="C45" s="50">
        <v>24</v>
      </c>
      <c r="D45" s="50">
        <v>5</v>
      </c>
      <c r="E45" s="50">
        <v>6</v>
      </c>
      <c r="F45" s="50">
        <v>31</v>
      </c>
      <c r="G45" s="50">
        <v>1</v>
      </c>
      <c r="H45" s="50">
        <v>1</v>
      </c>
      <c r="I45" s="50">
        <v>7</v>
      </c>
      <c r="J45" s="50">
        <v>8</v>
      </c>
      <c r="K45" s="50">
        <v>1</v>
      </c>
      <c r="L45" s="50">
        <v>0</v>
      </c>
      <c r="M45" s="50">
        <v>140</v>
      </c>
      <c r="N45" s="50">
        <v>0</v>
      </c>
      <c r="O45" s="15">
        <f t="shared" si="0"/>
        <v>84</v>
      </c>
      <c r="P45" s="15">
        <f t="shared" si="1"/>
        <v>224</v>
      </c>
    </row>
    <row r="46" spans="2:20" ht="23.1" customHeight="1" x14ac:dyDescent="0.25">
      <c r="B46" s="24" t="s">
        <v>73</v>
      </c>
      <c r="C46" s="50">
        <v>34</v>
      </c>
      <c r="D46" s="50">
        <v>19</v>
      </c>
      <c r="E46" s="50">
        <v>17</v>
      </c>
      <c r="F46" s="50">
        <v>40</v>
      </c>
      <c r="G46" s="50">
        <v>1</v>
      </c>
      <c r="H46" s="50">
        <v>1</v>
      </c>
      <c r="I46" s="50">
        <v>8</v>
      </c>
      <c r="J46" s="50">
        <v>8</v>
      </c>
      <c r="K46" s="50">
        <v>3</v>
      </c>
      <c r="L46" s="50">
        <v>0</v>
      </c>
      <c r="M46" s="50">
        <v>155</v>
      </c>
      <c r="N46" s="50">
        <v>0</v>
      </c>
      <c r="O46" s="15">
        <f t="shared" si="0"/>
        <v>131</v>
      </c>
      <c r="P46" s="15">
        <f t="shared" si="1"/>
        <v>286</v>
      </c>
      <c r="R46" s="8"/>
      <c r="T46"/>
    </row>
    <row r="47" spans="2:20" ht="23.1" customHeight="1" x14ac:dyDescent="0.25">
      <c r="B47" s="24" t="s">
        <v>74</v>
      </c>
      <c r="C47" s="50">
        <v>31</v>
      </c>
      <c r="D47" s="50">
        <v>11</v>
      </c>
      <c r="E47" s="50">
        <v>7</v>
      </c>
      <c r="F47" s="50">
        <v>28</v>
      </c>
      <c r="G47" s="50">
        <v>1</v>
      </c>
      <c r="H47" s="50">
        <v>1</v>
      </c>
      <c r="I47" s="50">
        <v>2</v>
      </c>
      <c r="J47" s="50">
        <v>5</v>
      </c>
      <c r="K47" s="50">
        <v>5</v>
      </c>
      <c r="L47" s="50">
        <v>3</v>
      </c>
      <c r="M47" s="50">
        <v>180</v>
      </c>
      <c r="N47" s="50">
        <v>0</v>
      </c>
      <c r="O47" s="15">
        <f t="shared" si="0"/>
        <v>94</v>
      </c>
      <c r="P47" s="15">
        <f t="shared" si="1"/>
        <v>274</v>
      </c>
      <c r="R47" s="8"/>
      <c r="T47"/>
    </row>
    <row r="48" spans="2:20" ht="23.1" customHeight="1" x14ac:dyDescent="0.25">
      <c r="B48" s="24" t="s">
        <v>75</v>
      </c>
      <c r="C48" s="50">
        <v>40</v>
      </c>
      <c r="D48" s="50">
        <v>8</v>
      </c>
      <c r="E48" s="50">
        <v>8</v>
      </c>
      <c r="F48" s="50">
        <v>53</v>
      </c>
      <c r="G48" s="50">
        <v>3</v>
      </c>
      <c r="H48" s="50">
        <v>2</v>
      </c>
      <c r="I48" s="50">
        <v>7</v>
      </c>
      <c r="J48" s="50">
        <v>15</v>
      </c>
      <c r="K48" s="50">
        <v>1</v>
      </c>
      <c r="L48" s="50">
        <v>1</v>
      </c>
      <c r="M48" s="50">
        <v>150</v>
      </c>
      <c r="N48" s="50">
        <v>0</v>
      </c>
      <c r="O48" s="15">
        <f t="shared" si="0"/>
        <v>138</v>
      </c>
      <c r="P48" s="15">
        <f t="shared" si="1"/>
        <v>288</v>
      </c>
      <c r="R48" s="8"/>
      <c r="T48"/>
    </row>
    <row r="49" spans="2:20" ht="23.1" customHeight="1" x14ac:dyDescent="0.25">
      <c r="B49" s="23" t="s">
        <v>76</v>
      </c>
      <c r="C49" s="50">
        <v>25</v>
      </c>
      <c r="D49" s="50">
        <v>18</v>
      </c>
      <c r="E49" s="50">
        <v>8</v>
      </c>
      <c r="F49" s="50">
        <v>35</v>
      </c>
      <c r="G49" s="50">
        <v>1</v>
      </c>
      <c r="H49" s="50">
        <v>2</v>
      </c>
      <c r="I49" s="50">
        <v>7</v>
      </c>
      <c r="J49" s="50">
        <v>10</v>
      </c>
      <c r="K49" s="50">
        <v>5</v>
      </c>
      <c r="L49" s="50">
        <v>4</v>
      </c>
      <c r="M49" s="50">
        <v>181</v>
      </c>
      <c r="N49" s="50">
        <v>0</v>
      </c>
      <c r="O49" s="15">
        <f t="shared" si="0"/>
        <v>115</v>
      </c>
      <c r="P49" s="15">
        <f t="shared" si="1"/>
        <v>296</v>
      </c>
      <c r="R49" s="8"/>
      <c r="T49"/>
    </row>
    <row r="50" spans="2:20" ht="23.1" customHeight="1" x14ac:dyDescent="0.25">
      <c r="B50" s="24" t="s">
        <v>77</v>
      </c>
      <c r="C50" s="50">
        <v>17</v>
      </c>
      <c r="D50" s="50">
        <v>11</v>
      </c>
      <c r="E50" s="50">
        <v>8</v>
      </c>
      <c r="F50" s="50">
        <v>51</v>
      </c>
      <c r="G50" s="50">
        <v>1</v>
      </c>
      <c r="H50" s="50">
        <v>1</v>
      </c>
      <c r="I50" s="50">
        <v>6</v>
      </c>
      <c r="J50" s="50">
        <v>10</v>
      </c>
      <c r="K50" s="50">
        <v>2</v>
      </c>
      <c r="L50" s="50">
        <v>3</v>
      </c>
      <c r="M50" s="50">
        <v>236</v>
      </c>
      <c r="N50" s="50">
        <v>0</v>
      </c>
      <c r="O50" s="15">
        <f t="shared" si="0"/>
        <v>110</v>
      </c>
      <c r="P50" s="15">
        <f t="shared" si="1"/>
        <v>346</v>
      </c>
      <c r="R50" s="8"/>
      <c r="T50"/>
    </row>
    <row r="51" spans="2:20" ht="23.1" customHeight="1" x14ac:dyDescent="0.25">
      <c r="B51" s="24" t="s">
        <v>78</v>
      </c>
      <c r="C51" s="50">
        <v>34</v>
      </c>
      <c r="D51" s="50">
        <v>10</v>
      </c>
      <c r="E51" s="50">
        <v>7</v>
      </c>
      <c r="F51" s="50">
        <v>47</v>
      </c>
      <c r="G51" s="50">
        <v>2</v>
      </c>
      <c r="H51" s="50">
        <v>0</v>
      </c>
      <c r="I51" s="50">
        <v>7</v>
      </c>
      <c r="J51" s="50">
        <v>5</v>
      </c>
      <c r="K51" s="50">
        <v>1</v>
      </c>
      <c r="L51" s="50">
        <v>5</v>
      </c>
      <c r="M51" s="50">
        <v>180</v>
      </c>
      <c r="N51" s="50">
        <v>0</v>
      </c>
      <c r="O51" s="15">
        <f t="shared" si="0"/>
        <v>118</v>
      </c>
      <c r="P51" s="15">
        <f t="shared" si="1"/>
        <v>298</v>
      </c>
      <c r="R51" s="8"/>
      <c r="T51"/>
    </row>
    <row r="52" spans="2:20" ht="23.1" customHeight="1" x14ac:dyDescent="0.25">
      <c r="B52" s="24" t="s">
        <v>79</v>
      </c>
      <c r="C52" s="50">
        <v>21</v>
      </c>
      <c r="D52" s="50">
        <v>8</v>
      </c>
      <c r="E52" s="50">
        <v>7</v>
      </c>
      <c r="F52" s="50">
        <v>40</v>
      </c>
      <c r="G52" s="50">
        <v>3</v>
      </c>
      <c r="H52" s="50">
        <v>2</v>
      </c>
      <c r="I52" s="50">
        <v>9</v>
      </c>
      <c r="J52" s="50">
        <v>3</v>
      </c>
      <c r="K52" s="50">
        <v>1</v>
      </c>
      <c r="L52" s="50">
        <v>3</v>
      </c>
      <c r="M52" s="50">
        <v>139</v>
      </c>
      <c r="N52" s="50">
        <v>0</v>
      </c>
      <c r="O52" s="15">
        <f t="shared" si="0"/>
        <v>97</v>
      </c>
      <c r="P52" s="15">
        <f t="shared" si="1"/>
        <v>236</v>
      </c>
      <c r="R52" s="8"/>
      <c r="T52"/>
    </row>
    <row r="53" spans="2:20" ht="23.1" customHeight="1" x14ac:dyDescent="0.25">
      <c r="B53" s="23" t="s">
        <v>80</v>
      </c>
      <c r="C53" s="50">
        <v>22</v>
      </c>
      <c r="D53" s="50">
        <v>10</v>
      </c>
      <c r="E53" s="50">
        <v>11</v>
      </c>
      <c r="F53" s="50">
        <v>42</v>
      </c>
      <c r="G53" s="50">
        <v>1</v>
      </c>
      <c r="H53" s="50">
        <v>0</v>
      </c>
      <c r="I53" s="50">
        <v>3</v>
      </c>
      <c r="J53" s="50">
        <v>7</v>
      </c>
      <c r="K53" s="50">
        <v>3</v>
      </c>
      <c r="L53" s="50">
        <v>2</v>
      </c>
      <c r="M53" s="50">
        <v>182</v>
      </c>
      <c r="N53" s="50">
        <v>0</v>
      </c>
      <c r="O53" s="15">
        <f t="shared" si="0"/>
        <v>101</v>
      </c>
      <c r="P53" s="15">
        <f t="shared" si="1"/>
        <v>283</v>
      </c>
      <c r="R53" s="8"/>
      <c r="T53"/>
    </row>
    <row r="54" spans="2:20" ht="23.1" customHeight="1" x14ac:dyDescent="0.25">
      <c r="B54" s="23" t="s">
        <v>81</v>
      </c>
      <c r="C54" s="50">
        <v>26</v>
      </c>
      <c r="D54" s="50">
        <v>17</v>
      </c>
      <c r="E54" s="50">
        <v>4</v>
      </c>
      <c r="F54" s="50">
        <v>47</v>
      </c>
      <c r="G54" s="50">
        <v>1</v>
      </c>
      <c r="H54" s="50">
        <v>0</v>
      </c>
      <c r="I54" s="50">
        <v>7</v>
      </c>
      <c r="J54" s="50">
        <v>4</v>
      </c>
      <c r="K54" s="50">
        <v>0</v>
      </c>
      <c r="L54" s="50">
        <v>1</v>
      </c>
      <c r="M54" s="50">
        <v>255</v>
      </c>
      <c r="N54" s="50">
        <v>0</v>
      </c>
      <c r="O54" s="15">
        <f t="shared" si="0"/>
        <v>107</v>
      </c>
      <c r="P54" s="15">
        <f t="shared" si="1"/>
        <v>362</v>
      </c>
      <c r="R54" s="8"/>
      <c r="T54"/>
    </row>
    <row r="55" spans="2:20" ht="23.1" customHeight="1" x14ac:dyDescent="0.25">
      <c r="B55" s="23" t="s">
        <v>82</v>
      </c>
      <c r="C55" s="50">
        <v>32</v>
      </c>
      <c r="D55" s="50">
        <v>12</v>
      </c>
      <c r="E55" s="50">
        <v>7</v>
      </c>
      <c r="F55" s="50">
        <v>55</v>
      </c>
      <c r="G55" s="50">
        <v>3</v>
      </c>
      <c r="H55" s="50">
        <v>2</v>
      </c>
      <c r="I55" s="50">
        <v>5</v>
      </c>
      <c r="J55" s="50">
        <v>3</v>
      </c>
      <c r="K55" s="50">
        <v>2</v>
      </c>
      <c r="L55" s="50">
        <v>1</v>
      </c>
      <c r="M55" s="50">
        <v>267</v>
      </c>
      <c r="N55" s="50">
        <v>0</v>
      </c>
      <c r="O55" s="15">
        <f t="shared" si="0"/>
        <v>122</v>
      </c>
      <c r="P55" s="15">
        <f t="shared" si="1"/>
        <v>389</v>
      </c>
      <c r="R55" s="8"/>
      <c r="T55"/>
    </row>
    <row r="56" spans="2:20" ht="23.1" customHeight="1" x14ac:dyDescent="0.25">
      <c r="B56" s="23" t="s">
        <v>83</v>
      </c>
      <c r="C56" s="50">
        <v>18</v>
      </c>
      <c r="D56" s="50">
        <v>15</v>
      </c>
      <c r="E56" s="50">
        <v>2</v>
      </c>
      <c r="F56" s="50">
        <v>39</v>
      </c>
      <c r="G56" s="50">
        <v>2</v>
      </c>
      <c r="H56" s="50">
        <v>2</v>
      </c>
      <c r="I56" s="50">
        <v>8</v>
      </c>
      <c r="J56" s="50">
        <v>6</v>
      </c>
      <c r="K56" s="50">
        <v>1</v>
      </c>
      <c r="L56" s="50">
        <v>3</v>
      </c>
      <c r="M56" s="50">
        <v>312</v>
      </c>
      <c r="N56" s="50">
        <v>0</v>
      </c>
      <c r="O56" s="15">
        <f t="shared" si="0"/>
        <v>96</v>
      </c>
      <c r="P56" s="15">
        <f t="shared" si="1"/>
        <v>408</v>
      </c>
      <c r="R56" s="8"/>
      <c r="T56"/>
    </row>
    <row r="57" spans="2:20" ht="23.1" customHeight="1" x14ac:dyDescent="0.25">
      <c r="B57" s="23" t="s">
        <v>84</v>
      </c>
      <c r="C57" s="50">
        <v>15</v>
      </c>
      <c r="D57" s="50">
        <v>8</v>
      </c>
      <c r="E57" s="50">
        <v>6</v>
      </c>
      <c r="F57" s="50">
        <v>46</v>
      </c>
      <c r="G57" s="50">
        <v>1</v>
      </c>
      <c r="H57" s="50">
        <v>1</v>
      </c>
      <c r="I57" s="50">
        <v>4</v>
      </c>
      <c r="J57" s="50">
        <v>4</v>
      </c>
      <c r="K57" s="50">
        <v>2</v>
      </c>
      <c r="L57" s="50">
        <v>1</v>
      </c>
      <c r="M57" s="50">
        <v>248</v>
      </c>
      <c r="N57" s="50">
        <v>0</v>
      </c>
      <c r="O57" s="15">
        <f t="shared" si="0"/>
        <v>88</v>
      </c>
      <c r="P57" s="15">
        <f t="shared" si="1"/>
        <v>336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1735</v>
      </c>
      <c r="D58" s="16">
        <f t="shared" si="21"/>
        <v>572</v>
      </c>
      <c r="E58" s="16">
        <f t="shared" si="21"/>
        <v>327</v>
      </c>
      <c r="F58" s="16">
        <f t="shared" si="21"/>
        <v>2174</v>
      </c>
      <c r="G58" s="16">
        <f t="shared" si="21"/>
        <v>90</v>
      </c>
      <c r="H58" s="16">
        <f t="shared" si="21"/>
        <v>31</v>
      </c>
      <c r="I58" s="16">
        <f t="shared" si="21"/>
        <v>363</v>
      </c>
      <c r="J58" s="16">
        <f t="shared" si="21"/>
        <v>396</v>
      </c>
      <c r="K58" s="16">
        <f t="shared" si="21"/>
        <v>120</v>
      </c>
      <c r="L58" s="16">
        <f t="shared" si="21"/>
        <v>75</v>
      </c>
      <c r="M58" s="16">
        <f t="shared" si="21"/>
        <v>8943</v>
      </c>
      <c r="N58" s="16">
        <f t="shared" si="21"/>
        <v>0</v>
      </c>
      <c r="O58" s="16">
        <f t="shared" si="21"/>
        <v>5883</v>
      </c>
      <c r="P58" s="16">
        <f t="shared" si="21"/>
        <v>14826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0.11702414676918926</v>
      </c>
      <c r="D59" s="43">
        <f t="shared" si="22"/>
        <v>3.8580871442061244E-2</v>
      </c>
      <c r="E59" s="43">
        <f t="shared" si="22"/>
        <v>2.2055847834884661E-2</v>
      </c>
      <c r="F59" s="43">
        <f t="shared" si="22"/>
        <v>0.14663429111021178</v>
      </c>
      <c r="G59" s="43">
        <f t="shared" si="22"/>
        <v>6.0704168352893563E-3</v>
      </c>
      <c r="H59" s="43">
        <f t="shared" si="22"/>
        <v>2.0909213543774448E-3</v>
      </c>
      <c r="I59" s="43">
        <f t="shared" si="22"/>
        <v>2.4484014569000404E-2</v>
      </c>
      <c r="J59" s="43">
        <f t="shared" si="22"/>
        <v>2.6709834075273168E-2</v>
      </c>
      <c r="K59" s="43">
        <f t="shared" si="22"/>
        <v>8.0938891137191417E-3</v>
      </c>
      <c r="L59" s="43">
        <f t="shared" si="22"/>
        <v>5.058680696074464E-3</v>
      </c>
      <c r="M59" s="43">
        <f t="shared" si="22"/>
        <v>0.60319708619991907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0.29491755906850248</v>
      </c>
      <c r="D60" s="44">
        <f t="shared" ref="D60:N60" si="23">D58/$O$58</f>
        <v>9.7229304776474582E-2</v>
      </c>
      <c r="E60" s="44">
        <f t="shared" si="23"/>
        <v>5.5583885772565018E-2</v>
      </c>
      <c r="F60" s="44">
        <f t="shared" si="23"/>
        <v>0.36953935067142613</v>
      </c>
      <c r="G60" s="44">
        <f t="shared" si="23"/>
        <v>1.5298317185109638E-2</v>
      </c>
      <c r="H60" s="44">
        <f t="shared" si="23"/>
        <v>5.269420363759986E-3</v>
      </c>
      <c r="I60" s="44">
        <f t="shared" si="23"/>
        <v>6.1703212646608871E-2</v>
      </c>
      <c r="J60" s="44">
        <f t="shared" si="23"/>
        <v>6.7312595614482412E-2</v>
      </c>
      <c r="K60" s="44">
        <f t="shared" si="23"/>
        <v>2.0397756246812851E-2</v>
      </c>
      <c r="L60" s="44">
        <f t="shared" si="23"/>
        <v>1.2748597654258032E-2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P63" sqref="P6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Bwaise-Kawempe'!C3:G3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3" t="str">
        <f>'24.07 Kawempe-Bwaise'!G5:H5</f>
        <v>Before Steel and Tube</v>
      </c>
      <c r="H5" s="64"/>
      <c r="I5" s="14"/>
      <c r="J5" s="2" t="s">
        <v>5</v>
      </c>
      <c r="K5" s="63" t="s">
        <v>173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Bwaise-Kawempe'!D6:E6</f>
        <v>Bwaise</v>
      </c>
      <c r="E6" s="64"/>
      <c r="F6" s="2" t="s">
        <v>2</v>
      </c>
      <c r="G6" s="63" t="str">
        <f>'22.07 Bwaise-Kawempe'!G6:H6</f>
        <v>Kawempe</v>
      </c>
      <c r="H6" s="64"/>
      <c r="J6" s="2" t="s">
        <v>21</v>
      </c>
      <c r="K6" s="63" t="str">
        <f>'24.07 Kawempe-Bwaise'!K6:L6</f>
        <v>Salima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32</v>
      </c>
      <c r="D10" s="50">
        <v>4</v>
      </c>
      <c r="E10" s="50">
        <v>3</v>
      </c>
      <c r="F10" s="50">
        <v>22</v>
      </c>
      <c r="G10" s="50">
        <v>1</v>
      </c>
      <c r="H10" s="50">
        <v>1</v>
      </c>
      <c r="I10" s="50">
        <v>0</v>
      </c>
      <c r="J10" s="50">
        <v>3</v>
      </c>
      <c r="K10" s="50">
        <v>1</v>
      </c>
      <c r="L10" s="50">
        <v>0</v>
      </c>
      <c r="M10" s="50">
        <v>150</v>
      </c>
      <c r="N10" s="50">
        <v>0</v>
      </c>
      <c r="O10" s="15">
        <f t="shared" ref="O10:O57" si="0">SUM(C10:L10,N10)</f>
        <v>67</v>
      </c>
      <c r="P10" s="15">
        <f t="shared" ref="P10:P57" si="1">SUM(C10:N10)</f>
        <v>217</v>
      </c>
      <c r="R10" s="1" t="s">
        <v>6</v>
      </c>
      <c r="S10" s="17">
        <f t="shared" ref="S10:AF10" si="2">SUM(C10:C13)</f>
        <v>108</v>
      </c>
      <c r="T10" s="17">
        <f t="shared" si="2"/>
        <v>14</v>
      </c>
      <c r="U10" s="17">
        <f t="shared" si="2"/>
        <v>10</v>
      </c>
      <c r="V10" s="17">
        <f t="shared" si="2"/>
        <v>148</v>
      </c>
      <c r="W10" s="17">
        <f t="shared" si="2"/>
        <v>14</v>
      </c>
      <c r="X10" s="17">
        <f t="shared" si="2"/>
        <v>4</v>
      </c>
      <c r="Y10" s="17">
        <f t="shared" si="2"/>
        <v>29</v>
      </c>
      <c r="Z10" s="17">
        <f t="shared" si="2"/>
        <v>7</v>
      </c>
      <c r="AA10" s="17">
        <f t="shared" si="2"/>
        <v>4</v>
      </c>
      <c r="AB10" s="17">
        <f t="shared" si="2"/>
        <v>4</v>
      </c>
      <c r="AC10" s="17">
        <f t="shared" si="2"/>
        <v>688</v>
      </c>
      <c r="AD10" s="17">
        <f t="shared" si="2"/>
        <v>0</v>
      </c>
      <c r="AE10" s="31">
        <f t="shared" si="2"/>
        <v>342</v>
      </c>
      <c r="AF10" s="31">
        <f t="shared" si="2"/>
        <v>1030</v>
      </c>
    </row>
    <row r="11" spans="2:32" s="6" customFormat="1" ht="23.1" customHeight="1" x14ac:dyDescent="0.25">
      <c r="B11" s="23" t="s">
        <v>38</v>
      </c>
      <c r="C11" s="50">
        <v>28</v>
      </c>
      <c r="D11" s="50">
        <v>2</v>
      </c>
      <c r="E11" s="50">
        <v>2</v>
      </c>
      <c r="F11" s="50">
        <v>34</v>
      </c>
      <c r="G11" s="50">
        <v>1</v>
      </c>
      <c r="H11" s="50">
        <v>2</v>
      </c>
      <c r="I11" s="50">
        <v>9</v>
      </c>
      <c r="J11" s="50">
        <v>1</v>
      </c>
      <c r="K11" s="50">
        <v>3</v>
      </c>
      <c r="L11" s="50">
        <v>0</v>
      </c>
      <c r="M11" s="50">
        <v>194</v>
      </c>
      <c r="N11" s="50">
        <v>0</v>
      </c>
      <c r="O11" s="15">
        <f t="shared" si="0"/>
        <v>82</v>
      </c>
      <c r="P11" s="15">
        <f t="shared" si="1"/>
        <v>276</v>
      </c>
      <c r="R11" s="1" t="s">
        <v>7</v>
      </c>
      <c r="S11" s="17">
        <f t="shared" ref="S11:AF11" si="3">SUM(C14:C17)</f>
        <v>86</v>
      </c>
      <c r="T11" s="17">
        <f t="shared" si="3"/>
        <v>18</v>
      </c>
      <c r="U11" s="17">
        <f t="shared" si="3"/>
        <v>9</v>
      </c>
      <c r="V11" s="17">
        <f t="shared" si="3"/>
        <v>198</v>
      </c>
      <c r="W11" s="17">
        <f t="shared" si="3"/>
        <v>8</v>
      </c>
      <c r="X11" s="17">
        <f t="shared" si="3"/>
        <v>4</v>
      </c>
      <c r="Y11" s="17">
        <f t="shared" si="3"/>
        <v>33</v>
      </c>
      <c r="Z11" s="17">
        <f t="shared" si="3"/>
        <v>7</v>
      </c>
      <c r="AA11" s="17">
        <f t="shared" si="3"/>
        <v>6</v>
      </c>
      <c r="AB11" s="17">
        <f t="shared" si="3"/>
        <v>7</v>
      </c>
      <c r="AC11" s="17">
        <f t="shared" si="3"/>
        <v>695</v>
      </c>
      <c r="AD11" s="17">
        <f t="shared" si="3"/>
        <v>0</v>
      </c>
      <c r="AE11" s="31">
        <f t="shared" si="3"/>
        <v>376</v>
      </c>
      <c r="AF11" s="31">
        <f t="shared" si="3"/>
        <v>1071</v>
      </c>
    </row>
    <row r="12" spans="2:32" ht="23.1" customHeight="1" x14ac:dyDescent="0.25">
      <c r="B12" s="23" t="s">
        <v>39</v>
      </c>
      <c r="C12" s="50">
        <v>25</v>
      </c>
      <c r="D12" s="50">
        <v>3</v>
      </c>
      <c r="E12" s="50">
        <v>0</v>
      </c>
      <c r="F12" s="50">
        <v>46</v>
      </c>
      <c r="G12" s="50">
        <v>4</v>
      </c>
      <c r="H12" s="50">
        <v>0</v>
      </c>
      <c r="I12" s="50">
        <v>12</v>
      </c>
      <c r="J12" s="50">
        <v>1</v>
      </c>
      <c r="K12" s="50">
        <v>0</v>
      </c>
      <c r="L12" s="50">
        <v>1</v>
      </c>
      <c r="M12" s="50">
        <v>169</v>
      </c>
      <c r="N12" s="50">
        <v>0</v>
      </c>
      <c r="O12" s="15">
        <f t="shared" si="0"/>
        <v>92</v>
      </c>
      <c r="P12" s="15">
        <f t="shared" si="1"/>
        <v>261</v>
      </c>
      <c r="R12" s="1" t="s">
        <v>8</v>
      </c>
      <c r="S12" s="17">
        <f t="shared" ref="S12:AF12" si="4">SUM(C18:C21)</f>
        <v>105</v>
      </c>
      <c r="T12" s="17">
        <f t="shared" si="4"/>
        <v>18</v>
      </c>
      <c r="U12" s="17">
        <f t="shared" si="4"/>
        <v>15</v>
      </c>
      <c r="V12" s="17">
        <f t="shared" si="4"/>
        <v>179</v>
      </c>
      <c r="W12" s="17">
        <f t="shared" si="4"/>
        <v>8</v>
      </c>
      <c r="X12" s="17">
        <f t="shared" si="4"/>
        <v>2</v>
      </c>
      <c r="Y12" s="17">
        <f t="shared" si="4"/>
        <v>39</v>
      </c>
      <c r="Z12" s="17">
        <f t="shared" si="4"/>
        <v>7</v>
      </c>
      <c r="AA12" s="17">
        <f t="shared" si="4"/>
        <v>5</v>
      </c>
      <c r="AB12" s="17">
        <f t="shared" si="4"/>
        <v>11</v>
      </c>
      <c r="AC12" s="17">
        <f t="shared" si="4"/>
        <v>585</v>
      </c>
      <c r="AD12" s="17">
        <f t="shared" si="4"/>
        <v>0</v>
      </c>
      <c r="AE12" s="31">
        <f t="shared" si="4"/>
        <v>389</v>
      </c>
      <c r="AF12" s="31">
        <f t="shared" si="4"/>
        <v>974</v>
      </c>
    </row>
    <row r="13" spans="2:32" ht="23.1" customHeight="1" x14ac:dyDescent="0.25">
      <c r="B13" s="23" t="s">
        <v>40</v>
      </c>
      <c r="C13" s="50">
        <v>23</v>
      </c>
      <c r="D13" s="50">
        <v>5</v>
      </c>
      <c r="E13" s="50">
        <v>5</v>
      </c>
      <c r="F13" s="50">
        <v>46</v>
      </c>
      <c r="G13" s="50">
        <v>8</v>
      </c>
      <c r="H13" s="50">
        <v>1</v>
      </c>
      <c r="I13" s="50">
        <v>8</v>
      </c>
      <c r="J13" s="50">
        <v>2</v>
      </c>
      <c r="K13" s="50">
        <v>0</v>
      </c>
      <c r="L13" s="50">
        <v>3</v>
      </c>
      <c r="M13" s="50">
        <v>175</v>
      </c>
      <c r="N13" s="50">
        <v>0</v>
      </c>
      <c r="O13" s="15">
        <f t="shared" si="0"/>
        <v>101</v>
      </c>
      <c r="P13" s="15">
        <f t="shared" si="1"/>
        <v>276</v>
      </c>
      <c r="R13" s="1" t="s">
        <v>9</v>
      </c>
      <c r="S13" s="17">
        <f t="shared" ref="S13:AF13" si="5">SUM(C22:C25)</f>
        <v>113</v>
      </c>
      <c r="T13" s="17">
        <f t="shared" si="5"/>
        <v>25</v>
      </c>
      <c r="U13" s="17">
        <f t="shared" si="5"/>
        <v>21</v>
      </c>
      <c r="V13" s="17">
        <f t="shared" si="5"/>
        <v>168</v>
      </c>
      <c r="W13" s="17">
        <f t="shared" si="5"/>
        <v>9</v>
      </c>
      <c r="X13" s="17">
        <f t="shared" si="5"/>
        <v>2</v>
      </c>
      <c r="Y13" s="17">
        <f t="shared" si="5"/>
        <v>51</v>
      </c>
      <c r="Z13" s="17">
        <f t="shared" si="5"/>
        <v>9</v>
      </c>
      <c r="AA13" s="17">
        <f t="shared" si="5"/>
        <v>4</v>
      </c>
      <c r="AB13" s="17">
        <f t="shared" si="5"/>
        <v>13</v>
      </c>
      <c r="AC13" s="17">
        <f t="shared" si="5"/>
        <v>567</v>
      </c>
      <c r="AD13" s="17">
        <f t="shared" si="5"/>
        <v>0</v>
      </c>
      <c r="AE13" s="31">
        <f t="shared" si="5"/>
        <v>415</v>
      </c>
      <c r="AF13" s="31">
        <f t="shared" si="5"/>
        <v>982</v>
      </c>
    </row>
    <row r="14" spans="2:32" ht="23.1" customHeight="1" x14ac:dyDescent="0.25">
      <c r="B14" s="23" t="s">
        <v>41</v>
      </c>
      <c r="C14" s="50">
        <v>19</v>
      </c>
      <c r="D14" s="50">
        <v>3</v>
      </c>
      <c r="E14" s="50">
        <v>4</v>
      </c>
      <c r="F14" s="50">
        <v>31</v>
      </c>
      <c r="G14" s="50">
        <v>1</v>
      </c>
      <c r="H14" s="50">
        <v>0</v>
      </c>
      <c r="I14" s="50">
        <v>8</v>
      </c>
      <c r="J14" s="50">
        <v>2</v>
      </c>
      <c r="K14" s="50">
        <v>2</v>
      </c>
      <c r="L14" s="50">
        <v>1</v>
      </c>
      <c r="M14" s="50">
        <v>150</v>
      </c>
      <c r="N14" s="50">
        <v>0</v>
      </c>
      <c r="O14" s="15">
        <f t="shared" si="0"/>
        <v>71</v>
      </c>
      <c r="P14" s="15">
        <f t="shared" si="1"/>
        <v>221</v>
      </c>
      <c r="R14" s="1" t="s">
        <v>10</v>
      </c>
      <c r="S14" s="17">
        <f t="shared" ref="S14:AF14" si="6">SUM(C26:C29)</f>
        <v>136</v>
      </c>
      <c r="T14" s="17">
        <f t="shared" si="6"/>
        <v>27</v>
      </c>
      <c r="U14" s="17">
        <f t="shared" si="6"/>
        <v>14</v>
      </c>
      <c r="V14" s="17">
        <f t="shared" si="6"/>
        <v>151</v>
      </c>
      <c r="W14" s="17">
        <f t="shared" si="6"/>
        <v>4</v>
      </c>
      <c r="X14" s="17">
        <f t="shared" si="6"/>
        <v>3</v>
      </c>
      <c r="Y14" s="17">
        <f t="shared" si="6"/>
        <v>44</v>
      </c>
      <c r="Z14" s="17">
        <f t="shared" si="6"/>
        <v>10</v>
      </c>
      <c r="AA14" s="17">
        <f t="shared" si="6"/>
        <v>5</v>
      </c>
      <c r="AB14" s="17">
        <f t="shared" si="6"/>
        <v>27</v>
      </c>
      <c r="AC14" s="17">
        <f t="shared" si="6"/>
        <v>510</v>
      </c>
      <c r="AD14" s="17">
        <f t="shared" si="6"/>
        <v>0</v>
      </c>
      <c r="AE14" s="31">
        <f t="shared" si="6"/>
        <v>421</v>
      </c>
      <c r="AF14" s="31">
        <f t="shared" si="6"/>
        <v>931</v>
      </c>
    </row>
    <row r="15" spans="2:32" ht="23.1" customHeight="1" x14ac:dyDescent="0.25">
      <c r="B15" s="23" t="s">
        <v>42</v>
      </c>
      <c r="C15" s="50">
        <v>31</v>
      </c>
      <c r="D15" s="50">
        <v>4</v>
      </c>
      <c r="E15" s="50">
        <v>2</v>
      </c>
      <c r="F15" s="50">
        <v>66</v>
      </c>
      <c r="G15" s="50">
        <v>2</v>
      </c>
      <c r="H15" s="50">
        <v>1</v>
      </c>
      <c r="I15" s="50">
        <v>8</v>
      </c>
      <c r="J15" s="50">
        <v>0</v>
      </c>
      <c r="K15" s="50">
        <v>0</v>
      </c>
      <c r="L15" s="50">
        <v>5</v>
      </c>
      <c r="M15" s="50">
        <v>215</v>
      </c>
      <c r="N15" s="50">
        <v>0</v>
      </c>
      <c r="O15" s="15">
        <f t="shared" si="0"/>
        <v>119</v>
      </c>
      <c r="P15" s="15">
        <f t="shared" si="1"/>
        <v>334</v>
      </c>
      <c r="R15" s="1" t="s">
        <v>11</v>
      </c>
      <c r="S15" s="17">
        <f t="shared" ref="S15:AF15" si="7">SUM(C30:C33)</f>
        <v>137</v>
      </c>
      <c r="T15" s="17">
        <f t="shared" si="7"/>
        <v>25</v>
      </c>
      <c r="U15" s="17">
        <f t="shared" si="7"/>
        <v>18</v>
      </c>
      <c r="V15" s="17">
        <f t="shared" si="7"/>
        <v>181</v>
      </c>
      <c r="W15" s="17">
        <f t="shared" si="7"/>
        <v>4</v>
      </c>
      <c r="X15" s="17">
        <f t="shared" si="7"/>
        <v>2</v>
      </c>
      <c r="Y15" s="17">
        <f t="shared" si="7"/>
        <v>49</v>
      </c>
      <c r="Z15" s="17">
        <f t="shared" si="7"/>
        <v>10</v>
      </c>
      <c r="AA15" s="17">
        <f t="shared" si="7"/>
        <v>5</v>
      </c>
      <c r="AB15" s="17">
        <f t="shared" si="7"/>
        <v>14</v>
      </c>
      <c r="AC15" s="17">
        <f t="shared" si="7"/>
        <v>467</v>
      </c>
      <c r="AD15" s="17">
        <f t="shared" si="7"/>
        <v>0</v>
      </c>
      <c r="AE15" s="31">
        <f t="shared" si="7"/>
        <v>445</v>
      </c>
      <c r="AF15" s="31">
        <f t="shared" si="7"/>
        <v>912</v>
      </c>
    </row>
    <row r="16" spans="2:32" ht="23.1" customHeight="1" x14ac:dyDescent="0.25">
      <c r="B16" s="23" t="s">
        <v>43</v>
      </c>
      <c r="C16" s="50">
        <v>14</v>
      </c>
      <c r="D16" s="50">
        <v>5</v>
      </c>
      <c r="E16" s="50">
        <v>0</v>
      </c>
      <c r="F16" s="50">
        <v>41</v>
      </c>
      <c r="G16" s="50">
        <v>4</v>
      </c>
      <c r="H16" s="50">
        <v>1</v>
      </c>
      <c r="I16" s="50">
        <v>8</v>
      </c>
      <c r="J16" s="50">
        <v>5</v>
      </c>
      <c r="K16" s="50">
        <v>1</v>
      </c>
      <c r="L16" s="50">
        <v>0</v>
      </c>
      <c r="M16" s="50">
        <v>195</v>
      </c>
      <c r="N16" s="50">
        <v>0</v>
      </c>
      <c r="O16" s="15">
        <f t="shared" si="0"/>
        <v>79</v>
      </c>
      <c r="P16" s="15">
        <f t="shared" si="1"/>
        <v>274</v>
      </c>
      <c r="R16" s="1" t="s">
        <v>12</v>
      </c>
      <c r="S16" s="17">
        <f t="shared" ref="S16:AF16" si="8">SUM(C34:C37)</f>
        <v>167</v>
      </c>
      <c r="T16" s="17">
        <f t="shared" si="8"/>
        <v>35</v>
      </c>
      <c r="U16" s="17">
        <f t="shared" si="8"/>
        <v>30</v>
      </c>
      <c r="V16" s="17">
        <f t="shared" si="8"/>
        <v>167</v>
      </c>
      <c r="W16" s="17">
        <f t="shared" si="8"/>
        <v>5</v>
      </c>
      <c r="X16" s="17">
        <f t="shared" si="8"/>
        <v>2</v>
      </c>
      <c r="Y16" s="17">
        <f t="shared" si="8"/>
        <v>48</v>
      </c>
      <c r="Z16" s="17">
        <f t="shared" si="8"/>
        <v>23</v>
      </c>
      <c r="AA16" s="17">
        <f t="shared" si="8"/>
        <v>6</v>
      </c>
      <c r="AB16" s="17">
        <f t="shared" si="8"/>
        <v>20</v>
      </c>
      <c r="AC16" s="17">
        <f t="shared" si="8"/>
        <v>417</v>
      </c>
      <c r="AD16" s="17">
        <f t="shared" si="8"/>
        <v>0</v>
      </c>
      <c r="AE16" s="31">
        <f t="shared" si="8"/>
        <v>503</v>
      </c>
      <c r="AF16" s="31">
        <f t="shared" si="8"/>
        <v>920</v>
      </c>
    </row>
    <row r="17" spans="2:32" ht="23.1" customHeight="1" x14ac:dyDescent="0.25">
      <c r="B17" s="23" t="s">
        <v>44</v>
      </c>
      <c r="C17" s="50">
        <v>22</v>
      </c>
      <c r="D17" s="50">
        <v>6</v>
      </c>
      <c r="E17" s="50">
        <v>3</v>
      </c>
      <c r="F17" s="50">
        <v>60</v>
      </c>
      <c r="G17" s="50">
        <v>1</v>
      </c>
      <c r="H17" s="50">
        <v>2</v>
      </c>
      <c r="I17" s="50">
        <v>9</v>
      </c>
      <c r="J17" s="50">
        <v>0</v>
      </c>
      <c r="K17" s="50">
        <v>3</v>
      </c>
      <c r="L17" s="50">
        <v>1</v>
      </c>
      <c r="M17" s="50">
        <v>135</v>
      </c>
      <c r="N17" s="50">
        <v>0</v>
      </c>
      <c r="O17" s="15">
        <f t="shared" si="0"/>
        <v>107</v>
      </c>
      <c r="P17" s="15">
        <f t="shared" si="1"/>
        <v>242</v>
      </c>
      <c r="R17" s="1" t="s">
        <v>13</v>
      </c>
      <c r="S17" s="17">
        <f t="shared" ref="S17:AF17" si="9">SUM(C38:C41)</f>
        <v>135</v>
      </c>
      <c r="T17" s="17">
        <f t="shared" si="9"/>
        <v>22</v>
      </c>
      <c r="U17" s="17">
        <f t="shared" si="9"/>
        <v>17</v>
      </c>
      <c r="V17" s="17">
        <f t="shared" si="9"/>
        <v>129</v>
      </c>
      <c r="W17" s="17">
        <f t="shared" si="9"/>
        <v>3</v>
      </c>
      <c r="X17" s="17">
        <f t="shared" si="9"/>
        <v>1</v>
      </c>
      <c r="Y17" s="17">
        <f t="shared" si="9"/>
        <v>27</v>
      </c>
      <c r="Z17" s="17">
        <f t="shared" si="9"/>
        <v>14</v>
      </c>
      <c r="AA17" s="17">
        <f t="shared" si="9"/>
        <v>12</v>
      </c>
      <c r="AB17" s="17">
        <f t="shared" si="9"/>
        <v>12</v>
      </c>
      <c r="AC17" s="17">
        <f t="shared" si="9"/>
        <v>383</v>
      </c>
      <c r="AD17" s="17">
        <f t="shared" si="9"/>
        <v>0</v>
      </c>
      <c r="AE17" s="31">
        <f t="shared" si="9"/>
        <v>372</v>
      </c>
      <c r="AF17" s="31">
        <f t="shared" si="9"/>
        <v>755</v>
      </c>
    </row>
    <row r="18" spans="2:32" ht="23.1" customHeight="1" x14ac:dyDescent="0.25">
      <c r="B18" s="23" t="s">
        <v>45</v>
      </c>
      <c r="C18" s="50">
        <v>15</v>
      </c>
      <c r="D18" s="50">
        <v>4</v>
      </c>
      <c r="E18" s="50">
        <v>5</v>
      </c>
      <c r="F18" s="50">
        <v>51</v>
      </c>
      <c r="G18" s="50">
        <v>0</v>
      </c>
      <c r="H18" s="50">
        <v>0</v>
      </c>
      <c r="I18" s="50">
        <v>8</v>
      </c>
      <c r="J18" s="50">
        <v>0</v>
      </c>
      <c r="K18" s="50">
        <v>2</v>
      </c>
      <c r="L18" s="50">
        <v>2</v>
      </c>
      <c r="M18" s="50">
        <v>155</v>
      </c>
      <c r="N18" s="50">
        <v>0</v>
      </c>
      <c r="O18" s="15">
        <f t="shared" si="0"/>
        <v>87</v>
      </c>
      <c r="P18" s="15">
        <f t="shared" si="1"/>
        <v>242</v>
      </c>
      <c r="R18" s="1" t="s">
        <v>14</v>
      </c>
      <c r="S18" s="17">
        <f t="shared" ref="S18:AF18" si="10">SUM(C42:C45)</f>
        <v>145</v>
      </c>
      <c r="T18" s="17">
        <f t="shared" si="10"/>
        <v>30</v>
      </c>
      <c r="U18" s="17">
        <f t="shared" si="10"/>
        <v>30</v>
      </c>
      <c r="V18" s="17">
        <f t="shared" si="10"/>
        <v>165</v>
      </c>
      <c r="W18" s="17">
        <f t="shared" si="10"/>
        <v>4</v>
      </c>
      <c r="X18" s="17">
        <f t="shared" si="10"/>
        <v>2</v>
      </c>
      <c r="Y18" s="17">
        <f t="shared" si="10"/>
        <v>47</v>
      </c>
      <c r="Z18" s="17">
        <f t="shared" si="10"/>
        <v>19</v>
      </c>
      <c r="AA18" s="17">
        <f t="shared" si="10"/>
        <v>5</v>
      </c>
      <c r="AB18" s="17">
        <f t="shared" si="10"/>
        <v>9</v>
      </c>
      <c r="AC18" s="17">
        <f t="shared" si="10"/>
        <v>465</v>
      </c>
      <c r="AD18" s="17">
        <f t="shared" si="10"/>
        <v>0</v>
      </c>
      <c r="AE18" s="31">
        <f t="shared" si="10"/>
        <v>456</v>
      </c>
      <c r="AF18" s="31">
        <f t="shared" si="10"/>
        <v>921</v>
      </c>
    </row>
    <row r="19" spans="2:32" ht="23.1" customHeight="1" x14ac:dyDescent="0.25">
      <c r="B19" s="23" t="s">
        <v>46</v>
      </c>
      <c r="C19" s="50">
        <v>35</v>
      </c>
      <c r="D19" s="50">
        <v>3</v>
      </c>
      <c r="E19" s="50">
        <v>4</v>
      </c>
      <c r="F19" s="50">
        <v>49</v>
      </c>
      <c r="G19" s="50">
        <v>5</v>
      </c>
      <c r="H19" s="50">
        <v>1</v>
      </c>
      <c r="I19" s="50">
        <v>9</v>
      </c>
      <c r="J19" s="50">
        <v>1</v>
      </c>
      <c r="K19" s="50">
        <v>3</v>
      </c>
      <c r="L19" s="50">
        <v>5</v>
      </c>
      <c r="M19" s="50">
        <v>115</v>
      </c>
      <c r="N19" s="50">
        <v>0</v>
      </c>
      <c r="O19" s="15">
        <f t="shared" si="0"/>
        <v>115</v>
      </c>
      <c r="P19" s="15">
        <f t="shared" si="1"/>
        <v>230</v>
      </c>
      <c r="R19" s="1" t="s">
        <v>15</v>
      </c>
      <c r="S19" s="17">
        <f t="shared" ref="S19:AF19" si="11">SUM(C46:C49)</f>
        <v>165</v>
      </c>
      <c r="T19" s="17">
        <f t="shared" si="11"/>
        <v>22</v>
      </c>
      <c r="U19" s="17">
        <f t="shared" si="11"/>
        <v>13</v>
      </c>
      <c r="V19" s="17">
        <f t="shared" si="11"/>
        <v>140</v>
      </c>
      <c r="W19" s="17">
        <f t="shared" si="11"/>
        <v>6</v>
      </c>
      <c r="X19" s="17">
        <f t="shared" si="11"/>
        <v>3</v>
      </c>
      <c r="Y19" s="17">
        <f t="shared" si="11"/>
        <v>38</v>
      </c>
      <c r="Z19" s="17">
        <f t="shared" si="11"/>
        <v>19</v>
      </c>
      <c r="AA19" s="17">
        <f t="shared" si="11"/>
        <v>9</v>
      </c>
      <c r="AB19" s="17">
        <f t="shared" si="11"/>
        <v>15</v>
      </c>
      <c r="AC19" s="17">
        <f t="shared" si="11"/>
        <v>508</v>
      </c>
      <c r="AD19" s="17">
        <f t="shared" si="11"/>
        <v>0</v>
      </c>
      <c r="AE19" s="31">
        <f t="shared" si="11"/>
        <v>430</v>
      </c>
      <c r="AF19" s="31">
        <f t="shared" si="11"/>
        <v>938</v>
      </c>
    </row>
    <row r="20" spans="2:32" ht="23.1" customHeight="1" x14ac:dyDescent="0.25">
      <c r="B20" s="23" t="s">
        <v>47</v>
      </c>
      <c r="C20" s="50">
        <v>30</v>
      </c>
      <c r="D20" s="50">
        <v>7</v>
      </c>
      <c r="E20" s="50">
        <v>5</v>
      </c>
      <c r="F20" s="50">
        <v>40</v>
      </c>
      <c r="G20" s="50">
        <v>2</v>
      </c>
      <c r="H20" s="50">
        <v>1</v>
      </c>
      <c r="I20" s="50">
        <v>10</v>
      </c>
      <c r="J20" s="50">
        <v>2</v>
      </c>
      <c r="K20" s="50">
        <v>0</v>
      </c>
      <c r="L20" s="50">
        <v>3</v>
      </c>
      <c r="M20" s="50">
        <v>165</v>
      </c>
      <c r="N20" s="50">
        <v>0</v>
      </c>
      <c r="O20" s="15">
        <f t="shared" si="0"/>
        <v>100</v>
      </c>
      <c r="P20" s="15">
        <f t="shared" si="1"/>
        <v>265</v>
      </c>
      <c r="R20" s="1" t="s">
        <v>16</v>
      </c>
      <c r="S20" s="17">
        <f t="shared" ref="S20:AF20" si="12">SUM(C50:C53)</f>
        <v>150</v>
      </c>
      <c r="T20" s="17">
        <f t="shared" si="12"/>
        <v>21</v>
      </c>
      <c r="U20" s="17">
        <f t="shared" si="12"/>
        <v>12</v>
      </c>
      <c r="V20" s="17">
        <f t="shared" si="12"/>
        <v>142</v>
      </c>
      <c r="W20" s="17">
        <f t="shared" si="12"/>
        <v>7</v>
      </c>
      <c r="X20" s="17">
        <f t="shared" si="12"/>
        <v>0</v>
      </c>
      <c r="Y20" s="17">
        <f t="shared" si="12"/>
        <v>42</v>
      </c>
      <c r="Z20" s="17">
        <f t="shared" si="12"/>
        <v>6</v>
      </c>
      <c r="AA20" s="17">
        <f t="shared" si="12"/>
        <v>10</v>
      </c>
      <c r="AB20" s="17">
        <f t="shared" si="12"/>
        <v>27</v>
      </c>
      <c r="AC20" s="17">
        <f t="shared" si="12"/>
        <v>533</v>
      </c>
      <c r="AD20" s="17">
        <f t="shared" si="12"/>
        <v>0</v>
      </c>
      <c r="AE20" s="31">
        <f t="shared" si="12"/>
        <v>417</v>
      </c>
      <c r="AF20" s="31">
        <f t="shared" si="12"/>
        <v>950</v>
      </c>
    </row>
    <row r="21" spans="2:32" ht="23.1" customHeight="1" x14ac:dyDescent="0.25">
      <c r="B21" s="23" t="s">
        <v>48</v>
      </c>
      <c r="C21" s="50">
        <v>25</v>
      </c>
      <c r="D21" s="50">
        <v>4</v>
      </c>
      <c r="E21" s="50">
        <v>1</v>
      </c>
      <c r="F21" s="50">
        <v>39</v>
      </c>
      <c r="G21" s="50">
        <v>1</v>
      </c>
      <c r="H21" s="50">
        <v>0</v>
      </c>
      <c r="I21" s="50">
        <v>12</v>
      </c>
      <c r="J21" s="50">
        <v>4</v>
      </c>
      <c r="K21" s="50">
        <v>0</v>
      </c>
      <c r="L21" s="50">
        <v>1</v>
      </c>
      <c r="M21" s="50">
        <v>150</v>
      </c>
      <c r="N21" s="50">
        <v>0</v>
      </c>
      <c r="O21" s="15">
        <f t="shared" si="0"/>
        <v>87</v>
      </c>
      <c r="P21" s="15">
        <f t="shared" si="1"/>
        <v>237</v>
      </c>
      <c r="R21" s="36" t="s">
        <v>20</v>
      </c>
      <c r="S21" s="34">
        <f t="shared" ref="S21:AF21" si="13">SUM(C54:C57)</f>
        <v>189</v>
      </c>
      <c r="T21" s="17">
        <f t="shared" si="13"/>
        <v>25</v>
      </c>
      <c r="U21" s="17">
        <f t="shared" si="13"/>
        <v>16</v>
      </c>
      <c r="V21" s="17">
        <f t="shared" si="13"/>
        <v>146</v>
      </c>
      <c r="W21" s="17">
        <f t="shared" si="13"/>
        <v>10</v>
      </c>
      <c r="X21" s="17">
        <f t="shared" si="13"/>
        <v>1</v>
      </c>
      <c r="Y21" s="17">
        <f t="shared" si="13"/>
        <v>36</v>
      </c>
      <c r="Z21" s="17">
        <f t="shared" si="13"/>
        <v>8</v>
      </c>
      <c r="AA21" s="17">
        <f t="shared" si="13"/>
        <v>4</v>
      </c>
      <c r="AB21" s="17">
        <f t="shared" si="13"/>
        <v>12</v>
      </c>
      <c r="AC21" s="17">
        <f t="shared" si="13"/>
        <v>585</v>
      </c>
      <c r="AD21" s="17">
        <f t="shared" si="13"/>
        <v>0</v>
      </c>
      <c r="AE21" s="31">
        <f t="shared" si="13"/>
        <v>447</v>
      </c>
      <c r="AF21" s="31">
        <f t="shared" si="13"/>
        <v>1032</v>
      </c>
    </row>
    <row r="22" spans="2:32" ht="23.1" customHeight="1" x14ac:dyDescent="0.25">
      <c r="B22" s="23" t="s">
        <v>49</v>
      </c>
      <c r="C22" s="50">
        <v>23</v>
      </c>
      <c r="D22" s="50">
        <v>6</v>
      </c>
      <c r="E22" s="50">
        <v>5</v>
      </c>
      <c r="F22" s="50">
        <v>35</v>
      </c>
      <c r="G22" s="50">
        <v>3</v>
      </c>
      <c r="H22" s="50">
        <v>0</v>
      </c>
      <c r="I22" s="50">
        <v>18</v>
      </c>
      <c r="J22" s="50">
        <v>3</v>
      </c>
      <c r="K22" s="50">
        <v>1</v>
      </c>
      <c r="L22" s="50">
        <v>5</v>
      </c>
      <c r="M22" s="50">
        <v>167</v>
      </c>
      <c r="N22" s="50">
        <v>0</v>
      </c>
      <c r="O22" s="15">
        <f t="shared" si="0"/>
        <v>99</v>
      </c>
      <c r="P22" s="15">
        <f t="shared" si="1"/>
        <v>266</v>
      </c>
      <c r="R22" s="38" t="s">
        <v>90</v>
      </c>
      <c r="S22" s="39">
        <f>MAX(S10:S12)</f>
        <v>108</v>
      </c>
      <c r="T22" s="39">
        <f t="shared" ref="T22:AF22" si="14">MAX(T10:T12)</f>
        <v>18</v>
      </c>
      <c r="U22" s="39">
        <f t="shared" si="14"/>
        <v>15</v>
      </c>
      <c r="V22" s="39">
        <f t="shared" si="14"/>
        <v>198</v>
      </c>
      <c r="W22" s="39">
        <f t="shared" si="14"/>
        <v>14</v>
      </c>
      <c r="X22" s="39">
        <f t="shared" si="14"/>
        <v>4</v>
      </c>
      <c r="Y22" s="39">
        <f t="shared" si="14"/>
        <v>39</v>
      </c>
      <c r="Z22" s="39">
        <f t="shared" si="14"/>
        <v>7</v>
      </c>
      <c r="AA22" s="39">
        <f t="shared" si="14"/>
        <v>6</v>
      </c>
      <c r="AB22" s="39">
        <f t="shared" si="14"/>
        <v>11</v>
      </c>
      <c r="AC22" s="39">
        <f t="shared" si="14"/>
        <v>695</v>
      </c>
      <c r="AD22" s="39">
        <f t="shared" si="14"/>
        <v>0</v>
      </c>
      <c r="AE22" s="40">
        <f t="shared" si="14"/>
        <v>389</v>
      </c>
      <c r="AF22" s="40">
        <f t="shared" si="14"/>
        <v>1071</v>
      </c>
    </row>
    <row r="23" spans="2:32" ht="23.1" customHeight="1" x14ac:dyDescent="0.25">
      <c r="B23" s="23" t="s">
        <v>50</v>
      </c>
      <c r="C23" s="50">
        <v>29</v>
      </c>
      <c r="D23" s="50">
        <v>6</v>
      </c>
      <c r="E23" s="50">
        <v>3</v>
      </c>
      <c r="F23" s="50">
        <v>55</v>
      </c>
      <c r="G23" s="50">
        <v>1</v>
      </c>
      <c r="H23" s="50">
        <v>0</v>
      </c>
      <c r="I23" s="50">
        <v>8</v>
      </c>
      <c r="J23" s="50">
        <v>2</v>
      </c>
      <c r="K23" s="50">
        <v>2</v>
      </c>
      <c r="L23" s="50">
        <v>4</v>
      </c>
      <c r="M23" s="50">
        <v>100</v>
      </c>
      <c r="N23" s="50">
        <v>0</v>
      </c>
      <c r="O23" s="15">
        <f t="shared" si="0"/>
        <v>110</v>
      </c>
      <c r="P23" s="15">
        <f t="shared" si="1"/>
        <v>210</v>
      </c>
      <c r="R23" s="38" t="s">
        <v>91</v>
      </c>
      <c r="S23" s="39">
        <f>MAX(S13:S18)</f>
        <v>167</v>
      </c>
      <c r="T23" s="39">
        <f t="shared" ref="T23:AF23" si="15">MAX(T13:T18)</f>
        <v>35</v>
      </c>
      <c r="U23" s="39">
        <f t="shared" si="15"/>
        <v>30</v>
      </c>
      <c r="V23" s="39">
        <f t="shared" si="15"/>
        <v>181</v>
      </c>
      <c r="W23" s="39">
        <f t="shared" si="15"/>
        <v>9</v>
      </c>
      <c r="X23" s="39">
        <f t="shared" si="15"/>
        <v>3</v>
      </c>
      <c r="Y23" s="39">
        <f t="shared" si="15"/>
        <v>51</v>
      </c>
      <c r="Z23" s="39">
        <f t="shared" si="15"/>
        <v>23</v>
      </c>
      <c r="AA23" s="39">
        <f t="shared" si="15"/>
        <v>12</v>
      </c>
      <c r="AB23" s="39">
        <f t="shared" si="15"/>
        <v>27</v>
      </c>
      <c r="AC23" s="39">
        <f t="shared" si="15"/>
        <v>567</v>
      </c>
      <c r="AD23" s="39">
        <f t="shared" si="15"/>
        <v>0</v>
      </c>
      <c r="AE23" s="40">
        <f t="shared" si="15"/>
        <v>503</v>
      </c>
      <c r="AF23" s="40">
        <f t="shared" si="15"/>
        <v>982</v>
      </c>
    </row>
    <row r="24" spans="2:32" ht="23.1" customHeight="1" x14ac:dyDescent="0.25">
      <c r="B24" s="23" t="s">
        <v>51</v>
      </c>
      <c r="C24" s="50">
        <v>27</v>
      </c>
      <c r="D24" s="50">
        <v>8</v>
      </c>
      <c r="E24" s="50">
        <v>6</v>
      </c>
      <c r="F24" s="50">
        <v>37</v>
      </c>
      <c r="G24" s="50">
        <v>1</v>
      </c>
      <c r="H24" s="50">
        <v>1</v>
      </c>
      <c r="I24" s="50">
        <v>10</v>
      </c>
      <c r="J24" s="50">
        <v>3</v>
      </c>
      <c r="K24" s="50">
        <v>0</v>
      </c>
      <c r="L24" s="50">
        <v>4</v>
      </c>
      <c r="M24" s="50">
        <v>115</v>
      </c>
      <c r="N24" s="50">
        <v>0</v>
      </c>
      <c r="O24" s="15">
        <f t="shared" si="0"/>
        <v>97</v>
      </c>
      <c r="P24" s="15">
        <f t="shared" si="1"/>
        <v>212</v>
      </c>
      <c r="R24" s="38" t="s">
        <v>92</v>
      </c>
      <c r="S24" s="39">
        <f>MAX(S19:S21)</f>
        <v>189</v>
      </c>
      <c r="T24" s="39">
        <f t="shared" ref="T24:AF24" si="16">MAX(T19:T21)</f>
        <v>25</v>
      </c>
      <c r="U24" s="39">
        <f t="shared" si="16"/>
        <v>16</v>
      </c>
      <c r="V24" s="39">
        <f t="shared" si="16"/>
        <v>146</v>
      </c>
      <c r="W24" s="39">
        <f t="shared" si="16"/>
        <v>10</v>
      </c>
      <c r="X24" s="39">
        <f t="shared" si="16"/>
        <v>3</v>
      </c>
      <c r="Y24" s="39">
        <f t="shared" si="16"/>
        <v>42</v>
      </c>
      <c r="Z24" s="39">
        <f t="shared" si="16"/>
        <v>19</v>
      </c>
      <c r="AA24" s="39">
        <f t="shared" si="16"/>
        <v>10</v>
      </c>
      <c r="AB24" s="39">
        <f t="shared" si="16"/>
        <v>27</v>
      </c>
      <c r="AC24" s="39">
        <f t="shared" si="16"/>
        <v>585</v>
      </c>
      <c r="AD24" s="39">
        <f t="shared" si="16"/>
        <v>0</v>
      </c>
      <c r="AE24" s="40">
        <f t="shared" si="16"/>
        <v>447</v>
      </c>
      <c r="AF24" s="40">
        <f t="shared" si="16"/>
        <v>1032</v>
      </c>
    </row>
    <row r="25" spans="2:32" ht="23.1" customHeight="1" x14ac:dyDescent="0.25">
      <c r="B25" s="23" t="s">
        <v>52</v>
      </c>
      <c r="C25" s="50">
        <v>34</v>
      </c>
      <c r="D25" s="50">
        <v>5</v>
      </c>
      <c r="E25" s="50">
        <v>7</v>
      </c>
      <c r="F25" s="50">
        <v>41</v>
      </c>
      <c r="G25" s="50">
        <v>4</v>
      </c>
      <c r="H25" s="50">
        <v>1</v>
      </c>
      <c r="I25" s="50">
        <v>15</v>
      </c>
      <c r="J25" s="50">
        <v>1</v>
      </c>
      <c r="K25" s="50">
        <v>1</v>
      </c>
      <c r="L25" s="50">
        <v>0</v>
      </c>
      <c r="M25" s="50">
        <v>185</v>
      </c>
      <c r="N25" s="50">
        <v>0</v>
      </c>
      <c r="O25" s="15">
        <f t="shared" si="0"/>
        <v>109</v>
      </c>
      <c r="P25" s="15">
        <f t="shared" si="1"/>
        <v>294</v>
      </c>
      <c r="R25" s="37" t="s">
        <v>85</v>
      </c>
      <c r="S25" s="35">
        <f t="shared" ref="S25:AF25" si="17">SUM(S10:S12)</f>
        <v>299</v>
      </c>
      <c r="T25" s="16">
        <f t="shared" si="17"/>
        <v>50</v>
      </c>
      <c r="U25" s="16">
        <f t="shared" si="17"/>
        <v>34</v>
      </c>
      <c r="V25" s="16">
        <f t="shared" si="17"/>
        <v>525</v>
      </c>
      <c r="W25" s="16">
        <f t="shared" si="17"/>
        <v>30</v>
      </c>
      <c r="X25" s="16">
        <f t="shared" si="17"/>
        <v>10</v>
      </c>
      <c r="Y25" s="16">
        <f t="shared" si="17"/>
        <v>101</v>
      </c>
      <c r="Z25" s="16">
        <f t="shared" si="17"/>
        <v>21</v>
      </c>
      <c r="AA25" s="16">
        <f t="shared" si="17"/>
        <v>15</v>
      </c>
      <c r="AB25" s="16">
        <f t="shared" si="17"/>
        <v>22</v>
      </c>
      <c r="AC25" s="16">
        <f t="shared" si="17"/>
        <v>1968</v>
      </c>
      <c r="AD25" s="16">
        <f t="shared" si="17"/>
        <v>0</v>
      </c>
      <c r="AE25" s="32">
        <f t="shared" si="17"/>
        <v>1107</v>
      </c>
      <c r="AF25" s="32">
        <f t="shared" si="17"/>
        <v>3075</v>
      </c>
    </row>
    <row r="26" spans="2:32" ht="23.1" customHeight="1" x14ac:dyDescent="0.25">
      <c r="B26" s="23" t="s">
        <v>53</v>
      </c>
      <c r="C26" s="50">
        <v>54</v>
      </c>
      <c r="D26" s="50">
        <v>10</v>
      </c>
      <c r="E26" s="50">
        <v>7</v>
      </c>
      <c r="F26" s="50">
        <v>37</v>
      </c>
      <c r="G26" s="50">
        <v>1</v>
      </c>
      <c r="H26" s="50">
        <v>0</v>
      </c>
      <c r="I26" s="50">
        <v>17</v>
      </c>
      <c r="J26" s="50">
        <v>2</v>
      </c>
      <c r="K26" s="50">
        <v>0</v>
      </c>
      <c r="L26" s="50">
        <v>2</v>
      </c>
      <c r="M26" s="50">
        <v>135</v>
      </c>
      <c r="N26" s="50">
        <v>0</v>
      </c>
      <c r="O26" s="15">
        <f t="shared" si="0"/>
        <v>130</v>
      </c>
      <c r="P26" s="15">
        <f t="shared" si="1"/>
        <v>265</v>
      </c>
      <c r="R26" s="28" t="s">
        <v>86</v>
      </c>
      <c r="S26" s="16">
        <f t="shared" ref="S26:AF26" si="18">SUM(S13:S18)</f>
        <v>833</v>
      </c>
      <c r="T26" s="16">
        <f t="shared" si="18"/>
        <v>164</v>
      </c>
      <c r="U26" s="16">
        <f t="shared" si="18"/>
        <v>130</v>
      </c>
      <c r="V26" s="16">
        <f t="shared" si="18"/>
        <v>961</v>
      </c>
      <c r="W26" s="16">
        <f t="shared" si="18"/>
        <v>29</v>
      </c>
      <c r="X26" s="16">
        <f t="shared" si="18"/>
        <v>12</v>
      </c>
      <c r="Y26" s="16">
        <f t="shared" si="18"/>
        <v>266</v>
      </c>
      <c r="Z26" s="16">
        <f t="shared" si="18"/>
        <v>85</v>
      </c>
      <c r="AA26" s="16">
        <f t="shared" si="18"/>
        <v>37</v>
      </c>
      <c r="AB26" s="16">
        <f t="shared" si="18"/>
        <v>95</v>
      </c>
      <c r="AC26" s="16">
        <f t="shared" si="18"/>
        <v>2809</v>
      </c>
      <c r="AD26" s="16">
        <f t="shared" si="18"/>
        <v>0</v>
      </c>
      <c r="AE26" s="32">
        <f t="shared" si="18"/>
        <v>2612</v>
      </c>
      <c r="AF26" s="32">
        <f t="shared" si="18"/>
        <v>5421</v>
      </c>
    </row>
    <row r="27" spans="2:32" ht="23.1" customHeight="1" x14ac:dyDescent="0.25">
      <c r="B27" s="23" t="s">
        <v>54</v>
      </c>
      <c r="C27" s="50">
        <v>27</v>
      </c>
      <c r="D27" s="50">
        <v>8</v>
      </c>
      <c r="E27" s="50">
        <v>4</v>
      </c>
      <c r="F27" s="50">
        <v>57</v>
      </c>
      <c r="G27" s="50">
        <v>1</v>
      </c>
      <c r="H27" s="50">
        <v>2</v>
      </c>
      <c r="I27" s="50">
        <v>14</v>
      </c>
      <c r="J27" s="50">
        <v>2</v>
      </c>
      <c r="K27" s="50">
        <v>0</v>
      </c>
      <c r="L27" s="50">
        <v>21</v>
      </c>
      <c r="M27" s="50">
        <v>175</v>
      </c>
      <c r="N27" s="50">
        <v>0</v>
      </c>
      <c r="O27" s="15">
        <f t="shared" si="0"/>
        <v>136</v>
      </c>
      <c r="P27" s="15">
        <f t="shared" si="1"/>
        <v>311</v>
      </c>
      <c r="R27" s="29" t="s">
        <v>87</v>
      </c>
      <c r="S27" s="16">
        <f t="shared" ref="S27:AF27" si="19">SUM(S19:S21)</f>
        <v>504</v>
      </c>
      <c r="T27" s="16">
        <f t="shared" si="19"/>
        <v>68</v>
      </c>
      <c r="U27" s="16">
        <f t="shared" si="19"/>
        <v>41</v>
      </c>
      <c r="V27" s="16">
        <f t="shared" si="19"/>
        <v>428</v>
      </c>
      <c r="W27" s="16">
        <f t="shared" si="19"/>
        <v>23</v>
      </c>
      <c r="X27" s="16">
        <f t="shared" si="19"/>
        <v>4</v>
      </c>
      <c r="Y27" s="16">
        <f t="shared" si="19"/>
        <v>116</v>
      </c>
      <c r="Z27" s="16">
        <f t="shared" si="19"/>
        <v>33</v>
      </c>
      <c r="AA27" s="16">
        <f t="shared" si="19"/>
        <v>23</v>
      </c>
      <c r="AB27" s="16">
        <f t="shared" si="19"/>
        <v>54</v>
      </c>
      <c r="AC27" s="16">
        <f t="shared" si="19"/>
        <v>1626</v>
      </c>
      <c r="AD27" s="16">
        <f t="shared" si="19"/>
        <v>0</v>
      </c>
      <c r="AE27" s="32">
        <f t="shared" si="19"/>
        <v>1294</v>
      </c>
      <c r="AF27" s="32">
        <f t="shared" si="19"/>
        <v>2920</v>
      </c>
    </row>
    <row r="28" spans="2:32" ht="23.1" customHeight="1" x14ac:dyDescent="0.25">
      <c r="B28" s="23" t="s">
        <v>55</v>
      </c>
      <c r="C28" s="50">
        <v>33</v>
      </c>
      <c r="D28" s="50">
        <v>3</v>
      </c>
      <c r="E28" s="50">
        <v>3</v>
      </c>
      <c r="F28" s="50">
        <v>33</v>
      </c>
      <c r="G28" s="50">
        <v>1</v>
      </c>
      <c r="H28" s="50">
        <v>0</v>
      </c>
      <c r="I28" s="50">
        <v>6</v>
      </c>
      <c r="J28" s="50">
        <v>0</v>
      </c>
      <c r="K28" s="50">
        <v>2</v>
      </c>
      <c r="L28" s="50">
        <v>2</v>
      </c>
      <c r="M28" s="50">
        <v>110</v>
      </c>
      <c r="N28" s="50">
        <v>0</v>
      </c>
      <c r="O28" s="15">
        <f t="shared" si="0"/>
        <v>83</v>
      </c>
      <c r="P28" s="15">
        <f t="shared" si="1"/>
        <v>193</v>
      </c>
      <c r="R28" s="5" t="s">
        <v>17</v>
      </c>
      <c r="S28" s="16">
        <f t="shared" ref="S28:AF28" si="20">SUM(S10:S21)</f>
        <v>1636</v>
      </c>
      <c r="T28" s="16">
        <f t="shared" si="20"/>
        <v>282</v>
      </c>
      <c r="U28" s="16">
        <f t="shared" si="20"/>
        <v>205</v>
      </c>
      <c r="V28" s="16">
        <f t="shared" si="20"/>
        <v>1914</v>
      </c>
      <c r="W28" s="16">
        <f t="shared" si="20"/>
        <v>82</v>
      </c>
      <c r="X28" s="16">
        <f t="shared" si="20"/>
        <v>26</v>
      </c>
      <c r="Y28" s="16">
        <f t="shared" si="20"/>
        <v>483</v>
      </c>
      <c r="Z28" s="16">
        <f t="shared" si="20"/>
        <v>139</v>
      </c>
      <c r="AA28" s="16">
        <f t="shared" si="20"/>
        <v>75</v>
      </c>
      <c r="AB28" s="16">
        <f t="shared" si="20"/>
        <v>171</v>
      </c>
      <c r="AC28" s="16">
        <f t="shared" si="20"/>
        <v>6403</v>
      </c>
      <c r="AD28" s="16">
        <f t="shared" si="20"/>
        <v>0</v>
      </c>
      <c r="AE28" s="32">
        <f t="shared" si="20"/>
        <v>5013</v>
      </c>
      <c r="AF28" s="32">
        <f t="shared" si="20"/>
        <v>11416</v>
      </c>
    </row>
    <row r="29" spans="2:32" ht="23.1" customHeight="1" x14ac:dyDescent="0.25">
      <c r="B29" s="23" t="s">
        <v>56</v>
      </c>
      <c r="C29" s="50">
        <v>22</v>
      </c>
      <c r="D29" s="50">
        <v>6</v>
      </c>
      <c r="E29" s="50">
        <v>0</v>
      </c>
      <c r="F29" s="50">
        <v>24</v>
      </c>
      <c r="G29" s="50">
        <v>1</v>
      </c>
      <c r="H29" s="50">
        <v>1</v>
      </c>
      <c r="I29" s="50">
        <v>7</v>
      </c>
      <c r="J29" s="50">
        <v>6</v>
      </c>
      <c r="K29" s="50">
        <v>3</v>
      </c>
      <c r="L29" s="50">
        <v>2</v>
      </c>
      <c r="M29" s="50">
        <v>90</v>
      </c>
      <c r="N29" s="50">
        <v>0</v>
      </c>
      <c r="O29" s="15">
        <f t="shared" si="0"/>
        <v>72</v>
      </c>
      <c r="P29" s="15">
        <f t="shared" si="1"/>
        <v>162</v>
      </c>
      <c r="R29"/>
      <c r="S29" s="20"/>
      <c r="T29" s="19"/>
    </row>
    <row r="30" spans="2:32" ht="23.1" customHeight="1" x14ac:dyDescent="0.25">
      <c r="B30" s="23" t="s">
        <v>57</v>
      </c>
      <c r="C30" s="50">
        <v>49</v>
      </c>
      <c r="D30" s="50">
        <v>7</v>
      </c>
      <c r="E30" s="50">
        <v>7</v>
      </c>
      <c r="F30" s="50">
        <v>46</v>
      </c>
      <c r="G30" s="50">
        <v>1</v>
      </c>
      <c r="H30" s="50">
        <v>0</v>
      </c>
      <c r="I30" s="50">
        <v>13</v>
      </c>
      <c r="J30" s="50">
        <v>2</v>
      </c>
      <c r="K30" s="50">
        <v>2</v>
      </c>
      <c r="L30" s="50">
        <v>4</v>
      </c>
      <c r="M30" s="50">
        <v>137</v>
      </c>
      <c r="N30" s="50">
        <v>0</v>
      </c>
      <c r="O30" s="15">
        <f t="shared" si="0"/>
        <v>131</v>
      </c>
      <c r="P30" s="15">
        <f t="shared" si="1"/>
        <v>268</v>
      </c>
    </row>
    <row r="31" spans="2:32" ht="23.1" customHeight="1" x14ac:dyDescent="0.25">
      <c r="B31" s="24" t="s">
        <v>58</v>
      </c>
      <c r="C31" s="50">
        <v>29</v>
      </c>
      <c r="D31" s="50">
        <v>10</v>
      </c>
      <c r="E31" s="50">
        <v>5</v>
      </c>
      <c r="F31" s="50">
        <v>48</v>
      </c>
      <c r="G31" s="50">
        <v>1</v>
      </c>
      <c r="H31" s="50">
        <v>1</v>
      </c>
      <c r="I31" s="50">
        <v>16</v>
      </c>
      <c r="J31" s="50">
        <v>5</v>
      </c>
      <c r="K31" s="50">
        <v>0</v>
      </c>
      <c r="L31" s="50">
        <v>4</v>
      </c>
      <c r="M31" s="50">
        <v>135</v>
      </c>
      <c r="N31" s="50">
        <v>0</v>
      </c>
      <c r="O31" s="15">
        <f t="shared" si="0"/>
        <v>119</v>
      </c>
      <c r="P31" s="15">
        <f t="shared" si="1"/>
        <v>254</v>
      </c>
    </row>
    <row r="32" spans="2:32" ht="23.1" customHeight="1" x14ac:dyDescent="0.25">
      <c r="B32" s="24" t="s">
        <v>59</v>
      </c>
      <c r="C32" s="50">
        <v>30</v>
      </c>
      <c r="D32" s="50">
        <v>5</v>
      </c>
      <c r="E32" s="50">
        <v>3</v>
      </c>
      <c r="F32" s="50">
        <v>41</v>
      </c>
      <c r="G32" s="50">
        <v>1</v>
      </c>
      <c r="H32" s="50">
        <v>1</v>
      </c>
      <c r="I32" s="50">
        <v>8</v>
      </c>
      <c r="J32" s="50">
        <v>2</v>
      </c>
      <c r="K32" s="50">
        <v>2</v>
      </c>
      <c r="L32" s="50">
        <v>0</v>
      </c>
      <c r="M32" s="50">
        <v>115</v>
      </c>
      <c r="N32" s="50">
        <v>0</v>
      </c>
      <c r="O32" s="15">
        <f t="shared" si="0"/>
        <v>93</v>
      </c>
      <c r="P32" s="15">
        <f t="shared" si="1"/>
        <v>208</v>
      </c>
    </row>
    <row r="33" spans="2:20" ht="23.1" customHeight="1" x14ac:dyDescent="0.25">
      <c r="B33" s="23" t="s">
        <v>60</v>
      </c>
      <c r="C33" s="50">
        <v>29</v>
      </c>
      <c r="D33" s="50">
        <v>3</v>
      </c>
      <c r="E33" s="50">
        <v>3</v>
      </c>
      <c r="F33" s="50">
        <v>46</v>
      </c>
      <c r="G33" s="50">
        <v>1</v>
      </c>
      <c r="H33" s="50">
        <v>0</v>
      </c>
      <c r="I33" s="50">
        <v>12</v>
      </c>
      <c r="J33" s="50">
        <v>1</v>
      </c>
      <c r="K33" s="50">
        <v>1</v>
      </c>
      <c r="L33" s="50">
        <v>6</v>
      </c>
      <c r="M33" s="50">
        <v>80</v>
      </c>
      <c r="N33" s="50">
        <v>0</v>
      </c>
      <c r="O33" s="15">
        <f t="shared" si="0"/>
        <v>102</v>
      </c>
      <c r="P33" s="15">
        <f t="shared" si="1"/>
        <v>182</v>
      </c>
    </row>
    <row r="34" spans="2:20" ht="23.1" customHeight="1" x14ac:dyDescent="0.25">
      <c r="B34" s="24" t="s">
        <v>61</v>
      </c>
      <c r="C34" s="50">
        <v>49</v>
      </c>
      <c r="D34" s="50">
        <v>8</v>
      </c>
      <c r="E34" s="50">
        <v>5</v>
      </c>
      <c r="F34" s="50">
        <v>56</v>
      </c>
      <c r="G34" s="50">
        <v>2</v>
      </c>
      <c r="H34" s="50">
        <v>0</v>
      </c>
      <c r="I34" s="50">
        <v>17</v>
      </c>
      <c r="J34" s="50">
        <v>9</v>
      </c>
      <c r="K34" s="50">
        <v>2</v>
      </c>
      <c r="L34" s="50">
        <v>4</v>
      </c>
      <c r="M34" s="50">
        <v>137</v>
      </c>
      <c r="N34" s="50">
        <v>0</v>
      </c>
      <c r="O34" s="15">
        <f t="shared" si="0"/>
        <v>152</v>
      </c>
      <c r="P34" s="15">
        <f t="shared" si="1"/>
        <v>289</v>
      </c>
    </row>
    <row r="35" spans="2:20" ht="23.1" customHeight="1" x14ac:dyDescent="0.25">
      <c r="B35" s="24" t="s">
        <v>62</v>
      </c>
      <c r="C35" s="50">
        <v>28</v>
      </c>
      <c r="D35" s="50">
        <v>6</v>
      </c>
      <c r="E35" s="50">
        <v>7</v>
      </c>
      <c r="F35" s="50">
        <v>24</v>
      </c>
      <c r="G35" s="50">
        <v>0</v>
      </c>
      <c r="H35" s="50">
        <v>0</v>
      </c>
      <c r="I35" s="50">
        <v>4</v>
      </c>
      <c r="J35" s="50">
        <v>2</v>
      </c>
      <c r="K35" s="50">
        <v>0</v>
      </c>
      <c r="L35" s="50">
        <v>3</v>
      </c>
      <c r="M35" s="50">
        <v>115</v>
      </c>
      <c r="N35" s="50">
        <v>0</v>
      </c>
      <c r="O35" s="15">
        <f t="shared" si="0"/>
        <v>74</v>
      </c>
      <c r="P35" s="15">
        <f t="shared" si="1"/>
        <v>189</v>
      </c>
    </row>
    <row r="36" spans="2:20" ht="23.1" customHeight="1" x14ac:dyDescent="0.25">
      <c r="B36" s="24" t="s">
        <v>63</v>
      </c>
      <c r="C36" s="50">
        <v>27</v>
      </c>
      <c r="D36" s="50">
        <v>8</v>
      </c>
      <c r="E36" s="50">
        <v>11</v>
      </c>
      <c r="F36" s="50">
        <v>22</v>
      </c>
      <c r="G36" s="50">
        <v>1</v>
      </c>
      <c r="H36" s="50">
        <v>1</v>
      </c>
      <c r="I36" s="50">
        <v>12</v>
      </c>
      <c r="J36" s="50">
        <v>2</v>
      </c>
      <c r="K36" s="50">
        <v>1</v>
      </c>
      <c r="L36" s="50">
        <v>4</v>
      </c>
      <c r="M36" s="50">
        <v>45</v>
      </c>
      <c r="N36" s="50">
        <v>0</v>
      </c>
      <c r="O36" s="15">
        <f t="shared" si="0"/>
        <v>89</v>
      </c>
      <c r="P36" s="15">
        <f t="shared" si="1"/>
        <v>134</v>
      </c>
    </row>
    <row r="37" spans="2:20" ht="23.1" customHeight="1" x14ac:dyDescent="0.25">
      <c r="B37" s="23" t="s">
        <v>64</v>
      </c>
      <c r="C37" s="50">
        <v>63</v>
      </c>
      <c r="D37" s="50">
        <v>13</v>
      </c>
      <c r="E37" s="50">
        <v>7</v>
      </c>
      <c r="F37" s="50">
        <v>65</v>
      </c>
      <c r="G37" s="50">
        <v>2</v>
      </c>
      <c r="H37" s="50">
        <v>1</v>
      </c>
      <c r="I37" s="50">
        <v>15</v>
      </c>
      <c r="J37" s="50">
        <v>10</v>
      </c>
      <c r="K37" s="50">
        <v>3</v>
      </c>
      <c r="L37" s="50">
        <v>9</v>
      </c>
      <c r="M37" s="50">
        <v>120</v>
      </c>
      <c r="N37" s="50">
        <v>0</v>
      </c>
      <c r="O37" s="15">
        <f t="shared" si="0"/>
        <v>188</v>
      </c>
      <c r="P37" s="15">
        <f t="shared" si="1"/>
        <v>308</v>
      </c>
    </row>
    <row r="38" spans="2:20" ht="23.1" customHeight="1" x14ac:dyDescent="0.25">
      <c r="B38" s="24" t="s">
        <v>65</v>
      </c>
      <c r="C38" s="50">
        <v>37</v>
      </c>
      <c r="D38" s="50">
        <v>8</v>
      </c>
      <c r="E38" s="50">
        <v>5</v>
      </c>
      <c r="F38" s="50">
        <v>28</v>
      </c>
      <c r="G38" s="50">
        <v>1</v>
      </c>
      <c r="H38" s="50">
        <v>0</v>
      </c>
      <c r="I38" s="50">
        <v>6</v>
      </c>
      <c r="J38" s="50">
        <v>3</v>
      </c>
      <c r="K38" s="50">
        <v>2</v>
      </c>
      <c r="L38" s="50">
        <v>3</v>
      </c>
      <c r="M38" s="50">
        <v>90</v>
      </c>
      <c r="N38" s="50">
        <v>0</v>
      </c>
      <c r="O38" s="15">
        <f t="shared" si="0"/>
        <v>93</v>
      </c>
      <c r="P38" s="15">
        <f t="shared" si="1"/>
        <v>183</v>
      </c>
    </row>
    <row r="39" spans="2:20" ht="23.1" customHeight="1" x14ac:dyDescent="0.25">
      <c r="B39" s="24" t="s">
        <v>66</v>
      </c>
      <c r="C39" s="50">
        <v>23</v>
      </c>
      <c r="D39" s="50">
        <v>5</v>
      </c>
      <c r="E39" s="50">
        <v>3</v>
      </c>
      <c r="F39" s="50">
        <v>25</v>
      </c>
      <c r="G39" s="50">
        <v>0</v>
      </c>
      <c r="H39" s="50">
        <v>0</v>
      </c>
      <c r="I39" s="50">
        <v>11</v>
      </c>
      <c r="J39" s="50">
        <v>2</v>
      </c>
      <c r="K39" s="50">
        <v>2</v>
      </c>
      <c r="L39" s="50">
        <v>1</v>
      </c>
      <c r="M39" s="50">
        <v>58</v>
      </c>
      <c r="N39" s="50">
        <v>0</v>
      </c>
      <c r="O39" s="15">
        <f t="shared" si="0"/>
        <v>72</v>
      </c>
      <c r="P39" s="15">
        <f t="shared" si="1"/>
        <v>130</v>
      </c>
    </row>
    <row r="40" spans="2:20" ht="23.1" customHeight="1" x14ac:dyDescent="0.25">
      <c r="B40" s="24" t="s">
        <v>67</v>
      </c>
      <c r="C40" s="50">
        <v>37</v>
      </c>
      <c r="D40" s="50">
        <v>5</v>
      </c>
      <c r="E40" s="50">
        <v>8</v>
      </c>
      <c r="F40" s="50">
        <v>45</v>
      </c>
      <c r="G40" s="50">
        <v>1</v>
      </c>
      <c r="H40" s="50">
        <v>1</v>
      </c>
      <c r="I40" s="50">
        <v>4</v>
      </c>
      <c r="J40" s="50">
        <v>3</v>
      </c>
      <c r="K40" s="50">
        <v>3</v>
      </c>
      <c r="L40" s="50">
        <v>2</v>
      </c>
      <c r="M40" s="50">
        <v>110</v>
      </c>
      <c r="N40" s="50">
        <v>0</v>
      </c>
      <c r="O40" s="15">
        <f t="shared" si="0"/>
        <v>109</v>
      </c>
      <c r="P40" s="15">
        <f t="shared" si="1"/>
        <v>219</v>
      </c>
    </row>
    <row r="41" spans="2:20" ht="23.1" customHeight="1" x14ac:dyDescent="0.25">
      <c r="B41" s="23" t="s">
        <v>68</v>
      </c>
      <c r="C41" s="50">
        <v>38</v>
      </c>
      <c r="D41" s="50">
        <v>4</v>
      </c>
      <c r="E41" s="50">
        <v>1</v>
      </c>
      <c r="F41" s="50">
        <v>31</v>
      </c>
      <c r="G41" s="50">
        <v>1</v>
      </c>
      <c r="H41" s="50">
        <v>0</v>
      </c>
      <c r="I41" s="50">
        <v>6</v>
      </c>
      <c r="J41" s="50">
        <v>6</v>
      </c>
      <c r="K41" s="50">
        <v>5</v>
      </c>
      <c r="L41" s="50">
        <v>6</v>
      </c>
      <c r="M41" s="50">
        <v>125</v>
      </c>
      <c r="N41" s="50">
        <v>0</v>
      </c>
      <c r="O41" s="15">
        <f t="shared" si="0"/>
        <v>98</v>
      </c>
      <c r="P41" s="15">
        <f t="shared" si="1"/>
        <v>223</v>
      </c>
    </row>
    <row r="42" spans="2:20" ht="23.1" customHeight="1" x14ac:dyDescent="0.25">
      <c r="B42" s="24" t="s">
        <v>69</v>
      </c>
      <c r="C42" s="50">
        <v>40</v>
      </c>
      <c r="D42" s="50">
        <v>11</v>
      </c>
      <c r="E42" s="50">
        <v>5</v>
      </c>
      <c r="F42" s="50">
        <v>35</v>
      </c>
      <c r="G42" s="50">
        <v>1</v>
      </c>
      <c r="H42" s="50">
        <v>0</v>
      </c>
      <c r="I42" s="50">
        <v>13</v>
      </c>
      <c r="J42" s="50">
        <v>2</v>
      </c>
      <c r="K42" s="50">
        <v>2</v>
      </c>
      <c r="L42" s="50">
        <v>3</v>
      </c>
      <c r="M42" s="50">
        <v>115</v>
      </c>
      <c r="N42" s="50">
        <v>0</v>
      </c>
      <c r="O42" s="15">
        <f t="shared" si="0"/>
        <v>112</v>
      </c>
      <c r="P42" s="15">
        <f t="shared" si="1"/>
        <v>227</v>
      </c>
    </row>
    <row r="43" spans="2:20" ht="23.1" customHeight="1" x14ac:dyDescent="0.25">
      <c r="B43" s="23" t="s">
        <v>70</v>
      </c>
      <c r="C43" s="50">
        <v>37</v>
      </c>
      <c r="D43" s="50">
        <v>5</v>
      </c>
      <c r="E43" s="50">
        <v>12</v>
      </c>
      <c r="F43" s="50">
        <v>48</v>
      </c>
      <c r="G43" s="50">
        <v>1</v>
      </c>
      <c r="H43" s="50">
        <v>0</v>
      </c>
      <c r="I43" s="50">
        <v>11</v>
      </c>
      <c r="J43" s="50">
        <v>7</v>
      </c>
      <c r="K43" s="50">
        <v>2</v>
      </c>
      <c r="L43" s="50">
        <v>2</v>
      </c>
      <c r="M43" s="50">
        <v>130</v>
      </c>
      <c r="N43" s="50">
        <v>0</v>
      </c>
      <c r="O43" s="15">
        <f t="shared" si="0"/>
        <v>125</v>
      </c>
      <c r="P43" s="15">
        <f t="shared" si="1"/>
        <v>255</v>
      </c>
    </row>
    <row r="44" spans="2:20" ht="23.1" customHeight="1" x14ac:dyDescent="0.25">
      <c r="B44" s="25" t="s">
        <v>71</v>
      </c>
      <c r="C44" s="50">
        <v>27</v>
      </c>
      <c r="D44" s="50">
        <v>4</v>
      </c>
      <c r="E44" s="50">
        <v>9</v>
      </c>
      <c r="F44" s="50">
        <v>34</v>
      </c>
      <c r="G44" s="50">
        <v>0</v>
      </c>
      <c r="H44" s="50">
        <v>0</v>
      </c>
      <c r="I44" s="50">
        <v>10</v>
      </c>
      <c r="J44" s="50">
        <v>2</v>
      </c>
      <c r="K44" s="50">
        <v>0</v>
      </c>
      <c r="L44" s="50">
        <v>2</v>
      </c>
      <c r="M44" s="50">
        <v>125</v>
      </c>
      <c r="N44" s="50">
        <v>0</v>
      </c>
      <c r="O44" s="15">
        <f t="shared" si="0"/>
        <v>88</v>
      </c>
      <c r="P44" s="15">
        <f t="shared" si="1"/>
        <v>213</v>
      </c>
    </row>
    <row r="45" spans="2:20" ht="23.1" customHeight="1" x14ac:dyDescent="0.25">
      <c r="B45" s="23" t="s">
        <v>72</v>
      </c>
      <c r="C45" s="50">
        <v>41</v>
      </c>
      <c r="D45" s="50">
        <v>10</v>
      </c>
      <c r="E45" s="50">
        <v>4</v>
      </c>
      <c r="F45" s="50">
        <v>48</v>
      </c>
      <c r="G45" s="50">
        <v>2</v>
      </c>
      <c r="H45" s="50">
        <v>2</v>
      </c>
      <c r="I45" s="50">
        <v>13</v>
      </c>
      <c r="J45" s="50">
        <v>8</v>
      </c>
      <c r="K45" s="50">
        <v>1</v>
      </c>
      <c r="L45" s="50">
        <v>2</v>
      </c>
      <c r="M45" s="50">
        <v>95</v>
      </c>
      <c r="N45" s="50">
        <v>0</v>
      </c>
      <c r="O45" s="15">
        <f t="shared" si="0"/>
        <v>131</v>
      </c>
      <c r="P45" s="15">
        <f t="shared" si="1"/>
        <v>226</v>
      </c>
    </row>
    <row r="46" spans="2:20" ht="23.1" customHeight="1" x14ac:dyDescent="0.25">
      <c r="B46" s="24" t="s">
        <v>73</v>
      </c>
      <c r="C46" s="50">
        <v>51</v>
      </c>
      <c r="D46" s="50">
        <v>6</v>
      </c>
      <c r="E46" s="50">
        <v>4</v>
      </c>
      <c r="F46" s="50">
        <v>38</v>
      </c>
      <c r="G46" s="50">
        <v>2</v>
      </c>
      <c r="H46" s="50">
        <v>1</v>
      </c>
      <c r="I46" s="50">
        <v>11</v>
      </c>
      <c r="J46" s="50">
        <v>1</v>
      </c>
      <c r="K46" s="50">
        <v>3</v>
      </c>
      <c r="L46" s="50">
        <v>3</v>
      </c>
      <c r="M46" s="50">
        <v>137</v>
      </c>
      <c r="N46" s="50">
        <v>0</v>
      </c>
      <c r="O46" s="15">
        <f t="shared" si="0"/>
        <v>120</v>
      </c>
      <c r="P46" s="15">
        <f t="shared" si="1"/>
        <v>257</v>
      </c>
      <c r="R46" s="8"/>
      <c r="T46"/>
    </row>
    <row r="47" spans="2:20" ht="23.1" customHeight="1" x14ac:dyDescent="0.25">
      <c r="B47" s="24" t="s">
        <v>74</v>
      </c>
      <c r="C47" s="50">
        <v>39</v>
      </c>
      <c r="D47" s="50">
        <v>2</v>
      </c>
      <c r="E47" s="50">
        <v>5</v>
      </c>
      <c r="F47" s="50">
        <v>40</v>
      </c>
      <c r="G47" s="50">
        <v>1</v>
      </c>
      <c r="H47" s="50">
        <v>1</v>
      </c>
      <c r="I47" s="50">
        <v>9</v>
      </c>
      <c r="J47" s="50">
        <v>8</v>
      </c>
      <c r="K47" s="50">
        <v>2</v>
      </c>
      <c r="L47" s="50">
        <v>3</v>
      </c>
      <c r="M47" s="50">
        <v>91</v>
      </c>
      <c r="N47" s="50">
        <v>0</v>
      </c>
      <c r="O47" s="15">
        <f t="shared" si="0"/>
        <v>110</v>
      </c>
      <c r="P47" s="15">
        <f t="shared" si="1"/>
        <v>201</v>
      </c>
      <c r="R47" s="8"/>
      <c r="T47"/>
    </row>
    <row r="48" spans="2:20" ht="23.1" customHeight="1" x14ac:dyDescent="0.25">
      <c r="B48" s="24" t="s">
        <v>75</v>
      </c>
      <c r="C48" s="50">
        <v>42</v>
      </c>
      <c r="D48" s="50">
        <v>8</v>
      </c>
      <c r="E48" s="50">
        <v>1</v>
      </c>
      <c r="F48" s="50">
        <v>38</v>
      </c>
      <c r="G48" s="50">
        <v>0</v>
      </c>
      <c r="H48" s="50">
        <v>0</v>
      </c>
      <c r="I48" s="50">
        <v>15</v>
      </c>
      <c r="J48" s="50">
        <v>3</v>
      </c>
      <c r="K48" s="50">
        <v>2</v>
      </c>
      <c r="L48" s="50">
        <v>8</v>
      </c>
      <c r="M48" s="50">
        <v>155</v>
      </c>
      <c r="N48" s="50">
        <v>0</v>
      </c>
      <c r="O48" s="15">
        <f t="shared" si="0"/>
        <v>117</v>
      </c>
      <c r="P48" s="15">
        <f t="shared" si="1"/>
        <v>272</v>
      </c>
      <c r="R48" s="8"/>
      <c r="T48"/>
    </row>
    <row r="49" spans="2:20" ht="23.1" customHeight="1" x14ac:dyDescent="0.25">
      <c r="B49" s="23" t="s">
        <v>76</v>
      </c>
      <c r="C49" s="50">
        <v>33</v>
      </c>
      <c r="D49" s="50">
        <v>6</v>
      </c>
      <c r="E49" s="50">
        <v>3</v>
      </c>
      <c r="F49" s="50">
        <v>24</v>
      </c>
      <c r="G49" s="50">
        <v>3</v>
      </c>
      <c r="H49" s="50">
        <v>1</v>
      </c>
      <c r="I49" s="50">
        <v>3</v>
      </c>
      <c r="J49" s="50">
        <v>7</v>
      </c>
      <c r="K49" s="50">
        <v>2</v>
      </c>
      <c r="L49" s="50">
        <v>1</v>
      </c>
      <c r="M49" s="50">
        <v>125</v>
      </c>
      <c r="N49" s="50">
        <v>0</v>
      </c>
      <c r="O49" s="15">
        <f t="shared" si="0"/>
        <v>83</v>
      </c>
      <c r="P49" s="15">
        <f t="shared" si="1"/>
        <v>208</v>
      </c>
      <c r="R49" s="8"/>
      <c r="T49"/>
    </row>
    <row r="50" spans="2:20" ht="23.1" customHeight="1" x14ac:dyDescent="0.25">
      <c r="B50" s="24" t="s">
        <v>77</v>
      </c>
      <c r="C50" s="50">
        <v>37</v>
      </c>
      <c r="D50" s="50">
        <v>3</v>
      </c>
      <c r="E50" s="50">
        <v>5</v>
      </c>
      <c r="F50" s="50">
        <v>21</v>
      </c>
      <c r="G50" s="50">
        <v>1</v>
      </c>
      <c r="H50" s="50">
        <v>0</v>
      </c>
      <c r="I50" s="50">
        <v>12</v>
      </c>
      <c r="J50" s="50">
        <v>3</v>
      </c>
      <c r="K50" s="50">
        <v>5</v>
      </c>
      <c r="L50" s="50">
        <v>2</v>
      </c>
      <c r="M50" s="50">
        <v>123</v>
      </c>
      <c r="N50" s="50">
        <v>0</v>
      </c>
      <c r="O50" s="15">
        <f t="shared" si="0"/>
        <v>89</v>
      </c>
      <c r="P50" s="15">
        <f t="shared" si="1"/>
        <v>212</v>
      </c>
      <c r="R50" s="8"/>
      <c r="T50"/>
    </row>
    <row r="51" spans="2:20" ht="23.1" customHeight="1" x14ac:dyDescent="0.25">
      <c r="B51" s="24" t="s">
        <v>78</v>
      </c>
      <c r="C51" s="50">
        <v>41</v>
      </c>
      <c r="D51" s="50">
        <v>5</v>
      </c>
      <c r="E51" s="50">
        <v>2</v>
      </c>
      <c r="F51" s="50">
        <v>40</v>
      </c>
      <c r="G51" s="50">
        <v>3</v>
      </c>
      <c r="H51" s="50">
        <v>0</v>
      </c>
      <c r="I51" s="50">
        <v>11</v>
      </c>
      <c r="J51" s="50">
        <v>0</v>
      </c>
      <c r="K51" s="50">
        <v>2</v>
      </c>
      <c r="L51" s="50">
        <v>3</v>
      </c>
      <c r="M51" s="50">
        <v>125</v>
      </c>
      <c r="N51" s="50">
        <v>0</v>
      </c>
      <c r="O51" s="15">
        <f t="shared" si="0"/>
        <v>107</v>
      </c>
      <c r="P51" s="15">
        <f t="shared" si="1"/>
        <v>232</v>
      </c>
      <c r="R51" s="8"/>
      <c r="T51"/>
    </row>
    <row r="52" spans="2:20" ht="23.1" customHeight="1" x14ac:dyDescent="0.25">
      <c r="B52" s="24" t="s">
        <v>79</v>
      </c>
      <c r="C52" s="50">
        <v>31</v>
      </c>
      <c r="D52" s="50">
        <v>9</v>
      </c>
      <c r="E52" s="50">
        <v>3</v>
      </c>
      <c r="F52" s="50">
        <v>41</v>
      </c>
      <c r="G52" s="50">
        <v>0</v>
      </c>
      <c r="H52" s="50">
        <v>0</v>
      </c>
      <c r="I52" s="50">
        <v>11</v>
      </c>
      <c r="J52" s="50">
        <v>1</v>
      </c>
      <c r="K52" s="50">
        <v>1</v>
      </c>
      <c r="L52" s="50">
        <v>5</v>
      </c>
      <c r="M52" s="50">
        <v>140</v>
      </c>
      <c r="N52" s="50">
        <v>0</v>
      </c>
      <c r="O52" s="15">
        <f t="shared" si="0"/>
        <v>102</v>
      </c>
      <c r="P52" s="15">
        <f t="shared" si="1"/>
        <v>242</v>
      </c>
      <c r="R52" s="8"/>
      <c r="T52"/>
    </row>
    <row r="53" spans="2:20" ht="23.1" customHeight="1" x14ac:dyDescent="0.25">
      <c r="B53" s="23" t="s">
        <v>80</v>
      </c>
      <c r="C53" s="50">
        <v>41</v>
      </c>
      <c r="D53" s="50">
        <v>4</v>
      </c>
      <c r="E53" s="50">
        <v>2</v>
      </c>
      <c r="F53" s="50">
        <v>40</v>
      </c>
      <c r="G53" s="50">
        <v>3</v>
      </c>
      <c r="H53" s="50">
        <v>0</v>
      </c>
      <c r="I53" s="50">
        <v>8</v>
      </c>
      <c r="J53" s="50">
        <v>2</v>
      </c>
      <c r="K53" s="50">
        <v>2</v>
      </c>
      <c r="L53" s="50">
        <v>17</v>
      </c>
      <c r="M53" s="50">
        <v>145</v>
      </c>
      <c r="N53" s="50">
        <v>0</v>
      </c>
      <c r="O53" s="15">
        <f t="shared" si="0"/>
        <v>119</v>
      </c>
      <c r="P53" s="15">
        <f t="shared" si="1"/>
        <v>264</v>
      </c>
      <c r="R53" s="8"/>
      <c r="T53"/>
    </row>
    <row r="54" spans="2:20" ht="23.1" customHeight="1" x14ac:dyDescent="0.25">
      <c r="B54" s="23" t="s">
        <v>81</v>
      </c>
      <c r="C54" s="50">
        <v>44</v>
      </c>
      <c r="D54" s="50">
        <v>12</v>
      </c>
      <c r="E54" s="50">
        <v>5</v>
      </c>
      <c r="F54" s="50">
        <v>34</v>
      </c>
      <c r="G54" s="50">
        <v>3</v>
      </c>
      <c r="H54" s="50">
        <v>0</v>
      </c>
      <c r="I54" s="50">
        <v>9</v>
      </c>
      <c r="J54" s="50">
        <v>3</v>
      </c>
      <c r="K54" s="50">
        <v>1</v>
      </c>
      <c r="L54" s="50">
        <v>3</v>
      </c>
      <c r="M54" s="50">
        <v>130</v>
      </c>
      <c r="N54" s="50">
        <v>0</v>
      </c>
      <c r="O54" s="15">
        <f t="shared" si="0"/>
        <v>114</v>
      </c>
      <c r="P54" s="15">
        <f t="shared" si="1"/>
        <v>244</v>
      </c>
      <c r="R54" s="8"/>
      <c r="T54"/>
    </row>
    <row r="55" spans="2:20" ht="23.1" customHeight="1" x14ac:dyDescent="0.25">
      <c r="B55" s="23" t="s">
        <v>82</v>
      </c>
      <c r="C55" s="50">
        <v>45</v>
      </c>
      <c r="D55" s="50">
        <v>4</v>
      </c>
      <c r="E55" s="50">
        <v>5</v>
      </c>
      <c r="F55" s="50">
        <v>31</v>
      </c>
      <c r="G55" s="50">
        <v>1</v>
      </c>
      <c r="H55" s="50">
        <v>0</v>
      </c>
      <c r="I55" s="50">
        <v>9</v>
      </c>
      <c r="J55" s="50">
        <v>1</v>
      </c>
      <c r="K55" s="50">
        <v>2</v>
      </c>
      <c r="L55" s="50">
        <v>3</v>
      </c>
      <c r="M55" s="50">
        <v>160</v>
      </c>
      <c r="N55" s="50">
        <v>0</v>
      </c>
      <c r="O55" s="15">
        <f t="shared" si="0"/>
        <v>101</v>
      </c>
      <c r="P55" s="15">
        <f t="shared" si="1"/>
        <v>261</v>
      </c>
      <c r="R55" s="8"/>
      <c r="T55"/>
    </row>
    <row r="56" spans="2:20" ht="23.1" customHeight="1" x14ac:dyDescent="0.25">
      <c r="B56" s="23" t="s">
        <v>83</v>
      </c>
      <c r="C56" s="50">
        <v>51</v>
      </c>
      <c r="D56" s="50">
        <v>7</v>
      </c>
      <c r="E56" s="50">
        <v>4</v>
      </c>
      <c r="F56" s="50">
        <v>39</v>
      </c>
      <c r="G56" s="50">
        <v>4</v>
      </c>
      <c r="H56" s="50">
        <v>1</v>
      </c>
      <c r="I56" s="50">
        <v>8</v>
      </c>
      <c r="J56" s="50">
        <v>2</v>
      </c>
      <c r="K56" s="50">
        <v>1</v>
      </c>
      <c r="L56" s="50">
        <v>1</v>
      </c>
      <c r="M56" s="50">
        <v>130</v>
      </c>
      <c r="N56" s="50">
        <v>0</v>
      </c>
      <c r="O56" s="15">
        <f t="shared" si="0"/>
        <v>118</v>
      </c>
      <c r="P56" s="15">
        <f t="shared" si="1"/>
        <v>248</v>
      </c>
      <c r="R56" s="8"/>
      <c r="T56"/>
    </row>
    <row r="57" spans="2:20" ht="23.1" customHeight="1" x14ac:dyDescent="0.25">
      <c r="B57" s="23" t="s">
        <v>84</v>
      </c>
      <c r="C57" s="50">
        <v>49</v>
      </c>
      <c r="D57" s="50">
        <v>2</v>
      </c>
      <c r="E57" s="50">
        <v>2</v>
      </c>
      <c r="F57" s="50">
        <v>42</v>
      </c>
      <c r="G57" s="50">
        <v>2</v>
      </c>
      <c r="H57" s="50">
        <v>0</v>
      </c>
      <c r="I57" s="50">
        <v>10</v>
      </c>
      <c r="J57" s="50">
        <v>2</v>
      </c>
      <c r="K57" s="50">
        <v>0</v>
      </c>
      <c r="L57" s="50">
        <v>5</v>
      </c>
      <c r="M57" s="50">
        <v>165</v>
      </c>
      <c r="N57" s="50">
        <v>0</v>
      </c>
      <c r="O57" s="15">
        <f t="shared" si="0"/>
        <v>114</v>
      </c>
      <c r="P57" s="15">
        <f t="shared" si="1"/>
        <v>279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1636</v>
      </c>
      <c r="D58" s="16">
        <f t="shared" si="21"/>
        <v>282</v>
      </c>
      <c r="E58" s="16">
        <f t="shared" si="21"/>
        <v>205</v>
      </c>
      <c r="F58" s="16">
        <f t="shared" si="21"/>
        <v>1914</v>
      </c>
      <c r="G58" s="16">
        <f t="shared" si="21"/>
        <v>82</v>
      </c>
      <c r="H58" s="16">
        <f t="shared" si="21"/>
        <v>26</v>
      </c>
      <c r="I58" s="16">
        <f t="shared" si="21"/>
        <v>483</v>
      </c>
      <c r="J58" s="16">
        <f t="shared" si="21"/>
        <v>139</v>
      </c>
      <c r="K58" s="16">
        <f t="shared" si="21"/>
        <v>75</v>
      </c>
      <c r="L58" s="16">
        <f t="shared" si="21"/>
        <v>171</v>
      </c>
      <c r="M58" s="16">
        <f t="shared" si="21"/>
        <v>6403</v>
      </c>
      <c r="N58" s="16">
        <f t="shared" si="21"/>
        <v>0</v>
      </c>
      <c r="O58" s="16">
        <f t="shared" si="21"/>
        <v>5013</v>
      </c>
      <c r="P58" s="16">
        <f t="shared" si="21"/>
        <v>11416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0.14330763840224248</v>
      </c>
      <c r="D59" s="43">
        <f t="shared" si="22"/>
        <v>2.4702172389628591E-2</v>
      </c>
      <c r="E59" s="43">
        <f t="shared" si="22"/>
        <v>1.7957252978276102E-2</v>
      </c>
      <c r="F59" s="43">
        <f t="shared" si="22"/>
        <v>0.16765942536790471</v>
      </c>
      <c r="G59" s="43">
        <f t="shared" si="22"/>
        <v>7.1829011913104417E-3</v>
      </c>
      <c r="H59" s="43">
        <f t="shared" si="22"/>
        <v>2.2775052557813596E-3</v>
      </c>
      <c r="I59" s="43">
        <f t="shared" si="22"/>
        <v>4.230903994393833E-2</v>
      </c>
      <c r="J59" s="43">
        <f t="shared" si="22"/>
        <v>1.2175893482831114E-2</v>
      </c>
      <c r="K59" s="43">
        <f t="shared" si="22"/>
        <v>6.5697266993693061E-3</v>
      </c>
      <c r="L59" s="43">
        <f t="shared" si="22"/>
        <v>1.4978976874562018E-2</v>
      </c>
      <c r="M59" s="43">
        <f t="shared" si="22"/>
        <v>0.56087946741415562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0.32635148613604625</v>
      </c>
      <c r="D60" s="44">
        <f t="shared" ref="D60:N60" si="23">D58/$O$58</f>
        <v>5.6253740275284264E-2</v>
      </c>
      <c r="E60" s="44">
        <f t="shared" si="23"/>
        <v>4.089367644125274E-2</v>
      </c>
      <c r="F60" s="44">
        <f t="shared" si="23"/>
        <v>0.38180730101735488</v>
      </c>
      <c r="G60" s="44">
        <f t="shared" si="23"/>
        <v>1.6357470576501096E-2</v>
      </c>
      <c r="H60" s="44">
        <f t="shared" si="23"/>
        <v>5.1865150608418117E-3</v>
      </c>
      <c r="I60" s="44">
        <f t="shared" si="23"/>
        <v>9.6349491322561334E-2</v>
      </c>
      <c r="J60" s="44">
        <f t="shared" si="23"/>
        <v>2.7727907440654297E-2</v>
      </c>
      <c r="K60" s="44">
        <f t="shared" si="23"/>
        <v>1.4961101137043686E-2</v>
      </c>
      <c r="L60" s="44">
        <f t="shared" si="23"/>
        <v>3.4111310592459608E-2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R63" sqref="R6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kawempe-Bwaise'!C3:G3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 Bwaise-Kawempe'!D5</f>
        <v>25.07.19</v>
      </c>
      <c r="E5" s="3"/>
      <c r="F5" s="41" t="s">
        <v>1</v>
      </c>
      <c r="G5" s="63" t="str">
        <f>'25.07 Bwaise-Kawempe'!G5:H5</f>
        <v>Before Steel and Tube</v>
      </c>
      <c r="H5" s="64"/>
      <c r="I5" s="14"/>
      <c r="J5" s="2" t="s">
        <v>5</v>
      </c>
      <c r="K5" s="63" t="s">
        <v>177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kawempe-Bwaise'!D6:E6</f>
        <v>Kawempe</v>
      </c>
      <c r="E6" s="64"/>
      <c r="F6" s="2" t="s">
        <v>2</v>
      </c>
      <c r="G6" s="63" t="str">
        <f>'22.07 kawempe-Bwaise'!G6:H6</f>
        <v>Bwaise</v>
      </c>
      <c r="H6" s="64"/>
      <c r="J6" s="2" t="s">
        <v>21</v>
      </c>
      <c r="K6" s="63" t="str">
        <f>'25.07 Bwaise-Kawempe'!K6:L6</f>
        <v>Salima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63</v>
      </c>
      <c r="D10" s="50">
        <v>20</v>
      </c>
      <c r="E10" s="50">
        <v>6</v>
      </c>
      <c r="F10" s="50">
        <v>55</v>
      </c>
      <c r="G10" s="50">
        <v>6</v>
      </c>
      <c r="H10" s="50">
        <v>0</v>
      </c>
      <c r="I10" s="50">
        <v>4</v>
      </c>
      <c r="J10" s="50">
        <v>4</v>
      </c>
      <c r="K10" s="50">
        <v>3</v>
      </c>
      <c r="L10" s="50">
        <v>1</v>
      </c>
      <c r="M10" s="50">
        <v>355</v>
      </c>
      <c r="N10" s="50">
        <v>0</v>
      </c>
      <c r="O10" s="15">
        <f t="shared" ref="O10:O57" si="0">SUM(C10:L10,N10)</f>
        <v>162</v>
      </c>
      <c r="P10" s="15">
        <f t="shared" ref="P10:P57" si="1">SUM(C10:N10)</f>
        <v>517</v>
      </c>
      <c r="R10" s="1" t="s">
        <v>6</v>
      </c>
      <c r="S10" s="17">
        <f t="shared" ref="S10:AF10" si="2">SUM(C10:C13)</f>
        <v>224</v>
      </c>
      <c r="T10" s="17">
        <f t="shared" si="2"/>
        <v>50</v>
      </c>
      <c r="U10" s="17">
        <f t="shared" si="2"/>
        <v>21</v>
      </c>
      <c r="V10" s="17">
        <f t="shared" si="2"/>
        <v>203</v>
      </c>
      <c r="W10" s="17">
        <f t="shared" si="2"/>
        <v>14</v>
      </c>
      <c r="X10" s="17">
        <f t="shared" si="2"/>
        <v>0</v>
      </c>
      <c r="Y10" s="17">
        <f t="shared" si="2"/>
        <v>13</v>
      </c>
      <c r="Z10" s="17">
        <f t="shared" si="2"/>
        <v>17</v>
      </c>
      <c r="AA10" s="17">
        <f t="shared" si="2"/>
        <v>11</v>
      </c>
      <c r="AB10" s="17">
        <f t="shared" si="2"/>
        <v>8</v>
      </c>
      <c r="AC10" s="17">
        <f t="shared" si="2"/>
        <v>1280</v>
      </c>
      <c r="AD10" s="17">
        <f t="shared" si="2"/>
        <v>0</v>
      </c>
      <c r="AE10" s="31">
        <f t="shared" si="2"/>
        <v>561</v>
      </c>
      <c r="AF10" s="31">
        <f t="shared" si="2"/>
        <v>1841</v>
      </c>
    </row>
    <row r="11" spans="2:32" s="6" customFormat="1" ht="23.1" customHeight="1" x14ac:dyDescent="0.25">
      <c r="B11" s="23" t="s">
        <v>38</v>
      </c>
      <c r="C11" s="50">
        <v>45</v>
      </c>
      <c r="D11" s="50">
        <v>12</v>
      </c>
      <c r="E11" s="50">
        <v>3</v>
      </c>
      <c r="F11" s="50">
        <v>58</v>
      </c>
      <c r="G11" s="50">
        <v>3</v>
      </c>
      <c r="H11" s="50">
        <v>0</v>
      </c>
      <c r="I11" s="50">
        <v>3</v>
      </c>
      <c r="J11" s="50">
        <v>5</v>
      </c>
      <c r="K11" s="50">
        <v>4</v>
      </c>
      <c r="L11" s="50">
        <v>3</v>
      </c>
      <c r="M11" s="50">
        <v>307</v>
      </c>
      <c r="N11" s="50">
        <v>0</v>
      </c>
      <c r="O11" s="15">
        <f t="shared" si="0"/>
        <v>136</v>
      </c>
      <c r="P11" s="15">
        <f t="shared" si="1"/>
        <v>443</v>
      </c>
      <c r="R11" s="1" t="s">
        <v>7</v>
      </c>
      <c r="S11" s="17">
        <f t="shared" ref="S11:AF11" si="3">SUM(C14:C17)</f>
        <v>165</v>
      </c>
      <c r="T11" s="17">
        <f t="shared" si="3"/>
        <v>52</v>
      </c>
      <c r="U11" s="17">
        <f t="shared" si="3"/>
        <v>23</v>
      </c>
      <c r="V11" s="17">
        <f t="shared" si="3"/>
        <v>199</v>
      </c>
      <c r="W11" s="17">
        <f t="shared" si="3"/>
        <v>9</v>
      </c>
      <c r="X11" s="17">
        <f t="shared" si="3"/>
        <v>2</v>
      </c>
      <c r="Y11" s="17">
        <f t="shared" si="3"/>
        <v>31</v>
      </c>
      <c r="Z11" s="17">
        <f t="shared" si="3"/>
        <v>23</v>
      </c>
      <c r="AA11" s="17">
        <f t="shared" si="3"/>
        <v>14</v>
      </c>
      <c r="AB11" s="17">
        <f t="shared" si="3"/>
        <v>2</v>
      </c>
      <c r="AC11" s="17">
        <f t="shared" si="3"/>
        <v>1209</v>
      </c>
      <c r="AD11" s="17">
        <f t="shared" si="3"/>
        <v>0</v>
      </c>
      <c r="AE11" s="31">
        <f t="shared" si="3"/>
        <v>520</v>
      </c>
      <c r="AF11" s="31">
        <f t="shared" si="3"/>
        <v>1729</v>
      </c>
    </row>
    <row r="12" spans="2:32" ht="23.1" customHeight="1" x14ac:dyDescent="0.25">
      <c r="B12" s="23" t="s">
        <v>39</v>
      </c>
      <c r="C12" s="50">
        <v>71</v>
      </c>
      <c r="D12" s="50">
        <v>8</v>
      </c>
      <c r="E12" s="50">
        <v>8</v>
      </c>
      <c r="F12" s="50">
        <v>50</v>
      </c>
      <c r="G12" s="50">
        <v>3</v>
      </c>
      <c r="H12" s="50">
        <v>0</v>
      </c>
      <c r="I12" s="50">
        <v>3</v>
      </c>
      <c r="J12" s="50">
        <v>3</v>
      </c>
      <c r="K12" s="50">
        <v>2</v>
      </c>
      <c r="L12" s="50">
        <v>3</v>
      </c>
      <c r="M12" s="50">
        <v>316</v>
      </c>
      <c r="N12" s="50">
        <v>0</v>
      </c>
      <c r="O12" s="15">
        <f t="shared" si="0"/>
        <v>151</v>
      </c>
      <c r="P12" s="15">
        <f t="shared" si="1"/>
        <v>467</v>
      </c>
      <c r="R12" s="1" t="s">
        <v>8</v>
      </c>
      <c r="S12" s="17">
        <f t="shared" ref="S12:AF12" si="4">SUM(C18:C21)</f>
        <v>165</v>
      </c>
      <c r="T12" s="17">
        <f t="shared" si="4"/>
        <v>40</v>
      </c>
      <c r="U12" s="17">
        <f t="shared" si="4"/>
        <v>28</v>
      </c>
      <c r="V12" s="17">
        <f t="shared" si="4"/>
        <v>213</v>
      </c>
      <c r="W12" s="17">
        <f t="shared" si="4"/>
        <v>10</v>
      </c>
      <c r="X12" s="17">
        <f t="shared" si="4"/>
        <v>1</v>
      </c>
      <c r="Y12" s="17">
        <f t="shared" si="4"/>
        <v>33</v>
      </c>
      <c r="Z12" s="17">
        <f t="shared" si="4"/>
        <v>42</v>
      </c>
      <c r="AA12" s="17">
        <f t="shared" si="4"/>
        <v>22</v>
      </c>
      <c r="AB12" s="17">
        <f t="shared" si="4"/>
        <v>8</v>
      </c>
      <c r="AC12" s="17">
        <f t="shared" si="4"/>
        <v>1282</v>
      </c>
      <c r="AD12" s="17">
        <f t="shared" si="4"/>
        <v>0</v>
      </c>
      <c r="AE12" s="31">
        <f t="shared" si="4"/>
        <v>562</v>
      </c>
      <c r="AF12" s="31">
        <f t="shared" si="4"/>
        <v>1844</v>
      </c>
    </row>
    <row r="13" spans="2:32" ht="23.1" customHeight="1" x14ac:dyDescent="0.25">
      <c r="B13" s="23" t="s">
        <v>40</v>
      </c>
      <c r="C13" s="50">
        <v>45</v>
      </c>
      <c r="D13" s="50">
        <v>10</v>
      </c>
      <c r="E13" s="50">
        <v>4</v>
      </c>
      <c r="F13" s="50">
        <v>40</v>
      </c>
      <c r="G13" s="50">
        <v>2</v>
      </c>
      <c r="H13" s="50">
        <v>0</v>
      </c>
      <c r="I13" s="50">
        <v>3</v>
      </c>
      <c r="J13" s="50">
        <v>5</v>
      </c>
      <c r="K13" s="50">
        <v>2</v>
      </c>
      <c r="L13" s="50">
        <v>1</v>
      </c>
      <c r="M13" s="50">
        <v>302</v>
      </c>
      <c r="N13" s="50">
        <v>0</v>
      </c>
      <c r="O13" s="15">
        <f t="shared" si="0"/>
        <v>112</v>
      </c>
      <c r="P13" s="15">
        <f t="shared" si="1"/>
        <v>414</v>
      </c>
      <c r="R13" s="1" t="s">
        <v>9</v>
      </c>
      <c r="S13" s="17">
        <f t="shared" ref="S13:AF13" si="5">SUM(C22:C25)</f>
        <v>118</v>
      </c>
      <c r="T13" s="17">
        <f t="shared" si="5"/>
        <v>37</v>
      </c>
      <c r="U13" s="17">
        <f t="shared" si="5"/>
        <v>18</v>
      </c>
      <c r="V13" s="17">
        <f t="shared" si="5"/>
        <v>152</v>
      </c>
      <c r="W13" s="17">
        <f t="shared" si="5"/>
        <v>5</v>
      </c>
      <c r="X13" s="17">
        <f t="shared" si="5"/>
        <v>0</v>
      </c>
      <c r="Y13" s="17">
        <f t="shared" si="5"/>
        <v>17</v>
      </c>
      <c r="Z13" s="17">
        <f t="shared" si="5"/>
        <v>32</v>
      </c>
      <c r="AA13" s="17">
        <f t="shared" si="5"/>
        <v>15</v>
      </c>
      <c r="AB13" s="17">
        <f t="shared" si="5"/>
        <v>1</v>
      </c>
      <c r="AC13" s="17">
        <f t="shared" si="5"/>
        <v>692</v>
      </c>
      <c r="AD13" s="17">
        <f t="shared" si="5"/>
        <v>0</v>
      </c>
      <c r="AE13" s="31">
        <f t="shared" si="5"/>
        <v>395</v>
      </c>
      <c r="AF13" s="31">
        <f t="shared" si="5"/>
        <v>1087</v>
      </c>
    </row>
    <row r="14" spans="2:32" ht="23.1" customHeight="1" x14ac:dyDescent="0.25">
      <c r="B14" s="23" t="s">
        <v>41</v>
      </c>
      <c r="C14" s="50">
        <v>43</v>
      </c>
      <c r="D14" s="50">
        <v>16</v>
      </c>
      <c r="E14" s="50">
        <v>4</v>
      </c>
      <c r="F14" s="50">
        <v>41</v>
      </c>
      <c r="G14" s="50">
        <v>1</v>
      </c>
      <c r="H14" s="50">
        <v>0</v>
      </c>
      <c r="I14" s="50">
        <v>9</v>
      </c>
      <c r="J14" s="50">
        <v>9</v>
      </c>
      <c r="K14" s="50">
        <v>6</v>
      </c>
      <c r="L14" s="50">
        <v>0</v>
      </c>
      <c r="M14" s="50">
        <v>335</v>
      </c>
      <c r="N14" s="50">
        <v>0</v>
      </c>
      <c r="O14" s="15">
        <f t="shared" si="0"/>
        <v>129</v>
      </c>
      <c r="P14" s="15">
        <f t="shared" si="1"/>
        <v>464</v>
      </c>
      <c r="R14" s="1" t="s">
        <v>10</v>
      </c>
      <c r="S14" s="17">
        <f t="shared" ref="S14:AF14" si="6">SUM(C26:C29)</f>
        <v>177</v>
      </c>
      <c r="T14" s="17">
        <f t="shared" si="6"/>
        <v>33</v>
      </c>
      <c r="U14" s="17">
        <f t="shared" si="6"/>
        <v>17</v>
      </c>
      <c r="V14" s="17">
        <f t="shared" si="6"/>
        <v>160</v>
      </c>
      <c r="W14" s="17">
        <f t="shared" si="6"/>
        <v>7</v>
      </c>
      <c r="X14" s="17">
        <f t="shared" si="6"/>
        <v>2</v>
      </c>
      <c r="Y14" s="17">
        <f t="shared" si="6"/>
        <v>33</v>
      </c>
      <c r="Z14" s="17">
        <f t="shared" si="6"/>
        <v>49</v>
      </c>
      <c r="AA14" s="17">
        <f t="shared" si="6"/>
        <v>19</v>
      </c>
      <c r="AB14" s="17">
        <f t="shared" si="6"/>
        <v>6</v>
      </c>
      <c r="AC14" s="17">
        <f t="shared" si="6"/>
        <v>929</v>
      </c>
      <c r="AD14" s="17">
        <f t="shared" si="6"/>
        <v>0</v>
      </c>
      <c r="AE14" s="31">
        <f t="shared" si="6"/>
        <v>503</v>
      </c>
      <c r="AF14" s="31">
        <f t="shared" si="6"/>
        <v>1432</v>
      </c>
    </row>
    <row r="15" spans="2:32" ht="23.1" customHeight="1" x14ac:dyDescent="0.25">
      <c r="B15" s="23" t="s">
        <v>42</v>
      </c>
      <c r="C15" s="50">
        <v>38</v>
      </c>
      <c r="D15" s="50">
        <v>18</v>
      </c>
      <c r="E15" s="50">
        <v>3</v>
      </c>
      <c r="F15" s="50">
        <v>60</v>
      </c>
      <c r="G15" s="50">
        <v>3</v>
      </c>
      <c r="H15" s="50">
        <v>2</v>
      </c>
      <c r="I15" s="50">
        <v>11</v>
      </c>
      <c r="J15" s="50">
        <v>5</v>
      </c>
      <c r="K15" s="50">
        <v>3</v>
      </c>
      <c r="L15" s="50">
        <v>0</v>
      </c>
      <c r="M15" s="50">
        <v>318</v>
      </c>
      <c r="N15" s="50">
        <v>0</v>
      </c>
      <c r="O15" s="15">
        <f t="shared" si="0"/>
        <v>143</v>
      </c>
      <c r="P15" s="15">
        <f t="shared" si="1"/>
        <v>461</v>
      </c>
      <c r="R15" s="1" t="s">
        <v>11</v>
      </c>
      <c r="S15" s="17">
        <f t="shared" ref="S15:AF15" si="7">SUM(C30:C33)</f>
        <v>135</v>
      </c>
      <c r="T15" s="17">
        <f t="shared" si="7"/>
        <v>35</v>
      </c>
      <c r="U15" s="17">
        <f t="shared" si="7"/>
        <v>37</v>
      </c>
      <c r="V15" s="17">
        <f t="shared" si="7"/>
        <v>187</v>
      </c>
      <c r="W15" s="17">
        <f t="shared" si="7"/>
        <v>10</v>
      </c>
      <c r="X15" s="17">
        <f t="shared" si="7"/>
        <v>4</v>
      </c>
      <c r="Y15" s="17">
        <f t="shared" si="7"/>
        <v>32</v>
      </c>
      <c r="Z15" s="17">
        <f t="shared" si="7"/>
        <v>43</v>
      </c>
      <c r="AA15" s="17">
        <f t="shared" si="7"/>
        <v>16</v>
      </c>
      <c r="AB15" s="17">
        <f t="shared" si="7"/>
        <v>7</v>
      </c>
      <c r="AC15" s="17">
        <f t="shared" si="7"/>
        <v>788</v>
      </c>
      <c r="AD15" s="17">
        <f t="shared" si="7"/>
        <v>0</v>
      </c>
      <c r="AE15" s="31">
        <f t="shared" si="7"/>
        <v>506</v>
      </c>
      <c r="AF15" s="31">
        <f t="shared" si="7"/>
        <v>1294</v>
      </c>
    </row>
    <row r="16" spans="2:32" ht="23.1" customHeight="1" x14ac:dyDescent="0.25">
      <c r="B16" s="23" t="s">
        <v>43</v>
      </c>
      <c r="C16" s="50">
        <v>37</v>
      </c>
      <c r="D16" s="50">
        <v>3</v>
      </c>
      <c r="E16" s="50">
        <v>7</v>
      </c>
      <c r="F16" s="50">
        <v>45</v>
      </c>
      <c r="G16" s="50">
        <v>3</v>
      </c>
      <c r="H16" s="50">
        <v>0</v>
      </c>
      <c r="I16" s="50">
        <v>8</v>
      </c>
      <c r="J16" s="50">
        <v>2</v>
      </c>
      <c r="K16" s="50">
        <v>2</v>
      </c>
      <c r="L16" s="50">
        <v>0</v>
      </c>
      <c r="M16" s="50">
        <v>298</v>
      </c>
      <c r="N16" s="50">
        <v>0</v>
      </c>
      <c r="O16" s="15">
        <f t="shared" si="0"/>
        <v>107</v>
      </c>
      <c r="P16" s="15">
        <f t="shared" si="1"/>
        <v>405</v>
      </c>
      <c r="R16" s="1" t="s">
        <v>12</v>
      </c>
      <c r="S16" s="17">
        <f t="shared" ref="S16:AF16" si="8">SUM(C34:C37)</f>
        <v>154</v>
      </c>
      <c r="T16" s="17">
        <f t="shared" si="8"/>
        <v>46</v>
      </c>
      <c r="U16" s="17">
        <f t="shared" si="8"/>
        <v>27</v>
      </c>
      <c r="V16" s="17">
        <f t="shared" si="8"/>
        <v>158</v>
      </c>
      <c r="W16" s="17">
        <f t="shared" si="8"/>
        <v>6</v>
      </c>
      <c r="X16" s="17">
        <f t="shared" si="8"/>
        <v>4</v>
      </c>
      <c r="Y16" s="17">
        <f t="shared" si="8"/>
        <v>20</v>
      </c>
      <c r="Z16" s="17">
        <f t="shared" si="8"/>
        <v>30</v>
      </c>
      <c r="AA16" s="17">
        <f t="shared" si="8"/>
        <v>13</v>
      </c>
      <c r="AB16" s="17">
        <f t="shared" si="8"/>
        <v>7</v>
      </c>
      <c r="AC16" s="17">
        <f t="shared" si="8"/>
        <v>722</v>
      </c>
      <c r="AD16" s="17">
        <f t="shared" si="8"/>
        <v>0</v>
      </c>
      <c r="AE16" s="31">
        <f t="shared" si="8"/>
        <v>465</v>
      </c>
      <c r="AF16" s="31">
        <f t="shared" si="8"/>
        <v>1187</v>
      </c>
    </row>
    <row r="17" spans="2:32" ht="23.1" customHeight="1" x14ac:dyDescent="0.25">
      <c r="B17" s="23" t="s">
        <v>44</v>
      </c>
      <c r="C17" s="50">
        <v>47</v>
      </c>
      <c r="D17" s="50">
        <v>15</v>
      </c>
      <c r="E17" s="50">
        <v>9</v>
      </c>
      <c r="F17" s="50">
        <v>53</v>
      </c>
      <c r="G17" s="50">
        <v>2</v>
      </c>
      <c r="H17" s="50">
        <v>0</v>
      </c>
      <c r="I17" s="50">
        <v>3</v>
      </c>
      <c r="J17" s="50">
        <v>7</v>
      </c>
      <c r="K17" s="50">
        <v>3</v>
      </c>
      <c r="L17" s="50">
        <v>2</v>
      </c>
      <c r="M17" s="50">
        <v>258</v>
      </c>
      <c r="N17" s="50">
        <v>0</v>
      </c>
      <c r="O17" s="15">
        <f t="shared" si="0"/>
        <v>141</v>
      </c>
      <c r="P17" s="15">
        <f t="shared" si="1"/>
        <v>399</v>
      </c>
      <c r="R17" s="1" t="s">
        <v>13</v>
      </c>
      <c r="S17" s="17">
        <f t="shared" ref="S17:AF17" si="9">SUM(C38:C41)</f>
        <v>146</v>
      </c>
      <c r="T17" s="17">
        <f t="shared" si="9"/>
        <v>53</v>
      </c>
      <c r="U17" s="17">
        <f t="shared" si="9"/>
        <v>40</v>
      </c>
      <c r="V17" s="17">
        <f t="shared" si="9"/>
        <v>138</v>
      </c>
      <c r="W17" s="17">
        <f t="shared" si="9"/>
        <v>5</v>
      </c>
      <c r="X17" s="17">
        <f t="shared" si="9"/>
        <v>2</v>
      </c>
      <c r="Y17" s="17">
        <f t="shared" si="9"/>
        <v>20</v>
      </c>
      <c r="Z17" s="17">
        <f t="shared" si="9"/>
        <v>40</v>
      </c>
      <c r="AA17" s="17">
        <f t="shared" si="9"/>
        <v>9</v>
      </c>
      <c r="AB17" s="17">
        <f t="shared" si="9"/>
        <v>6</v>
      </c>
      <c r="AC17" s="17">
        <f t="shared" si="9"/>
        <v>614</v>
      </c>
      <c r="AD17" s="17">
        <f t="shared" si="9"/>
        <v>0</v>
      </c>
      <c r="AE17" s="31">
        <f t="shared" si="9"/>
        <v>459</v>
      </c>
      <c r="AF17" s="31">
        <f t="shared" si="9"/>
        <v>1073</v>
      </c>
    </row>
    <row r="18" spans="2:32" ht="23.1" customHeight="1" x14ac:dyDescent="0.25">
      <c r="B18" s="23" t="s">
        <v>45</v>
      </c>
      <c r="C18" s="50">
        <v>39</v>
      </c>
      <c r="D18" s="50">
        <v>10</v>
      </c>
      <c r="E18" s="50">
        <v>10</v>
      </c>
      <c r="F18" s="50">
        <v>51</v>
      </c>
      <c r="G18" s="50">
        <v>1</v>
      </c>
      <c r="H18" s="50">
        <v>0</v>
      </c>
      <c r="I18" s="50">
        <v>8</v>
      </c>
      <c r="J18" s="50">
        <v>6</v>
      </c>
      <c r="K18" s="50">
        <v>8</v>
      </c>
      <c r="L18" s="50">
        <v>0</v>
      </c>
      <c r="M18" s="50">
        <v>325</v>
      </c>
      <c r="N18" s="50">
        <v>0</v>
      </c>
      <c r="O18" s="15">
        <f t="shared" si="0"/>
        <v>133</v>
      </c>
      <c r="P18" s="15">
        <f t="shared" si="1"/>
        <v>458</v>
      </c>
      <c r="R18" s="1" t="s">
        <v>14</v>
      </c>
      <c r="S18" s="17">
        <f t="shared" ref="S18:AF18" si="10">SUM(C42:C45)</f>
        <v>140</v>
      </c>
      <c r="T18" s="17">
        <f t="shared" si="10"/>
        <v>57</v>
      </c>
      <c r="U18" s="17">
        <f t="shared" si="10"/>
        <v>45</v>
      </c>
      <c r="V18" s="17">
        <f t="shared" si="10"/>
        <v>159</v>
      </c>
      <c r="W18" s="17">
        <f t="shared" si="10"/>
        <v>3</v>
      </c>
      <c r="X18" s="17">
        <f t="shared" si="10"/>
        <v>3</v>
      </c>
      <c r="Y18" s="17">
        <f t="shared" si="10"/>
        <v>24</v>
      </c>
      <c r="Z18" s="17">
        <f t="shared" si="10"/>
        <v>46</v>
      </c>
      <c r="AA18" s="17">
        <f t="shared" si="10"/>
        <v>10</v>
      </c>
      <c r="AB18" s="17">
        <f t="shared" si="10"/>
        <v>2</v>
      </c>
      <c r="AC18" s="17">
        <f t="shared" si="10"/>
        <v>689</v>
      </c>
      <c r="AD18" s="17">
        <f t="shared" si="10"/>
        <v>0</v>
      </c>
      <c r="AE18" s="31">
        <f t="shared" si="10"/>
        <v>489</v>
      </c>
      <c r="AF18" s="31">
        <f t="shared" si="10"/>
        <v>1178</v>
      </c>
    </row>
    <row r="19" spans="2:32" ht="23.1" customHeight="1" x14ac:dyDescent="0.25">
      <c r="B19" s="23" t="s">
        <v>46</v>
      </c>
      <c r="C19" s="50">
        <v>41</v>
      </c>
      <c r="D19" s="50">
        <v>7</v>
      </c>
      <c r="E19" s="50">
        <v>3</v>
      </c>
      <c r="F19" s="50">
        <v>56</v>
      </c>
      <c r="G19" s="50">
        <v>2</v>
      </c>
      <c r="H19" s="50">
        <v>1</v>
      </c>
      <c r="I19" s="50">
        <v>7</v>
      </c>
      <c r="J19" s="50">
        <v>9</v>
      </c>
      <c r="K19" s="50">
        <v>4</v>
      </c>
      <c r="L19" s="50">
        <v>2</v>
      </c>
      <c r="M19" s="50">
        <v>360</v>
      </c>
      <c r="N19" s="50">
        <v>0</v>
      </c>
      <c r="O19" s="15">
        <f t="shared" si="0"/>
        <v>132</v>
      </c>
      <c r="P19" s="15">
        <f t="shared" si="1"/>
        <v>492</v>
      </c>
      <c r="R19" s="1" t="s">
        <v>15</v>
      </c>
      <c r="S19" s="17">
        <f t="shared" ref="S19:AF19" si="11">SUM(C46:C49)</f>
        <v>167</v>
      </c>
      <c r="T19" s="17">
        <f t="shared" si="11"/>
        <v>49</v>
      </c>
      <c r="U19" s="17">
        <f t="shared" si="11"/>
        <v>12</v>
      </c>
      <c r="V19" s="17">
        <f t="shared" si="11"/>
        <v>164</v>
      </c>
      <c r="W19" s="17">
        <f t="shared" si="11"/>
        <v>4</v>
      </c>
      <c r="X19" s="17">
        <f t="shared" si="11"/>
        <v>6</v>
      </c>
      <c r="Y19" s="17">
        <f t="shared" si="11"/>
        <v>31</v>
      </c>
      <c r="Z19" s="17">
        <f t="shared" si="11"/>
        <v>61</v>
      </c>
      <c r="AA19" s="17">
        <f t="shared" si="11"/>
        <v>14</v>
      </c>
      <c r="AB19" s="17">
        <f t="shared" si="11"/>
        <v>5</v>
      </c>
      <c r="AC19" s="17">
        <f t="shared" si="11"/>
        <v>696</v>
      </c>
      <c r="AD19" s="17">
        <f t="shared" si="11"/>
        <v>0</v>
      </c>
      <c r="AE19" s="31">
        <f t="shared" si="11"/>
        <v>513</v>
      </c>
      <c r="AF19" s="31">
        <f t="shared" si="11"/>
        <v>1209</v>
      </c>
    </row>
    <row r="20" spans="2:32" ht="23.1" customHeight="1" x14ac:dyDescent="0.25">
      <c r="B20" s="23" t="s">
        <v>47</v>
      </c>
      <c r="C20" s="50">
        <v>30</v>
      </c>
      <c r="D20" s="50">
        <v>16</v>
      </c>
      <c r="E20" s="50">
        <v>4</v>
      </c>
      <c r="F20" s="50">
        <v>56</v>
      </c>
      <c r="G20" s="50">
        <v>4</v>
      </c>
      <c r="H20" s="50">
        <v>0</v>
      </c>
      <c r="I20" s="50">
        <v>5</v>
      </c>
      <c r="J20" s="50">
        <v>13</v>
      </c>
      <c r="K20" s="50">
        <v>5</v>
      </c>
      <c r="L20" s="50">
        <v>2</v>
      </c>
      <c r="M20" s="50">
        <v>287</v>
      </c>
      <c r="N20" s="50">
        <v>0</v>
      </c>
      <c r="O20" s="15">
        <f t="shared" si="0"/>
        <v>135</v>
      </c>
      <c r="P20" s="15">
        <f t="shared" si="1"/>
        <v>422</v>
      </c>
      <c r="R20" s="1" t="s">
        <v>16</v>
      </c>
      <c r="S20" s="17">
        <f t="shared" ref="S20:AF20" si="12">SUM(C50:C53)</f>
        <v>128</v>
      </c>
      <c r="T20" s="17">
        <f t="shared" si="12"/>
        <v>57</v>
      </c>
      <c r="U20" s="17">
        <f t="shared" si="12"/>
        <v>16</v>
      </c>
      <c r="V20" s="17">
        <f t="shared" si="12"/>
        <v>152</v>
      </c>
      <c r="W20" s="17">
        <f t="shared" si="12"/>
        <v>7</v>
      </c>
      <c r="X20" s="17">
        <f t="shared" si="12"/>
        <v>3</v>
      </c>
      <c r="Y20" s="17">
        <f t="shared" si="12"/>
        <v>19</v>
      </c>
      <c r="Z20" s="17">
        <f t="shared" si="12"/>
        <v>29</v>
      </c>
      <c r="AA20" s="17">
        <f t="shared" si="12"/>
        <v>10</v>
      </c>
      <c r="AB20" s="17">
        <f t="shared" si="12"/>
        <v>6</v>
      </c>
      <c r="AC20" s="17">
        <f t="shared" si="12"/>
        <v>944</v>
      </c>
      <c r="AD20" s="17">
        <f t="shared" si="12"/>
        <v>0</v>
      </c>
      <c r="AE20" s="31">
        <f t="shared" si="12"/>
        <v>427</v>
      </c>
      <c r="AF20" s="31">
        <f t="shared" si="12"/>
        <v>1371</v>
      </c>
    </row>
    <row r="21" spans="2:32" ht="23.1" customHeight="1" x14ac:dyDescent="0.25">
      <c r="B21" s="23" t="s">
        <v>48</v>
      </c>
      <c r="C21" s="50">
        <v>55</v>
      </c>
      <c r="D21" s="50">
        <v>7</v>
      </c>
      <c r="E21" s="50">
        <v>11</v>
      </c>
      <c r="F21" s="50">
        <v>50</v>
      </c>
      <c r="G21" s="50">
        <v>3</v>
      </c>
      <c r="H21" s="50">
        <v>0</v>
      </c>
      <c r="I21" s="50">
        <v>13</v>
      </c>
      <c r="J21" s="50">
        <v>14</v>
      </c>
      <c r="K21" s="50">
        <v>5</v>
      </c>
      <c r="L21" s="50">
        <v>4</v>
      </c>
      <c r="M21" s="50">
        <v>310</v>
      </c>
      <c r="N21" s="50">
        <v>0</v>
      </c>
      <c r="O21" s="15">
        <f t="shared" si="0"/>
        <v>162</v>
      </c>
      <c r="P21" s="15">
        <f t="shared" si="1"/>
        <v>472</v>
      </c>
      <c r="R21" s="36" t="s">
        <v>20</v>
      </c>
      <c r="S21" s="34">
        <f t="shared" ref="S21:AF21" si="13">SUM(C54:C57)</f>
        <v>107</v>
      </c>
      <c r="T21" s="17">
        <f t="shared" si="13"/>
        <v>37</v>
      </c>
      <c r="U21" s="17">
        <f t="shared" si="13"/>
        <v>22</v>
      </c>
      <c r="V21" s="17">
        <f t="shared" si="13"/>
        <v>194</v>
      </c>
      <c r="W21" s="17">
        <f t="shared" si="13"/>
        <v>7</v>
      </c>
      <c r="X21" s="17">
        <f t="shared" si="13"/>
        <v>7</v>
      </c>
      <c r="Y21" s="17">
        <f t="shared" si="13"/>
        <v>10</v>
      </c>
      <c r="Z21" s="17">
        <f t="shared" si="13"/>
        <v>34</v>
      </c>
      <c r="AA21" s="17">
        <f t="shared" si="13"/>
        <v>20</v>
      </c>
      <c r="AB21" s="17">
        <f t="shared" si="13"/>
        <v>3</v>
      </c>
      <c r="AC21" s="17">
        <f t="shared" si="13"/>
        <v>815</v>
      </c>
      <c r="AD21" s="17">
        <f t="shared" si="13"/>
        <v>0</v>
      </c>
      <c r="AE21" s="31">
        <f t="shared" si="13"/>
        <v>441</v>
      </c>
      <c r="AF21" s="31">
        <f t="shared" si="13"/>
        <v>1256</v>
      </c>
    </row>
    <row r="22" spans="2:32" ht="23.1" customHeight="1" x14ac:dyDescent="0.25">
      <c r="B22" s="23" t="s">
        <v>49</v>
      </c>
      <c r="C22" s="50">
        <v>22</v>
      </c>
      <c r="D22" s="50">
        <v>11</v>
      </c>
      <c r="E22" s="50">
        <v>6</v>
      </c>
      <c r="F22" s="50">
        <v>39</v>
      </c>
      <c r="G22" s="50">
        <v>0</v>
      </c>
      <c r="H22" s="50">
        <v>0</v>
      </c>
      <c r="I22" s="50">
        <v>7</v>
      </c>
      <c r="J22" s="50">
        <v>8</v>
      </c>
      <c r="K22" s="50">
        <v>4</v>
      </c>
      <c r="L22" s="50">
        <v>0</v>
      </c>
      <c r="M22" s="50">
        <v>165</v>
      </c>
      <c r="N22" s="50">
        <v>0</v>
      </c>
      <c r="O22" s="15">
        <f t="shared" si="0"/>
        <v>97</v>
      </c>
      <c r="P22" s="15">
        <f t="shared" si="1"/>
        <v>262</v>
      </c>
      <c r="R22" s="38" t="s">
        <v>90</v>
      </c>
      <c r="S22" s="39">
        <f>MAX(S10:S12)</f>
        <v>224</v>
      </c>
      <c r="T22" s="39">
        <f t="shared" ref="T22:AF22" si="14">MAX(T10:T12)</f>
        <v>52</v>
      </c>
      <c r="U22" s="39">
        <f t="shared" si="14"/>
        <v>28</v>
      </c>
      <c r="V22" s="39">
        <f t="shared" si="14"/>
        <v>213</v>
      </c>
      <c r="W22" s="39">
        <f t="shared" si="14"/>
        <v>14</v>
      </c>
      <c r="X22" s="39">
        <f t="shared" si="14"/>
        <v>2</v>
      </c>
      <c r="Y22" s="39">
        <f t="shared" si="14"/>
        <v>33</v>
      </c>
      <c r="Z22" s="39">
        <f t="shared" si="14"/>
        <v>42</v>
      </c>
      <c r="AA22" s="39">
        <f t="shared" si="14"/>
        <v>22</v>
      </c>
      <c r="AB22" s="39">
        <f t="shared" si="14"/>
        <v>8</v>
      </c>
      <c r="AC22" s="39">
        <f t="shared" si="14"/>
        <v>1282</v>
      </c>
      <c r="AD22" s="39">
        <f t="shared" si="14"/>
        <v>0</v>
      </c>
      <c r="AE22" s="40">
        <f t="shared" si="14"/>
        <v>562</v>
      </c>
      <c r="AF22" s="40">
        <f t="shared" si="14"/>
        <v>1844</v>
      </c>
    </row>
    <row r="23" spans="2:32" ht="23.1" customHeight="1" x14ac:dyDescent="0.25">
      <c r="B23" s="23" t="s">
        <v>50</v>
      </c>
      <c r="C23" s="50">
        <v>52</v>
      </c>
      <c r="D23" s="50">
        <v>10</v>
      </c>
      <c r="E23" s="50">
        <v>6</v>
      </c>
      <c r="F23" s="50">
        <v>50</v>
      </c>
      <c r="G23" s="50">
        <v>2</v>
      </c>
      <c r="H23" s="50">
        <v>0</v>
      </c>
      <c r="I23" s="50">
        <v>5</v>
      </c>
      <c r="J23" s="50">
        <v>13</v>
      </c>
      <c r="K23" s="50">
        <v>6</v>
      </c>
      <c r="L23" s="50">
        <v>0</v>
      </c>
      <c r="M23" s="50">
        <v>222</v>
      </c>
      <c r="N23" s="50">
        <v>0</v>
      </c>
      <c r="O23" s="15">
        <f t="shared" si="0"/>
        <v>144</v>
      </c>
      <c r="P23" s="15">
        <f t="shared" si="1"/>
        <v>366</v>
      </c>
      <c r="R23" s="38" t="s">
        <v>91</v>
      </c>
      <c r="S23" s="39">
        <f>MAX(S13:S18)</f>
        <v>177</v>
      </c>
      <c r="T23" s="39">
        <f t="shared" ref="T23:AF23" si="15">MAX(T13:T18)</f>
        <v>57</v>
      </c>
      <c r="U23" s="39">
        <f t="shared" si="15"/>
        <v>45</v>
      </c>
      <c r="V23" s="39">
        <f t="shared" si="15"/>
        <v>187</v>
      </c>
      <c r="W23" s="39">
        <f t="shared" si="15"/>
        <v>10</v>
      </c>
      <c r="X23" s="39">
        <f t="shared" si="15"/>
        <v>4</v>
      </c>
      <c r="Y23" s="39">
        <f t="shared" si="15"/>
        <v>33</v>
      </c>
      <c r="Z23" s="39">
        <f t="shared" si="15"/>
        <v>49</v>
      </c>
      <c r="AA23" s="39">
        <f t="shared" si="15"/>
        <v>19</v>
      </c>
      <c r="AB23" s="39">
        <f t="shared" si="15"/>
        <v>7</v>
      </c>
      <c r="AC23" s="39">
        <f t="shared" si="15"/>
        <v>929</v>
      </c>
      <c r="AD23" s="39">
        <f t="shared" si="15"/>
        <v>0</v>
      </c>
      <c r="AE23" s="40">
        <f t="shared" si="15"/>
        <v>506</v>
      </c>
      <c r="AF23" s="40">
        <f t="shared" si="15"/>
        <v>1432</v>
      </c>
    </row>
    <row r="24" spans="2:32" ht="23.1" customHeight="1" x14ac:dyDescent="0.25">
      <c r="B24" s="23" t="s">
        <v>51</v>
      </c>
      <c r="C24" s="50">
        <v>32</v>
      </c>
      <c r="D24" s="50">
        <v>13</v>
      </c>
      <c r="E24" s="50">
        <v>5</v>
      </c>
      <c r="F24" s="50">
        <v>54</v>
      </c>
      <c r="G24" s="50">
        <v>3</v>
      </c>
      <c r="H24" s="50">
        <v>0</v>
      </c>
      <c r="I24" s="50">
        <v>4</v>
      </c>
      <c r="J24" s="50">
        <v>6</v>
      </c>
      <c r="K24" s="50">
        <v>4</v>
      </c>
      <c r="L24" s="50">
        <v>1</v>
      </c>
      <c r="M24" s="50">
        <v>224</v>
      </c>
      <c r="N24" s="50">
        <v>0</v>
      </c>
      <c r="O24" s="15">
        <f t="shared" si="0"/>
        <v>122</v>
      </c>
      <c r="P24" s="15">
        <f t="shared" si="1"/>
        <v>346</v>
      </c>
      <c r="R24" s="38" t="s">
        <v>92</v>
      </c>
      <c r="S24" s="39">
        <f>MAX(S19:S21)</f>
        <v>167</v>
      </c>
      <c r="T24" s="39">
        <f t="shared" ref="T24:AF24" si="16">MAX(T19:T21)</f>
        <v>57</v>
      </c>
      <c r="U24" s="39">
        <f t="shared" si="16"/>
        <v>22</v>
      </c>
      <c r="V24" s="39">
        <f t="shared" si="16"/>
        <v>194</v>
      </c>
      <c r="W24" s="39">
        <f t="shared" si="16"/>
        <v>7</v>
      </c>
      <c r="X24" s="39">
        <f t="shared" si="16"/>
        <v>7</v>
      </c>
      <c r="Y24" s="39">
        <f t="shared" si="16"/>
        <v>31</v>
      </c>
      <c r="Z24" s="39">
        <f t="shared" si="16"/>
        <v>61</v>
      </c>
      <c r="AA24" s="39">
        <f t="shared" si="16"/>
        <v>20</v>
      </c>
      <c r="AB24" s="39">
        <f t="shared" si="16"/>
        <v>6</v>
      </c>
      <c r="AC24" s="39">
        <f t="shared" si="16"/>
        <v>944</v>
      </c>
      <c r="AD24" s="39">
        <f t="shared" si="16"/>
        <v>0</v>
      </c>
      <c r="AE24" s="40">
        <f t="shared" si="16"/>
        <v>513</v>
      </c>
      <c r="AF24" s="40">
        <f t="shared" si="16"/>
        <v>1371</v>
      </c>
    </row>
    <row r="25" spans="2:32" ht="23.1" customHeight="1" x14ac:dyDescent="0.25">
      <c r="B25" s="23" t="s">
        <v>52</v>
      </c>
      <c r="C25" s="50">
        <v>12</v>
      </c>
      <c r="D25" s="50">
        <v>3</v>
      </c>
      <c r="E25" s="50">
        <v>1</v>
      </c>
      <c r="F25" s="50">
        <v>9</v>
      </c>
      <c r="G25" s="50">
        <v>0</v>
      </c>
      <c r="H25" s="50">
        <v>0</v>
      </c>
      <c r="I25" s="50">
        <v>1</v>
      </c>
      <c r="J25" s="50">
        <v>5</v>
      </c>
      <c r="K25" s="50">
        <v>1</v>
      </c>
      <c r="L25" s="50">
        <v>0</v>
      </c>
      <c r="M25" s="50">
        <v>81</v>
      </c>
      <c r="N25" s="50">
        <v>0</v>
      </c>
      <c r="O25" s="15">
        <f t="shared" si="0"/>
        <v>32</v>
      </c>
      <c r="P25" s="15">
        <f t="shared" si="1"/>
        <v>113</v>
      </c>
      <c r="R25" s="37" t="s">
        <v>85</v>
      </c>
      <c r="S25" s="35">
        <f t="shared" ref="S25:AF25" si="17">SUM(S10:S12)</f>
        <v>554</v>
      </c>
      <c r="T25" s="16">
        <f t="shared" si="17"/>
        <v>142</v>
      </c>
      <c r="U25" s="16">
        <f t="shared" si="17"/>
        <v>72</v>
      </c>
      <c r="V25" s="16">
        <f t="shared" si="17"/>
        <v>615</v>
      </c>
      <c r="W25" s="16">
        <f t="shared" si="17"/>
        <v>33</v>
      </c>
      <c r="X25" s="16">
        <f t="shared" si="17"/>
        <v>3</v>
      </c>
      <c r="Y25" s="16">
        <f t="shared" si="17"/>
        <v>77</v>
      </c>
      <c r="Z25" s="16">
        <f t="shared" si="17"/>
        <v>82</v>
      </c>
      <c r="AA25" s="16">
        <f t="shared" si="17"/>
        <v>47</v>
      </c>
      <c r="AB25" s="16">
        <f t="shared" si="17"/>
        <v>18</v>
      </c>
      <c r="AC25" s="16">
        <f t="shared" si="17"/>
        <v>3771</v>
      </c>
      <c r="AD25" s="16">
        <f t="shared" si="17"/>
        <v>0</v>
      </c>
      <c r="AE25" s="32">
        <f t="shared" si="17"/>
        <v>1643</v>
      </c>
      <c r="AF25" s="32">
        <f t="shared" si="17"/>
        <v>5414</v>
      </c>
    </row>
    <row r="26" spans="2:32" ht="23.1" customHeight="1" x14ac:dyDescent="0.25">
      <c r="B26" s="23" t="s">
        <v>53</v>
      </c>
      <c r="C26" s="50">
        <v>41</v>
      </c>
      <c r="D26" s="50">
        <v>7</v>
      </c>
      <c r="E26" s="50">
        <v>7</v>
      </c>
      <c r="F26" s="50">
        <v>38</v>
      </c>
      <c r="G26" s="50">
        <v>1</v>
      </c>
      <c r="H26" s="50">
        <v>2</v>
      </c>
      <c r="I26" s="50">
        <v>10</v>
      </c>
      <c r="J26" s="50">
        <v>18</v>
      </c>
      <c r="K26" s="50">
        <v>10</v>
      </c>
      <c r="L26" s="50">
        <v>0</v>
      </c>
      <c r="M26" s="50">
        <v>245</v>
      </c>
      <c r="N26" s="50">
        <v>0</v>
      </c>
      <c r="O26" s="15">
        <f t="shared" si="0"/>
        <v>134</v>
      </c>
      <c r="P26" s="15">
        <f t="shared" si="1"/>
        <v>379</v>
      </c>
      <c r="R26" s="28" t="s">
        <v>86</v>
      </c>
      <c r="S26" s="16">
        <f t="shared" ref="S26:AF26" si="18">SUM(S13:S18)</f>
        <v>870</v>
      </c>
      <c r="T26" s="16">
        <f t="shared" si="18"/>
        <v>261</v>
      </c>
      <c r="U26" s="16">
        <f t="shared" si="18"/>
        <v>184</v>
      </c>
      <c r="V26" s="16">
        <f t="shared" si="18"/>
        <v>954</v>
      </c>
      <c r="W26" s="16">
        <f t="shared" si="18"/>
        <v>36</v>
      </c>
      <c r="X26" s="16">
        <f t="shared" si="18"/>
        <v>15</v>
      </c>
      <c r="Y26" s="16">
        <f t="shared" si="18"/>
        <v>146</v>
      </c>
      <c r="Z26" s="16">
        <f t="shared" si="18"/>
        <v>240</v>
      </c>
      <c r="AA26" s="16">
        <f t="shared" si="18"/>
        <v>82</v>
      </c>
      <c r="AB26" s="16">
        <f t="shared" si="18"/>
        <v>29</v>
      </c>
      <c r="AC26" s="16">
        <f t="shared" si="18"/>
        <v>4434</v>
      </c>
      <c r="AD26" s="16">
        <f t="shared" si="18"/>
        <v>0</v>
      </c>
      <c r="AE26" s="32">
        <f t="shared" si="18"/>
        <v>2817</v>
      </c>
      <c r="AF26" s="32">
        <f t="shared" si="18"/>
        <v>7251</v>
      </c>
    </row>
    <row r="27" spans="2:32" ht="23.1" customHeight="1" x14ac:dyDescent="0.25">
      <c r="B27" s="23" t="s">
        <v>54</v>
      </c>
      <c r="C27" s="50">
        <v>54</v>
      </c>
      <c r="D27" s="50">
        <v>8</v>
      </c>
      <c r="E27" s="50">
        <v>3</v>
      </c>
      <c r="F27" s="50">
        <v>37</v>
      </c>
      <c r="G27" s="50">
        <v>3</v>
      </c>
      <c r="H27" s="50">
        <v>0</v>
      </c>
      <c r="I27" s="50">
        <v>8</v>
      </c>
      <c r="J27" s="50">
        <v>15</v>
      </c>
      <c r="K27" s="50">
        <v>2</v>
      </c>
      <c r="L27" s="50">
        <v>2</v>
      </c>
      <c r="M27" s="50">
        <v>254</v>
      </c>
      <c r="N27" s="50">
        <v>0</v>
      </c>
      <c r="O27" s="15">
        <f t="shared" si="0"/>
        <v>132</v>
      </c>
      <c r="P27" s="15">
        <f t="shared" si="1"/>
        <v>386</v>
      </c>
      <c r="R27" s="29" t="s">
        <v>87</v>
      </c>
      <c r="S27" s="16">
        <f t="shared" ref="S27:AF27" si="19">SUM(S19:S21)</f>
        <v>402</v>
      </c>
      <c r="T27" s="16">
        <f t="shared" si="19"/>
        <v>143</v>
      </c>
      <c r="U27" s="16">
        <f t="shared" si="19"/>
        <v>50</v>
      </c>
      <c r="V27" s="16">
        <f t="shared" si="19"/>
        <v>510</v>
      </c>
      <c r="W27" s="16">
        <f t="shared" si="19"/>
        <v>18</v>
      </c>
      <c r="X27" s="16">
        <f t="shared" si="19"/>
        <v>16</v>
      </c>
      <c r="Y27" s="16">
        <f t="shared" si="19"/>
        <v>60</v>
      </c>
      <c r="Z27" s="16">
        <f t="shared" si="19"/>
        <v>124</v>
      </c>
      <c r="AA27" s="16">
        <f t="shared" si="19"/>
        <v>44</v>
      </c>
      <c r="AB27" s="16">
        <f t="shared" si="19"/>
        <v>14</v>
      </c>
      <c r="AC27" s="16">
        <f t="shared" si="19"/>
        <v>2455</v>
      </c>
      <c r="AD27" s="16">
        <f t="shared" si="19"/>
        <v>0</v>
      </c>
      <c r="AE27" s="32">
        <f t="shared" si="19"/>
        <v>1381</v>
      </c>
      <c r="AF27" s="32">
        <f t="shared" si="19"/>
        <v>3836</v>
      </c>
    </row>
    <row r="28" spans="2:32" ht="23.1" customHeight="1" x14ac:dyDescent="0.25">
      <c r="B28" s="23" t="s">
        <v>55</v>
      </c>
      <c r="C28" s="50">
        <v>46</v>
      </c>
      <c r="D28" s="50">
        <v>14</v>
      </c>
      <c r="E28" s="50">
        <v>4</v>
      </c>
      <c r="F28" s="50">
        <v>47</v>
      </c>
      <c r="G28" s="50">
        <v>0</v>
      </c>
      <c r="H28" s="50">
        <v>0</v>
      </c>
      <c r="I28" s="50">
        <v>9</v>
      </c>
      <c r="J28" s="50">
        <v>10</v>
      </c>
      <c r="K28" s="50">
        <v>3</v>
      </c>
      <c r="L28" s="50">
        <v>0</v>
      </c>
      <c r="M28" s="50">
        <v>150</v>
      </c>
      <c r="N28" s="50">
        <v>0</v>
      </c>
      <c r="O28" s="15">
        <f t="shared" si="0"/>
        <v>133</v>
      </c>
      <c r="P28" s="15">
        <f t="shared" si="1"/>
        <v>283</v>
      </c>
      <c r="R28" s="5" t="s">
        <v>17</v>
      </c>
      <c r="S28" s="16">
        <f t="shared" ref="S28:AF28" si="20">SUM(S10:S21)</f>
        <v>1826</v>
      </c>
      <c r="T28" s="16">
        <f t="shared" si="20"/>
        <v>546</v>
      </c>
      <c r="U28" s="16">
        <f t="shared" si="20"/>
        <v>306</v>
      </c>
      <c r="V28" s="16">
        <f t="shared" si="20"/>
        <v>2079</v>
      </c>
      <c r="W28" s="16">
        <f t="shared" si="20"/>
        <v>87</v>
      </c>
      <c r="X28" s="16">
        <f t="shared" si="20"/>
        <v>34</v>
      </c>
      <c r="Y28" s="16">
        <f t="shared" si="20"/>
        <v>283</v>
      </c>
      <c r="Z28" s="16">
        <f t="shared" si="20"/>
        <v>446</v>
      </c>
      <c r="AA28" s="16">
        <f t="shared" si="20"/>
        <v>173</v>
      </c>
      <c r="AB28" s="16">
        <f t="shared" si="20"/>
        <v>61</v>
      </c>
      <c r="AC28" s="16">
        <f t="shared" si="20"/>
        <v>10660</v>
      </c>
      <c r="AD28" s="16">
        <f t="shared" si="20"/>
        <v>0</v>
      </c>
      <c r="AE28" s="32">
        <f t="shared" si="20"/>
        <v>5841</v>
      </c>
      <c r="AF28" s="32">
        <f t="shared" si="20"/>
        <v>16501</v>
      </c>
    </row>
    <row r="29" spans="2:32" ht="23.1" customHeight="1" x14ac:dyDescent="0.25">
      <c r="B29" s="23" t="s">
        <v>56</v>
      </c>
      <c r="C29" s="50">
        <v>36</v>
      </c>
      <c r="D29" s="50">
        <v>4</v>
      </c>
      <c r="E29" s="50">
        <v>3</v>
      </c>
      <c r="F29" s="50">
        <v>38</v>
      </c>
      <c r="G29" s="50">
        <v>3</v>
      </c>
      <c r="H29" s="50">
        <v>0</v>
      </c>
      <c r="I29" s="50">
        <v>6</v>
      </c>
      <c r="J29" s="50">
        <v>6</v>
      </c>
      <c r="K29" s="50">
        <v>4</v>
      </c>
      <c r="L29" s="50">
        <v>4</v>
      </c>
      <c r="M29" s="50">
        <v>280</v>
      </c>
      <c r="N29" s="50">
        <v>0</v>
      </c>
      <c r="O29" s="15">
        <f t="shared" si="0"/>
        <v>104</v>
      </c>
      <c r="P29" s="15">
        <f t="shared" si="1"/>
        <v>384</v>
      </c>
      <c r="R29"/>
      <c r="S29" s="20"/>
      <c r="T29" s="19"/>
    </row>
    <row r="30" spans="2:32" ht="23.1" customHeight="1" x14ac:dyDescent="0.25">
      <c r="B30" s="23" t="s">
        <v>57</v>
      </c>
      <c r="C30" s="50">
        <v>41</v>
      </c>
      <c r="D30" s="50">
        <v>7</v>
      </c>
      <c r="E30" s="50">
        <v>10</v>
      </c>
      <c r="F30" s="50">
        <v>56</v>
      </c>
      <c r="G30" s="50">
        <v>4</v>
      </c>
      <c r="H30" s="50">
        <v>1</v>
      </c>
      <c r="I30" s="50">
        <v>15</v>
      </c>
      <c r="J30" s="50">
        <v>8</v>
      </c>
      <c r="K30" s="50">
        <v>4</v>
      </c>
      <c r="L30" s="50">
        <v>2</v>
      </c>
      <c r="M30" s="50">
        <v>291</v>
      </c>
      <c r="N30" s="50">
        <v>0</v>
      </c>
      <c r="O30" s="15">
        <f t="shared" si="0"/>
        <v>148</v>
      </c>
      <c r="P30" s="15">
        <f t="shared" si="1"/>
        <v>439</v>
      </c>
    </row>
    <row r="31" spans="2:32" ht="23.1" customHeight="1" x14ac:dyDescent="0.25">
      <c r="B31" s="24" t="s">
        <v>58</v>
      </c>
      <c r="C31" s="50">
        <v>33</v>
      </c>
      <c r="D31" s="50">
        <v>14</v>
      </c>
      <c r="E31" s="50">
        <v>9</v>
      </c>
      <c r="F31" s="50">
        <v>63</v>
      </c>
      <c r="G31" s="50">
        <v>3</v>
      </c>
      <c r="H31" s="50">
        <v>0</v>
      </c>
      <c r="I31" s="50">
        <v>7</v>
      </c>
      <c r="J31" s="50">
        <v>9</v>
      </c>
      <c r="K31" s="50">
        <v>0</v>
      </c>
      <c r="L31" s="50">
        <v>0</v>
      </c>
      <c r="M31" s="50">
        <v>130</v>
      </c>
      <c r="N31" s="50">
        <v>0</v>
      </c>
      <c r="O31" s="15">
        <f t="shared" si="0"/>
        <v>138</v>
      </c>
      <c r="P31" s="15">
        <f t="shared" si="1"/>
        <v>268</v>
      </c>
    </row>
    <row r="32" spans="2:32" ht="23.1" customHeight="1" x14ac:dyDescent="0.25">
      <c r="B32" s="24" t="s">
        <v>59</v>
      </c>
      <c r="C32" s="50">
        <v>25</v>
      </c>
      <c r="D32" s="50">
        <v>4</v>
      </c>
      <c r="E32" s="50">
        <v>11</v>
      </c>
      <c r="F32" s="50">
        <v>33</v>
      </c>
      <c r="G32" s="50">
        <v>2</v>
      </c>
      <c r="H32" s="50">
        <v>3</v>
      </c>
      <c r="I32" s="50">
        <v>7</v>
      </c>
      <c r="J32" s="50">
        <v>14</v>
      </c>
      <c r="K32" s="50">
        <v>3</v>
      </c>
      <c r="L32" s="50">
        <v>1</v>
      </c>
      <c r="M32" s="50">
        <v>222</v>
      </c>
      <c r="N32" s="50">
        <v>0</v>
      </c>
      <c r="O32" s="15">
        <f t="shared" si="0"/>
        <v>103</v>
      </c>
      <c r="P32" s="15">
        <f t="shared" si="1"/>
        <v>325</v>
      </c>
    </row>
    <row r="33" spans="2:20" ht="23.1" customHeight="1" x14ac:dyDescent="0.25">
      <c r="B33" s="23" t="s">
        <v>60</v>
      </c>
      <c r="C33" s="50">
        <v>36</v>
      </c>
      <c r="D33" s="50">
        <v>10</v>
      </c>
      <c r="E33" s="50">
        <v>7</v>
      </c>
      <c r="F33" s="50">
        <v>35</v>
      </c>
      <c r="G33" s="50">
        <v>1</v>
      </c>
      <c r="H33" s="50">
        <v>0</v>
      </c>
      <c r="I33" s="50">
        <v>3</v>
      </c>
      <c r="J33" s="50">
        <v>12</v>
      </c>
      <c r="K33" s="50">
        <v>9</v>
      </c>
      <c r="L33" s="50">
        <v>4</v>
      </c>
      <c r="M33" s="50">
        <v>145</v>
      </c>
      <c r="N33" s="50">
        <v>0</v>
      </c>
      <c r="O33" s="15">
        <f t="shared" si="0"/>
        <v>117</v>
      </c>
      <c r="P33" s="15">
        <f t="shared" si="1"/>
        <v>262</v>
      </c>
    </row>
    <row r="34" spans="2:20" ht="23.1" customHeight="1" x14ac:dyDescent="0.25">
      <c r="B34" s="24" t="s">
        <v>61</v>
      </c>
      <c r="C34" s="50">
        <v>46</v>
      </c>
      <c r="D34" s="50">
        <v>14</v>
      </c>
      <c r="E34" s="50">
        <v>6</v>
      </c>
      <c r="F34" s="50">
        <v>45</v>
      </c>
      <c r="G34" s="50">
        <v>4</v>
      </c>
      <c r="H34" s="50">
        <v>2</v>
      </c>
      <c r="I34" s="50">
        <v>4</v>
      </c>
      <c r="J34" s="50">
        <v>5</v>
      </c>
      <c r="K34" s="50">
        <v>1</v>
      </c>
      <c r="L34" s="50">
        <v>6</v>
      </c>
      <c r="M34" s="50">
        <v>175</v>
      </c>
      <c r="N34" s="50">
        <v>0</v>
      </c>
      <c r="O34" s="15">
        <f t="shared" si="0"/>
        <v>133</v>
      </c>
      <c r="P34" s="15">
        <f t="shared" si="1"/>
        <v>308</v>
      </c>
    </row>
    <row r="35" spans="2:20" ht="23.1" customHeight="1" x14ac:dyDescent="0.25">
      <c r="B35" s="24" t="s">
        <v>62</v>
      </c>
      <c r="C35" s="50">
        <v>25</v>
      </c>
      <c r="D35" s="50">
        <v>11</v>
      </c>
      <c r="E35" s="50">
        <v>11</v>
      </c>
      <c r="F35" s="50">
        <v>33</v>
      </c>
      <c r="G35" s="50">
        <v>0</v>
      </c>
      <c r="H35" s="50">
        <v>1</v>
      </c>
      <c r="I35" s="50">
        <v>5</v>
      </c>
      <c r="J35" s="50">
        <v>8</v>
      </c>
      <c r="K35" s="50">
        <v>5</v>
      </c>
      <c r="L35" s="50">
        <v>1</v>
      </c>
      <c r="M35" s="50">
        <v>160</v>
      </c>
      <c r="N35" s="50">
        <v>0</v>
      </c>
      <c r="O35" s="15">
        <f t="shared" si="0"/>
        <v>100</v>
      </c>
      <c r="P35" s="15">
        <f t="shared" si="1"/>
        <v>260</v>
      </c>
    </row>
    <row r="36" spans="2:20" ht="23.1" customHeight="1" x14ac:dyDescent="0.25">
      <c r="B36" s="24" t="s">
        <v>63</v>
      </c>
      <c r="C36" s="50">
        <v>54</v>
      </c>
      <c r="D36" s="50">
        <v>11</v>
      </c>
      <c r="E36" s="50">
        <v>8</v>
      </c>
      <c r="F36" s="50">
        <v>51</v>
      </c>
      <c r="G36" s="50">
        <v>2</v>
      </c>
      <c r="H36" s="50">
        <v>1</v>
      </c>
      <c r="I36" s="50">
        <v>8</v>
      </c>
      <c r="J36" s="50">
        <v>12</v>
      </c>
      <c r="K36" s="50">
        <v>7</v>
      </c>
      <c r="L36" s="50">
        <v>0</v>
      </c>
      <c r="M36" s="50">
        <v>258</v>
      </c>
      <c r="N36" s="50">
        <v>0</v>
      </c>
      <c r="O36" s="15">
        <f t="shared" si="0"/>
        <v>154</v>
      </c>
      <c r="P36" s="15">
        <f t="shared" si="1"/>
        <v>412</v>
      </c>
    </row>
    <row r="37" spans="2:20" ht="23.1" customHeight="1" x14ac:dyDescent="0.25">
      <c r="B37" s="23" t="s">
        <v>64</v>
      </c>
      <c r="C37" s="50">
        <v>29</v>
      </c>
      <c r="D37" s="50">
        <v>10</v>
      </c>
      <c r="E37" s="50">
        <v>2</v>
      </c>
      <c r="F37" s="50">
        <v>29</v>
      </c>
      <c r="G37" s="50">
        <v>0</v>
      </c>
      <c r="H37" s="50">
        <v>0</v>
      </c>
      <c r="I37" s="50">
        <v>3</v>
      </c>
      <c r="J37" s="50">
        <v>5</v>
      </c>
      <c r="K37" s="50">
        <v>0</v>
      </c>
      <c r="L37" s="50">
        <v>0</v>
      </c>
      <c r="M37" s="50">
        <v>129</v>
      </c>
      <c r="N37" s="50">
        <v>0</v>
      </c>
      <c r="O37" s="15">
        <f t="shared" si="0"/>
        <v>78</v>
      </c>
      <c r="P37" s="15">
        <f t="shared" si="1"/>
        <v>207</v>
      </c>
    </row>
    <row r="38" spans="2:20" ht="23.1" customHeight="1" x14ac:dyDescent="0.25">
      <c r="B38" s="24" t="s">
        <v>65</v>
      </c>
      <c r="C38" s="50">
        <v>24</v>
      </c>
      <c r="D38" s="50">
        <v>9</v>
      </c>
      <c r="E38" s="50">
        <v>9</v>
      </c>
      <c r="F38" s="50">
        <v>36</v>
      </c>
      <c r="G38" s="50">
        <v>1</v>
      </c>
      <c r="H38" s="50">
        <v>0</v>
      </c>
      <c r="I38" s="50">
        <v>1</v>
      </c>
      <c r="J38" s="50">
        <v>7</v>
      </c>
      <c r="K38" s="50">
        <v>3</v>
      </c>
      <c r="L38" s="50">
        <v>0</v>
      </c>
      <c r="M38" s="50">
        <v>177</v>
      </c>
      <c r="N38" s="50">
        <v>0</v>
      </c>
      <c r="O38" s="15">
        <f t="shared" si="0"/>
        <v>90</v>
      </c>
      <c r="P38" s="15">
        <f t="shared" si="1"/>
        <v>267</v>
      </c>
    </row>
    <row r="39" spans="2:20" ht="23.1" customHeight="1" x14ac:dyDescent="0.25">
      <c r="B39" s="24" t="s">
        <v>66</v>
      </c>
      <c r="C39" s="50">
        <v>41</v>
      </c>
      <c r="D39" s="50">
        <v>11</v>
      </c>
      <c r="E39" s="50">
        <v>9</v>
      </c>
      <c r="F39" s="50">
        <v>24</v>
      </c>
      <c r="G39" s="50">
        <v>2</v>
      </c>
      <c r="H39" s="50">
        <v>0</v>
      </c>
      <c r="I39" s="50">
        <v>3</v>
      </c>
      <c r="J39" s="50">
        <v>6</v>
      </c>
      <c r="K39" s="50">
        <v>5</v>
      </c>
      <c r="L39" s="50">
        <v>0</v>
      </c>
      <c r="M39" s="50">
        <v>84</v>
      </c>
      <c r="N39" s="50">
        <v>0</v>
      </c>
      <c r="O39" s="15">
        <f t="shared" si="0"/>
        <v>101</v>
      </c>
      <c r="P39" s="15">
        <f t="shared" si="1"/>
        <v>185</v>
      </c>
    </row>
    <row r="40" spans="2:20" ht="23.1" customHeight="1" x14ac:dyDescent="0.25">
      <c r="B40" s="24" t="s">
        <v>67</v>
      </c>
      <c r="C40" s="50">
        <v>36</v>
      </c>
      <c r="D40" s="50">
        <v>10</v>
      </c>
      <c r="E40" s="50">
        <v>12</v>
      </c>
      <c r="F40" s="50">
        <v>41</v>
      </c>
      <c r="G40" s="50">
        <v>1</v>
      </c>
      <c r="H40" s="50">
        <v>1</v>
      </c>
      <c r="I40" s="50">
        <v>12</v>
      </c>
      <c r="J40" s="50">
        <v>13</v>
      </c>
      <c r="K40" s="50">
        <v>0</v>
      </c>
      <c r="L40" s="50">
        <v>3</v>
      </c>
      <c r="M40" s="50">
        <v>194</v>
      </c>
      <c r="N40" s="50">
        <v>0</v>
      </c>
      <c r="O40" s="15">
        <f t="shared" si="0"/>
        <v>129</v>
      </c>
      <c r="P40" s="15">
        <f t="shared" si="1"/>
        <v>323</v>
      </c>
    </row>
    <row r="41" spans="2:20" ht="23.1" customHeight="1" x14ac:dyDescent="0.25">
      <c r="B41" s="23" t="s">
        <v>68</v>
      </c>
      <c r="C41" s="50">
        <v>45</v>
      </c>
      <c r="D41" s="50">
        <v>23</v>
      </c>
      <c r="E41" s="50">
        <v>10</v>
      </c>
      <c r="F41" s="50">
        <v>37</v>
      </c>
      <c r="G41" s="50">
        <v>1</v>
      </c>
      <c r="H41" s="50">
        <v>1</v>
      </c>
      <c r="I41" s="50">
        <v>4</v>
      </c>
      <c r="J41" s="50">
        <v>14</v>
      </c>
      <c r="K41" s="50">
        <v>1</v>
      </c>
      <c r="L41" s="50">
        <v>3</v>
      </c>
      <c r="M41" s="50">
        <v>159</v>
      </c>
      <c r="N41" s="50">
        <v>0</v>
      </c>
      <c r="O41" s="15">
        <f t="shared" si="0"/>
        <v>139</v>
      </c>
      <c r="P41" s="15">
        <f t="shared" si="1"/>
        <v>298</v>
      </c>
    </row>
    <row r="42" spans="2:20" ht="23.1" customHeight="1" x14ac:dyDescent="0.25">
      <c r="B42" s="24" t="s">
        <v>69</v>
      </c>
      <c r="C42" s="50">
        <v>28</v>
      </c>
      <c r="D42" s="50">
        <v>16</v>
      </c>
      <c r="E42" s="50">
        <v>10</v>
      </c>
      <c r="F42" s="50">
        <v>34</v>
      </c>
      <c r="G42" s="50">
        <v>0</v>
      </c>
      <c r="H42" s="50">
        <v>0</v>
      </c>
      <c r="I42" s="50">
        <v>2</v>
      </c>
      <c r="J42" s="50">
        <v>8</v>
      </c>
      <c r="K42" s="50">
        <v>3</v>
      </c>
      <c r="L42" s="50">
        <v>1</v>
      </c>
      <c r="M42" s="50">
        <v>135</v>
      </c>
      <c r="N42" s="50">
        <v>0</v>
      </c>
      <c r="O42" s="15">
        <f t="shared" si="0"/>
        <v>102</v>
      </c>
      <c r="P42" s="15">
        <f t="shared" si="1"/>
        <v>237</v>
      </c>
    </row>
    <row r="43" spans="2:20" ht="23.1" customHeight="1" x14ac:dyDescent="0.25">
      <c r="B43" s="23" t="s">
        <v>70</v>
      </c>
      <c r="C43" s="50">
        <v>47</v>
      </c>
      <c r="D43" s="50">
        <v>20</v>
      </c>
      <c r="E43" s="50">
        <v>9</v>
      </c>
      <c r="F43" s="50">
        <v>47</v>
      </c>
      <c r="G43" s="50">
        <v>2</v>
      </c>
      <c r="H43" s="50">
        <v>0</v>
      </c>
      <c r="I43" s="50">
        <v>9</v>
      </c>
      <c r="J43" s="50">
        <v>19</v>
      </c>
      <c r="K43" s="50">
        <v>4</v>
      </c>
      <c r="L43" s="50">
        <v>0</v>
      </c>
      <c r="M43" s="50">
        <v>218</v>
      </c>
      <c r="N43" s="50">
        <v>0</v>
      </c>
      <c r="O43" s="15">
        <f t="shared" si="0"/>
        <v>157</v>
      </c>
      <c r="P43" s="15">
        <f t="shared" si="1"/>
        <v>375</v>
      </c>
    </row>
    <row r="44" spans="2:20" ht="23.1" customHeight="1" x14ac:dyDescent="0.25">
      <c r="B44" s="25" t="s">
        <v>71</v>
      </c>
      <c r="C44" s="50">
        <v>39</v>
      </c>
      <c r="D44" s="50">
        <v>7</v>
      </c>
      <c r="E44" s="50">
        <v>14</v>
      </c>
      <c r="F44" s="50">
        <v>39</v>
      </c>
      <c r="G44" s="50">
        <v>0</v>
      </c>
      <c r="H44" s="50">
        <v>3</v>
      </c>
      <c r="I44" s="50">
        <v>9</v>
      </c>
      <c r="J44" s="50">
        <v>6</v>
      </c>
      <c r="K44" s="50">
        <v>1</v>
      </c>
      <c r="L44" s="50">
        <v>0</v>
      </c>
      <c r="M44" s="50">
        <v>187</v>
      </c>
      <c r="N44" s="50">
        <v>0</v>
      </c>
      <c r="O44" s="15">
        <f t="shared" si="0"/>
        <v>118</v>
      </c>
      <c r="P44" s="15">
        <f t="shared" si="1"/>
        <v>305</v>
      </c>
    </row>
    <row r="45" spans="2:20" ht="23.1" customHeight="1" x14ac:dyDescent="0.25">
      <c r="B45" s="23" t="s">
        <v>72</v>
      </c>
      <c r="C45" s="50">
        <v>26</v>
      </c>
      <c r="D45" s="50">
        <v>14</v>
      </c>
      <c r="E45" s="50">
        <v>12</v>
      </c>
      <c r="F45" s="50">
        <v>39</v>
      </c>
      <c r="G45" s="50">
        <v>1</v>
      </c>
      <c r="H45" s="50">
        <v>0</v>
      </c>
      <c r="I45" s="50">
        <v>4</v>
      </c>
      <c r="J45" s="50">
        <v>13</v>
      </c>
      <c r="K45" s="50">
        <v>2</v>
      </c>
      <c r="L45" s="50">
        <v>1</v>
      </c>
      <c r="M45" s="50">
        <v>149</v>
      </c>
      <c r="N45" s="50">
        <v>0</v>
      </c>
      <c r="O45" s="15">
        <f t="shared" si="0"/>
        <v>112</v>
      </c>
      <c r="P45" s="15">
        <f t="shared" si="1"/>
        <v>261</v>
      </c>
    </row>
    <row r="46" spans="2:20" ht="23.1" customHeight="1" x14ac:dyDescent="0.25">
      <c r="B46" s="24" t="s">
        <v>73</v>
      </c>
      <c r="C46" s="50">
        <v>40</v>
      </c>
      <c r="D46" s="50">
        <v>10</v>
      </c>
      <c r="E46" s="50">
        <v>6</v>
      </c>
      <c r="F46" s="50">
        <v>38</v>
      </c>
      <c r="G46" s="50">
        <v>1</v>
      </c>
      <c r="H46" s="50">
        <v>1</v>
      </c>
      <c r="I46" s="50">
        <v>18</v>
      </c>
      <c r="J46" s="50">
        <v>12</v>
      </c>
      <c r="K46" s="50">
        <v>6</v>
      </c>
      <c r="L46" s="50">
        <v>2</v>
      </c>
      <c r="M46" s="50">
        <v>185</v>
      </c>
      <c r="N46" s="50">
        <v>0</v>
      </c>
      <c r="O46" s="15">
        <f t="shared" si="0"/>
        <v>134</v>
      </c>
      <c r="P46" s="15">
        <f t="shared" si="1"/>
        <v>319</v>
      </c>
      <c r="R46" s="8"/>
      <c r="T46"/>
    </row>
    <row r="47" spans="2:20" ht="23.1" customHeight="1" x14ac:dyDescent="0.25">
      <c r="B47" s="24" t="s">
        <v>74</v>
      </c>
      <c r="C47" s="50">
        <v>52</v>
      </c>
      <c r="D47" s="50">
        <v>15</v>
      </c>
      <c r="E47" s="50">
        <v>3</v>
      </c>
      <c r="F47" s="50">
        <v>42</v>
      </c>
      <c r="G47" s="50">
        <v>2</v>
      </c>
      <c r="H47" s="50">
        <v>3</v>
      </c>
      <c r="I47" s="50">
        <v>4</v>
      </c>
      <c r="J47" s="50">
        <v>15</v>
      </c>
      <c r="K47" s="50">
        <v>4</v>
      </c>
      <c r="L47" s="50">
        <v>2</v>
      </c>
      <c r="M47" s="50">
        <v>218</v>
      </c>
      <c r="N47" s="50">
        <v>0</v>
      </c>
      <c r="O47" s="15">
        <f t="shared" si="0"/>
        <v>142</v>
      </c>
      <c r="P47" s="15">
        <f t="shared" si="1"/>
        <v>360</v>
      </c>
      <c r="R47" s="8"/>
      <c r="T47"/>
    </row>
    <row r="48" spans="2:20" ht="23.1" customHeight="1" x14ac:dyDescent="0.25">
      <c r="B48" s="24" t="s">
        <v>75</v>
      </c>
      <c r="C48" s="50">
        <v>40</v>
      </c>
      <c r="D48" s="50">
        <v>19</v>
      </c>
      <c r="E48" s="50">
        <v>2</v>
      </c>
      <c r="F48" s="50">
        <v>40</v>
      </c>
      <c r="G48" s="50">
        <v>0</v>
      </c>
      <c r="H48" s="50">
        <v>1</v>
      </c>
      <c r="I48" s="50">
        <v>8</v>
      </c>
      <c r="J48" s="50">
        <v>19</v>
      </c>
      <c r="K48" s="50">
        <v>3</v>
      </c>
      <c r="L48" s="50">
        <v>0</v>
      </c>
      <c r="M48" s="50">
        <v>113</v>
      </c>
      <c r="N48" s="50">
        <v>0</v>
      </c>
      <c r="O48" s="15">
        <f t="shared" si="0"/>
        <v>132</v>
      </c>
      <c r="P48" s="15">
        <f t="shared" si="1"/>
        <v>245</v>
      </c>
      <c r="R48" s="8"/>
      <c r="T48"/>
    </row>
    <row r="49" spans="2:20" ht="23.1" customHeight="1" x14ac:dyDescent="0.25">
      <c r="B49" s="23" t="s">
        <v>76</v>
      </c>
      <c r="C49" s="50">
        <v>35</v>
      </c>
      <c r="D49" s="50">
        <v>5</v>
      </c>
      <c r="E49" s="50">
        <v>1</v>
      </c>
      <c r="F49" s="50">
        <v>44</v>
      </c>
      <c r="G49" s="50">
        <v>1</v>
      </c>
      <c r="H49" s="50">
        <v>1</v>
      </c>
      <c r="I49" s="50">
        <v>1</v>
      </c>
      <c r="J49" s="50">
        <v>15</v>
      </c>
      <c r="K49" s="50">
        <v>1</v>
      </c>
      <c r="L49" s="50">
        <v>1</v>
      </c>
      <c r="M49" s="50">
        <v>180</v>
      </c>
      <c r="N49" s="50">
        <v>0</v>
      </c>
      <c r="O49" s="15">
        <f t="shared" si="0"/>
        <v>105</v>
      </c>
      <c r="P49" s="15">
        <f t="shared" si="1"/>
        <v>285</v>
      </c>
      <c r="R49" s="8"/>
      <c r="T49"/>
    </row>
    <row r="50" spans="2:20" ht="23.1" customHeight="1" x14ac:dyDescent="0.25">
      <c r="B50" s="24" t="s">
        <v>77</v>
      </c>
      <c r="C50" s="50">
        <v>34</v>
      </c>
      <c r="D50" s="50">
        <v>18</v>
      </c>
      <c r="E50" s="50">
        <v>7</v>
      </c>
      <c r="F50" s="50">
        <v>36</v>
      </c>
      <c r="G50" s="50">
        <v>1</v>
      </c>
      <c r="H50" s="50">
        <v>1</v>
      </c>
      <c r="I50" s="50">
        <v>4</v>
      </c>
      <c r="J50" s="50">
        <v>8</v>
      </c>
      <c r="K50" s="50">
        <v>3</v>
      </c>
      <c r="L50" s="50">
        <v>0</v>
      </c>
      <c r="M50" s="50">
        <v>165</v>
      </c>
      <c r="N50" s="50">
        <v>0</v>
      </c>
      <c r="O50" s="15">
        <f t="shared" si="0"/>
        <v>112</v>
      </c>
      <c r="P50" s="15">
        <f t="shared" si="1"/>
        <v>277</v>
      </c>
      <c r="R50" s="8"/>
      <c r="T50"/>
    </row>
    <row r="51" spans="2:20" ht="23.1" customHeight="1" x14ac:dyDescent="0.25">
      <c r="B51" s="24" t="s">
        <v>78</v>
      </c>
      <c r="C51" s="50">
        <v>32</v>
      </c>
      <c r="D51" s="50">
        <v>11</v>
      </c>
      <c r="E51" s="50">
        <v>6</v>
      </c>
      <c r="F51" s="50">
        <v>42</v>
      </c>
      <c r="G51" s="50">
        <v>1</v>
      </c>
      <c r="H51" s="50">
        <v>2</v>
      </c>
      <c r="I51" s="50">
        <v>4</v>
      </c>
      <c r="J51" s="50">
        <v>10</v>
      </c>
      <c r="K51" s="50">
        <v>2</v>
      </c>
      <c r="L51" s="50">
        <v>2</v>
      </c>
      <c r="M51" s="50">
        <v>180</v>
      </c>
      <c r="N51" s="50">
        <v>0</v>
      </c>
      <c r="O51" s="15">
        <f t="shared" si="0"/>
        <v>112</v>
      </c>
      <c r="P51" s="15">
        <f t="shared" si="1"/>
        <v>292</v>
      </c>
      <c r="R51" s="8"/>
      <c r="T51"/>
    </row>
    <row r="52" spans="2:20" ht="23.1" customHeight="1" x14ac:dyDescent="0.25">
      <c r="B52" s="24" t="s">
        <v>79</v>
      </c>
      <c r="C52" s="50">
        <v>32</v>
      </c>
      <c r="D52" s="50">
        <v>10</v>
      </c>
      <c r="E52" s="50">
        <v>1</v>
      </c>
      <c r="F52" s="50">
        <v>31</v>
      </c>
      <c r="G52" s="50">
        <v>3</v>
      </c>
      <c r="H52" s="50">
        <v>0</v>
      </c>
      <c r="I52" s="50">
        <v>5</v>
      </c>
      <c r="J52" s="50">
        <v>7</v>
      </c>
      <c r="K52" s="50">
        <v>2</v>
      </c>
      <c r="L52" s="50">
        <v>4</v>
      </c>
      <c r="M52" s="50">
        <v>342</v>
      </c>
      <c r="N52" s="50">
        <v>0</v>
      </c>
      <c r="O52" s="15">
        <f t="shared" si="0"/>
        <v>95</v>
      </c>
      <c r="P52" s="15">
        <f t="shared" si="1"/>
        <v>437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18</v>
      </c>
      <c r="E53" s="50">
        <v>2</v>
      </c>
      <c r="F53" s="50">
        <v>43</v>
      </c>
      <c r="G53" s="50">
        <v>2</v>
      </c>
      <c r="H53" s="50">
        <v>0</v>
      </c>
      <c r="I53" s="50">
        <v>6</v>
      </c>
      <c r="J53" s="50">
        <v>4</v>
      </c>
      <c r="K53" s="50">
        <v>3</v>
      </c>
      <c r="L53" s="50">
        <v>0</v>
      </c>
      <c r="M53" s="50">
        <v>257</v>
      </c>
      <c r="N53" s="50">
        <v>0</v>
      </c>
      <c r="O53" s="15">
        <f t="shared" si="0"/>
        <v>108</v>
      </c>
      <c r="P53" s="15">
        <f t="shared" si="1"/>
        <v>365</v>
      </c>
      <c r="R53" s="8"/>
      <c r="T53"/>
    </row>
    <row r="54" spans="2:20" ht="23.1" customHeight="1" x14ac:dyDescent="0.25">
      <c r="B54" s="23" t="s">
        <v>81</v>
      </c>
      <c r="C54" s="50">
        <v>24</v>
      </c>
      <c r="D54" s="50">
        <v>5</v>
      </c>
      <c r="E54" s="50">
        <v>2</v>
      </c>
      <c r="F54" s="50">
        <v>31</v>
      </c>
      <c r="G54" s="50">
        <v>1</v>
      </c>
      <c r="H54" s="50">
        <v>1</v>
      </c>
      <c r="I54" s="50">
        <v>4</v>
      </c>
      <c r="J54" s="50">
        <v>10</v>
      </c>
      <c r="K54" s="50">
        <v>2</v>
      </c>
      <c r="L54" s="50">
        <v>1</v>
      </c>
      <c r="M54" s="50">
        <v>295</v>
      </c>
      <c r="N54" s="50">
        <v>0</v>
      </c>
      <c r="O54" s="15">
        <f t="shared" si="0"/>
        <v>81</v>
      </c>
      <c r="P54" s="15">
        <f t="shared" si="1"/>
        <v>376</v>
      </c>
      <c r="R54" s="8"/>
      <c r="T54"/>
    </row>
    <row r="55" spans="2:20" ht="23.1" customHeight="1" x14ac:dyDescent="0.25">
      <c r="B55" s="23" t="s">
        <v>82</v>
      </c>
      <c r="C55" s="50">
        <v>22</v>
      </c>
      <c r="D55" s="50">
        <v>17</v>
      </c>
      <c r="E55" s="50">
        <v>5</v>
      </c>
      <c r="F55" s="50">
        <v>57</v>
      </c>
      <c r="G55" s="50">
        <v>4</v>
      </c>
      <c r="H55" s="50">
        <v>1</v>
      </c>
      <c r="I55" s="50">
        <v>4</v>
      </c>
      <c r="J55" s="50">
        <v>10</v>
      </c>
      <c r="K55" s="50">
        <v>10</v>
      </c>
      <c r="L55" s="50">
        <v>0</v>
      </c>
      <c r="M55" s="50">
        <v>195</v>
      </c>
      <c r="N55" s="50">
        <v>0</v>
      </c>
      <c r="O55" s="15">
        <f t="shared" si="0"/>
        <v>130</v>
      </c>
      <c r="P55" s="15">
        <f t="shared" si="1"/>
        <v>325</v>
      </c>
      <c r="R55" s="8"/>
      <c r="T55"/>
    </row>
    <row r="56" spans="2:20" ht="23.1" customHeight="1" x14ac:dyDescent="0.25">
      <c r="B56" s="23" t="s">
        <v>83</v>
      </c>
      <c r="C56" s="50">
        <v>28</v>
      </c>
      <c r="D56" s="50">
        <v>8</v>
      </c>
      <c r="E56" s="50">
        <v>9</v>
      </c>
      <c r="F56" s="50">
        <v>64</v>
      </c>
      <c r="G56" s="50">
        <v>1</v>
      </c>
      <c r="H56" s="50">
        <v>1</v>
      </c>
      <c r="I56" s="50">
        <v>1</v>
      </c>
      <c r="J56" s="50">
        <v>6</v>
      </c>
      <c r="K56" s="50">
        <v>2</v>
      </c>
      <c r="L56" s="50">
        <v>2</v>
      </c>
      <c r="M56" s="50">
        <v>150</v>
      </c>
      <c r="N56" s="50">
        <v>0</v>
      </c>
      <c r="O56" s="15">
        <f t="shared" si="0"/>
        <v>122</v>
      </c>
      <c r="P56" s="15">
        <f t="shared" si="1"/>
        <v>272</v>
      </c>
      <c r="R56" s="8"/>
      <c r="T56"/>
    </row>
    <row r="57" spans="2:20" ht="23.1" customHeight="1" x14ac:dyDescent="0.25">
      <c r="B57" s="23" t="s">
        <v>84</v>
      </c>
      <c r="C57" s="50">
        <v>33</v>
      </c>
      <c r="D57" s="50">
        <v>7</v>
      </c>
      <c r="E57" s="50">
        <v>6</v>
      </c>
      <c r="F57" s="50">
        <v>42</v>
      </c>
      <c r="G57" s="50">
        <v>1</v>
      </c>
      <c r="H57" s="50">
        <v>4</v>
      </c>
      <c r="I57" s="50">
        <v>1</v>
      </c>
      <c r="J57" s="50">
        <v>8</v>
      </c>
      <c r="K57" s="50">
        <v>6</v>
      </c>
      <c r="L57" s="50">
        <v>0</v>
      </c>
      <c r="M57" s="50">
        <v>175</v>
      </c>
      <c r="N57" s="50">
        <v>0</v>
      </c>
      <c r="O57" s="15">
        <f t="shared" si="0"/>
        <v>108</v>
      </c>
      <c r="P57" s="15">
        <f t="shared" si="1"/>
        <v>283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1826</v>
      </c>
      <c r="D58" s="16">
        <f t="shared" si="21"/>
        <v>546</v>
      </c>
      <c r="E58" s="16">
        <f t="shared" si="21"/>
        <v>306</v>
      </c>
      <c r="F58" s="16">
        <f t="shared" si="21"/>
        <v>2079</v>
      </c>
      <c r="G58" s="16">
        <f t="shared" si="21"/>
        <v>87</v>
      </c>
      <c r="H58" s="16">
        <f t="shared" si="21"/>
        <v>34</v>
      </c>
      <c r="I58" s="16">
        <f t="shared" si="21"/>
        <v>283</v>
      </c>
      <c r="J58" s="16">
        <f t="shared" si="21"/>
        <v>446</v>
      </c>
      <c r="K58" s="16">
        <f t="shared" si="21"/>
        <v>173</v>
      </c>
      <c r="L58" s="16">
        <f t="shared" si="21"/>
        <v>61</v>
      </c>
      <c r="M58" s="16">
        <f t="shared" si="21"/>
        <v>10660</v>
      </c>
      <c r="N58" s="16">
        <f t="shared" si="21"/>
        <v>0</v>
      </c>
      <c r="O58" s="16">
        <f t="shared" si="21"/>
        <v>5841</v>
      </c>
      <c r="P58" s="16">
        <f t="shared" si="21"/>
        <v>16501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0.11065996000242409</v>
      </c>
      <c r="D59" s="43">
        <f t="shared" si="22"/>
        <v>3.3088903702805893E-2</v>
      </c>
      <c r="E59" s="43">
        <f t="shared" si="22"/>
        <v>1.8544330646627478E-2</v>
      </c>
      <c r="F59" s="43">
        <f t="shared" si="22"/>
        <v>0.12599236409914549</v>
      </c>
      <c r="G59" s="43">
        <f t="shared" si="22"/>
        <v>5.272407732864675E-3</v>
      </c>
      <c r="H59" s="43">
        <f t="shared" si="22"/>
        <v>2.0604811829586086E-3</v>
      </c>
      <c r="I59" s="43">
        <f t="shared" si="22"/>
        <v>1.7150475728743713E-2</v>
      </c>
      <c r="J59" s="43">
        <f t="shared" si="22"/>
        <v>2.7028664929398219E-2</v>
      </c>
      <c r="K59" s="43">
        <f t="shared" si="22"/>
        <v>1.0484213077995273E-2</v>
      </c>
      <c r="L59" s="43">
        <f t="shared" si="22"/>
        <v>3.6967456517786801E-3</v>
      </c>
      <c r="M59" s="43">
        <f t="shared" si="22"/>
        <v>0.64602145324525784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0.31261770244821091</v>
      </c>
      <c r="D60" s="44">
        <f t="shared" ref="D60:N60" si="23">D58/$O$58</f>
        <v>9.3477144324601955E-2</v>
      </c>
      <c r="E60" s="44">
        <f t="shared" si="23"/>
        <v>5.2388289676425268E-2</v>
      </c>
      <c r="F60" s="44">
        <f t="shared" si="23"/>
        <v>0.3559322033898305</v>
      </c>
      <c r="G60" s="44">
        <f t="shared" si="23"/>
        <v>1.4894709809964048E-2</v>
      </c>
      <c r="H60" s="44">
        <f t="shared" si="23"/>
        <v>5.8209210751583636E-3</v>
      </c>
      <c r="I60" s="44">
        <f t="shared" si="23"/>
        <v>4.8450607772641673E-2</v>
      </c>
      <c r="J60" s="44">
        <f t="shared" si="23"/>
        <v>7.6356788221195002E-2</v>
      </c>
      <c r="K60" s="44">
        <f t="shared" si="23"/>
        <v>2.9618216058894024E-2</v>
      </c>
      <c r="L60" s="44">
        <f t="shared" si="23"/>
        <v>1.044341722307824E-2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9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Bwaise-Kawempe'!C3:G3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63" t="str">
        <f>'25.07 Kawempe-Bwaise'!G5:H5</f>
        <v>Before Steel and Tube</v>
      </c>
      <c r="H5" s="64"/>
      <c r="I5" s="14"/>
      <c r="J5" s="2" t="s">
        <v>5</v>
      </c>
      <c r="K5" s="63" t="s">
        <v>179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Bwaise-Kawempe'!D6:E6</f>
        <v>Bwaise</v>
      </c>
      <c r="E6" s="64"/>
      <c r="F6" s="2" t="s">
        <v>2</v>
      </c>
      <c r="G6" s="63" t="str">
        <f>'22.07 Bwaise-Kawempe'!G6:H6</f>
        <v>Kawempe</v>
      </c>
      <c r="H6" s="64"/>
      <c r="J6" s="2" t="s">
        <v>21</v>
      </c>
      <c r="K6" s="63" t="s">
        <v>178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9</v>
      </c>
      <c r="D10" s="50">
        <v>0</v>
      </c>
      <c r="E10" s="50">
        <v>2</v>
      </c>
      <c r="F10" s="50">
        <v>17</v>
      </c>
      <c r="G10" s="50">
        <v>2</v>
      </c>
      <c r="H10" s="50">
        <v>2</v>
      </c>
      <c r="I10" s="50">
        <v>3</v>
      </c>
      <c r="J10" s="50">
        <v>8</v>
      </c>
      <c r="K10" s="50">
        <v>1</v>
      </c>
      <c r="L10" s="50">
        <v>3</v>
      </c>
      <c r="M10" s="50">
        <v>28</v>
      </c>
      <c r="N10" s="50">
        <v>0</v>
      </c>
      <c r="O10" s="15">
        <f t="shared" ref="O10:O57" si="0">SUM(C10:L10,N10)</f>
        <v>47</v>
      </c>
      <c r="P10" s="15">
        <f t="shared" ref="P10:P57" si="1">SUM(C10:N10)</f>
        <v>75</v>
      </c>
      <c r="R10" s="1" t="s">
        <v>6</v>
      </c>
      <c r="S10" s="17">
        <f t="shared" ref="S10:AF10" si="2">SUM(C10:C13)</f>
        <v>87</v>
      </c>
      <c r="T10" s="17">
        <f t="shared" si="2"/>
        <v>10</v>
      </c>
      <c r="U10" s="17">
        <f t="shared" si="2"/>
        <v>9</v>
      </c>
      <c r="V10" s="17">
        <f t="shared" si="2"/>
        <v>141</v>
      </c>
      <c r="W10" s="17">
        <f t="shared" si="2"/>
        <v>9</v>
      </c>
      <c r="X10" s="17">
        <f t="shared" si="2"/>
        <v>6</v>
      </c>
      <c r="Y10" s="17">
        <f t="shared" si="2"/>
        <v>23</v>
      </c>
      <c r="Z10" s="17">
        <f t="shared" si="2"/>
        <v>11</v>
      </c>
      <c r="AA10" s="17">
        <f t="shared" si="2"/>
        <v>3</v>
      </c>
      <c r="AB10" s="17">
        <f t="shared" si="2"/>
        <v>8</v>
      </c>
      <c r="AC10" s="17">
        <f t="shared" si="2"/>
        <v>528</v>
      </c>
      <c r="AD10" s="17">
        <f t="shared" si="2"/>
        <v>0</v>
      </c>
      <c r="AE10" s="31">
        <f t="shared" si="2"/>
        <v>307</v>
      </c>
      <c r="AF10" s="31">
        <f t="shared" si="2"/>
        <v>835</v>
      </c>
    </row>
    <row r="11" spans="2:32" s="6" customFormat="1" ht="23.1" customHeight="1" x14ac:dyDescent="0.25">
      <c r="B11" s="45" t="s">
        <v>38</v>
      </c>
      <c r="C11" s="50">
        <v>21</v>
      </c>
      <c r="D11" s="50">
        <v>1</v>
      </c>
      <c r="E11" s="50">
        <v>2</v>
      </c>
      <c r="F11" s="50">
        <v>21</v>
      </c>
      <c r="G11" s="50">
        <v>0</v>
      </c>
      <c r="H11" s="50">
        <v>0</v>
      </c>
      <c r="I11" s="50">
        <v>7</v>
      </c>
      <c r="J11" s="50">
        <v>1</v>
      </c>
      <c r="K11" s="50">
        <v>0</v>
      </c>
      <c r="L11" s="50">
        <v>3</v>
      </c>
      <c r="M11" s="50">
        <v>110</v>
      </c>
      <c r="N11" s="50">
        <v>0</v>
      </c>
      <c r="O11" s="15">
        <f t="shared" si="0"/>
        <v>56</v>
      </c>
      <c r="P11" s="15">
        <f t="shared" si="1"/>
        <v>166</v>
      </c>
      <c r="R11" s="1" t="s">
        <v>7</v>
      </c>
      <c r="S11" s="17">
        <f t="shared" ref="S11:AF11" si="3">SUM(C14:C17)</f>
        <v>68</v>
      </c>
      <c r="T11" s="17">
        <f t="shared" si="3"/>
        <v>16</v>
      </c>
      <c r="U11" s="17">
        <f t="shared" si="3"/>
        <v>14</v>
      </c>
      <c r="V11" s="17">
        <f t="shared" si="3"/>
        <v>123</v>
      </c>
      <c r="W11" s="17">
        <f t="shared" si="3"/>
        <v>7</v>
      </c>
      <c r="X11" s="17">
        <f t="shared" si="3"/>
        <v>2</v>
      </c>
      <c r="Y11" s="17">
        <f t="shared" si="3"/>
        <v>14</v>
      </c>
      <c r="Z11" s="17">
        <f t="shared" si="3"/>
        <v>14</v>
      </c>
      <c r="AA11" s="17">
        <f t="shared" si="3"/>
        <v>2</v>
      </c>
      <c r="AB11" s="17">
        <f t="shared" si="3"/>
        <v>3</v>
      </c>
      <c r="AC11" s="17">
        <f t="shared" si="3"/>
        <v>580</v>
      </c>
      <c r="AD11" s="17">
        <f t="shared" si="3"/>
        <v>0</v>
      </c>
      <c r="AE11" s="31">
        <f t="shared" si="3"/>
        <v>263</v>
      </c>
      <c r="AF11" s="31">
        <f t="shared" si="3"/>
        <v>843</v>
      </c>
    </row>
    <row r="12" spans="2:32" ht="23.1" customHeight="1" x14ac:dyDescent="0.25">
      <c r="B12" s="45" t="s">
        <v>39</v>
      </c>
      <c r="C12" s="50">
        <v>35</v>
      </c>
      <c r="D12" s="50">
        <v>6</v>
      </c>
      <c r="E12" s="50">
        <v>4</v>
      </c>
      <c r="F12" s="50">
        <v>70</v>
      </c>
      <c r="G12" s="50">
        <v>4</v>
      </c>
      <c r="H12" s="50">
        <v>2</v>
      </c>
      <c r="I12" s="50">
        <v>7</v>
      </c>
      <c r="J12" s="50">
        <v>1</v>
      </c>
      <c r="K12" s="50">
        <v>1</v>
      </c>
      <c r="L12" s="50">
        <v>1</v>
      </c>
      <c r="M12" s="50">
        <v>200</v>
      </c>
      <c r="N12" s="50">
        <v>0</v>
      </c>
      <c r="O12" s="15">
        <f t="shared" si="0"/>
        <v>131</v>
      </c>
      <c r="P12" s="15">
        <f t="shared" si="1"/>
        <v>331</v>
      </c>
      <c r="R12" s="1" t="s">
        <v>8</v>
      </c>
      <c r="S12" s="17">
        <f t="shared" ref="S12:AF12" si="4">SUM(C18:C21)</f>
        <v>102</v>
      </c>
      <c r="T12" s="17">
        <f t="shared" si="4"/>
        <v>21</v>
      </c>
      <c r="U12" s="17">
        <f t="shared" si="4"/>
        <v>10</v>
      </c>
      <c r="V12" s="17">
        <f t="shared" si="4"/>
        <v>167</v>
      </c>
      <c r="W12" s="17">
        <f t="shared" si="4"/>
        <v>7</v>
      </c>
      <c r="X12" s="17">
        <f t="shared" si="4"/>
        <v>1</v>
      </c>
      <c r="Y12" s="17">
        <f t="shared" si="4"/>
        <v>19</v>
      </c>
      <c r="Z12" s="17">
        <f t="shared" si="4"/>
        <v>13</v>
      </c>
      <c r="AA12" s="17">
        <f t="shared" si="4"/>
        <v>5</v>
      </c>
      <c r="AB12" s="17">
        <f t="shared" si="4"/>
        <v>11</v>
      </c>
      <c r="AC12" s="17">
        <f t="shared" si="4"/>
        <v>680</v>
      </c>
      <c r="AD12" s="17">
        <f t="shared" si="4"/>
        <v>0</v>
      </c>
      <c r="AE12" s="31">
        <f t="shared" si="4"/>
        <v>356</v>
      </c>
      <c r="AF12" s="31">
        <f t="shared" si="4"/>
        <v>1036</v>
      </c>
    </row>
    <row r="13" spans="2:32" ht="23.1" customHeight="1" x14ac:dyDescent="0.25">
      <c r="B13" s="45" t="s">
        <v>40</v>
      </c>
      <c r="C13" s="50">
        <v>22</v>
      </c>
      <c r="D13" s="50">
        <v>3</v>
      </c>
      <c r="E13" s="50">
        <v>1</v>
      </c>
      <c r="F13" s="50">
        <v>33</v>
      </c>
      <c r="G13" s="50">
        <v>3</v>
      </c>
      <c r="H13" s="50">
        <v>2</v>
      </c>
      <c r="I13" s="50">
        <v>6</v>
      </c>
      <c r="J13" s="50">
        <v>1</v>
      </c>
      <c r="K13" s="50">
        <v>1</v>
      </c>
      <c r="L13" s="50">
        <v>1</v>
      </c>
      <c r="M13" s="50">
        <v>190</v>
      </c>
      <c r="N13" s="50">
        <v>0</v>
      </c>
      <c r="O13" s="15">
        <f t="shared" si="0"/>
        <v>73</v>
      </c>
      <c r="P13" s="15">
        <f t="shared" si="1"/>
        <v>263</v>
      </c>
      <c r="R13" s="1" t="s">
        <v>9</v>
      </c>
      <c r="S13" s="17">
        <f t="shared" ref="S13:AF13" si="5">SUM(C22:C25)</f>
        <v>127</v>
      </c>
      <c r="T13" s="17">
        <f t="shared" si="5"/>
        <v>11</v>
      </c>
      <c r="U13" s="17">
        <f t="shared" si="5"/>
        <v>24</v>
      </c>
      <c r="V13" s="17">
        <f t="shared" si="5"/>
        <v>155</v>
      </c>
      <c r="W13" s="17">
        <f t="shared" si="5"/>
        <v>6</v>
      </c>
      <c r="X13" s="17">
        <f t="shared" si="5"/>
        <v>1</v>
      </c>
      <c r="Y13" s="17">
        <f t="shared" si="5"/>
        <v>52</v>
      </c>
      <c r="Z13" s="17">
        <f t="shared" si="5"/>
        <v>12</v>
      </c>
      <c r="AA13" s="17">
        <f t="shared" si="5"/>
        <v>4</v>
      </c>
      <c r="AB13" s="17">
        <f t="shared" si="5"/>
        <v>11</v>
      </c>
      <c r="AC13" s="17">
        <f t="shared" si="5"/>
        <v>545</v>
      </c>
      <c r="AD13" s="17">
        <f t="shared" si="5"/>
        <v>0</v>
      </c>
      <c r="AE13" s="31">
        <f t="shared" si="5"/>
        <v>403</v>
      </c>
      <c r="AF13" s="31">
        <f t="shared" si="5"/>
        <v>948</v>
      </c>
    </row>
    <row r="14" spans="2:32" ht="23.1" customHeight="1" x14ac:dyDescent="0.25">
      <c r="B14" s="45" t="s">
        <v>41</v>
      </c>
      <c r="C14" s="50">
        <v>8</v>
      </c>
      <c r="D14" s="50">
        <v>2</v>
      </c>
      <c r="E14" s="50">
        <v>4</v>
      </c>
      <c r="F14" s="50">
        <v>5</v>
      </c>
      <c r="G14" s="50">
        <v>3</v>
      </c>
      <c r="H14" s="50">
        <v>0</v>
      </c>
      <c r="I14" s="50">
        <v>2</v>
      </c>
      <c r="J14" s="50">
        <v>3</v>
      </c>
      <c r="K14" s="50">
        <v>0</v>
      </c>
      <c r="L14" s="50">
        <v>1</v>
      </c>
      <c r="M14" s="50">
        <v>105</v>
      </c>
      <c r="N14" s="50">
        <v>0</v>
      </c>
      <c r="O14" s="15">
        <f t="shared" si="0"/>
        <v>28</v>
      </c>
      <c r="P14" s="15">
        <f t="shared" si="1"/>
        <v>133</v>
      </c>
      <c r="R14" s="1" t="s">
        <v>10</v>
      </c>
      <c r="S14" s="17">
        <f t="shared" ref="S14:AF14" si="6">SUM(C26:C29)</f>
        <v>125</v>
      </c>
      <c r="T14" s="17">
        <f t="shared" si="6"/>
        <v>23</v>
      </c>
      <c r="U14" s="17">
        <f t="shared" si="6"/>
        <v>25</v>
      </c>
      <c r="V14" s="17">
        <f t="shared" si="6"/>
        <v>107</v>
      </c>
      <c r="W14" s="17">
        <f t="shared" si="6"/>
        <v>4</v>
      </c>
      <c r="X14" s="17">
        <f t="shared" si="6"/>
        <v>2</v>
      </c>
      <c r="Y14" s="17">
        <f t="shared" si="6"/>
        <v>52</v>
      </c>
      <c r="Z14" s="17">
        <f t="shared" si="6"/>
        <v>18</v>
      </c>
      <c r="AA14" s="17">
        <f t="shared" si="6"/>
        <v>6</v>
      </c>
      <c r="AB14" s="17">
        <f t="shared" si="6"/>
        <v>18</v>
      </c>
      <c r="AC14" s="17">
        <f t="shared" si="6"/>
        <v>550</v>
      </c>
      <c r="AD14" s="17">
        <f t="shared" si="6"/>
        <v>0</v>
      </c>
      <c r="AE14" s="31">
        <f t="shared" si="6"/>
        <v>380</v>
      </c>
      <c r="AF14" s="31">
        <f t="shared" si="6"/>
        <v>930</v>
      </c>
    </row>
    <row r="15" spans="2:32" ht="23.1" customHeight="1" x14ac:dyDescent="0.25">
      <c r="B15" s="45" t="s">
        <v>42</v>
      </c>
      <c r="C15" s="50">
        <v>16</v>
      </c>
      <c r="D15" s="50">
        <v>4</v>
      </c>
      <c r="E15" s="50">
        <v>6</v>
      </c>
      <c r="F15" s="50">
        <v>35</v>
      </c>
      <c r="G15" s="50">
        <v>0</v>
      </c>
      <c r="H15" s="50">
        <v>1</v>
      </c>
      <c r="I15" s="50">
        <v>5</v>
      </c>
      <c r="J15" s="50">
        <v>6</v>
      </c>
      <c r="K15" s="50">
        <v>0</v>
      </c>
      <c r="L15" s="50">
        <v>0</v>
      </c>
      <c r="M15" s="50">
        <v>120</v>
      </c>
      <c r="N15" s="50">
        <v>0</v>
      </c>
      <c r="O15" s="15">
        <f t="shared" si="0"/>
        <v>73</v>
      </c>
      <c r="P15" s="15">
        <f t="shared" si="1"/>
        <v>193</v>
      </c>
      <c r="R15" s="1" t="s">
        <v>11</v>
      </c>
      <c r="S15" s="17">
        <f t="shared" ref="S15:AF15" si="7">SUM(C30:C33)</f>
        <v>141</v>
      </c>
      <c r="T15" s="17">
        <f t="shared" si="7"/>
        <v>23</v>
      </c>
      <c r="U15" s="17">
        <f t="shared" si="7"/>
        <v>26</v>
      </c>
      <c r="V15" s="17">
        <f t="shared" si="7"/>
        <v>159</v>
      </c>
      <c r="W15" s="17">
        <f t="shared" si="7"/>
        <v>2</v>
      </c>
      <c r="X15" s="17">
        <f t="shared" si="7"/>
        <v>20</v>
      </c>
      <c r="Y15" s="17">
        <f t="shared" si="7"/>
        <v>54</v>
      </c>
      <c r="Z15" s="17">
        <f t="shared" si="7"/>
        <v>11</v>
      </c>
      <c r="AA15" s="17">
        <f t="shared" si="7"/>
        <v>7</v>
      </c>
      <c r="AB15" s="17">
        <f t="shared" si="7"/>
        <v>15</v>
      </c>
      <c r="AC15" s="17">
        <f t="shared" si="7"/>
        <v>532</v>
      </c>
      <c r="AD15" s="17">
        <f t="shared" si="7"/>
        <v>0</v>
      </c>
      <c r="AE15" s="31">
        <f t="shared" si="7"/>
        <v>458</v>
      </c>
      <c r="AF15" s="31">
        <f t="shared" si="7"/>
        <v>990</v>
      </c>
    </row>
    <row r="16" spans="2:32" ht="23.1" customHeight="1" x14ac:dyDescent="0.25">
      <c r="B16" s="45" t="s">
        <v>43</v>
      </c>
      <c r="C16" s="50">
        <v>16</v>
      </c>
      <c r="D16" s="50">
        <v>6</v>
      </c>
      <c r="E16" s="50">
        <v>1</v>
      </c>
      <c r="F16" s="50">
        <v>32</v>
      </c>
      <c r="G16" s="50">
        <v>2</v>
      </c>
      <c r="H16" s="50">
        <v>1</v>
      </c>
      <c r="I16" s="50">
        <v>5</v>
      </c>
      <c r="J16" s="50">
        <v>1</v>
      </c>
      <c r="K16" s="50">
        <v>0</v>
      </c>
      <c r="L16" s="50">
        <v>0</v>
      </c>
      <c r="M16" s="50">
        <v>235</v>
      </c>
      <c r="N16" s="50">
        <v>0</v>
      </c>
      <c r="O16" s="15">
        <f t="shared" si="0"/>
        <v>64</v>
      </c>
      <c r="P16" s="15">
        <f t="shared" si="1"/>
        <v>299</v>
      </c>
      <c r="R16" s="1" t="s">
        <v>12</v>
      </c>
      <c r="S16" s="17">
        <f t="shared" ref="S16:AF16" si="8">SUM(C34:C37)</f>
        <v>129</v>
      </c>
      <c r="T16" s="17">
        <f t="shared" si="8"/>
        <v>35</v>
      </c>
      <c r="U16" s="17">
        <f t="shared" si="8"/>
        <v>19</v>
      </c>
      <c r="V16" s="17">
        <f t="shared" si="8"/>
        <v>161</v>
      </c>
      <c r="W16" s="17">
        <f t="shared" si="8"/>
        <v>6</v>
      </c>
      <c r="X16" s="17">
        <f t="shared" si="8"/>
        <v>3</v>
      </c>
      <c r="Y16" s="17">
        <f t="shared" si="8"/>
        <v>51</v>
      </c>
      <c r="Z16" s="17">
        <f t="shared" si="8"/>
        <v>19</v>
      </c>
      <c r="AA16" s="17">
        <f t="shared" si="8"/>
        <v>14</v>
      </c>
      <c r="AB16" s="17">
        <f t="shared" si="8"/>
        <v>12</v>
      </c>
      <c r="AC16" s="17">
        <f t="shared" si="8"/>
        <v>450</v>
      </c>
      <c r="AD16" s="17">
        <f t="shared" si="8"/>
        <v>0</v>
      </c>
      <c r="AE16" s="31">
        <f t="shared" si="8"/>
        <v>449</v>
      </c>
      <c r="AF16" s="31">
        <f t="shared" si="8"/>
        <v>899</v>
      </c>
    </row>
    <row r="17" spans="2:32" ht="23.1" customHeight="1" x14ac:dyDescent="0.25">
      <c r="B17" s="45" t="s">
        <v>44</v>
      </c>
      <c r="C17" s="50">
        <v>28</v>
      </c>
      <c r="D17" s="50">
        <v>4</v>
      </c>
      <c r="E17" s="50">
        <v>3</v>
      </c>
      <c r="F17" s="50">
        <v>51</v>
      </c>
      <c r="G17" s="50">
        <v>2</v>
      </c>
      <c r="H17" s="50">
        <v>0</v>
      </c>
      <c r="I17" s="50">
        <v>2</v>
      </c>
      <c r="J17" s="50">
        <v>4</v>
      </c>
      <c r="K17" s="50">
        <v>2</v>
      </c>
      <c r="L17" s="50">
        <v>2</v>
      </c>
      <c r="M17" s="50">
        <v>120</v>
      </c>
      <c r="N17" s="50">
        <v>0</v>
      </c>
      <c r="O17" s="15">
        <f t="shared" si="0"/>
        <v>98</v>
      </c>
      <c r="P17" s="15">
        <f t="shared" si="1"/>
        <v>218</v>
      </c>
      <c r="R17" s="1" t="s">
        <v>13</v>
      </c>
      <c r="S17" s="17">
        <f t="shared" ref="S17:AF17" si="9">SUM(C38:C41)</f>
        <v>126</v>
      </c>
      <c r="T17" s="17">
        <f t="shared" si="9"/>
        <v>26</v>
      </c>
      <c r="U17" s="17">
        <f t="shared" si="9"/>
        <v>31</v>
      </c>
      <c r="V17" s="17">
        <f t="shared" si="9"/>
        <v>158</v>
      </c>
      <c r="W17" s="17">
        <f t="shared" si="9"/>
        <v>4</v>
      </c>
      <c r="X17" s="17">
        <f t="shared" si="9"/>
        <v>2</v>
      </c>
      <c r="Y17" s="17">
        <f t="shared" si="9"/>
        <v>45</v>
      </c>
      <c r="Z17" s="17">
        <f t="shared" si="9"/>
        <v>15</v>
      </c>
      <c r="AA17" s="17">
        <f t="shared" si="9"/>
        <v>4</v>
      </c>
      <c r="AB17" s="17">
        <f t="shared" si="9"/>
        <v>17</v>
      </c>
      <c r="AC17" s="17">
        <f t="shared" si="9"/>
        <v>405</v>
      </c>
      <c r="AD17" s="17">
        <f t="shared" si="9"/>
        <v>0</v>
      </c>
      <c r="AE17" s="31">
        <f t="shared" si="9"/>
        <v>428</v>
      </c>
      <c r="AF17" s="31">
        <f t="shared" si="9"/>
        <v>833</v>
      </c>
    </row>
    <row r="18" spans="2:32" ht="23.1" customHeight="1" x14ac:dyDescent="0.25">
      <c r="B18" s="45" t="s">
        <v>45</v>
      </c>
      <c r="C18" s="50">
        <v>17</v>
      </c>
      <c r="D18" s="50">
        <v>3</v>
      </c>
      <c r="E18" s="50">
        <v>4</v>
      </c>
      <c r="F18" s="50">
        <v>4</v>
      </c>
      <c r="G18" s="50">
        <v>1</v>
      </c>
      <c r="H18" s="50">
        <v>1</v>
      </c>
      <c r="I18" s="50">
        <v>3</v>
      </c>
      <c r="J18" s="50">
        <v>5</v>
      </c>
      <c r="K18" s="50">
        <v>1</v>
      </c>
      <c r="L18" s="50">
        <v>6</v>
      </c>
      <c r="M18" s="50">
        <v>155</v>
      </c>
      <c r="N18" s="50">
        <v>0</v>
      </c>
      <c r="O18" s="15">
        <f t="shared" si="0"/>
        <v>45</v>
      </c>
      <c r="P18" s="15">
        <f t="shared" si="1"/>
        <v>200</v>
      </c>
      <c r="R18" s="1" t="s">
        <v>14</v>
      </c>
      <c r="S18" s="17">
        <f t="shared" ref="S18:AF18" si="10">SUM(C42:C45)</f>
        <v>117</v>
      </c>
      <c r="T18" s="17">
        <f t="shared" si="10"/>
        <v>21</v>
      </c>
      <c r="U18" s="17">
        <f t="shared" si="10"/>
        <v>13</v>
      </c>
      <c r="V18" s="17">
        <f t="shared" si="10"/>
        <v>118</v>
      </c>
      <c r="W18" s="17">
        <f t="shared" si="10"/>
        <v>3</v>
      </c>
      <c r="X18" s="17">
        <f t="shared" si="10"/>
        <v>4</v>
      </c>
      <c r="Y18" s="17">
        <f t="shared" si="10"/>
        <v>37</v>
      </c>
      <c r="Z18" s="17">
        <f t="shared" si="10"/>
        <v>7</v>
      </c>
      <c r="AA18" s="17">
        <f t="shared" si="10"/>
        <v>6</v>
      </c>
      <c r="AB18" s="17">
        <f t="shared" si="10"/>
        <v>13</v>
      </c>
      <c r="AC18" s="17">
        <f t="shared" si="10"/>
        <v>361</v>
      </c>
      <c r="AD18" s="17">
        <f t="shared" si="10"/>
        <v>0</v>
      </c>
      <c r="AE18" s="31">
        <f t="shared" si="10"/>
        <v>339</v>
      </c>
      <c r="AF18" s="31">
        <f t="shared" si="10"/>
        <v>700</v>
      </c>
    </row>
    <row r="19" spans="2:32" ht="23.1" customHeight="1" x14ac:dyDescent="0.25">
      <c r="B19" s="45" t="s">
        <v>46</v>
      </c>
      <c r="C19" s="50">
        <v>30</v>
      </c>
      <c r="D19" s="50">
        <v>6</v>
      </c>
      <c r="E19" s="50">
        <v>1</v>
      </c>
      <c r="F19" s="50">
        <v>62</v>
      </c>
      <c r="G19" s="50">
        <v>2</v>
      </c>
      <c r="H19" s="50">
        <v>0</v>
      </c>
      <c r="I19" s="50">
        <v>4</v>
      </c>
      <c r="J19" s="50">
        <v>0</v>
      </c>
      <c r="K19" s="50">
        <v>3</v>
      </c>
      <c r="L19" s="50">
        <v>1</v>
      </c>
      <c r="M19" s="50">
        <v>225</v>
      </c>
      <c r="N19" s="50">
        <v>0</v>
      </c>
      <c r="O19" s="15">
        <f t="shared" si="0"/>
        <v>109</v>
      </c>
      <c r="P19" s="15">
        <f t="shared" si="1"/>
        <v>334</v>
      </c>
      <c r="R19" s="1" t="s">
        <v>15</v>
      </c>
      <c r="S19" s="17">
        <f t="shared" ref="S19:AF19" si="11">SUM(C46:C49)</f>
        <v>132</v>
      </c>
      <c r="T19" s="17">
        <f t="shared" si="11"/>
        <v>23</v>
      </c>
      <c r="U19" s="17">
        <f t="shared" si="11"/>
        <v>21</v>
      </c>
      <c r="V19" s="17">
        <f t="shared" si="11"/>
        <v>114</v>
      </c>
      <c r="W19" s="17">
        <f t="shared" si="11"/>
        <v>5</v>
      </c>
      <c r="X19" s="17">
        <f t="shared" si="11"/>
        <v>6</v>
      </c>
      <c r="Y19" s="17">
        <f t="shared" si="11"/>
        <v>51</v>
      </c>
      <c r="Z19" s="17">
        <f t="shared" si="11"/>
        <v>16</v>
      </c>
      <c r="AA19" s="17">
        <f t="shared" si="11"/>
        <v>9</v>
      </c>
      <c r="AB19" s="17">
        <f t="shared" si="11"/>
        <v>12</v>
      </c>
      <c r="AC19" s="17">
        <f t="shared" si="11"/>
        <v>545</v>
      </c>
      <c r="AD19" s="17">
        <f t="shared" si="11"/>
        <v>0</v>
      </c>
      <c r="AE19" s="31">
        <f t="shared" si="11"/>
        <v>389</v>
      </c>
      <c r="AF19" s="31">
        <f t="shared" si="11"/>
        <v>934</v>
      </c>
    </row>
    <row r="20" spans="2:32" ht="23.1" customHeight="1" x14ac:dyDescent="0.25">
      <c r="B20" s="45" t="s">
        <v>47</v>
      </c>
      <c r="C20" s="50">
        <v>31</v>
      </c>
      <c r="D20" s="50">
        <v>5</v>
      </c>
      <c r="E20" s="50">
        <v>3</v>
      </c>
      <c r="F20" s="50">
        <v>49</v>
      </c>
      <c r="G20" s="50">
        <v>1</v>
      </c>
      <c r="H20" s="50">
        <v>0</v>
      </c>
      <c r="I20" s="50">
        <v>6</v>
      </c>
      <c r="J20" s="50">
        <v>5</v>
      </c>
      <c r="K20" s="50">
        <v>1</v>
      </c>
      <c r="L20" s="50">
        <v>2</v>
      </c>
      <c r="M20" s="50">
        <v>150</v>
      </c>
      <c r="N20" s="50">
        <v>0</v>
      </c>
      <c r="O20" s="15">
        <f t="shared" si="0"/>
        <v>103</v>
      </c>
      <c r="P20" s="15">
        <f t="shared" si="1"/>
        <v>253</v>
      </c>
      <c r="R20" s="1" t="s">
        <v>16</v>
      </c>
      <c r="S20" s="17">
        <f t="shared" ref="S20:AF20" si="12">SUM(C50:C53)</f>
        <v>157</v>
      </c>
      <c r="T20" s="17">
        <f t="shared" si="12"/>
        <v>17</v>
      </c>
      <c r="U20" s="17">
        <f t="shared" si="12"/>
        <v>18</v>
      </c>
      <c r="V20" s="17">
        <f t="shared" si="12"/>
        <v>109</v>
      </c>
      <c r="W20" s="17">
        <f t="shared" si="12"/>
        <v>4</v>
      </c>
      <c r="X20" s="17">
        <f t="shared" si="12"/>
        <v>0</v>
      </c>
      <c r="Y20" s="17">
        <f t="shared" si="12"/>
        <v>52</v>
      </c>
      <c r="Z20" s="17">
        <f t="shared" si="12"/>
        <v>7</v>
      </c>
      <c r="AA20" s="17">
        <f t="shared" si="12"/>
        <v>6</v>
      </c>
      <c r="AB20" s="17">
        <f t="shared" si="12"/>
        <v>10</v>
      </c>
      <c r="AC20" s="17">
        <f t="shared" si="12"/>
        <v>466</v>
      </c>
      <c r="AD20" s="17">
        <f t="shared" si="12"/>
        <v>0</v>
      </c>
      <c r="AE20" s="31">
        <f t="shared" si="12"/>
        <v>380</v>
      </c>
      <c r="AF20" s="31">
        <f t="shared" si="12"/>
        <v>846</v>
      </c>
    </row>
    <row r="21" spans="2:32" ht="23.1" customHeight="1" x14ac:dyDescent="0.25">
      <c r="B21" s="45" t="s">
        <v>48</v>
      </c>
      <c r="C21" s="50">
        <v>24</v>
      </c>
      <c r="D21" s="50">
        <v>7</v>
      </c>
      <c r="E21" s="50">
        <v>2</v>
      </c>
      <c r="F21" s="50">
        <v>52</v>
      </c>
      <c r="G21" s="50">
        <v>3</v>
      </c>
      <c r="H21" s="50">
        <v>0</v>
      </c>
      <c r="I21" s="50">
        <v>6</v>
      </c>
      <c r="J21" s="50">
        <v>3</v>
      </c>
      <c r="K21" s="50">
        <v>0</v>
      </c>
      <c r="L21" s="50">
        <v>2</v>
      </c>
      <c r="M21" s="50">
        <v>150</v>
      </c>
      <c r="N21" s="50">
        <v>0</v>
      </c>
      <c r="O21" s="15">
        <f t="shared" si="0"/>
        <v>99</v>
      </c>
      <c r="P21" s="15">
        <f t="shared" si="1"/>
        <v>249</v>
      </c>
      <c r="R21" s="36" t="s">
        <v>20</v>
      </c>
      <c r="S21" s="34">
        <f t="shared" ref="S21:AF21" si="13">SUM(C54:C57)</f>
        <v>144</v>
      </c>
      <c r="T21" s="17">
        <f t="shared" si="13"/>
        <v>19</v>
      </c>
      <c r="U21" s="17">
        <f t="shared" si="13"/>
        <v>17</v>
      </c>
      <c r="V21" s="17">
        <f t="shared" si="13"/>
        <v>124</v>
      </c>
      <c r="W21" s="17">
        <f t="shared" si="13"/>
        <v>4</v>
      </c>
      <c r="X21" s="17">
        <f t="shared" si="13"/>
        <v>3</v>
      </c>
      <c r="Y21" s="17">
        <f t="shared" si="13"/>
        <v>54</v>
      </c>
      <c r="Z21" s="17">
        <f t="shared" si="13"/>
        <v>10</v>
      </c>
      <c r="AA21" s="17">
        <f t="shared" si="13"/>
        <v>11</v>
      </c>
      <c r="AB21" s="17">
        <f t="shared" si="13"/>
        <v>16</v>
      </c>
      <c r="AC21" s="17">
        <f t="shared" si="13"/>
        <v>625</v>
      </c>
      <c r="AD21" s="17">
        <f t="shared" si="13"/>
        <v>0</v>
      </c>
      <c r="AE21" s="31">
        <f t="shared" si="13"/>
        <v>402</v>
      </c>
      <c r="AF21" s="31">
        <f t="shared" si="13"/>
        <v>1027</v>
      </c>
    </row>
    <row r="22" spans="2:32" ht="23.1" customHeight="1" x14ac:dyDescent="0.25">
      <c r="B22" s="45" t="s">
        <v>49</v>
      </c>
      <c r="C22" s="50">
        <v>31</v>
      </c>
      <c r="D22" s="50">
        <v>4</v>
      </c>
      <c r="E22" s="50">
        <v>0</v>
      </c>
      <c r="F22" s="50">
        <v>36</v>
      </c>
      <c r="G22" s="50">
        <v>2</v>
      </c>
      <c r="H22" s="50">
        <v>0</v>
      </c>
      <c r="I22" s="50">
        <v>10</v>
      </c>
      <c r="J22" s="50">
        <v>2</v>
      </c>
      <c r="K22" s="50">
        <v>1</v>
      </c>
      <c r="L22" s="50">
        <v>0</v>
      </c>
      <c r="M22" s="50">
        <v>120</v>
      </c>
      <c r="N22" s="50">
        <v>0</v>
      </c>
      <c r="O22" s="15">
        <f t="shared" si="0"/>
        <v>86</v>
      </c>
      <c r="P22" s="15">
        <f t="shared" si="1"/>
        <v>206</v>
      </c>
      <c r="R22" s="36" t="s">
        <v>146</v>
      </c>
      <c r="S22" s="34">
        <f>SUM(C58:C61)</f>
        <v>42</v>
      </c>
      <c r="T22" s="34">
        <f t="shared" ref="T22:AF22" si="14">SUM(D58:D61)</f>
        <v>2</v>
      </c>
      <c r="U22" s="34">
        <f t="shared" si="14"/>
        <v>5</v>
      </c>
      <c r="V22" s="34">
        <f t="shared" si="14"/>
        <v>16</v>
      </c>
      <c r="W22" s="34">
        <f t="shared" si="14"/>
        <v>0</v>
      </c>
      <c r="X22" s="34">
        <f t="shared" si="14"/>
        <v>0</v>
      </c>
      <c r="Y22" s="34">
        <f t="shared" si="14"/>
        <v>7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111</v>
      </c>
      <c r="AD22" s="34">
        <f t="shared" si="14"/>
        <v>0</v>
      </c>
      <c r="AE22" s="31">
        <f t="shared" si="14"/>
        <v>75</v>
      </c>
      <c r="AF22" s="31">
        <f t="shared" si="14"/>
        <v>186</v>
      </c>
    </row>
    <row r="23" spans="2:32" ht="23.1" customHeight="1" x14ac:dyDescent="0.25">
      <c r="B23" s="45" t="s">
        <v>50</v>
      </c>
      <c r="C23" s="50">
        <v>17</v>
      </c>
      <c r="D23" s="50">
        <v>2</v>
      </c>
      <c r="E23" s="50">
        <v>8</v>
      </c>
      <c r="F23" s="50">
        <v>36</v>
      </c>
      <c r="G23" s="50">
        <v>3</v>
      </c>
      <c r="H23" s="50">
        <v>1</v>
      </c>
      <c r="I23" s="50">
        <v>15</v>
      </c>
      <c r="J23" s="50">
        <v>1</v>
      </c>
      <c r="K23" s="50">
        <v>1</v>
      </c>
      <c r="L23" s="50">
        <v>2</v>
      </c>
      <c r="M23" s="50">
        <v>125</v>
      </c>
      <c r="N23" s="50">
        <v>0</v>
      </c>
      <c r="O23" s="15">
        <f t="shared" si="0"/>
        <v>86</v>
      </c>
      <c r="P23" s="15">
        <f t="shared" si="1"/>
        <v>211</v>
      </c>
      <c r="R23" s="36" t="s">
        <v>147</v>
      </c>
      <c r="S23" s="34">
        <f>SUM(C62:C65)</f>
        <v>114</v>
      </c>
      <c r="T23" s="34">
        <f t="shared" ref="T23:AF23" si="15">SUM(D62:D65)</f>
        <v>13</v>
      </c>
      <c r="U23" s="34">
        <f t="shared" si="15"/>
        <v>10</v>
      </c>
      <c r="V23" s="34">
        <f t="shared" si="15"/>
        <v>88</v>
      </c>
      <c r="W23" s="34">
        <f t="shared" si="15"/>
        <v>6</v>
      </c>
      <c r="X23" s="34">
        <f t="shared" si="15"/>
        <v>2</v>
      </c>
      <c r="Y23" s="34">
        <f t="shared" si="15"/>
        <v>26</v>
      </c>
      <c r="Z23" s="34">
        <f t="shared" si="15"/>
        <v>6</v>
      </c>
      <c r="AA23" s="34">
        <f t="shared" si="15"/>
        <v>6</v>
      </c>
      <c r="AB23" s="34">
        <f t="shared" si="15"/>
        <v>9</v>
      </c>
      <c r="AC23" s="34">
        <f t="shared" si="15"/>
        <v>605</v>
      </c>
      <c r="AD23" s="34">
        <f t="shared" si="15"/>
        <v>0</v>
      </c>
      <c r="AE23" s="31">
        <f t="shared" si="15"/>
        <v>280</v>
      </c>
      <c r="AF23" s="31">
        <f t="shared" si="15"/>
        <v>885</v>
      </c>
    </row>
    <row r="24" spans="2:32" ht="23.1" customHeight="1" x14ac:dyDescent="0.25">
      <c r="B24" s="45" t="s">
        <v>51</v>
      </c>
      <c r="C24" s="50">
        <v>48</v>
      </c>
      <c r="D24" s="50">
        <v>4</v>
      </c>
      <c r="E24" s="50">
        <v>9</v>
      </c>
      <c r="F24" s="50">
        <v>50</v>
      </c>
      <c r="G24" s="50">
        <v>1</v>
      </c>
      <c r="H24" s="50">
        <v>0</v>
      </c>
      <c r="I24" s="50">
        <v>22</v>
      </c>
      <c r="J24" s="50">
        <v>6</v>
      </c>
      <c r="K24" s="50">
        <v>0</v>
      </c>
      <c r="L24" s="50">
        <v>8</v>
      </c>
      <c r="M24" s="50">
        <v>175</v>
      </c>
      <c r="N24" s="50">
        <v>0</v>
      </c>
      <c r="O24" s="15">
        <f t="shared" si="0"/>
        <v>148</v>
      </c>
      <c r="P24" s="15">
        <f t="shared" si="1"/>
        <v>323</v>
      </c>
      <c r="R24" s="36" t="s">
        <v>148</v>
      </c>
      <c r="S24" s="34">
        <f>SUM(C66:C69)</f>
        <v>199</v>
      </c>
      <c r="T24" s="34">
        <f t="shared" ref="T24:AF24" si="16">SUM(D66:D69)</f>
        <v>9</v>
      </c>
      <c r="U24" s="34">
        <f t="shared" si="16"/>
        <v>21</v>
      </c>
      <c r="V24" s="34">
        <f t="shared" si="16"/>
        <v>135</v>
      </c>
      <c r="W24" s="34">
        <f t="shared" si="16"/>
        <v>13</v>
      </c>
      <c r="X24" s="34">
        <f t="shared" si="16"/>
        <v>3</v>
      </c>
      <c r="Y24" s="34">
        <f t="shared" si="16"/>
        <v>28</v>
      </c>
      <c r="Z24" s="34">
        <f t="shared" si="16"/>
        <v>16</v>
      </c>
      <c r="AA24" s="34">
        <f t="shared" si="16"/>
        <v>7</v>
      </c>
      <c r="AB24" s="34">
        <f t="shared" si="16"/>
        <v>7</v>
      </c>
      <c r="AC24" s="34">
        <f t="shared" si="16"/>
        <v>699</v>
      </c>
      <c r="AD24" s="34">
        <f t="shared" si="16"/>
        <v>0</v>
      </c>
      <c r="AE24" s="31">
        <f t="shared" si="16"/>
        <v>438</v>
      </c>
      <c r="AF24" s="31">
        <f t="shared" si="16"/>
        <v>1137</v>
      </c>
    </row>
    <row r="25" spans="2:32" ht="23.1" customHeight="1" x14ac:dyDescent="0.25">
      <c r="B25" s="45" t="s">
        <v>52</v>
      </c>
      <c r="C25" s="50">
        <v>31</v>
      </c>
      <c r="D25" s="50">
        <v>1</v>
      </c>
      <c r="E25" s="50">
        <v>7</v>
      </c>
      <c r="F25" s="50">
        <v>33</v>
      </c>
      <c r="G25" s="50">
        <v>0</v>
      </c>
      <c r="H25" s="50">
        <v>0</v>
      </c>
      <c r="I25" s="50">
        <v>5</v>
      </c>
      <c r="J25" s="50">
        <v>3</v>
      </c>
      <c r="K25" s="50">
        <v>2</v>
      </c>
      <c r="L25" s="50">
        <v>1</v>
      </c>
      <c r="M25" s="50">
        <v>125</v>
      </c>
      <c r="N25" s="50">
        <v>0</v>
      </c>
      <c r="O25" s="15">
        <f t="shared" si="0"/>
        <v>83</v>
      </c>
      <c r="P25" s="15">
        <f t="shared" si="1"/>
        <v>208</v>
      </c>
      <c r="R25" s="36" t="s">
        <v>149</v>
      </c>
      <c r="S25" s="34">
        <f>SUM(C70:C73)</f>
        <v>222</v>
      </c>
      <c r="T25" s="34">
        <f t="shared" ref="T25:AF25" si="17">SUM(D70:D73)</f>
        <v>13</v>
      </c>
      <c r="U25" s="34">
        <f t="shared" si="17"/>
        <v>12</v>
      </c>
      <c r="V25" s="34">
        <f t="shared" si="17"/>
        <v>171</v>
      </c>
      <c r="W25" s="34">
        <f t="shared" si="17"/>
        <v>11</v>
      </c>
      <c r="X25" s="34">
        <f t="shared" si="17"/>
        <v>2</v>
      </c>
      <c r="Y25" s="34">
        <f t="shared" si="17"/>
        <v>29</v>
      </c>
      <c r="Z25" s="34">
        <f t="shared" si="17"/>
        <v>11</v>
      </c>
      <c r="AA25" s="34">
        <f t="shared" si="17"/>
        <v>9</v>
      </c>
      <c r="AB25" s="34">
        <f t="shared" si="17"/>
        <v>4</v>
      </c>
      <c r="AC25" s="34">
        <f t="shared" si="17"/>
        <v>800</v>
      </c>
      <c r="AD25" s="34">
        <f t="shared" si="17"/>
        <v>0</v>
      </c>
      <c r="AE25" s="31">
        <f t="shared" si="17"/>
        <v>484</v>
      </c>
      <c r="AF25" s="31">
        <f t="shared" si="17"/>
        <v>1284</v>
      </c>
    </row>
    <row r="26" spans="2:32" ht="23.1" customHeight="1" x14ac:dyDescent="0.25">
      <c r="B26" s="45" t="s">
        <v>53</v>
      </c>
      <c r="C26" s="50">
        <v>37</v>
      </c>
      <c r="D26" s="50">
        <v>8</v>
      </c>
      <c r="E26" s="50">
        <v>6</v>
      </c>
      <c r="F26" s="50">
        <v>26</v>
      </c>
      <c r="G26" s="50">
        <v>1</v>
      </c>
      <c r="H26" s="50">
        <v>0</v>
      </c>
      <c r="I26" s="50">
        <v>17</v>
      </c>
      <c r="J26" s="50">
        <v>2</v>
      </c>
      <c r="K26" s="50">
        <v>3</v>
      </c>
      <c r="L26" s="50">
        <v>4</v>
      </c>
      <c r="M26" s="50">
        <v>95</v>
      </c>
      <c r="N26" s="50">
        <v>0</v>
      </c>
      <c r="O26" s="15">
        <f t="shared" si="0"/>
        <v>104</v>
      </c>
      <c r="P26" s="15">
        <f t="shared" si="1"/>
        <v>199</v>
      </c>
      <c r="R26" s="36" t="s">
        <v>150</v>
      </c>
      <c r="S26" s="34">
        <f>SUM(C74:C77)</f>
        <v>146</v>
      </c>
      <c r="T26" s="34">
        <f t="shared" ref="T26:AF26" si="18">SUM(D74:D77)</f>
        <v>19</v>
      </c>
      <c r="U26" s="34">
        <f t="shared" si="18"/>
        <v>17</v>
      </c>
      <c r="V26" s="34">
        <f t="shared" si="18"/>
        <v>93</v>
      </c>
      <c r="W26" s="34">
        <f t="shared" si="18"/>
        <v>5</v>
      </c>
      <c r="X26" s="34">
        <f t="shared" si="18"/>
        <v>7</v>
      </c>
      <c r="Y26" s="34">
        <f t="shared" si="18"/>
        <v>23</v>
      </c>
      <c r="Z26" s="34">
        <f t="shared" si="18"/>
        <v>13</v>
      </c>
      <c r="AA26" s="34">
        <f t="shared" si="18"/>
        <v>14</v>
      </c>
      <c r="AB26" s="34">
        <f t="shared" si="18"/>
        <v>5</v>
      </c>
      <c r="AC26" s="34">
        <f t="shared" si="18"/>
        <v>603</v>
      </c>
      <c r="AD26" s="34">
        <f t="shared" si="18"/>
        <v>0</v>
      </c>
      <c r="AE26" s="31">
        <f t="shared" si="18"/>
        <v>342</v>
      </c>
      <c r="AF26" s="31">
        <f t="shared" si="18"/>
        <v>945</v>
      </c>
    </row>
    <row r="27" spans="2:32" ht="23.1" customHeight="1" x14ac:dyDescent="0.25">
      <c r="B27" s="45" t="s">
        <v>54</v>
      </c>
      <c r="C27" s="50">
        <v>26</v>
      </c>
      <c r="D27" s="50">
        <v>4</v>
      </c>
      <c r="E27" s="50">
        <v>5</v>
      </c>
      <c r="F27" s="50">
        <v>31</v>
      </c>
      <c r="G27" s="50">
        <v>0</v>
      </c>
      <c r="H27" s="50">
        <v>0</v>
      </c>
      <c r="I27" s="50">
        <v>13</v>
      </c>
      <c r="J27" s="50">
        <v>7</v>
      </c>
      <c r="K27" s="50">
        <v>2</v>
      </c>
      <c r="L27" s="50">
        <v>4</v>
      </c>
      <c r="M27" s="50">
        <v>135</v>
      </c>
      <c r="N27" s="50">
        <v>0</v>
      </c>
      <c r="O27" s="15">
        <f t="shared" si="0"/>
        <v>92</v>
      </c>
      <c r="P27" s="15">
        <f t="shared" si="1"/>
        <v>227</v>
      </c>
      <c r="R27" s="36" t="s">
        <v>151</v>
      </c>
      <c r="S27" s="34">
        <f>SUM(C78:C81)</f>
        <v>70</v>
      </c>
      <c r="T27" s="34">
        <f t="shared" ref="T27:AF27" si="19">SUM(D78:D81)</f>
        <v>7</v>
      </c>
      <c r="U27" s="34">
        <f t="shared" si="19"/>
        <v>10</v>
      </c>
      <c r="V27" s="34">
        <f t="shared" si="19"/>
        <v>43</v>
      </c>
      <c r="W27" s="34">
        <f t="shared" si="19"/>
        <v>3</v>
      </c>
      <c r="X27" s="34">
        <f t="shared" si="19"/>
        <v>4</v>
      </c>
      <c r="Y27" s="34">
        <f t="shared" si="19"/>
        <v>19</v>
      </c>
      <c r="Z27" s="34">
        <f t="shared" si="19"/>
        <v>13</v>
      </c>
      <c r="AA27" s="34">
        <f t="shared" si="19"/>
        <v>7</v>
      </c>
      <c r="AB27" s="34">
        <f t="shared" si="19"/>
        <v>4</v>
      </c>
      <c r="AC27" s="34">
        <f t="shared" si="19"/>
        <v>262</v>
      </c>
      <c r="AD27" s="34">
        <f t="shared" si="19"/>
        <v>0</v>
      </c>
      <c r="AE27" s="31">
        <f t="shared" si="19"/>
        <v>180</v>
      </c>
      <c r="AF27" s="31">
        <f t="shared" si="19"/>
        <v>442</v>
      </c>
    </row>
    <row r="28" spans="2:32" ht="23.1" customHeight="1" x14ac:dyDescent="0.25">
      <c r="B28" s="45" t="s">
        <v>55</v>
      </c>
      <c r="C28" s="50">
        <v>27</v>
      </c>
      <c r="D28" s="50">
        <v>6</v>
      </c>
      <c r="E28" s="50">
        <v>5</v>
      </c>
      <c r="F28" s="50">
        <v>30</v>
      </c>
      <c r="G28" s="50">
        <v>2</v>
      </c>
      <c r="H28" s="50">
        <v>1</v>
      </c>
      <c r="I28" s="50">
        <v>14</v>
      </c>
      <c r="J28" s="50">
        <v>7</v>
      </c>
      <c r="K28" s="50">
        <v>1</v>
      </c>
      <c r="L28" s="50">
        <v>5</v>
      </c>
      <c r="M28" s="50">
        <v>150</v>
      </c>
      <c r="N28" s="50">
        <v>0</v>
      </c>
      <c r="O28" s="15">
        <f t="shared" si="0"/>
        <v>98</v>
      </c>
      <c r="P28" s="15">
        <f t="shared" si="1"/>
        <v>248</v>
      </c>
      <c r="R28" s="36" t="s">
        <v>152</v>
      </c>
      <c r="S28" s="34">
        <f>SUM(C82:C85)</f>
        <v>35</v>
      </c>
      <c r="T28" s="34">
        <f t="shared" ref="T28:AF28" si="20">SUM(D82:D85)</f>
        <v>8</v>
      </c>
      <c r="U28" s="34">
        <f t="shared" si="20"/>
        <v>8</v>
      </c>
      <c r="V28" s="34">
        <f t="shared" si="20"/>
        <v>10</v>
      </c>
      <c r="W28" s="34">
        <f t="shared" si="20"/>
        <v>0</v>
      </c>
      <c r="X28" s="34">
        <f t="shared" si="20"/>
        <v>0</v>
      </c>
      <c r="Y28" s="34">
        <f t="shared" si="20"/>
        <v>8</v>
      </c>
      <c r="Z28" s="34">
        <f t="shared" si="20"/>
        <v>17</v>
      </c>
      <c r="AA28" s="34">
        <f t="shared" si="20"/>
        <v>12</v>
      </c>
      <c r="AB28" s="34">
        <f t="shared" si="20"/>
        <v>2</v>
      </c>
      <c r="AC28" s="34">
        <f t="shared" si="20"/>
        <v>169</v>
      </c>
      <c r="AD28" s="34">
        <f t="shared" si="20"/>
        <v>0</v>
      </c>
      <c r="AE28" s="31">
        <f t="shared" si="20"/>
        <v>100</v>
      </c>
      <c r="AF28" s="31">
        <f t="shared" si="20"/>
        <v>269</v>
      </c>
    </row>
    <row r="29" spans="2:32" ht="23.1" customHeight="1" x14ac:dyDescent="0.25">
      <c r="B29" s="45" t="s">
        <v>56</v>
      </c>
      <c r="C29" s="50">
        <v>35</v>
      </c>
      <c r="D29" s="50">
        <v>5</v>
      </c>
      <c r="E29" s="50">
        <v>9</v>
      </c>
      <c r="F29" s="50">
        <v>20</v>
      </c>
      <c r="G29" s="50">
        <v>1</v>
      </c>
      <c r="H29" s="50">
        <v>1</v>
      </c>
      <c r="I29" s="50">
        <v>8</v>
      </c>
      <c r="J29" s="50">
        <v>2</v>
      </c>
      <c r="K29" s="50">
        <v>0</v>
      </c>
      <c r="L29" s="50">
        <v>5</v>
      </c>
      <c r="M29" s="50">
        <v>170</v>
      </c>
      <c r="N29" s="50">
        <v>0</v>
      </c>
      <c r="O29" s="15">
        <f t="shared" si="0"/>
        <v>86</v>
      </c>
      <c r="P29" s="15">
        <f t="shared" si="1"/>
        <v>256</v>
      </c>
      <c r="R29" s="36" t="s">
        <v>153</v>
      </c>
      <c r="S29" s="34">
        <f>SUM(C86:C89)</f>
        <v>32</v>
      </c>
      <c r="T29" s="34">
        <f t="shared" ref="T29:AF29" si="21">SUM(D86:D89)</f>
        <v>6</v>
      </c>
      <c r="U29" s="34">
        <f t="shared" si="21"/>
        <v>5</v>
      </c>
      <c r="V29" s="34">
        <f t="shared" si="21"/>
        <v>6</v>
      </c>
      <c r="W29" s="34">
        <f t="shared" si="21"/>
        <v>0</v>
      </c>
      <c r="X29" s="34">
        <f t="shared" si="21"/>
        <v>1</v>
      </c>
      <c r="Y29" s="34">
        <f t="shared" si="21"/>
        <v>6</v>
      </c>
      <c r="Z29" s="34">
        <f t="shared" si="21"/>
        <v>8</v>
      </c>
      <c r="AA29" s="34">
        <f t="shared" si="21"/>
        <v>11</v>
      </c>
      <c r="AB29" s="34">
        <f t="shared" si="21"/>
        <v>0</v>
      </c>
      <c r="AC29" s="34">
        <f t="shared" si="21"/>
        <v>105</v>
      </c>
      <c r="AD29" s="34">
        <f t="shared" si="21"/>
        <v>0</v>
      </c>
      <c r="AE29" s="31">
        <f t="shared" si="21"/>
        <v>75</v>
      </c>
      <c r="AF29" s="31">
        <f t="shared" si="21"/>
        <v>180</v>
      </c>
    </row>
    <row r="30" spans="2:32" ht="23.1" customHeight="1" x14ac:dyDescent="0.25">
      <c r="B30" s="45" t="s">
        <v>57</v>
      </c>
      <c r="C30" s="50">
        <v>32</v>
      </c>
      <c r="D30" s="50">
        <v>7</v>
      </c>
      <c r="E30" s="50">
        <v>10</v>
      </c>
      <c r="F30" s="50">
        <v>40</v>
      </c>
      <c r="G30" s="50">
        <v>0</v>
      </c>
      <c r="H30" s="50">
        <v>0</v>
      </c>
      <c r="I30" s="50">
        <v>11</v>
      </c>
      <c r="J30" s="50">
        <v>4</v>
      </c>
      <c r="K30" s="50">
        <v>3</v>
      </c>
      <c r="L30" s="50">
        <v>5</v>
      </c>
      <c r="M30" s="50">
        <v>170</v>
      </c>
      <c r="N30" s="50">
        <v>0</v>
      </c>
      <c r="O30" s="15">
        <f t="shared" si="0"/>
        <v>112</v>
      </c>
      <c r="P30" s="15">
        <f t="shared" si="1"/>
        <v>282</v>
      </c>
      <c r="R30" s="36" t="s">
        <v>154</v>
      </c>
      <c r="S30" s="34">
        <f>SUM(C90:C93)</f>
        <v>32</v>
      </c>
      <c r="T30" s="34">
        <f t="shared" ref="T30:AF30" si="22">SUM(D90:D93)</f>
        <v>3</v>
      </c>
      <c r="U30" s="34">
        <f t="shared" si="22"/>
        <v>4</v>
      </c>
      <c r="V30" s="34">
        <f t="shared" si="22"/>
        <v>7</v>
      </c>
      <c r="W30" s="34">
        <f t="shared" si="22"/>
        <v>0</v>
      </c>
      <c r="X30" s="34">
        <f t="shared" si="22"/>
        <v>0</v>
      </c>
      <c r="Y30" s="34">
        <f t="shared" si="22"/>
        <v>6</v>
      </c>
      <c r="Z30" s="34">
        <f t="shared" si="22"/>
        <v>17</v>
      </c>
      <c r="AA30" s="34">
        <f t="shared" si="22"/>
        <v>9</v>
      </c>
      <c r="AB30" s="34">
        <f t="shared" si="22"/>
        <v>0</v>
      </c>
      <c r="AC30" s="34">
        <f t="shared" si="22"/>
        <v>62</v>
      </c>
      <c r="AD30" s="34">
        <f t="shared" si="22"/>
        <v>0</v>
      </c>
      <c r="AE30" s="31">
        <f t="shared" si="22"/>
        <v>78</v>
      </c>
      <c r="AF30" s="31">
        <f t="shared" si="22"/>
        <v>140</v>
      </c>
    </row>
    <row r="31" spans="2:32" ht="23.1" customHeight="1" x14ac:dyDescent="0.25">
      <c r="B31" s="46" t="s">
        <v>58</v>
      </c>
      <c r="C31" s="50">
        <v>33</v>
      </c>
      <c r="D31" s="50">
        <v>7</v>
      </c>
      <c r="E31" s="50">
        <v>2</v>
      </c>
      <c r="F31" s="50">
        <v>37</v>
      </c>
      <c r="G31" s="50">
        <v>1</v>
      </c>
      <c r="H31" s="50">
        <v>20</v>
      </c>
      <c r="I31" s="50">
        <v>20</v>
      </c>
      <c r="J31" s="50">
        <v>1</v>
      </c>
      <c r="K31" s="50">
        <v>1</v>
      </c>
      <c r="L31" s="50">
        <v>2</v>
      </c>
      <c r="M31" s="50">
        <v>100</v>
      </c>
      <c r="N31" s="50">
        <v>0</v>
      </c>
      <c r="O31" s="15">
        <f t="shared" si="0"/>
        <v>124</v>
      </c>
      <c r="P31" s="15">
        <f t="shared" si="1"/>
        <v>224</v>
      </c>
      <c r="R31" s="36" t="s">
        <v>155</v>
      </c>
      <c r="S31" s="34">
        <f>SUM(C94:C97)</f>
        <v>31</v>
      </c>
      <c r="T31" s="34">
        <f t="shared" ref="T31:AF31" si="23">SUM(D94:D97)</f>
        <v>4</v>
      </c>
      <c r="U31" s="34">
        <f t="shared" si="23"/>
        <v>3</v>
      </c>
      <c r="V31" s="34">
        <f t="shared" si="23"/>
        <v>11</v>
      </c>
      <c r="W31" s="34">
        <f t="shared" si="23"/>
        <v>0</v>
      </c>
      <c r="X31" s="34">
        <f t="shared" si="23"/>
        <v>0</v>
      </c>
      <c r="Y31" s="34">
        <f t="shared" si="23"/>
        <v>10</v>
      </c>
      <c r="Z31" s="34">
        <f t="shared" si="23"/>
        <v>6</v>
      </c>
      <c r="AA31" s="34">
        <f t="shared" si="23"/>
        <v>3</v>
      </c>
      <c r="AB31" s="34">
        <f t="shared" si="23"/>
        <v>2</v>
      </c>
      <c r="AC31" s="34">
        <f t="shared" si="23"/>
        <v>101</v>
      </c>
      <c r="AD31" s="34">
        <f t="shared" si="23"/>
        <v>0</v>
      </c>
      <c r="AE31" s="31">
        <f t="shared" si="23"/>
        <v>70</v>
      </c>
      <c r="AF31" s="31">
        <f t="shared" si="23"/>
        <v>171</v>
      </c>
    </row>
    <row r="32" spans="2:32" ht="23.1" customHeight="1" x14ac:dyDescent="0.25">
      <c r="B32" s="46" t="s">
        <v>59</v>
      </c>
      <c r="C32" s="50">
        <v>29</v>
      </c>
      <c r="D32" s="50">
        <v>3</v>
      </c>
      <c r="E32" s="50">
        <v>9</v>
      </c>
      <c r="F32" s="50">
        <v>34</v>
      </c>
      <c r="G32" s="50">
        <v>1</v>
      </c>
      <c r="H32" s="50">
        <v>0</v>
      </c>
      <c r="I32" s="50">
        <v>12</v>
      </c>
      <c r="J32" s="50">
        <v>4</v>
      </c>
      <c r="K32" s="50">
        <v>2</v>
      </c>
      <c r="L32" s="50">
        <v>3</v>
      </c>
      <c r="M32" s="50">
        <v>120</v>
      </c>
      <c r="N32" s="50">
        <v>0</v>
      </c>
      <c r="O32" s="15">
        <f t="shared" si="0"/>
        <v>97</v>
      </c>
      <c r="P32" s="15">
        <f t="shared" si="1"/>
        <v>217</v>
      </c>
      <c r="R32" s="33" t="s">
        <v>156</v>
      </c>
      <c r="S32" s="34">
        <f>SUM(C98:C101)</f>
        <v>44</v>
      </c>
      <c r="T32" s="34">
        <f t="shared" ref="T32:AF32" si="24">SUM(D98:D101)</f>
        <v>0</v>
      </c>
      <c r="U32" s="34">
        <f t="shared" si="24"/>
        <v>3</v>
      </c>
      <c r="V32" s="34">
        <f t="shared" si="24"/>
        <v>40</v>
      </c>
      <c r="W32" s="34">
        <f t="shared" si="24"/>
        <v>2</v>
      </c>
      <c r="X32" s="34">
        <f t="shared" si="24"/>
        <v>1</v>
      </c>
      <c r="Y32" s="34">
        <f t="shared" si="24"/>
        <v>13</v>
      </c>
      <c r="Z32" s="34">
        <f t="shared" si="24"/>
        <v>13</v>
      </c>
      <c r="AA32" s="34">
        <f t="shared" si="24"/>
        <v>4</v>
      </c>
      <c r="AB32" s="34">
        <f t="shared" si="24"/>
        <v>3</v>
      </c>
      <c r="AC32" s="34">
        <f t="shared" si="24"/>
        <v>134</v>
      </c>
      <c r="AD32" s="34">
        <f t="shared" si="24"/>
        <v>0</v>
      </c>
      <c r="AE32" s="31">
        <f t="shared" si="24"/>
        <v>123</v>
      </c>
      <c r="AF32" s="31">
        <f t="shared" si="24"/>
        <v>257</v>
      </c>
    </row>
    <row r="33" spans="2:32" ht="23.1" customHeight="1" x14ac:dyDescent="0.25">
      <c r="B33" s="45" t="s">
        <v>60</v>
      </c>
      <c r="C33" s="50">
        <v>47</v>
      </c>
      <c r="D33" s="50">
        <v>6</v>
      </c>
      <c r="E33" s="50">
        <v>5</v>
      </c>
      <c r="F33" s="50">
        <v>48</v>
      </c>
      <c r="G33" s="50">
        <v>0</v>
      </c>
      <c r="H33" s="50">
        <v>0</v>
      </c>
      <c r="I33" s="50">
        <v>11</v>
      </c>
      <c r="J33" s="50">
        <v>2</v>
      </c>
      <c r="K33" s="50">
        <v>1</v>
      </c>
      <c r="L33" s="50">
        <v>5</v>
      </c>
      <c r="M33" s="50">
        <v>142</v>
      </c>
      <c r="N33" s="50">
        <v>0</v>
      </c>
      <c r="O33" s="15">
        <f t="shared" si="0"/>
        <v>125</v>
      </c>
      <c r="P33" s="15">
        <f t="shared" si="1"/>
        <v>267</v>
      </c>
      <c r="R33" s="33" t="s">
        <v>157</v>
      </c>
      <c r="S33" s="34">
        <f>SUM(C102:C105)</f>
        <v>95</v>
      </c>
      <c r="T33" s="34">
        <f t="shared" ref="T33:AF33" si="25">SUM(D102:D105)</f>
        <v>10</v>
      </c>
      <c r="U33" s="34">
        <f t="shared" si="25"/>
        <v>11</v>
      </c>
      <c r="V33" s="34">
        <f t="shared" si="25"/>
        <v>114</v>
      </c>
      <c r="W33" s="34">
        <f t="shared" si="25"/>
        <v>2</v>
      </c>
      <c r="X33" s="34">
        <f t="shared" si="25"/>
        <v>7</v>
      </c>
      <c r="Y33" s="34">
        <f t="shared" si="25"/>
        <v>19</v>
      </c>
      <c r="Z33" s="34">
        <f t="shared" si="25"/>
        <v>16</v>
      </c>
      <c r="AA33" s="34">
        <f t="shared" si="25"/>
        <v>9</v>
      </c>
      <c r="AB33" s="34">
        <f t="shared" si="25"/>
        <v>14</v>
      </c>
      <c r="AC33" s="34">
        <f t="shared" si="25"/>
        <v>252</v>
      </c>
      <c r="AD33" s="34">
        <f t="shared" si="25"/>
        <v>0</v>
      </c>
      <c r="AE33" s="31">
        <f t="shared" si="25"/>
        <v>297</v>
      </c>
      <c r="AF33" s="31">
        <f t="shared" si="25"/>
        <v>549</v>
      </c>
    </row>
    <row r="34" spans="2:32" ht="23.1" customHeight="1" x14ac:dyDescent="0.25">
      <c r="B34" s="46" t="s">
        <v>61</v>
      </c>
      <c r="C34" s="50">
        <v>25</v>
      </c>
      <c r="D34" s="50">
        <v>8</v>
      </c>
      <c r="E34" s="50">
        <v>6</v>
      </c>
      <c r="F34" s="50">
        <v>41</v>
      </c>
      <c r="G34" s="50">
        <v>1</v>
      </c>
      <c r="H34" s="50">
        <v>1</v>
      </c>
      <c r="I34" s="50">
        <v>14</v>
      </c>
      <c r="J34" s="50">
        <v>4</v>
      </c>
      <c r="K34" s="50">
        <v>3</v>
      </c>
      <c r="L34" s="50">
        <v>2</v>
      </c>
      <c r="M34" s="50">
        <v>111</v>
      </c>
      <c r="N34" s="50">
        <v>0</v>
      </c>
      <c r="O34" s="15">
        <f t="shared" si="0"/>
        <v>105</v>
      </c>
      <c r="P34" s="15">
        <f t="shared" si="1"/>
        <v>216</v>
      </c>
      <c r="R34" s="38" t="s">
        <v>90</v>
      </c>
      <c r="S34" s="39">
        <f t="shared" ref="S34:AF34" si="26">MAX(S10:S12)</f>
        <v>102</v>
      </c>
      <c r="T34" s="39">
        <f t="shared" si="26"/>
        <v>21</v>
      </c>
      <c r="U34" s="39">
        <f t="shared" si="26"/>
        <v>14</v>
      </c>
      <c r="V34" s="39">
        <f t="shared" si="26"/>
        <v>167</v>
      </c>
      <c r="W34" s="39">
        <f t="shared" si="26"/>
        <v>9</v>
      </c>
      <c r="X34" s="39">
        <f t="shared" si="26"/>
        <v>6</v>
      </c>
      <c r="Y34" s="39">
        <f t="shared" si="26"/>
        <v>23</v>
      </c>
      <c r="Z34" s="39">
        <f t="shared" si="26"/>
        <v>14</v>
      </c>
      <c r="AA34" s="39">
        <f t="shared" si="26"/>
        <v>5</v>
      </c>
      <c r="AB34" s="39">
        <f t="shared" si="26"/>
        <v>11</v>
      </c>
      <c r="AC34" s="39">
        <f t="shared" si="26"/>
        <v>680</v>
      </c>
      <c r="AD34" s="39">
        <f t="shared" si="26"/>
        <v>0</v>
      </c>
      <c r="AE34" s="40">
        <f t="shared" si="26"/>
        <v>356</v>
      </c>
      <c r="AF34" s="40">
        <f t="shared" si="26"/>
        <v>1036</v>
      </c>
    </row>
    <row r="35" spans="2:32" ht="23.1" customHeight="1" x14ac:dyDescent="0.25">
      <c r="B35" s="46" t="s">
        <v>62</v>
      </c>
      <c r="C35" s="50">
        <v>39</v>
      </c>
      <c r="D35" s="50">
        <v>9</v>
      </c>
      <c r="E35" s="50">
        <v>2</v>
      </c>
      <c r="F35" s="50">
        <v>39</v>
      </c>
      <c r="G35" s="50">
        <v>2</v>
      </c>
      <c r="H35" s="50">
        <v>1</v>
      </c>
      <c r="I35" s="50">
        <v>19</v>
      </c>
      <c r="J35" s="50">
        <v>5</v>
      </c>
      <c r="K35" s="50">
        <v>4</v>
      </c>
      <c r="L35" s="50">
        <v>4</v>
      </c>
      <c r="M35" s="50">
        <v>110</v>
      </c>
      <c r="N35" s="50">
        <v>0</v>
      </c>
      <c r="O35" s="15">
        <f t="shared" si="0"/>
        <v>124</v>
      </c>
      <c r="P35" s="15">
        <f t="shared" si="1"/>
        <v>234</v>
      </c>
      <c r="R35" s="38" t="s">
        <v>91</v>
      </c>
      <c r="S35" s="39">
        <f t="shared" ref="S35:AF35" si="27">MAX(S13:S18)</f>
        <v>141</v>
      </c>
      <c r="T35" s="39">
        <f t="shared" si="27"/>
        <v>35</v>
      </c>
      <c r="U35" s="39">
        <f t="shared" si="27"/>
        <v>31</v>
      </c>
      <c r="V35" s="39">
        <f t="shared" si="27"/>
        <v>161</v>
      </c>
      <c r="W35" s="39">
        <f t="shared" si="27"/>
        <v>6</v>
      </c>
      <c r="X35" s="39">
        <f t="shared" si="27"/>
        <v>20</v>
      </c>
      <c r="Y35" s="39">
        <f t="shared" si="27"/>
        <v>54</v>
      </c>
      <c r="Z35" s="39">
        <f t="shared" si="27"/>
        <v>19</v>
      </c>
      <c r="AA35" s="39">
        <f t="shared" si="27"/>
        <v>14</v>
      </c>
      <c r="AB35" s="39">
        <f t="shared" si="27"/>
        <v>18</v>
      </c>
      <c r="AC35" s="39">
        <f t="shared" si="27"/>
        <v>550</v>
      </c>
      <c r="AD35" s="39">
        <f t="shared" si="27"/>
        <v>0</v>
      </c>
      <c r="AE35" s="40">
        <f t="shared" si="27"/>
        <v>458</v>
      </c>
      <c r="AF35" s="40">
        <f t="shared" si="27"/>
        <v>990</v>
      </c>
    </row>
    <row r="36" spans="2:32" ht="23.1" customHeight="1" x14ac:dyDescent="0.25">
      <c r="B36" s="46" t="s">
        <v>63</v>
      </c>
      <c r="C36" s="50">
        <v>30</v>
      </c>
      <c r="D36" s="50">
        <v>7</v>
      </c>
      <c r="E36" s="50">
        <v>7</v>
      </c>
      <c r="F36" s="50">
        <v>40</v>
      </c>
      <c r="G36" s="50">
        <v>2</v>
      </c>
      <c r="H36" s="50">
        <v>0</v>
      </c>
      <c r="I36" s="50">
        <v>6</v>
      </c>
      <c r="J36" s="50">
        <v>3</v>
      </c>
      <c r="K36" s="50">
        <v>0</v>
      </c>
      <c r="L36" s="50">
        <v>3</v>
      </c>
      <c r="M36" s="50">
        <v>160</v>
      </c>
      <c r="N36" s="50">
        <v>0</v>
      </c>
      <c r="O36" s="15">
        <f t="shared" si="0"/>
        <v>98</v>
      </c>
      <c r="P36" s="15">
        <f t="shared" si="1"/>
        <v>258</v>
      </c>
      <c r="R36" s="38" t="s">
        <v>92</v>
      </c>
      <c r="S36" s="39">
        <f t="shared" ref="S36:AF36" si="28">MAX(S19:S21)</f>
        <v>157</v>
      </c>
      <c r="T36" s="39">
        <f t="shared" si="28"/>
        <v>23</v>
      </c>
      <c r="U36" s="39">
        <f t="shared" si="28"/>
        <v>21</v>
      </c>
      <c r="V36" s="39">
        <f t="shared" si="28"/>
        <v>124</v>
      </c>
      <c r="W36" s="39">
        <f t="shared" si="28"/>
        <v>5</v>
      </c>
      <c r="X36" s="39">
        <f t="shared" si="28"/>
        <v>6</v>
      </c>
      <c r="Y36" s="39">
        <f t="shared" si="28"/>
        <v>54</v>
      </c>
      <c r="Z36" s="39">
        <f t="shared" si="28"/>
        <v>16</v>
      </c>
      <c r="AA36" s="39">
        <f t="shared" si="28"/>
        <v>11</v>
      </c>
      <c r="AB36" s="39">
        <f t="shared" si="28"/>
        <v>16</v>
      </c>
      <c r="AC36" s="39">
        <f t="shared" si="28"/>
        <v>625</v>
      </c>
      <c r="AD36" s="39">
        <f t="shared" si="28"/>
        <v>0</v>
      </c>
      <c r="AE36" s="40">
        <f t="shared" si="28"/>
        <v>402</v>
      </c>
      <c r="AF36" s="40">
        <f t="shared" si="28"/>
        <v>1027</v>
      </c>
    </row>
    <row r="37" spans="2:32" ht="23.1" customHeight="1" x14ac:dyDescent="0.25">
      <c r="B37" s="45" t="s">
        <v>64</v>
      </c>
      <c r="C37" s="50">
        <v>35</v>
      </c>
      <c r="D37" s="50">
        <v>11</v>
      </c>
      <c r="E37" s="50">
        <v>4</v>
      </c>
      <c r="F37" s="50">
        <v>41</v>
      </c>
      <c r="G37" s="50">
        <v>1</v>
      </c>
      <c r="H37" s="50">
        <v>1</v>
      </c>
      <c r="I37" s="50">
        <v>12</v>
      </c>
      <c r="J37" s="50">
        <v>7</v>
      </c>
      <c r="K37" s="50">
        <v>7</v>
      </c>
      <c r="L37" s="50">
        <v>3</v>
      </c>
      <c r="M37" s="50">
        <v>69</v>
      </c>
      <c r="N37" s="50">
        <v>0</v>
      </c>
      <c r="O37" s="15">
        <f t="shared" si="0"/>
        <v>122</v>
      </c>
      <c r="P37" s="15">
        <f t="shared" si="1"/>
        <v>191</v>
      </c>
      <c r="R37" s="37" t="s">
        <v>85</v>
      </c>
      <c r="S37" s="35">
        <f t="shared" ref="S37:AF37" si="29">SUM(S10:S12)</f>
        <v>257</v>
      </c>
      <c r="T37" s="16">
        <f t="shared" si="29"/>
        <v>47</v>
      </c>
      <c r="U37" s="16">
        <f t="shared" si="29"/>
        <v>33</v>
      </c>
      <c r="V37" s="16">
        <f t="shared" si="29"/>
        <v>431</v>
      </c>
      <c r="W37" s="16">
        <f t="shared" si="29"/>
        <v>23</v>
      </c>
      <c r="X37" s="16">
        <f t="shared" si="29"/>
        <v>9</v>
      </c>
      <c r="Y37" s="16">
        <f t="shared" si="29"/>
        <v>56</v>
      </c>
      <c r="Z37" s="16">
        <f t="shared" si="29"/>
        <v>38</v>
      </c>
      <c r="AA37" s="16">
        <f t="shared" si="29"/>
        <v>10</v>
      </c>
      <c r="AB37" s="16">
        <f t="shared" si="29"/>
        <v>22</v>
      </c>
      <c r="AC37" s="16">
        <f t="shared" si="29"/>
        <v>1788</v>
      </c>
      <c r="AD37" s="16">
        <f t="shared" si="29"/>
        <v>0</v>
      </c>
      <c r="AE37" s="32">
        <f t="shared" si="29"/>
        <v>926</v>
      </c>
      <c r="AF37" s="32">
        <f t="shared" si="29"/>
        <v>2714</v>
      </c>
    </row>
    <row r="38" spans="2:32" ht="23.1" customHeight="1" x14ac:dyDescent="0.25">
      <c r="B38" s="46" t="s">
        <v>65</v>
      </c>
      <c r="C38" s="50">
        <v>37</v>
      </c>
      <c r="D38" s="50">
        <v>5</v>
      </c>
      <c r="E38" s="50">
        <v>9</v>
      </c>
      <c r="F38" s="50">
        <v>45</v>
      </c>
      <c r="G38" s="50">
        <v>1</v>
      </c>
      <c r="H38" s="50">
        <v>0</v>
      </c>
      <c r="I38" s="50">
        <v>11</v>
      </c>
      <c r="J38" s="50">
        <v>3</v>
      </c>
      <c r="K38" s="50">
        <v>0</v>
      </c>
      <c r="L38" s="50">
        <v>3</v>
      </c>
      <c r="M38" s="50">
        <v>95</v>
      </c>
      <c r="N38" s="50">
        <v>0</v>
      </c>
      <c r="O38" s="15">
        <f t="shared" si="0"/>
        <v>114</v>
      </c>
      <c r="P38" s="15">
        <f t="shared" si="1"/>
        <v>209</v>
      </c>
      <c r="R38" s="28" t="s">
        <v>86</v>
      </c>
      <c r="S38" s="16">
        <f t="shared" ref="S38:AF38" si="30">SUM(S13:S18)</f>
        <v>765</v>
      </c>
      <c r="T38" s="16">
        <f t="shared" si="30"/>
        <v>139</v>
      </c>
      <c r="U38" s="16">
        <f t="shared" si="30"/>
        <v>138</v>
      </c>
      <c r="V38" s="16">
        <f t="shared" si="30"/>
        <v>858</v>
      </c>
      <c r="W38" s="16">
        <f t="shared" si="30"/>
        <v>25</v>
      </c>
      <c r="X38" s="16">
        <f t="shared" si="30"/>
        <v>32</v>
      </c>
      <c r="Y38" s="16">
        <f t="shared" si="30"/>
        <v>291</v>
      </c>
      <c r="Z38" s="16">
        <f t="shared" si="30"/>
        <v>82</v>
      </c>
      <c r="AA38" s="16">
        <f t="shared" si="30"/>
        <v>41</v>
      </c>
      <c r="AB38" s="16">
        <f t="shared" si="30"/>
        <v>86</v>
      </c>
      <c r="AC38" s="16">
        <f t="shared" si="30"/>
        <v>2843</v>
      </c>
      <c r="AD38" s="16">
        <f t="shared" si="30"/>
        <v>0</v>
      </c>
      <c r="AE38" s="32">
        <f t="shared" si="30"/>
        <v>2457</v>
      </c>
      <c r="AF38" s="32">
        <f t="shared" si="30"/>
        <v>5300</v>
      </c>
    </row>
    <row r="39" spans="2:32" ht="23.1" customHeight="1" x14ac:dyDescent="0.25">
      <c r="B39" s="46" t="s">
        <v>66</v>
      </c>
      <c r="C39" s="50">
        <v>27</v>
      </c>
      <c r="D39" s="50">
        <v>10</v>
      </c>
      <c r="E39" s="50">
        <v>10</v>
      </c>
      <c r="F39" s="50">
        <v>49</v>
      </c>
      <c r="G39" s="50">
        <v>0</v>
      </c>
      <c r="H39" s="50">
        <v>0</v>
      </c>
      <c r="I39" s="50">
        <v>11</v>
      </c>
      <c r="J39" s="50">
        <v>4</v>
      </c>
      <c r="K39" s="50">
        <v>3</v>
      </c>
      <c r="L39" s="50">
        <v>6</v>
      </c>
      <c r="M39" s="50">
        <v>115</v>
      </c>
      <c r="N39" s="50">
        <v>0</v>
      </c>
      <c r="O39" s="15">
        <f t="shared" si="0"/>
        <v>120</v>
      </c>
      <c r="P39" s="15">
        <f t="shared" si="1"/>
        <v>235</v>
      </c>
      <c r="R39" s="29" t="s">
        <v>87</v>
      </c>
      <c r="S39" s="16">
        <f t="shared" ref="S39:AF39" si="31">SUM(S19:S21)</f>
        <v>433</v>
      </c>
      <c r="T39" s="16">
        <f t="shared" si="31"/>
        <v>59</v>
      </c>
      <c r="U39" s="16">
        <f t="shared" si="31"/>
        <v>56</v>
      </c>
      <c r="V39" s="16">
        <f t="shared" si="31"/>
        <v>347</v>
      </c>
      <c r="W39" s="16">
        <f t="shared" si="31"/>
        <v>13</v>
      </c>
      <c r="X39" s="16">
        <f t="shared" si="31"/>
        <v>9</v>
      </c>
      <c r="Y39" s="16">
        <f t="shared" si="31"/>
        <v>157</v>
      </c>
      <c r="Z39" s="16">
        <f t="shared" si="31"/>
        <v>33</v>
      </c>
      <c r="AA39" s="16">
        <f t="shared" si="31"/>
        <v>26</v>
      </c>
      <c r="AB39" s="16">
        <f t="shared" si="31"/>
        <v>38</v>
      </c>
      <c r="AC39" s="16">
        <f t="shared" si="31"/>
        <v>1636</v>
      </c>
      <c r="AD39" s="16">
        <f t="shared" si="31"/>
        <v>0</v>
      </c>
      <c r="AE39" s="32">
        <f t="shared" si="31"/>
        <v>1171</v>
      </c>
      <c r="AF39" s="32">
        <f t="shared" si="31"/>
        <v>2807</v>
      </c>
    </row>
    <row r="40" spans="2:32" ht="23.1" customHeight="1" x14ac:dyDescent="0.25">
      <c r="B40" s="46" t="s">
        <v>67</v>
      </c>
      <c r="C40" s="50">
        <v>39</v>
      </c>
      <c r="D40" s="50">
        <v>10</v>
      </c>
      <c r="E40" s="50">
        <v>7</v>
      </c>
      <c r="F40" s="50">
        <v>30</v>
      </c>
      <c r="G40" s="50">
        <v>1</v>
      </c>
      <c r="H40" s="50">
        <v>1</v>
      </c>
      <c r="I40" s="50">
        <v>14</v>
      </c>
      <c r="J40" s="50">
        <v>3</v>
      </c>
      <c r="K40" s="50">
        <v>1</v>
      </c>
      <c r="L40" s="50">
        <v>5</v>
      </c>
      <c r="M40" s="50">
        <v>85</v>
      </c>
      <c r="N40" s="50">
        <v>0</v>
      </c>
      <c r="O40" s="15">
        <f t="shared" si="0"/>
        <v>111</v>
      </c>
      <c r="P40" s="15">
        <f t="shared" si="1"/>
        <v>196</v>
      </c>
      <c r="R40" s="5" t="s">
        <v>17</v>
      </c>
      <c r="S40" s="16">
        <f t="shared" ref="S40:AF40" si="32">SUM(S10:S21)</f>
        <v>1455</v>
      </c>
      <c r="T40" s="16">
        <f t="shared" si="32"/>
        <v>245</v>
      </c>
      <c r="U40" s="16">
        <f t="shared" si="32"/>
        <v>227</v>
      </c>
      <c r="V40" s="16">
        <f t="shared" si="32"/>
        <v>1636</v>
      </c>
      <c r="W40" s="16">
        <f t="shared" si="32"/>
        <v>61</v>
      </c>
      <c r="X40" s="16">
        <f t="shared" si="32"/>
        <v>50</v>
      </c>
      <c r="Y40" s="16">
        <f t="shared" si="32"/>
        <v>504</v>
      </c>
      <c r="Z40" s="16">
        <f t="shared" si="32"/>
        <v>153</v>
      </c>
      <c r="AA40" s="16">
        <f t="shared" si="32"/>
        <v>77</v>
      </c>
      <c r="AB40" s="16">
        <f t="shared" si="32"/>
        <v>146</v>
      </c>
      <c r="AC40" s="16">
        <f t="shared" si="32"/>
        <v>6267</v>
      </c>
      <c r="AD40" s="16">
        <f t="shared" si="32"/>
        <v>0</v>
      </c>
      <c r="AE40" s="32">
        <f t="shared" si="32"/>
        <v>4554</v>
      </c>
      <c r="AF40" s="32">
        <f t="shared" si="32"/>
        <v>10821</v>
      </c>
    </row>
    <row r="41" spans="2:32" ht="23.1" customHeight="1" x14ac:dyDescent="0.25">
      <c r="B41" s="45" t="s">
        <v>68</v>
      </c>
      <c r="C41" s="50">
        <v>23</v>
      </c>
      <c r="D41" s="50">
        <v>1</v>
      </c>
      <c r="E41" s="50">
        <v>5</v>
      </c>
      <c r="F41" s="50">
        <v>34</v>
      </c>
      <c r="G41" s="50">
        <v>2</v>
      </c>
      <c r="H41" s="50">
        <v>1</v>
      </c>
      <c r="I41" s="50">
        <v>9</v>
      </c>
      <c r="J41" s="50">
        <v>5</v>
      </c>
      <c r="K41" s="50">
        <v>0</v>
      </c>
      <c r="L41" s="50">
        <v>3</v>
      </c>
      <c r="M41" s="50">
        <v>110</v>
      </c>
      <c r="N41" s="50">
        <v>0</v>
      </c>
      <c r="O41" s="15">
        <f t="shared" si="0"/>
        <v>83</v>
      </c>
      <c r="P41" s="15">
        <f t="shared" si="1"/>
        <v>193</v>
      </c>
      <c r="R41" s="5" t="s">
        <v>159</v>
      </c>
      <c r="S41" s="16">
        <f>SUM(S10:S33)</f>
        <v>2517</v>
      </c>
      <c r="T41" s="16">
        <f t="shared" ref="T41:AF41" si="33">SUM(T10:T33)</f>
        <v>339</v>
      </c>
      <c r="U41" s="16">
        <f t="shared" si="33"/>
        <v>336</v>
      </c>
      <c r="V41" s="16">
        <f t="shared" si="33"/>
        <v>2370</v>
      </c>
      <c r="W41" s="16">
        <f t="shared" si="33"/>
        <v>103</v>
      </c>
      <c r="X41" s="16">
        <f t="shared" si="33"/>
        <v>77</v>
      </c>
      <c r="Y41" s="16">
        <f t="shared" si="33"/>
        <v>698</v>
      </c>
      <c r="Z41" s="16">
        <f t="shared" si="33"/>
        <v>292</v>
      </c>
      <c r="AA41" s="16">
        <f t="shared" si="33"/>
        <v>168</v>
      </c>
      <c r="AB41" s="16">
        <f t="shared" si="33"/>
        <v>196</v>
      </c>
      <c r="AC41" s="16">
        <f t="shared" si="33"/>
        <v>10170</v>
      </c>
      <c r="AD41" s="16">
        <f t="shared" si="33"/>
        <v>0</v>
      </c>
      <c r="AE41" s="32">
        <f t="shared" si="33"/>
        <v>7096</v>
      </c>
      <c r="AF41" s="32">
        <f t="shared" si="33"/>
        <v>17266</v>
      </c>
    </row>
    <row r="42" spans="2:32" ht="23.1" customHeight="1" x14ac:dyDescent="0.25">
      <c r="B42" s="46" t="s">
        <v>69</v>
      </c>
      <c r="C42" s="50">
        <v>49</v>
      </c>
      <c r="D42" s="50">
        <v>6</v>
      </c>
      <c r="E42" s="50">
        <v>7</v>
      </c>
      <c r="F42" s="50">
        <v>37</v>
      </c>
      <c r="G42" s="50">
        <v>2</v>
      </c>
      <c r="H42" s="50">
        <v>0</v>
      </c>
      <c r="I42" s="50">
        <v>16</v>
      </c>
      <c r="J42" s="50">
        <v>2</v>
      </c>
      <c r="K42" s="50">
        <v>3</v>
      </c>
      <c r="L42" s="50">
        <v>2</v>
      </c>
      <c r="M42" s="50">
        <v>106</v>
      </c>
      <c r="N42" s="50">
        <v>0</v>
      </c>
      <c r="O42" s="15">
        <f t="shared" si="0"/>
        <v>124</v>
      </c>
      <c r="P42" s="15">
        <f t="shared" si="1"/>
        <v>230</v>
      </c>
      <c r="R42" s="5" t="s">
        <v>160</v>
      </c>
      <c r="S42" s="48">
        <f>S41/S40</f>
        <v>1.7298969072164949</v>
      </c>
      <c r="T42" s="48">
        <f t="shared" ref="T42:AF42" si="34">T41/T40</f>
        <v>1.383673469387755</v>
      </c>
      <c r="U42" s="48">
        <f t="shared" si="34"/>
        <v>1.4801762114537445</v>
      </c>
      <c r="V42" s="48">
        <f t="shared" si="34"/>
        <v>1.4486552567237163</v>
      </c>
      <c r="W42" s="48">
        <f t="shared" si="34"/>
        <v>1.6885245901639345</v>
      </c>
      <c r="X42" s="48">
        <f t="shared" si="34"/>
        <v>1.54</v>
      </c>
      <c r="Y42" s="48">
        <f t="shared" si="34"/>
        <v>1.3849206349206349</v>
      </c>
      <c r="Z42" s="48">
        <f t="shared" si="34"/>
        <v>1.9084967320261439</v>
      </c>
      <c r="AA42" s="48">
        <f t="shared" si="34"/>
        <v>2.1818181818181817</v>
      </c>
      <c r="AB42" s="48">
        <f t="shared" si="34"/>
        <v>1.3424657534246576</v>
      </c>
      <c r="AC42" s="48">
        <f t="shared" si="34"/>
        <v>1.6227860220201054</v>
      </c>
      <c r="AD42" s="48" t="e">
        <f t="shared" si="34"/>
        <v>#DIV/0!</v>
      </c>
      <c r="AE42" s="48">
        <f t="shared" si="34"/>
        <v>1.5581906016688625</v>
      </c>
      <c r="AF42" s="48">
        <f t="shared" si="34"/>
        <v>1.5956011459199704</v>
      </c>
    </row>
    <row r="43" spans="2:32" ht="23.1" customHeight="1" x14ac:dyDescent="0.25">
      <c r="B43" s="45" t="s">
        <v>70</v>
      </c>
      <c r="C43" s="50">
        <v>22</v>
      </c>
      <c r="D43" s="50">
        <v>5</v>
      </c>
      <c r="E43" s="50">
        <v>2</v>
      </c>
      <c r="F43" s="50">
        <v>24</v>
      </c>
      <c r="G43" s="50">
        <v>1</v>
      </c>
      <c r="H43" s="50">
        <v>1</v>
      </c>
      <c r="I43" s="50">
        <v>7</v>
      </c>
      <c r="J43" s="50">
        <v>1</v>
      </c>
      <c r="K43" s="50">
        <v>1</v>
      </c>
      <c r="L43" s="50">
        <v>0</v>
      </c>
      <c r="M43" s="50">
        <v>95</v>
      </c>
      <c r="N43" s="50">
        <v>0</v>
      </c>
      <c r="O43" s="15">
        <f t="shared" si="0"/>
        <v>64</v>
      </c>
      <c r="P43" s="15">
        <f t="shared" si="1"/>
        <v>159</v>
      </c>
    </row>
    <row r="44" spans="2:32" ht="23.1" customHeight="1" x14ac:dyDescent="0.25">
      <c r="B44" s="47" t="s">
        <v>71</v>
      </c>
      <c r="C44" s="50">
        <v>25</v>
      </c>
      <c r="D44" s="50">
        <v>7</v>
      </c>
      <c r="E44" s="50">
        <v>2</v>
      </c>
      <c r="F44" s="50">
        <v>28</v>
      </c>
      <c r="G44" s="50">
        <v>0</v>
      </c>
      <c r="H44" s="50">
        <v>1</v>
      </c>
      <c r="I44" s="50">
        <v>6</v>
      </c>
      <c r="J44" s="50">
        <v>0</v>
      </c>
      <c r="K44" s="50">
        <v>2</v>
      </c>
      <c r="L44" s="50">
        <v>2</v>
      </c>
      <c r="M44" s="50">
        <v>65</v>
      </c>
      <c r="N44" s="50">
        <v>0</v>
      </c>
      <c r="O44" s="15">
        <f t="shared" si="0"/>
        <v>73</v>
      </c>
      <c r="P44" s="15">
        <f t="shared" si="1"/>
        <v>138</v>
      </c>
    </row>
    <row r="45" spans="2:32" ht="23.1" customHeight="1" x14ac:dyDescent="0.25">
      <c r="B45" s="45" t="s">
        <v>72</v>
      </c>
      <c r="C45" s="50">
        <v>21</v>
      </c>
      <c r="D45" s="50">
        <v>3</v>
      </c>
      <c r="E45" s="50">
        <v>2</v>
      </c>
      <c r="F45" s="50">
        <v>29</v>
      </c>
      <c r="G45" s="50">
        <v>0</v>
      </c>
      <c r="H45" s="50">
        <v>2</v>
      </c>
      <c r="I45" s="50">
        <v>8</v>
      </c>
      <c r="J45" s="50">
        <v>4</v>
      </c>
      <c r="K45" s="50">
        <v>0</v>
      </c>
      <c r="L45" s="50">
        <v>9</v>
      </c>
      <c r="M45" s="50">
        <v>95</v>
      </c>
      <c r="N45" s="50">
        <v>0</v>
      </c>
      <c r="O45" s="15">
        <f t="shared" si="0"/>
        <v>78</v>
      </c>
      <c r="P45" s="15">
        <f t="shared" si="1"/>
        <v>173</v>
      </c>
    </row>
    <row r="46" spans="2:32" ht="23.1" customHeight="1" x14ac:dyDescent="0.25">
      <c r="B46" s="46" t="s">
        <v>73</v>
      </c>
      <c r="C46" s="50">
        <v>33</v>
      </c>
      <c r="D46" s="50">
        <v>6</v>
      </c>
      <c r="E46" s="50">
        <v>1</v>
      </c>
      <c r="F46" s="50">
        <v>21</v>
      </c>
      <c r="G46" s="50">
        <v>3</v>
      </c>
      <c r="H46" s="50">
        <v>2</v>
      </c>
      <c r="I46" s="50">
        <v>11</v>
      </c>
      <c r="J46" s="50">
        <v>7</v>
      </c>
      <c r="K46" s="50">
        <v>1</v>
      </c>
      <c r="L46" s="50">
        <v>6</v>
      </c>
      <c r="M46" s="50">
        <v>100</v>
      </c>
      <c r="N46" s="50">
        <v>0</v>
      </c>
      <c r="O46" s="15">
        <f t="shared" si="0"/>
        <v>91</v>
      </c>
      <c r="P46" s="15">
        <f t="shared" si="1"/>
        <v>191</v>
      </c>
      <c r="R46" s="8"/>
      <c r="T46"/>
    </row>
    <row r="47" spans="2:32" ht="23.1" customHeight="1" x14ac:dyDescent="0.25">
      <c r="B47" s="46" t="s">
        <v>74</v>
      </c>
      <c r="C47" s="50">
        <v>35</v>
      </c>
      <c r="D47" s="50">
        <v>8</v>
      </c>
      <c r="E47" s="50">
        <v>11</v>
      </c>
      <c r="F47" s="50">
        <v>25</v>
      </c>
      <c r="G47" s="50">
        <v>0</v>
      </c>
      <c r="H47" s="50">
        <v>2</v>
      </c>
      <c r="I47" s="50">
        <v>7</v>
      </c>
      <c r="J47" s="50">
        <v>6</v>
      </c>
      <c r="K47" s="50">
        <v>4</v>
      </c>
      <c r="L47" s="50">
        <v>2</v>
      </c>
      <c r="M47" s="50">
        <v>150</v>
      </c>
      <c r="N47" s="50">
        <v>0</v>
      </c>
      <c r="O47" s="15">
        <f t="shared" si="0"/>
        <v>100</v>
      </c>
      <c r="P47" s="15">
        <f t="shared" si="1"/>
        <v>250</v>
      </c>
      <c r="R47" s="8"/>
      <c r="T47"/>
    </row>
    <row r="48" spans="2:32" ht="23.1" customHeight="1" x14ac:dyDescent="0.25">
      <c r="B48" s="46" t="s">
        <v>75</v>
      </c>
      <c r="C48" s="50">
        <v>33</v>
      </c>
      <c r="D48" s="50">
        <v>3</v>
      </c>
      <c r="E48" s="50">
        <v>6</v>
      </c>
      <c r="F48" s="50">
        <v>49</v>
      </c>
      <c r="G48" s="50">
        <v>1</v>
      </c>
      <c r="H48" s="50">
        <v>0</v>
      </c>
      <c r="I48" s="50">
        <v>12</v>
      </c>
      <c r="J48" s="50">
        <v>1</v>
      </c>
      <c r="K48" s="50">
        <v>2</v>
      </c>
      <c r="L48" s="50">
        <v>0</v>
      </c>
      <c r="M48" s="50">
        <v>170</v>
      </c>
      <c r="N48" s="50">
        <v>0</v>
      </c>
      <c r="O48" s="15">
        <f t="shared" si="0"/>
        <v>107</v>
      </c>
      <c r="P48" s="15">
        <f t="shared" si="1"/>
        <v>277</v>
      </c>
      <c r="R48" s="8"/>
      <c r="T48"/>
    </row>
    <row r="49" spans="2:20" ht="23.1" customHeight="1" x14ac:dyDescent="0.25">
      <c r="B49" s="45" t="s">
        <v>76</v>
      </c>
      <c r="C49" s="50">
        <v>31</v>
      </c>
      <c r="D49" s="50">
        <v>6</v>
      </c>
      <c r="E49" s="50">
        <v>3</v>
      </c>
      <c r="F49" s="50">
        <v>19</v>
      </c>
      <c r="G49" s="50">
        <v>1</v>
      </c>
      <c r="H49" s="50">
        <v>2</v>
      </c>
      <c r="I49" s="50">
        <v>21</v>
      </c>
      <c r="J49" s="50">
        <v>2</v>
      </c>
      <c r="K49" s="50">
        <v>2</v>
      </c>
      <c r="L49" s="50">
        <v>4</v>
      </c>
      <c r="M49" s="50">
        <v>125</v>
      </c>
      <c r="N49" s="50">
        <v>0</v>
      </c>
      <c r="O49" s="15">
        <f t="shared" si="0"/>
        <v>91</v>
      </c>
      <c r="P49" s="15">
        <f t="shared" si="1"/>
        <v>216</v>
      </c>
      <c r="R49" s="8"/>
      <c r="T49"/>
    </row>
    <row r="50" spans="2:20" ht="23.1" customHeight="1" x14ac:dyDescent="0.25">
      <c r="B50" s="46" t="s">
        <v>77</v>
      </c>
      <c r="C50" s="50">
        <v>35</v>
      </c>
      <c r="D50" s="50">
        <v>2</v>
      </c>
      <c r="E50" s="50">
        <v>7</v>
      </c>
      <c r="F50" s="50">
        <v>31</v>
      </c>
      <c r="G50" s="50">
        <v>1</v>
      </c>
      <c r="H50" s="50">
        <v>0</v>
      </c>
      <c r="I50" s="50">
        <v>11</v>
      </c>
      <c r="J50" s="50">
        <v>4</v>
      </c>
      <c r="K50" s="50">
        <v>3</v>
      </c>
      <c r="L50" s="50">
        <v>4</v>
      </c>
      <c r="M50" s="50">
        <v>86</v>
      </c>
      <c r="N50" s="50">
        <v>0</v>
      </c>
      <c r="O50" s="15">
        <f t="shared" si="0"/>
        <v>98</v>
      </c>
      <c r="P50" s="15">
        <f t="shared" si="1"/>
        <v>184</v>
      </c>
      <c r="R50" s="8"/>
      <c r="T50"/>
    </row>
    <row r="51" spans="2:20" ht="23.1" customHeight="1" x14ac:dyDescent="0.25">
      <c r="B51" s="46" t="s">
        <v>78</v>
      </c>
      <c r="C51" s="50">
        <v>50</v>
      </c>
      <c r="D51" s="50">
        <v>4</v>
      </c>
      <c r="E51" s="50">
        <v>2</v>
      </c>
      <c r="F51" s="50">
        <v>33</v>
      </c>
      <c r="G51" s="50">
        <v>1</v>
      </c>
      <c r="H51" s="50">
        <v>0</v>
      </c>
      <c r="I51" s="50">
        <v>14</v>
      </c>
      <c r="J51" s="50">
        <v>1</v>
      </c>
      <c r="K51" s="50">
        <v>0</v>
      </c>
      <c r="L51" s="50">
        <v>2</v>
      </c>
      <c r="M51" s="50">
        <v>140</v>
      </c>
      <c r="N51" s="50">
        <v>0</v>
      </c>
      <c r="O51" s="15">
        <f t="shared" si="0"/>
        <v>107</v>
      </c>
      <c r="P51" s="15">
        <f t="shared" si="1"/>
        <v>247</v>
      </c>
      <c r="R51" s="8"/>
      <c r="T51"/>
    </row>
    <row r="52" spans="2:20" ht="23.1" customHeight="1" x14ac:dyDescent="0.25">
      <c r="B52" s="46" t="s">
        <v>79</v>
      </c>
      <c r="C52" s="50">
        <v>22</v>
      </c>
      <c r="D52" s="50">
        <v>6</v>
      </c>
      <c r="E52" s="50">
        <v>4</v>
      </c>
      <c r="F52" s="50">
        <v>23</v>
      </c>
      <c r="G52" s="50">
        <v>1</v>
      </c>
      <c r="H52" s="50">
        <v>0</v>
      </c>
      <c r="I52" s="50">
        <v>4</v>
      </c>
      <c r="J52" s="50">
        <v>1</v>
      </c>
      <c r="K52" s="50">
        <v>1</v>
      </c>
      <c r="L52" s="50">
        <v>1</v>
      </c>
      <c r="M52" s="50">
        <v>125</v>
      </c>
      <c r="N52" s="50">
        <v>0</v>
      </c>
      <c r="O52" s="15">
        <f t="shared" si="0"/>
        <v>63</v>
      </c>
      <c r="P52" s="15">
        <f t="shared" si="1"/>
        <v>188</v>
      </c>
      <c r="R52" s="8"/>
      <c r="T52"/>
    </row>
    <row r="53" spans="2:20" ht="23.1" customHeight="1" x14ac:dyDescent="0.25">
      <c r="B53" s="45" t="s">
        <v>80</v>
      </c>
      <c r="C53" s="50">
        <v>50</v>
      </c>
      <c r="D53" s="50">
        <v>5</v>
      </c>
      <c r="E53" s="50">
        <v>5</v>
      </c>
      <c r="F53" s="50">
        <v>22</v>
      </c>
      <c r="G53" s="50">
        <v>1</v>
      </c>
      <c r="H53" s="50">
        <v>0</v>
      </c>
      <c r="I53" s="50">
        <v>23</v>
      </c>
      <c r="J53" s="50">
        <v>1</v>
      </c>
      <c r="K53" s="50">
        <v>2</v>
      </c>
      <c r="L53" s="50">
        <v>3</v>
      </c>
      <c r="M53" s="50">
        <v>115</v>
      </c>
      <c r="N53" s="50">
        <v>0</v>
      </c>
      <c r="O53" s="15">
        <f t="shared" si="0"/>
        <v>112</v>
      </c>
      <c r="P53" s="15">
        <f t="shared" si="1"/>
        <v>227</v>
      </c>
      <c r="R53" s="8"/>
      <c r="T53"/>
    </row>
    <row r="54" spans="2:20" ht="23.1" customHeight="1" x14ac:dyDescent="0.25">
      <c r="B54" s="45" t="s">
        <v>81</v>
      </c>
      <c r="C54" s="50">
        <v>52</v>
      </c>
      <c r="D54" s="50">
        <v>3</v>
      </c>
      <c r="E54" s="50">
        <v>2</v>
      </c>
      <c r="F54" s="50">
        <v>50</v>
      </c>
      <c r="G54" s="50">
        <v>2</v>
      </c>
      <c r="H54" s="50">
        <v>0</v>
      </c>
      <c r="I54" s="50">
        <v>10</v>
      </c>
      <c r="J54" s="50">
        <v>6</v>
      </c>
      <c r="K54" s="50">
        <v>4</v>
      </c>
      <c r="L54" s="50">
        <v>3</v>
      </c>
      <c r="M54" s="50">
        <v>160</v>
      </c>
      <c r="N54" s="50">
        <v>0</v>
      </c>
      <c r="O54" s="15">
        <f t="shared" si="0"/>
        <v>132</v>
      </c>
      <c r="P54" s="15">
        <f t="shared" si="1"/>
        <v>292</v>
      </c>
      <c r="R54" s="8"/>
      <c r="T54"/>
    </row>
    <row r="55" spans="2:20" ht="23.1" customHeight="1" x14ac:dyDescent="0.25">
      <c r="B55" s="45" t="s">
        <v>82</v>
      </c>
      <c r="C55" s="50">
        <v>40</v>
      </c>
      <c r="D55" s="50">
        <v>7</v>
      </c>
      <c r="E55" s="50">
        <v>5</v>
      </c>
      <c r="F55" s="50">
        <v>33</v>
      </c>
      <c r="G55" s="50">
        <v>0</v>
      </c>
      <c r="H55" s="50">
        <v>0</v>
      </c>
      <c r="I55" s="50">
        <v>14</v>
      </c>
      <c r="J55" s="50">
        <v>1</v>
      </c>
      <c r="K55" s="50">
        <v>3</v>
      </c>
      <c r="L55" s="50">
        <v>3</v>
      </c>
      <c r="M55" s="50">
        <v>190</v>
      </c>
      <c r="N55" s="50">
        <v>0</v>
      </c>
      <c r="O55" s="15">
        <f t="shared" si="0"/>
        <v>106</v>
      </c>
      <c r="P55" s="15">
        <f t="shared" si="1"/>
        <v>296</v>
      </c>
      <c r="R55" s="8"/>
      <c r="T55"/>
    </row>
    <row r="56" spans="2:20" ht="23.1" customHeight="1" x14ac:dyDescent="0.25">
      <c r="B56" s="45" t="s">
        <v>83</v>
      </c>
      <c r="C56" s="50">
        <v>29</v>
      </c>
      <c r="D56" s="50">
        <v>8</v>
      </c>
      <c r="E56" s="50">
        <v>6</v>
      </c>
      <c r="F56" s="50">
        <v>15</v>
      </c>
      <c r="G56" s="50">
        <v>2</v>
      </c>
      <c r="H56" s="50">
        <v>1</v>
      </c>
      <c r="I56" s="50">
        <v>17</v>
      </c>
      <c r="J56" s="50">
        <v>2</v>
      </c>
      <c r="K56" s="50">
        <v>1</v>
      </c>
      <c r="L56" s="50">
        <v>6</v>
      </c>
      <c r="M56" s="50">
        <v>110</v>
      </c>
      <c r="N56" s="50">
        <v>0</v>
      </c>
      <c r="O56" s="15">
        <f t="shared" si="0"/>
        <v>87</v>
      </c>
      <c r="P56" s="15">
        <f t="shared" si="1"/>
        <v>197</v>
      </c>
      <c r="R56" s="8"/>
      <c r="T56"/>
    </row>
    <row r="57" spans="2:20" ht="23.1" customHeight="1" x14ac:dyDescent="0.25">
      <c r="B57" s="45" t="s">
        <v>84</v>
      </c>
      <c r="C57" s="50">
        <v>23</v>
      </c>
      <c r="D57" s="50">
        <v>1</v>
      </c>
      <c r="E57" s="50">
        <v>4</v>
      </c>
      <c r="F57" s="50">
        <v>26</v>
      </c>
      <c r="G57" s="50">
        <v>0</v>
      </c>
      <c r="H57" s="50">
        <v>2</v>
      </c>
      <c r="I57" s="50">
        <v>13</v>
      </c>
      <c r="J57" s="50">
        <v>1</v>
      </c>
      <c r="K57" s="50">
        <v>3</v>
      </c>
      <c r="L57" s="50">
        <v>4</v>
      </c>
      <c r="M57" s="50">
        <v>165</v>
      </c>
      <c r="N57" s="50">
        <v>0</v>
      </c>
      <c r="O57" s="15">
        <f t="shared" si="0"/>
        <v>77</v>
      </c>
      <c r="P57" s="15">
        <f t="shared" si="1"/>
        <v>242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0</v>
      </c>
      <c r="F58" s="50">
        <v>2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</v>
      </c>
      <c r="N58" s="50">
        <v>0</v>
      </c>
      <c r="O58" s="15">
        <f t="shared" ref="O58:O105" si="35">SUM(C58:L58,N58)</f>
        <v>4</v>
      </c>
      <c r="P58" s="15">
        <f t="shared" ref="P58:P105" si="36">SUM(C58:N58)</f>
        <v>5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15">
        <f t="shared" si="35"/>
        <v>0</v>
      </c>
      <c r="P59" s="15">
        <f t="shared" si="36"/>
        <v>0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35"/>
        <v>0</v>
      </c>
      <c r="P60" s="15">
        <f t="shared" si="36"/>
        <v>0</v>
      </c>
      <c r="R60" s="8"/>
      <c r="T60"/>
    </row>
    <row r="61" spans="2:20" ht="23.1" customHeight="1" x14ac:dyDescent="0.25">
      <c r="B61" s="45" t="s">
        <v>102</v>
      </c>
      <c r="C61" s="50">
        <v>41</v>
      </c>
      <c r="D61" s="50">
        <v>2</v>
      </c>
      <c r="E61" s="50">
        <v>5</v>
      </c>
      <c r="F61" s="50">
        <v>14</v>
      </c>
      <c r="G61" s="50">
        <v>0</v>
      </c>
      <c r="H61" s="50">
        <v>0</v>
      </c>
      <c r="I61" s="50">
        <v>6</v>
      </c>
      <c r="J61" s="50">
        <v>3</v>
      </c>
      <c r="K61" s="50">
        <v>0</v>
      </c>
      <c r="L61" s="50">
        <v>0</v>
      </c>
      <c r="M61" s="50">
        <v>110</v>
      </c>
      <c r="N61" s="50">
        <v>0</v>
      </c>
      <c r="O61" s="15">
        <f t="shared" si="35"/>
        <v>71</v>
      </c>
      <c r="P61" s="15">
        <f t="shared" si="36"/>
        <v>181</v>
      </c>
      <c r="R61" s="8"/>
      <c r="T61"/>
    </row>
    <row r="62" spans="2:20" ht="23.1" customHeight="1" x14ac:dyDescent="0.25">
      <c r="B62" s="45" t="s">
        <v>107</v>
      </c>
      <c r="C62" s="50">
        <v>10</v>
      </c>
      <c r="D62" s="50">
        <v>4</v>
      </c>
      <c r="E62" s="50">
        <v>2</v>
      </c>
      <c r="F62" s="50">
        <v>6</v>
      </c>
      <c r="G62" s="50">
        <v>0</v>
      </c>
      <c r="H62" s="50">
        <v>0</v>
      </c>
      <c r="I62" s="50">
        <v>2</v>
      </c>
      <c r="J62" s="50">
        <v>1</v>
      </c>
      <c r="K62" s="50">
        <v>3</v>
      </c>
      <c r="L62" s="50">
        <v>2</v>
      </c>
      <c r="M62" s="50">
        <v>60</v>
      </c>
      <c r="N62" s="50">
        <v>0</v>
      </c>
      <c r="O62" s="15">
        <f t="shared" si="35"/>
        <v>30</v>
      </c>
      <c r="P62" s="15">
        <f t="shared" si="36"/>
        <v>90</v>
      </c>
      <c r="R62" s="8"/>
      <c r="T62"/>
    </row>
    <row r="63" spans="2:20" ht="23.1" customHeight="1" x14ac:dyDescent="0.25">
      <c r="B63" s="45" t="s">
        <v>108</v>
      </c>
      <c r="C63" s="50">
        <v>20</v>
      </c>
      <c r="D63" s="50">
        <v>4</v>
      </c>
      <c r="E63" s="50">
        <v>2</v>
      </c>
      <c r="F63" s="50">
        <v>13</v>
      </c>
      <c r="G63" s="50">
        <v>2</v>
      </c>
      <c r="H63" s="50">
        <v>2</v>
      </c>
      <c r="I63" s="50">
        <v>4</v>
      </c>
      <c r="J63" s="50">
        <v>0</v>
      </c>
      <c r="K63" s="50">
        <v>0</v>
      </c>
      <c r="L63" s="50">
        <v>1</v>
      </c>
      <c r="M63" s="50">
        <v>175</v>
      </c>
      <c r="N63" s="50">
        <v>0</v>
      </c>
      <c r="O63" s="15">
        <f t="shared" si="35"/>
        <v>48</v>
      </c>
      <c r="P63" s="15">
        <f t="shared" si="36"/>
        <v>223</v>
      </c>
      <c r="R63" s="8"/>
      <c r="T63"/>
    </row>
    <row r="64" spans="2:20" ht="23.1" customHeight="1" x14ac:dyDescent="0.25">
      <c r="B64" s="45" t="s">
        <v>109</v>
      </c>
      <c r="C64" s="50">
        <v>45</v>
      </c>
      <c r="D64" s="50">
        <v>2</v>
      </c>
      <c r="E64" s="50">
        <v>1</v>
      </c>
      <c r="F64" s="50">
        <v>31</v>
      </c>
      <c r="G64" s="50">
        <v>2</v>
      </c>
      <c r="H64" s="50">
        <v>0</v>
      </c>
      <c r="I64" s="50">
        <v>10</v>
      </c>
      <c r="J64" s="50">
        <v>3</v>
      </c>
      <c r="K64" s="50">
        <v>2</v>
      </c>
      <c r="L64" s="50">
        <v>4</v>
      </c>
      <c r="M64" s="50">
        <v>190</v>
      </c>
      <c r="N64" s="50">
        <v>0</v>
      </c>
      <c r="O64" s="15">
        <f t="shared" si="35"/>
        <v>100</v>
      </c>
      <c r="P64" s="15">
        <f t="shared" si="36"/>
        <v>290</v>
      </c>
      <c r="R64" s="8"/>
      <c r="T64"/>
    </row>
    <row r="65" spans="2:20" ht="23.1" customHeight="1" x14ac:dyDescent="0.25">
      <c r="B65" s="45" t="s">
        <v>158</v>
      </c>
      <c r="C65" s="50">
        <v>39</v>
      </c>
      <c r="D65" s="50">
        <v>3</v>
      </c>
      <c r="E65" s="50">
        <v>5</v>
      </c>
      <c r="F65" s="50">
        <v>38</v>
      </c>
      <c r="G65" s="50">
        <v>2</v>
      </c>
      <c r="H65" s="50">
        <v>0</v>
      </c>
      <c r="I65" s="50">
        <v>10</v>
      </c>
      <c r="J65" s="50">
        <v>2</v>
      </c>
      <c r="K65" s="50">
        <v>1</v>
      </c>
      <c r="L65" s="50">
        <v>2</v>
      </c>
      <c r="M65" s="50">
        <v>180</v>
      </c>
      <c r="N65" s="50">
        <v>0</v>
      </c>
      <c r="O65" s="15">
        <f t="shared" si="35"/>
        <v>102</v>
      </c>
      <c r="P65" s="15">
        <f t="shared" si="36"/>
        <v>282</v>
      </c>
      <c r="R65" s="8"/>
      <c r="T65"/>
    </row>
    <row r="66" spans="2:20" ht="23.1" customHeight="1" x14ac:dyDescent="0.25">
      <c r="B66" s="45" t="s">
        <v>103</v>
      </c>
      <c r="C66" s="50">
        <v>34</v>
      </c>
      <c r="D66" s="50">
        <v>0</v>
      </c>
      <c r="E66" s="50">
        <v>9</v>
      </c>
      <c r="F66" s="50">
        <v>29</v>
      </c>
      <c r="G66" s="50">
        <v>1</v>
      </c>
      <c r="H66" s="50">
        <v>0</v>
      </c>
      <c r="I66" s="50">
        <v>8</v>
      </c>
      <c r="J66" s="50">
        <v>1</v>
      </c>
      <c r="K66" s="50">
        <v>1</v>
      </c>
      <c r="L66" s="50">
        <v>1</v>
      </c>
      <c r="M66" s="50">
        <v>125</v>
      </c>
      <c r="N66" s="50">
        <v>0</v>
      </c>
      <c r="O66" s="15">
        <f t="shared" si="35"/>
        <v>84</v>
      </c>
      <c r="P66" s="15">
        <f t="shared" si="36"/>
        <v>209</v>
      </c>
      <c r="R66" s="8"/>
      <c r="T66"/>
    </row>
    <row r="67" spans="2:20" ht="23.1" customHeight="1" x14ac:dyDescent="0.25">
      <c r="B67" s="45" t="s">
        <v>104</v>
      </c>
      <c r="C67" s="50">
        <v>10</v>
      </c>
      <c r="D67" s="50">
        <v>4</v>
      </c>
      <c r="E67" s="50">
        <v>3</v>
      </c>
      <c r="F67" s="50">
        <v>12</v>
      </c>
      <c r="G67" s="50">
        <v>4</v>
      </c>
      <c r="H67" s="50">
        <v>1</v>
      </c>
      <c r="I67" s="50">
        <v>4</v>
      </c>
      <c r="J67" s="50">
        <v>5</v>
      </c>
      <c r="K67" s="50">
        <v>0</v>
      </c>
      <c r="L67" s="50">
        <v>0</v>
      </c>
      <c r="M67" s="50">
        <v>145</v>
      </c>
      <c r="N67" s="50">
        <v>0</v>
      </c>
      <c r="O67" s="15">
        <f t="shared" si="35"/>
        <v>43</v>
      </c>
      <c r="P67" s="15">
        <f t="shared" si="36"/>
        <v>188</v>
      </c>
      <c r="R67" s="8"/>
      <c r="T67"/>
    </row>
    <row r="68" spans="2:20" ht="23.1" customHeight="1" x14ac:dyDescent="0.25">
      <c r="B68" s="45" t="s">
        <v>105</v>
      </c>
      <c r="C68" s="50">
        <v>55</v>
      </c>
      <c r="D68" s="50">
        <v>0</v>
      </c>
      <c r="E68" s="50">
        <v>6</v>
      </c>
      <c r="F68" s="50">
        <v>33</v>
      </c>
      <c r="G68" s="50">
        <v>4</v>
      </c>
      <c r="H68" s="50">
        <v>1</v>
      </c>
      <c r="I68" s="50">
        <v>9</v>
      </c>
      <c r="J68" s="50">
        <v>6</v>
      </c>
      <c r="K68" s="50">
        <v>2</v>
      </c>
      <c r="L68" s="50">
        <v>2</v>
      </c>
      <c r="M68" s="50">
        <v>165</v>
      </c>
      <c r="N68" s="50">
        <v>0</v>
      </c>
      <c r="O68" s="15">
        <f t="shared" si="35"/>
        <v>118</v>
      </c>
      <c r="P68" s="15">
        <f t="shared" si="36"/>
        <v>283</v>
      </c>
      <c r="R68" s="8"/>
      <c r="T68"/>
    </row>
    <row r="69" spans="2:20" ht="23.1" customHeight="1" x14ac:dyDescent="0.25">
      <c r="B69" s="45" t="s">
        <v>106</v>
      </c>
      <c r="C69" s="50">
        <v>100</v>
      </c>
      <c r="D69" s="50">
        <v>5</v>
      </c>
      <c r="E69" s="50">
        <v>3</v>
      </c>
      <c r="F69" s="50">
        <v>61</v>
      </c>
      <c r="G69" s="50">
        <v>4</v>
      </c>
      <c r="H69" s="50">
        <v>1</v>
      </c>
      <c r="I69" s="50">
        <v>7</v>
      </c>
      <c r="J69" s="50">
        <v>4</v>
      </c>
      <c r="K69" s="50">
        <v>4</v>
      </c>
      <c r="L69" s="50">
        <v>4</v>
      </c>
      <c r="M69" s="50">
        <v>264</v>
      </c>
      <c r="N69" s="50">
        <v>0</v>
      </c>
      <c r="O69" s="15">
        <f t="shared" si="35"/>
        <v>193</v>
      </c>
      <c r="P69" s="15">
        <f t="shared" si="36"/>
        <v>457</v>
      </c>
      <c r="R69" s="8"/>
      <c r="T69"/>
    </row>
    <row r="70" spans="2:20" ht="23.1" customHeight="1" x14ac:dyDescent="0.25">
      <c r="B70" s="45" t="s">
        <v>110</v>
      </c>
      <c r="C70" s="50">
        <v>76</v>
      </c>
      <c r="D70" s="50">
        <v>4</v>
      </c>
      <c r="E70" s="50">
        <v>4</v>
      </c>
      <c r="F70" s="50">
        <v>55</v>
      </c>
      <c r="G70" s="50">
        <v>5</v>
      </c>
      <c r="H70" s="50">
        <v>0</v>
      </c>
      <c r="I70" s="50">
        <v>7</v>
      </c>
      <c r="J70" s="50">
        <v>3</v>
      </c>
      <c r="K70" s="50">
        <v>2</v>
      </c>
      <c r="L70" s="50">
        <v>3</v>
      </c>
      <c r="M70" s="50">
        <v>245</v>
      </c>
      <c r="N70" s="50">
        <v>0</v>
      </c>
      <c r="O70" s="15">
        <f t="shared" si="35"/>
        <v>159</v>
      </c>
      <c r="P70" s="15">
        <f t="shared" si="36"/>
        <v>404</v>
      </c>
      <c r="R70" s="8"/>
      <c r="T70"/>
    </row>
    <row r="71" spans="2:20" ht="23.1" customHeight="1" x14ac:dyDescent="0.25">
      <c r="B71" s="45" t="s">
        <v>111</v>
      </c>
      <c r="C71" s="50">
        <v>65</v>
      </c>
      <c r="D71" s="50">
        <v>1</v>
      </c>
      <c r="E71" s="50">
        <v>4</v>
      </c>
      <c r="F71" s="50">
        <v>43</v>
      </c>
      <c r="G71" s="50">
        <v>4</v>
      </c>
      <c r="H71" s="50">
        <v>1</v>
      </c>
      <c r="I71" s="50">
        <v>10</v>
      </c>
      <c r="J71" s="50">
        <v>3</v>
      </c>
      <c r="K71" s="50">
        <v>0</v>
      </c>
      <c r="L71" s="50">
        <v>0</v>
      </c>
      <c r="M71" s="50">
        <v>205</v>
      </c>
      <c r="N71" s="50">
        <v>0</v>
      </c>
      <c r="O71" s="15">
        <f t="shared" si="35"/>
        <v>131</v>
      </c>
      <c r="P71" s="15">
        <f t="shared" si="36"/>
        <v>336</v>
      </c>
      <c r="R71" s="8"/>
      <c r="T71"/>
    </row>
    <row r="72" spans="2:20" ht="23.1" customHeight="1" x14ac:dyDescent="0.25">
      <c r="B72" s="45" t="s">
        <v>112</v>
      </c>
      <c r="C72" s="50">
        <v>43</v>
      </c>
      <c r="D72" s="50">
        <v>4</v>
      </c>
      <c r="E72" s="50">
        <v>2</v>
      </c>
      <c r="F72" s="50">
        <v>41</v>
      </c>
      <c r="G72" s="50">
        <v>1</v>
      </c>
      <c r="H72" s="50">
        <v>0</v>
      </c>
      <c r="I72" s="50">
        <v>10</v>
      </c>
      <c r="J72" s="50">
        <v>1</v>
      </c>
      <c r="K72" s="50">
        <v>3</v>
      </c>
      <c r="L72" s="50">
        <v>1</v>
      </c>
      <c r="M72" s="50">
        <v>198</v>
      </c>
      <c r="N72" s="50">
        <v>0</v>
      </c>
      <c r="O72" s="15">
        <f t="shared" si="35"/>
        <v>106</v>
      </c>
      <c r="P72" s="15">
        <f t="shared" si="36"/>
        <v>304</v>
      </c>
      <c r="R72" s="8"/>
      <c r="T72"/>
    </row>
    <row r="73" spans="2:20" ht="23.1" customHeight="1" x14ac:dyDescent="0.25">
      <c r="B73" s="45" t="s">
        <v>113</v>
      </c>
      <c r="C73" s="50">
        <v>38</v>
      </c>
      <c r="D73" s="50">
        <v>4</v>
      </c>
      <c r="E73" s="50">
        <v>2</v>
      </c>
      <c r="F73" s="50">
        <v>32</v>
      </c>
      <c r="G73" s="50">
        <v>1</v>
      </c>
      <c r="H73" s="50">
        <v>1</v>
      </c>
      <c r="I73" s="50">
        <v>2</v>
      </c>
      <c r="J73" s="50">
        <v>4</v>
      </c>
      <c r="K73" s="50">
        <v>4</v>
      </c>
      <c r="L73" s="50">
        <v>0</v>
      </c>
      <c r="M73" s="50">
        <v>152</v>
      </c>
      <c r="N73" s="50">
        <v>0</v>
      </c>
      <c r="O73" s="15">
        <f t="shared" si="35"/>
        <v>88</v>
      </c>
      <c r="P73" s="15">
        <f t="shared" si="36"/>
        <v>240</v>
      </c>
      <c r="R73" s="8"/>
      <c r="T73"/>
    </row>
    <row r="74" spans="2:20" ht="23.1" customHeight="1" x14ac:dyDescent="0.25">
      <c r="B74" s="45" t="s">
        <v>114</v>
      </c>
      <c r="C74" s="50">
        <v>47</v>
      </c>
      <c r="D74" s="50">
        <v>7</v>
      </c>
      <c r="E74" s="50">
        <v>6</v>
      </c>
      <c r="F74" s="50">
        <v>28</v>
      </c>
      <c r="G74" s="50">
        <v>2</v>
      </c>
      <c r="H74" s="50">
        <v>5</v>
      </c>
      <c r="I74" s="50">
        <v>6</v>
      </c>
      <c r="J74" s="50">
        <v>5</v>
      </c>
      <c r="K74" s="50">
        <v>6</v>
      </c>
      <c r="L74" s="50">
        <v>1</v>
      </c>
      <c r="M74" s="50">
        <v>185</v>
      </c>
      <c r="N74" s="50">
        <v>0</v>
      </c>
      <c r="O74" s="15">
        <f t="shared" si="35"/>
        <v>113</v>
      </c>
      <c r="P74" s="15">
        <f t="shared" si="36"/>
        <v>298</v>
      </c>
      <c r="R74" s="8"/>
      <c r="T74"/>
    </row>
    <row r="75" spans="2:20" ht="23.1" customHeight="1" x14ac:dyDescent="0.25">
      <c r="B75" s="45" t="s">
        <v>115</v>
      </c>
      <c r="C75" s="50">
        <v>21</v>
      </c>
      <c r="D75" s="50">
        <v>0</v>
      </c>
      <c r="E75" s="50">
        <v>6</v>
      </c>
      <c r="F75" s="50">
        <v>27</v>
      </c>
      <c r="G75" s="50">
        <v>2</v>
      </c>
      <c r="H75" s="50">
        <v>1</v>
      </c>
      <c r="I75" s="50">
        <v>6</v>
      </c>
      <c r="J75" s="50">
        <v>2</v>
      </c>
      <c r="K75" s="50">
        <v>2</v>
      </c>
      <c r="L75" s="50">
        <v>0</v>
      </c>
      <c r="M75" s="50">
        <v>160</v>
      </c>
      <c r="N75" s="50">
        <v>0</v>
      </c>
      <c r="O75" s="15">
        <f t="shared" si="35"/>
        <v>67</v>
      </c>
      <c r="P75" s="15">
        <f t="shared" si="36"/>
        <v>227</v>
      </c>
      <c r="R75" s="8"/>
      <c r="T75"/>
    </row>
    <row r="76" spans="2:20" ht="23.1" customHeight="1" x14ac:dyDescent="0.25">
      <c r="B76" s="45" t="s">
        <v>116</v>
      </c>
      <c r="C76" s="50">
        <v>25</v>
      </c>
      <c r="D76" s="50">
        <v>8</v>
      </c>
      <c r="E76" s="50">
        <v>3</v>
      </c>
      <c r="F76" s="50">
        <v>15</v>
      </c>
      <c r="G76" s="50">
        <v>0</v>
      </c>
      <c r="H76" s="50">
        <v>1</v>
      </c>
      <c r="I76" s="50">
        <v>4</v>
      </c>
      <c r="J76" s="50">
        <v>4</v>
      </c>
      <c r="K76" s="50">
        <v>3</v>
      </c>
      <c r="L76" s="50">
        <v>1</v>
      </c>
      <c r="M76" s="50">
        <v>158</v>
      </c>
      <c r="N76" s="50">
        <v>0</v>
      </c>
      <c r="O76" s="15">
        <f t="shared" si="35"/>
        <v>64</v>
      </c>
      <c r="P76" s="15">
        <f t="shared" si="36"/>
        <v>222</v>
      </c>
      <c r="R76" s="8"/>
      <c r="T76"/>
    </row>
    <row r="77" spans="2:20" ht="23.1" customHeight="1" x14ac:dyDescent="0.25">
      <c r="B77" s="45" t="s">
        <v>117</v>
      </c>
      <c r="C77" s="50">
        <v>53</v>
      </c>
      <c r="D77" s="50">
        <v>4</v>
      </c>
      <c r="E77" s="50">
        <v>2</v>
      </c>
      <c r="F77" s="50">
        <v>23</v>
      </c>
      <c r="G77" s="50">
        <v>1</v>
      </c>
      <c r="H77" s="50">
        <v>0</v>
      </c>
      <c r="I77" s="50">
        <v>7</v>
      </c>
      <c r="J77" s="50">
        <v>2</v>
      </c>
      <c r="K77" s="50">
        <v>3</v>
      </c>
      <c r="L77" s="50">
        <v>3</v>
      </c>
      <c r="M77" s="50">
        <v>100</v>
      </c>
      <c r="N77" s="50">
        <v>0</v>
      </c>
      <c r="O77" s="15">
        <f t="shared" si="35"/>
        <v>98</v>
      </c>
      <c r="P77" s="15">
        <f t="shared" si="36"/>
        <v>198</v>
      </c>
      <c r="R77" s="8"/>
      <c r="T77"/>
    </row>
    <row r="78" spans="2:20" ht="23.1" customHeight="1" x14ac:dyDescent="0.25">
      <c r="B78" s="46" t="s">
        <v>118</v>
      </c>
      <c r="C78" s="50">
        <v>20</v>
      </c>
      <c r="D78" s="50">
        <v>1</v>
      </c>
      <c r="E78" s="50">
        <v>1</v>
      </c>
      <c r="F78" s="50">
        <v>17</v>
      </c>
      <c r="G78" s="50">
        <v>1</v>
      </c>
      <c r="H78" s="50">
        <v>2</v>
      </c>
      <c r="I78" s="50">
        <v>8</v>
      </c>
      <c r="J78" s="50">
        <v>1</v>
      </c>
      <c r="K78" s="50">
        <v>1</v>
      </c>
      <c r="L78" s="50">
        <v>0</v>
      </c>
      <c r="M78" s="50">
        <v>101</v>
      </c>
      <c r="N78" s="50">
        <v>0</v>
      </c>
      <c r="O78" s="15">
        <f t="shared" si="35"/>
        <v>52</v>
      </c>
      <c r="P78" s="15">
        <f t="shared" si="36"/>
        <v>153</v>
      </c>
      <c r="R78" s="8"/>
      <c r="T78"/>
    </row>
    <row r="79" spans="2:20" ht="23.1" customHeight="1" x14ac:dyDescent="0.25">
      <c r="B79" s="45" t="s">
        <v>119</v>
      </c>
      <c r="C79" s="50">
        <v>7</v>
      </c>
      <c r="D79" s="50">
        <v>2</v>
      </c>
      <c r="E79" s="50">
        <v>6</v>
      </c>
      <c r="F79" s="50">
        <v>9</v>
      </c>
      <c r="G79" s="50">
        <v>1</v>
      </c>
      <c r="H79" s="50">
        <v>1</v>
      </c>
      <c r="I79" s="50">
        <v>2</v>
      </c>
      <c r="J79" s="50">
        <v>7</v>
      </c>
      <c r="K79" s="50">
        <v>2</v>
      </c>
      <c r="L79" s="50">
        <v>0</v>
      </c>
      <c r="M79" s="50">
        <v>52</v>
      </c>
      <c r="N79" s="50">
        <v>0</v>
      </c>
      <c r="O79" s="15">
        <f t="shared" si="35"/>
        <v>37</v>
      </c>
      <c r="P79" s="15">
        <f t="shared" si="36"/>
        <v>89</v>
      </c>
      <c r="R79" s="8"/>
      <c r="T79"/>
    </row>
    <row r="80" spans="2:20" ht="23.1" customHeight="1" x14ac:dyDescent="0.25">
      <c r="B80" s="47" t="s">
        <v>120</v>
      </c>
      <c r="C80" s="50">
        <v>28</v>
      </c>
      <c r="D80" s="50">
        <v>2</v>
      </c>
      <c r="E80" s="50">
        <v>0</v>
      </c>
      <c r="F80" s="50">
        <v>8</v>
      </c>
      <c r="G80" s="50">
        <v>1</v>
      </c>
      <c r="H80" s="50">
        <v>0</v>
      </c>
      <c r="I80" s="50">
        <v>5</v>
      </c>
      <c r="J80" s="50">
        <v>1</v>
      </c>
      <c r="K80" s="50">
        <v>2</v>
      </c>
      <c r="L80" s="50">
        <v>3</v>
      </c>
      <c r="M80" s="50">
        <v>51</v>
      </c>
      <c r="N80" s="50">
        <v>0</v>
      </c>
      <c r="O80" s="15">
        <f t="shared" si="35"/>
        <v>50</v>
      </c>
      <c r="P80" s="15">
        <f t="shared" si="36"/>
        <v>101</v>
      </c>
      <c r="R80" s="8"/>
      <c r="T80"/>
    </row>
    <row r="81" spans="2:20" ht="23.1" customHeight="1" x14ac:dyDescent="0.25">
      <c r="B81" s="45" t="s">
        <v>121</v>
      </c>
      <c r="C81" s="50">
        <v>15</v>
      </c>
      <c r="D81" s="50">
        <v>2</v>
      </c>
      <c r="E81" s="50">
        <v>3</v>
      </c>
      <c r="F81" s="50">
        <v>9</v>
      </c>
      <c r="G81" s="50">
        <v>0</v>
      </c>
      <c r="H81" s="50">
        <v>1</v>
      </c>
      <c r="I81" s="50">
        <v>4</v>
      </c>
      <c r="J81" s="50">
        <v>4</v>
      </c>
      <c r="K81" s="50">
        <v>2</v>
      </c>
      <c r="L81" s="50">
        <v>1</v>
      </c>
      <c r="M81" s="50">
        <v>58</v>
      </c>
      <c r="N81" s="50">
        <v>0</v>
      </c>
      <c r="O81" s="15">
        <f t="shared" si="35"/>
        <v>41</v>
      </c>
      <c r="P81" s="15">
        <f t="shared" si="36"/>
        <v>99</v>
      </c>
      <c r="R81" s="8"/>
      <c r="T81"/>
    </row>
    <row r="82" spans="2:20" ht="23.1" customHeight="1" x14ac:dyDescent="0.25">
      <c r="B82" s="46" t="s">
        <v>122</v>
      </c>
      <c r="C82" s="50">
        <v>13</v>
      </c>
      <c r="D82" s="50">
        <v>1</v>
      </c>
      <c r="E82" s="50">
        <v>2</v>
      </c>
      <c r="F82" s="50">
        <v>3</v>
      </c>
      <c r="G82" s="50">
        <v>0</v>
      </c>
      <c r="H82" s="50">
        <v>0</v>
      </c>
      <c r="I82" s="50">
        <v>4</v>
      </c>
      <c r="J82" s="50">
        <v>2</v>
      </c>
      <c r="K82" s="50">
        <v>2</v>
      </c>
      <c r="L82" s="50">
        <v>0</v>
      </c>
      <c r="M82" s="50">
        <v>32</v>
      </c>
      <c r="N82" s="50">
        <v>0</v>
      </c>
      <c r="O82" s="15">
        <f t="shared" si="35"/>
        <v>27</v>
      </c>
      <c r="P82" s="15">
        <f t="shared" si="36"/>
        <v>59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4</v>
      </c>
      <c r="E83" s="50">
        <v>1</v>
      </c>
      <c r="F83" s="50">
        <v>2</v>
      </c>
      <c r="G83" s="50">
        <v>0</v>
      </c>
      <c r="H83" s="50">
        <v>0</v>
      </c>
      <c r="I83" s="50">
        <v>3</v>
      </c>
      <c r="J83" s="50">
        <v>6</v>
      </c>
      <c r="K83" s="50">
        <v>8</v>
      </c>
      <c r="L83" s="50">
        <v>1</v>
      </c>
      <c r="M83" s="50">
        <v>43</v>
      </c>
      <c r="N83" s="50">
        <v>0</v>
      </c>
      <c r="O83" s="15">
        <f t="shared" si="35"/>
        <v>27</v>
      </c>
      <c r="P83" s="15">
        <f t="shared" si="36"/>
        <v>70</v>
      </c>
      <c r="R83" s="8"/>
      <c r="T83"/>
    </row>
    <row r="84" spans="2:20" ht="23.1" customHeight="1" x14ac:dyDescent="0.25">
      <c r="B84" s="47" t="s">
        <v>124</v>
      </c>
      <c r="C84" s="50">
        <v>18</v>
      </c>
      <c r="D84" s="50">
        <v>2</v>
      </c>
      <c r="E84" s="50">
        <v>2</v>
      </c>
      <c r="F84" s="50">
        <v>5</v>
      </c>
      <c r="G84" s="50">
        <v>0</v>
      </c>
      <c r="H84" s="50">
        <v>0</v>
      </c>
      <c r="I84" s="50">
        <v>1</v>
      </c>
      <c r="J84" s="50">
        <v>6</v>
      </c>
      <c r="K84" s="50">
        <v>1</v>
      </c>
      <c r="L84" s="50">
        <v>1</v>
      </c>
      <c r="M84" s="50">
        <v>55</v>
      </c>
      <c r="N84" s="50">
        <v>0</v>
      </c>
      <c r="O84" s="15">
        <f t="shared" si="35"/>
        <v>36</v>
      </c>
      <c r="P84" s="15">
        <f t="shared" si="36"/>
        <v>91</v>
      </c>
      <c r="R84" s="8"/>
      <c r="T84"/>
    </row>
    <row r="85" spans="2:20" ht="23.1" customHeight="1" x14ac:dyDescent="0.25">
      <c r="B85" s="45" t="s">
        <v>125</v>
      </c>
      <c r="C85" s="50">
        <v>2</v>
      </c>
      <c r="D85" s="50">
        <v>1</v>
      </c>
      <c r="E85" s="50">
        <v>3</v>
      </c>
      <c r="F85" s="50">
        <v>0</v>
      </c>
      <c r="G85" s="50">
        <v>0</v>
      </c>
      <c r="H85" s="50">
        <v>0</v>
      </c>
      <c r="I85" s="50">
        <v>0</v>
      </c>
      <c r="J85" s="50">
        <v>3</v>
      </c>
      <c r="K85" s="50">
        <v>1</v>
      </c>
      <c r="L85" s="50">
        <v>0</v>
      </c>
      <c r="M85" s="50">
        <v>39</v>
      </c>
      <c r="N85" s="50">
        <v>0</v>
      </c>
      <c r="O85" s="15">
        <f t="shared" si="35"/>
        <v>10</v>
      </c>
      <c r="P85" s="15">
        <f t="shared" si="36"/>
        <v>49</v>
      </c>
      <c r="R85" s="8"/>
      <c r="T85"/>
    </row>
    <row r="86" spans="2:20" ht="23.1" customHeight="1" x14ac:dyDescent="0.25">
      <c r="B86" s="46" t="s">
        <v>126</v>
      </c>
      <c r="C86" s="50">
        <v>12</v>
      </c>
      <c r="D86" s="50">
        <v>3</v>
      </c>
      <c r="E86" s="50">
        <v>1</v>
      </c>
      <c r="F86" s="50">
        <v>1</v>
      </c>
      <c r="G86" s="50">
        <v>0</v>
      </c>
      <c r="H86" s="50">
        <v>0</v>
      </c>
      <c r="I86" s="50">
        <v>0</v>
      </c>
      <c r="J86" s="50">
        <v>3</v>
      </c>
      <c r="K86" s="50">
        <v>4</v>
      </c>
      <c r="L86" s="50">
        <v>0</v>
      </c>
      <c r="M86" s="50">
        <v>33</v>
      </c>
      <c r="N86" s="50">
        <v>0</v>
      </c>
      <c r="O86" s="15">
        <f t="shared" si="35"/>
        <v>24</v>
      </c>
      <c r="P86" s="15">
        <f t="shared" si="36"/>
        <v>57</v>
      </c>
      <c r="R86" s="8"/>
      <c r="T86"/>
    </row>
    <row r="87" spans="2:20" ht="23.1" customHeight="1" x14ac:dyDescent="0.25">
      <c r="B87" s="45" t="s">
        <v>127</v>
      </c>
      <c r="C87" s="50">
        <v>7</v>
      </c>
      <c r="D87" s="50">
        <v>2</v>
      </c>
      <c r="E87" s="50">
        <v>2</v>
      </c>
      <c r="F87" s="50">
        <v>4</v>
      </c>
      <c r="G87" s="50">
        <v>0</v>
      </c>
      <c r="H87" s="50">
        <v>0</v>
      </c>
      <c r="I87" s="50">
        <v>3</v>
      </c>
      <c r="J87" s="50">
        <v>3</v>
      </c>
      <c r="K87" s="50">
        <v>2</v>
      </c>
      <c r="L87" s="50">
        <v>0</v>
      </c>
      <c r="M87" s="50">
        <v>32</v>
      </c>
      <c r="N87" s="50">
        <v>0</v>
      </c>
      <c r="O87" s="15">
        <f t="shared" si="35"/>
        <v>23</v>
      </c>
      <c r="P87" s="15">
        <f t="shared" si="36"/>
        <v>55</v>
      </c>
      <c r="R87" s="8"/>
      <c r="T87"/>
    </row>
    <row r="88" spans="2:20" ht="23.1" customHeight="1" x14ac:dyDescent="0.25">
      <c r="B88" s="47" t="s">
        <v>128</v>
      </c>
      <c r="C88" s="50">
        <v>5</v>
      </c>
      <c r="D88" s="50">
        <v>0</v>
      </c>
      <c r="E88" s="50">
        <v>1</v>
      </c>
      <c r="F88" s="50">
        <v>1</v>
      </c>
      <c r="G88" s="50">
        <v>0</v>
      </c>
      <c r="H88" s="50">
        <v>1</v>
      </c>
      <c r="I88" s="50">
        <v>2</v>
      </c>
      <c r="J88" s="50">
        <v>0</v>
      </c>
      <c r="K88" s="50">
        <v>3</v>
      </c>
      <c r="L88" s="50">
        <v>0</v>
      </c>
      <c r="M88" s="50">
        <v>15</v>
      </c>
      <c r="N88" s="50">
        <v>0</v>
      </c>
      <c r="O88" s="15">
        <f t="shared" si="35"/>
        <v>13</v>
      </c>
      <c r="P88" s="15">
        <f t="shared" si="36"/>
        <v>28</v>
      </c>
      <c r="R88" s="8"/>
      <c r="T88"/>
    </row>
    <row r="89" spans="2:20" ht="23.1" customHeight="1" x14ac:dyDescent="0.25">
      <c r="B89" s="45" t="s">
        <v>129</v>
      </c>
      <c r="C89" s="50">
        <v>8</v>
      </c>
      <c r="D89" s="50">
        <v>1</v>
      </c>
      <c r="E89" s="50">
        <v>1</v>
      </c>
      <c r="F89" s="50">
        <v>0</v>
      </c>
      <c r="G89" s="50">
        <v>0</v>
      </c>
      <c r="H89" s="50">
        <v>0</v>
      </c>
      <c r="I89" s="50">
        <v>1</v>
      </c>
      <c r="J89" s="50">
        <v>2</v>
      </c>
      <c r="K89" s="50">
        <v>2</v>
      </c>
      <c r="L89" s="50">
        <v>0</v>
      </c>
      <c r="M89" s="50">
        <v>25</v>
      </c>
      <c r="N89" s="50">
        <v>0</v>
      </c>
      <c r="O89" s="15">
        <f t="shared" si="35"/>
        <v>15</v>
      </c>
      <c r="P89" s="15">
        <f t="shared" si="36"/>
        <v>40</v>
      </c>
      <c r="R89" s="8"/>
      <c r="T89"/>
    </row>
    <row r="90" spans="2:20" ht="23.1" customHeight="1" x14ac:dyDescent="0.25">
      <c r="B90" s="46" t="s">
        <v>130</v>
      </c>
      <c r="C90" s="50">
        <v>3</v>
      </c>
      <c r="D90" s="50">
        <v>2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8</v>
      </c>
      <c r="N90" s="50">
        <v>0</v>
      </c>
      <c r="O90" s="15">
        <f t="shared" si="35"/>
        <v>6</v>
      </c>
      <c r="P90" s="15">
        <f t="shared" si="36"/>
        <v>14</v>
      </c>
      <c r="R90" s="8"/>
      <c r="T90"/>
    </row>
    <row r="91" spans="2:20" ht="23.1" customHeight="1" x14ac:dyDescent="0.25">
      <c r="B91" s="45" t="s">
        <v>131</v>
      </c>
      <c r="C91" s="50">
        <v>13</v>
      </c>
      <c r="D91" s="50">
        <v>0</v>
      </c>
      <c r="E91" s="50">
        <v>2</v>
      </c>
      <c r="F91" s="50">
        <v>2</v>
      </c>
      <c r="G91" s="50">
        <v>0</v>
      </c>
      <c r="H91" s="50">
        <v>0</v>
      </c>
      <c r="I91" s="50">
        <v>1</v>
      </c>
      <c r="J91" s="50">
        <v>4</v>
      </c>
      <c r="K91" s="50">
        <v>2</v>
      </c>
      <c r="L91" s="50">
        <v>0</v>
      </c>
      <c r="M91" s="50">
        <v>22</v>
      </c>
      <c r="N91" s="50">
        <v>0</v>
      </c>
      <c r="O91" s="15">
        <f t="shared" si="35"/>
        <v>24</v>
      </c>
      <c r="P91" s="15">
        <f t="shared" si="36"/>
        <v>46</v>
      </c>
      <c r="R91" s="8"/>
      <c r="T91"/>
    </row>
    <row r="92" spans="2:20" ht="23.1" customHeight="1" x14ac:dyDescent="0.25">
      <c r="B92" s="47" t="s">
        <v>132</v>
      </c>
      <c r="C92" s="50">
        <v>10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2</v>
      </c>
      <c r="J92" s="50">
        <v>3</v>
      </c>
      <c r="K92" s="50">
        <v>5</v>
      </c>
      <c r="L92" s="50">
        <v>0</v>
      </c>
      <c r="M92" s="50">
        <v>12</v>
      </c>
      <c r="N92" s="50">
        <v>0</v>
      </c>
      <c r="O92" s="15">
        <f t="shared" si="35"/>
        <v>21</v>
      </c>
      <c r="P92" s="15">
        <f t="shared" si="36"/>
        <v>33</v>
      </c>
      <c r="R92" s="8"/>
      <c r="T92"/>
    </row>
    <row r="93" spans="2:20" ht="23.1" customHeight="1" x14ac:dyDescent="0.25">
      <c r="B93" s="45" t="s">
        <v>133</v>
      </c>
      <c r="C93" s="50">
        <v>6</v>
      </c>
      <c r="D93" s="50">
        <v>1</v>
      </c>
      <c r="E93" s="50">
        <v>2</v>
      </c>
      <c r="F93" s="50">
        <v>4</v>
      </c>
      <c r="G93" s="50">
        <v>0</v>
      </c>
      <c r="H93" s="50">
        <v>0</v>
      </c>
      <c r="I93" s="50">
        <v>3</v>
      </c>
      <c r="J93" s="50">
        <v>9</v>
      </c>
      <c r="K93" s="50">
        <v>2</v>
      </c>
      <c r="L93" s="50">
        <v>0</v>
      </c>
      <c r="M93" s="50">
        <v>20</v>
      </c>
      <c r="N93" s="50">
        <v>0</v>
      </c>
      <c r="O93" s="15">
        <f t="shared" si="35"/>
        <v>27</v>
      </c>
      <c r="P93" s="15">
        <f t="shared" si="36"/>
        <v>47</v>
      </c>
      <c r="R93" s="8"/>
      <c r="T93"/>
    </row>
    <row r="94" spans="2:20" ht="23.1" customHeight="1" x14ac:dyDescent="0.25">
      <c r="B94" s="46" t="s">
        <v>134</v>
      </c>
      <c r="C94" s="50">
        <v>6</v>
      </c>
      <c r="D94" s="50">
        <v>2</v>
      </c>
      <c r="E94" s="50">
        <v>0</v>
      </c>
      <c r="F94" s="50">
        <v>2</v>
      </c>
      <c r="G94" s="50">
        <v>0</v>
      </c>
      <c r="H94" s="50">
        <v>0</v>
      </c>
      <c r="I94" s="50">
        <v>0</v>
      </c>
      <c r="J94" s="50">
        <v>3</v>
      </c>
      <c r="K94" s="50">
        <v>0</v>
      </c>
      <c r="L94" s="50">
        <v>0</v>
      </c>
      <c r="M94" s="50">
        <v>16</v>
      </c>
      <c r="N94" s="50">
        <v>0</v>
      </c>
      <c r="O94" s="15">
        <f t="shared" si="35"/>
        <v>13</v>
      </c>
      <c r="P94" s="15">
        <f t="shared" si="36"/>
        <v>29</v>
      </c>
      <c r="R94" s="8"/>
      <c r="T94"/>
    </row>
    <row r="95" spans="2:20" ht="23.1" customHeight="1" x14ac:dyDescent="0.25">
      <c r="B95" s="45" t="s">
        <v>135</v>
      </c>
      <c r="C95" s="50">
        <v>4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1</v>
      </c>
      <c r="L95" s="50">
        <v>0</v>
      </c>
      <c r="M95" s="50">
        <v>12</v>
      </c>
      <c r="N95" s="50">
        <v>0</v>
      </c>
      <c r="O95" s="15">
        <f t="shared" si="35"/>
        <v>6</v>
      </c>
      <c r="P95" s="15">
        <f t="shared" si="36"/>
        <v>18</v>
      </c>
      <c r="R95" s="8"/>
      <c r="T95"/>
    </row>
    <row r="96" spans="2:20" ht="23.1" customHeight="1" x14ac:dyDescent="0.25">
      <c r="B96" s="47" t="s">
        <v>136</v>
      </c>
      <c r="C96" s="50">
        <v>6</v>
      </c>
      <c r="D96" s="50">
        <v>0</v>
      </c>
      <c r="E96" s="50">
        <v>2</v>
      </c>
      <c r="F96" s="50">
        <v>4</v>
      </c>
      <c r="G96" s="50">
        <v>0</v>
      </c>
      <c r="H96" s="50">
        <v>0</v>
      </c>
      <c r="I96" s="50">
        <v>3</v>
      </c>
      <c r="J96" s="50">
        <v>3</v>
      </c>
      <c r="K96" s="50">
        <v>0</v>
      </c>
      <c r="L96" s="50">
        <v>0</v>
      </c>
      <c r="M96" s="50">
        <v>33</v>
      </c>
      <c r="N96" s="50">
        <v>0</v>
      </c>
      <c r="O96" s="15">
        <f t="shared" si="35"/>
        <v>18</v>
      </c>
      <c r="P96" s="15">
        <f t="shared" si="36"/>
        <v>51</v>
      </c>
      <c r="R96" s="8"/>
      <c r="T96"/>
    </row>
    <row r="97" spans="2:20" ht="23.1" customHeight="1" x14ac:dyDescent="0.25">
      <c r="B97" s="45" t="s">
        <v>137</v>
      </c>
      <c r="C97" s="50">
        <v>15</v>
      </c>
      <c r="D97" s="50">
        <v>2</v>
      </c>
      <c r="E97" s="50">
        <v>1</v>
      </c>
      <c r="F97" s="50">
        <v>4</v>
      </c>
      <c r="G97" s="50">
        <v>0</v>
      </c>
      <c r="H97" s="50">
        <v>0</v>
      </c>
      <c r="I97" s="50">
        <v>7</v>
      </c>
      <c r="J97" s="50">
        <v>0</v>
      </c>
      <c r="K97" s="50">
        <v>2</v>
      </c>
      <c r="L97" s="50">
        <v>2</v>
      </c>
      <c r="M97" s="50">
        <v>40</v>
      </c>
      <c r="N97" s="50">
        <v>0</v>
      </c>
      <c r="O97" s="15">
        <f t="shared" si="35"/>
        <v>33</v>
      </c>
      <c r="P97" s="15">
        <f t="shared" si="36"/>
        <v>73</v>
      </c>
      <c r="R97" s="8"/>
      <c r="T97"/>
    </row>
    <row r="98" spans="2:20" ht="23.1" customHeight="1" x14ac:dyDescent="0.25">
      <c r="B98" s="46" t="s">
        <v>138</v>
      </c>
      <c r="C98" s="50">
        <v>7</v>
      </c>
      <c r="D98" s="50">
        <v>0</v>
      </c>
      <c r="E98" s="50">
        <v>1</v>
      </c>
      <c r="F98" s="50">
        <v>6</v>
      </c>
      <c r="G98" s="50">
        <v>0</v>
      </c>
      <c r="H98" s="50">
        <v>0</v>
      </c>
      <c r="I98" s="50">
        <v>3</v>
      </c>
      <c r="J98" s="50">
        <v>3</v>
      </c>
      <c r="K98" s="50">
        <v>1</v>
      </c>
      <c r="L98" s="50">
        <v>0</v>
      </c>
      <c r="M98" s="50">
        <v>32</v>
      </c>
      <c r="N98" s="50">
        <v>0</v>
      </c>
      <c r="O98" s="15">
        <f t="shared" si="35"/>
        <v>21</v>
      </c>
      <c r="P98" s="15">
        <f t="shared" si="36"/>
        <v>53</v>
      </c>
      <c r="R98" s="8"/>
      <c r="T98"/>
    </row>
    <row r="99" spans="2:20" ht="23.1" customHeight="1" x14ac:dyDescent="0.25">
      <c r="B99" s="45" t="s">
        <v>139</v>
      </c>
      <c r="C99" s="50">
        <v>13</v>
      </c>
      <c r="D99" s="50">
        <v>0</v>
      </c>
      <c r="E99" s="50">
        <v>1</v>
      </c>
      <c r="F99" s="50">
        <v>10</v>
      </c>
      <c r="G99" s="50">
        <v>1</v>
      </c>
      <c r="H99" s="50">
        <v>0</v>
      </c>
      <c r="I99" s="50">
        <v>4</v>
      </c>
      <c r="J99" s="50">
        <v>3</v>
      </c>
      <c r="K99" s="50">
        <v>2</v>
      </c>
      <c r="L99" s="50">
        <v>2</v>
      </c>
      <c r="M99" s="50">
        <v>42</v>
      </c>
      <c r="N99" s="50">
        <v>0</v>
      </c>
      <c r="O99" s="15">
        <f t="shared" si="35"/>
        <v>36</v>
      </c>
      <c r="P99" s="15">
        <f t="shared" si="36"/>
        <v>78</v>
      </c>
      <c r="R99" s="8"/>
      <c r="T99"/>
    </row>
    <row r="100" spans="2:20" ht="23.1" customHeight="1" x14ac:dyDescent="0.25">
      <c r="B100" s="47" t="s">
        <v>140</v>
      </c>
      <c r="C100" s="50">
        <v>13</v>
      </c>
      <c r="D100" s="50">
        <v>0</v>
      </c>
      <c r="E100" s="50">
        <v>0</v>
      </c>
      <c r="F100" s="50">
        <v>12</v>
      </c>
      <c r="G100" s="50">
        <v>0</v>
      </c>
      <c r="H100" s="50">
        <v>0</v>
      </c>
      <c r="I100" s="50">
        <v>1</v>
      </c>
      <c r="J100" s="50">
        <v>4</v>
      </c>
      <c r="K100" s="50">
        <v>0</v>
      </c>
      <c r="L100" s="50">
        <v>0</v>
      </c>
      <c r="M100" s="50">
        <v>17</v>
      </c>
      <c r="N100" s="50">
        <v>0</v>
      </c>
      <c r="O100" s="15">
        <f t="shared" si="35"/>
        <v>30</v>
      </c>
      <c r="P100" s="15">
        <f t="shared" si="36"/>
        <v>47</v>
      </c>
      <c r="R100" s="8"/>
      <c r="T100"/>
    </row>
    <row r="101" spans="2:20" ht="23.1" customHeight="1" x14ac:dyDescent="0.25">
      <c r="B101" s="45" t="s">
        <v>141</v>
      </c>
      <c r="C101" s="50">
        <v>11</v>
      </c>
      <c r="D101" s="50">
        <v>0</v>
      </c>
      <c r="E101" s="50">
        <v>1</v>
      </c>
      <c r="F101" s="50">
        <v>12</v>
      </c>
      <c r="G101" s="50">
        <v>1</v>
      </c>
      <c r="H101" s="50">
        <v>1</v>
      </c>
      <c r="I101" s="50">
        <v>5</v>
      </c>
      <c r="J101" s="50">
        <v>3</v>
      </c>
      <c r="K101" s="50">
        <v>1</v>
      </c>
      <c r="L101" s="50">
        <v>1</v>
      </c>
      <c r="M101" s="50">
        <v>43</v>
      </c>
      <c r="N101" s="50">
        <v>0</v>
      </c>
      <c r="O101" s="15">
        <f t="shared" si="35"/>
        <v>36</v>
      </c>
      <c r="P101" s="15">
        <f t="shared" si="36"/>
        <v>79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1</v>
      </c>
      <c r="E102" s="50">
        <v>3</v>
      </c>
      <c r="F102" s="50">
        <v>19</v>
      </c>
      <c r="G102" s="50">
        <v>0</v>
      </c>
      <c r="H102" s="50">
        <v>1</v>
      </c>
      <c r="I102" s="50">
        <v>2</v>
      </c>
      <c r="J102" s="50">
        <v>2</v>
      </c>
      <c r="K102" s="50">
        <v>3</v>
      </c>
      <c r="L102" s="50">
        <v>4</v>
      </c>
      <c r="M102" s="50">
        <v>7</v>
      </c>
      <c r="N102" s="50">
        <v>0</v>
      </c>
      <c r="O102" s="15">
        <f t="shared" si="35"/>
        <v>43</v>
      </c>
      <c r="P102" s="15">
        <f t="shared" si="36"/>
        <v>50</v>
      </c>
      <c r="R102" s="8"/>
      <c r="T102"/>
    </row>
    <row r="103" spans="2:20" ht="23.1" customHeight="1" x14ac:dyDescent="0.25">
      <c r="B103" s="45" t="s">
        <v>143</v>
      </c>
      <c r="C103" s="50">
        <v>37</v>
      </c>
      <c r="D103" s="50">
        <v>2</v>
      </c>
      <c r="E103" s="50">
        <v>0</v>
      </c>
      <c r="F103" s="50">
        <v>40</v>
      </c>
      <c r="G103" s="50">
        <v>0</v>
      </c>
      <c r="H103" s="50">
        <v>0</v>
      </c>
      <c r="I103" s="50">
        <v>4</v>
      </c>
      <c r="J103" s="50">
        <v>5</v>
      </c>
      <c r="K103" s="50">
        <v>3</v>
      </c>
      <c r="L103" s="50">
        <v>0</v>
      </c>
      <c r="M103" s="50">
        <v>45</v>
      </c>
      <c r="N103" s="50">
        <v>0</v>
      </c>
      <c r="O103" s="15">
        <f t="shared" si="35"/>
        <v>91</v>
      </c>
      <c r="P103" s="15">
        <f t="shared" si="36"/>
        <v>136</v>
      </c>
      <c r="R103" s="8"/>
      <c r="T103"/>
    </row>
    <row r="104" spans="2:20" ht="23.1" customHeight="1" x14ac:dyDescent="0.25">
      <c r="B104" s="47" t="s">
        <v>144</v>
      </c>
      <c r="C104" s="50">
        <v>22</v>
      </c>
      <c r="D104" s="50">
        <v>3</v>
      </c>
      <c r="E104" s="50">
        <v>2</v>
      </c>
      <c r="F104" s="50">
        <v>30</v>
      </c>
      <c r="G104" s="50">
        <v>2</v>
      </c>
      <c r="H104" s="50">
        <v>1</v>
      </c>
      <c r="I104" s="50">
        <v>4</v>
      </c>
      <c r="J104" s="50">
        <v>8</v>
      </c>
      <c r="K104" s="50">
        <v>2</v>
      </c>
      <c r="L104" s="50">
        <v>10</v>
      </c>
      <c r="M104" s="50">
        <v>85</v>
      </c>
      <c r="N104" s="50">
        <v>0</v>
      </c>
      <c r="O104" s="15">
        <f t="shared" si="35"/>
        <v>84</v>
      </c>
      <c r="P104" s="15">
        <f t="shared" si="36"/>
        <v>169</v>
      </c>
      <c r="R104" s="8"/>
      <c r="T104"/>
    </row>
    <row r="105" spans="2:20" ht="23.1" customHeight="1" x14ac:dyDescent="0.25">
      <c r="B105" s="45" t="s">
        <v>145</v>
      </c>
      <c r="C105" s="50">
        <v>28</v>
      </c>
      <c r="D105" s="50">
        <v>4</v>
      </c>
      <c r="E105" s="50">
        <v>6</v>
      </c>
      <c r="F105" s="50">
        <v>25</v>
      </c>
      <c r="G105" s="50">
        <v>0</v>
      </c>
      <c r="H105" s="50">
        <v>5</v>
      </c>
      <c r="I105" s="50">
        <v>9</v>
      </c>
      <c r="J105" s="50">
        <v>1</v>
      </c>
      <c r="K105" s="50">
        <v>1</v>
      </c>
      <c r="L105" s="50">
        <v>0</v>
      </c>
      <c r="M105" s="50">
        <v>115</v>
      </c>
      <c r="N105" s="50">
        <v>0</v>
      </c>
      <c r="O105" s="15">
        <f t="shared" si="35"/>
        <v>79</v>
      </c>
      <c r="P105" s="15">
        <f t="shared" si="36"/>
        <v>194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2517</v>
      </c>
      <c r="D106" s="16">
        <f t="shared" ref="D106:P106" si="37">SUM(D10:D105)</f>
        <v>339</v>
      </c>
      <c r="E106" s="16">
        <f t="shared" si="37"/>
        <v>336</v>
      </c>
      <c r="F106" s="16">
        <f t="shared" si="37"/>
        <v>2370</v>
      </c>
      <c r="G106" s="16">
        <f t="shared" si="37"/>
        <v>103</v>
      </c>
      <c r="H106" s="16">
        <f t="shared" si="37"/>
        <v>77</v>
      </c>
      <c r="I106" s="16">
        <f t="shared" si="37"/>
        <v>698</v>
      </c>
      <c r="J106" s="16">
        <f t="shared" si="37"/>
        <v>292</v>
      </c>
      <c r="K106" s="16">
        <f t="shared" si="37"/>
        <v>168</v>
      </c>
      <c r="L106" s="16">
        <f t="shared" si="37"/>
        <v>196</v>
      </c>
      <c r="M106" s="16">
        <f t="shared" si="37"/>
        <v>10170</v>
      </c>
      <c r="N106" s="16">
        <f t="shared" si="37"/>
        <v>0</v>
      </c>
      <c r="O106" s="16">
        <f t="shared" si="37"/>
        <v>7096</v>
      </c>
      <c r="P106" s="16">
        <f t="shared" si="37"/>
        <v>17266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0.14577782925981697</v>
      </c>
      <c r="D107" s="43">
        <f t="shared" si="38"/>
        <v>1.9633962701262598E-2</v>
      </c>
      <c r="E107" s="43">
        <f t="shared" si="38"/>
        <v>1.9460210818950538E-2</v>
      </c>
      <c r="F107" s="43">
        <f t="shared" si="38"/>
        <v>0.13726398702652612</v>
      </c>
      <c r="G107" s="43">
        <f t="shared" si="38"/>
        <v>5.965481292714004E-3</v>
      </c>
      <c r="H107" s="43">
        <f t="shared" si="38"/>
        <v>4.4596316460094989E-3</v>
      </c>
      <c r="I107" s="43">
        <f t="shared" si="38"/>
        <v>4.0426271284605582E-2</v>
      </c>
      <c r="J107" s="43">
        <f t="shared" si="38"/>
        <v>1.6911849878373682E-2</v>
      </c>
      <c r="K107" s="43">
        <f t="shared" si="38"/>
        <v>9.730105409475269E-3</v>
      </c>
      <c r="L107" s="43">
        <f t="shared" si="38"/>
        <v>1.1351789644387815E-2</v>
      </c>
      <c r="M107" s="43">
        <f t="shared" si="38"/>
        <v>0.58901888103787792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0.35470687711386695</v>
      </c>
      <c r="D108" s="44">
        <f t="shared" ref="D108:N108" si="39">D106/$O$106</f>
        <v>4.7773393461104846E-2</v>
      </c>
      <c r="E108" s="44">
        <f t="shared" si="39"/>
        <v>4.7350620067643741E-2</v>
      </c>
      <c r="F108" s="44">
        <f t="shared" si="39"/>
        <v>0.33399098083427281</v>
      </c>
      <c r="G108" s="44">
        <f t="shared" si="39"/>
        <v>1.45152198421646E-2</v>
      </c>
      <c r="H108" s="44">
        <f t="shared" si="39"/>
        <v>1.0851183765501692E-2</v>
      </c>
      <c r="I108" s="44">
        <f t="shared" si="39"/>
        <v>9.8365276211950389E-2</v>
      </c>
      <c r="J108" s="44">
        <f t="shared" si="39"/>
        <v>4.1149943630214209E-2</v>
      </c>
      <c r="K108" s="44">
        <f t="shared" si="39"/>
        <v>2.367531003382187E-2</v>
      </c>
      <c r="L108" s="44">
        <f t="shared" si="39"/>
        <v>2.7621195039458851E-2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U110" sqref="U1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Bwaise-Kawempe'!C3:G3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Bwaise-Kawempe-24h'!D5</f>
        <v>26.07.19</v>
      </c>
      <c r="E5" s="3"/>
      <c r="F5" s="41" t="s">
        <v>1</v>
      </c>
      <c r="G5" s="63" t="str">
        <f>'26.07 Bwaise-Kawempe-24h'!G5:H5</f>
        <v>Before Steel and Tube</v>
      </c>
      <c r="H5" s="64"/>
      <c r="I5" s="14"/>
      <c r="J5" s="2" t="s">
        <v>5</v>
      </c>
      <c r="K5" s="63" t="s">
        <v>180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kawempe-Bwaise'!D6:E6</f>
        <v>Kawempe</v>
      </c>
      <c r="E6" s="64"/>
      <c r="F6" s="2" t="s">
        <v>2</v>
      </c>
      <c r="G6" s="63" t="str">
        <f>'23.07 Kawempe-Bwaise'!G6:H6</f>
        <v>Bwaise</v>
      </c>
      <c r="H6" s="64"/>
      <c r="J6" s="2" t="s">
        <v>21</v>
      </c>
      <c r="K6" s="63" t="s">
        <v>181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96</v>
      </c>
      <c r="D10" s="50">
        <v>10</v>
      </c>
      <c r="E10" s="50">
        <v>6</v>
      </c>
      <c r="F10" s="50">
        <v>62</v>
      </c>
      <c r="G10" s="50">
        <v>3</v>
      </c>
      <c r="H10" s="50">
        <v>3</v>
      </c>
      <c r="I10" s="50">
        <v>8</v>
      </c>
      <c r="J10" s="50">
        <v>6</v>
      </c>
      <c r="K10" s="50">
        <v>5</v>
      </c>
      <c r="L10" s="50">
        <v>0</v>
      </c>
      <c r="M10" s="50">
        <v>297</v>
      </c>
      <c r="N10" s="50">
        <v>0</v>
      </c>
      <c r="O10" s="15">
        <f t="shared" ref="O10:O73" si="0">SUM(C10:L10,N10)</f>
        <v>199</v>
      </c>
      <c r="P10" s="15">
        <f t="shared" ref="P10:P73" si="1">SUM(C10:N10)</f>
        <v>496</v>
      </c>
      <c r="R10" s="1" t="s">
        <v>6</v>
      </c>
      <c r="S10" s="17">
        <f t="shared" ref="S10:AF10" si="2">SUM(C10:C13)</f>
        <v>267</v>
      </c>
      <c r="T10" s="17">
        <f t="shared" si="2"/>
        <v>31</v>
      </c>
      <c r="U10" s="17">
        <f t="shared" si="2"/>
        <v>26</v>
      </c>
      <c r="V10" s="17">
        <f t="shared" si="2"/>
        <v>226</v>
      </c>
      <c r="W10" s="17">
        <f t="shared" si="2"/>
        <v>14</v>
      </c>
      <c r="X10" s="17">
        <f t="shared" si="2"/>
        <v>6</v>
      </c>
      <c r="Y10" s="17">
        <f t="shared" si="2"/>
        <v>26</v>
      </c>
      <c r="Z10" s="17">
        <f t="shared" si="2"/>
        <v>22</v>
      </c>
      <c r="AA10" s="17">
        <f t="shared" si="2"/>
        <v>9</v>
      </c>
      <c r="AB10" s="17">
        <f t="shared" si="2"/>
        <v>0</v>
      </c>
      <c r="AC10" s="17">
        <f t="shared" si="2"/>
        <v>1193</v>
      </c>
      <c r="AD10" s="17">
        <f t="shared" si="2"/>
        <v>1</v>
      </c>
      <c r="AE10" s="31">
        <f t="shared" si="2"/>
        <v>628</v>
      </c>
      <c r="AF10" s="31">
        <f t="shared" si="2"/>
        <v>1821</v>
      </c>
    </row>
    <row r="11" spans="2:32" s="6" customFormat="1" ht="23.1" customHeight="1" x14ac:dyDescent="0.25">
      <c r="B11" s="45" t="s">
        <v>38</v>
      </c>
      <c r="C11" s="50">
        <v>63</v>
      </c>
      <c r="D11" s="50">
        <v>7</v>
      </c>
      <c r="E11" s="50">
        <v>7</v>
      </c>
      <c r="F11" s="50">
        <v>44</v>
      </c>
      <c r="G11" s="50">
        <v>6</v>
      </c>
      <c r="H11" s="50">
        <v>1</v>
      </c>
      <c r="I11" s="50">
        <v>2</v>
      </c>
      <c r="J11" s="50">
        <v>6</v>
      </c>
      <c r="K11" s="50">
        <v>2</v>
      </c>
      <c r="L11" s="50">
        <v>0</v>
      </c>
      <c r="M11" s="50">
        <v>181</v>
      </c>
      <c r="N11" s="50">
        <v>1</v>
      </c>
      <c r="O11" s="15">
        <f t="shared" si="0"/>
        <v>139</v>
      </c>
      <c r="P11" s="15">
        <f t="shared" si="1"/>
        <v>320</v>
      </c>
      <c r="R11" s="1" t="s">
        <v>7</v>
      </c>
      <c r="S11" s="17">
        <f t="shared" ref="S11:AF11" si="3">SUM(C14:C17)</f>
        <v>189</v>
      </c>
      <c r="T11" s="17">
        <f t="shared" si="3"/>
        <v>39</v>
      </c>
      <c r="U11" s="17">
        <f t="shared" si="3"/>
        <v>31</v>
      </c>
      <c r="V11" s="17">
        <f t="shared" si="3"/>
        <v>222</v>
      </c>
      <c r="W11" s="17">
        <f t="shared" si="3"/>
        <v>3</v>
      </c>
      <c r="X11" s="17">
        <f t="shared" si="3"/>
        <v>1</v>
      </c>
      <c r="Y11" s="17">
        <f t="shared" si="3"/>
        <v>33</v>
      </c>
      <c r="Z11" s="17">
        <f t="shared" si="3"/>
        <v>28</v>
      </c>
      <c r="AA11" s="17">
        <f t="shared" si="3"/>
        <v>11</v>
      </c>
      <c r="AB11" s="17">
        <f t="shared" si="3"/>
        <v>5</v>
      </c>
      <c r="AC11" s="17">
        <f t="shared" si="3"/>
        <v>1040</v>
      </c>
      <c r="AD11" s="17">
        <f t="shared" si="3"/>
        <v>0</v>
      </c>
      <c r="AE11" s="31">
        <f t="shared" si="3"/>
        <v>562</v>
      </c>
      <c r="AF11" s="31">
        <f t="shared" si="3"/>
        <v>1602</v>
      </c>
    </row>
    <row r="12" spans="2:32" ht="23.1" customHeight="1" x14ac:dyDescent="0.25">
      <c r="B12" s="45" t="s">
        <v>39</v>
      </c>
      <c r="C12" s="50">
        <v>51</v>
      </c>
      <c r="D12" s="50">
        <v>8</v>
      </c>
      <c r="E12" s="50">
        <v>9</v>
      </c>
      <c r="F12" s="50">
        <v>61</v>
      </c>
      <c r="G12" s="50">
        <v>2</v>
      </c>
      <c r="H12" s="50">
        <v>2</v>
      </c>
      <c r="I12" s="50">
        <v>7</v>
      </c>
      <c r="J12" s="50">
        <v>5</v>
      </c>
      <c r="K12" s="50">
        <v>1</v>
      </c>
      <c r="L12" s="50">
        <v>0</v>
      </c>
      <c r="M12" s="50">
        <v>325</v>
      </c>
      <c r="N12" s="50">
        <v>0</v>
      </c>
      <c r="O12" s="15">
        <f t="shared" si="0"/>
        <v>146</v>
      </c>
      <c r="P12" s="15">
        <f t="shared" si="1"/>
        <v>471</v>
      </c>
      <c r="R12" s="1" t="s">
        <v>8</v>
      </c>
      <c r="S12" s="17">
        <f t="shared" ref="S12:AF12" si="4">SUM(C18:C21)</f>
        <v>212</v>
      </c>
      <c r="T12" s="17">
        <f t="shared" si="4"/>
        <v>34</v>
      </c>
      <c r="U12" s="17">
        <f t="shared" si="4"/>
        <v>18</v>
      </c>
      <c r="V12" s="17">
        <f t="shared" si="4"/>
        <v>203</v>
      </c>
      <c r="W12" s="17">
        <f t="shared" si="4"/>
        <v>15</v>
      </c>
      <c r="X12" s="17">
        <f t="shared" si="4"/>
        <v>3</v>
      </c>
      <c r="Y12" s="17">
        <f t="shared" si="4"/>
        <v>36</v>
      </c>
      <c r="Z12" s="17">
        <f t="shared" si="4"/>
        <v>40</v>
      </c>
      <c r="AA12" s="17">
        <f t="shared" si="4"/>
        <v>16</v>
      </c>
      <c r="AB12" s="17">
        <f t="shared" si="4"/>
        <v>1</v>
      </c>
      <c r="AC12" s="17">
        <f t="shared" si="4"/>
        <v>943</v>
      </c>
      <c r="AD12" s="17">
        <f t="shared" si="4"/>
        <v>0</v>
      </c>
      <c r="AE12" s="31">
        <f t="shared" si="4"/>
        <v>578</v>
      </c>
      <c r="AF12" s="31">
        <f t="shared" si="4"/>
        <v>1521</v>
      </c>
    </row>
    <row r="13" spans="2:32" ht="23.1" customHeight="1" x14ac:dyDescent="0.25">
      <c r="B13" s="45" t="s">
        <v>40</v>
      </c>
      <c r="C13" s="50">
        <v>57</v>
      </c>
      <c r="D13" s="50">
        <v>6</v>
      </c>
      <c r="E13" s="50">
        <v>4</v>
      </c>
      <c r="F13" s="50">
        <v>59</v>
      </c>
      <c r="G13" s="50">
        <v>3</v>
      </c>
      <c r="H13" s="50">
        <v>0</v>
      </c>
      <c r="I13" s="50">
        <v>9</v>
      </c>
      <c r="J13" s="50">
        <v>5</v>
      </c>
      <c r="K13" s="50">
        <v>1</v>
      </c>
      <c r="L13" s="50">
        <v>0</v>
      </c>
      <c r="M13" s="50">
        <v>390</v>
      </c>
      <c r="N13" s="50">
        <v>0</v>
      </c>
      <c r="O13" s="15">
        <f t="shared" si="0"/>
        <v>144</v>
      </c>
      <c r="P13" s="15">
        <f t="shared" si="1"/>
        <v>534</v>
      </c>
      <c r="R13" s="1" t="s">
        <v>9</v>
      </c>
      <c r="S13" s="17">
        <f t="shared" ref="S13:AF13" si="5">SUM(C22:C25)</f>
        <v>156</v>
      </c>
      <c r="T13" s="17">
        <f t="shared" si="5"/>
        <v>33</v>
      </c>
      <c r="U13" s="17">
        <f t="shared" si="5"/>
        <v>14</v>
      </c>
      <c r="V13" s="17">
        <f t="shared" si="5"/>
        <v>171</v>
      </c>
      <c r="W13" s="17">
        <f t="shared" si="5"/>
        <v>8</v>
      </c>
      <c r="X13" s="17">
        <f t="shared" si="5"/>
        <v>2</v>
      </c>
      <c r="Y13" s="17">
        <f t="shared" si="5"/>
        <v>37</v>
      </c>
      <c r="Z13" s="17">
        <f t="shared" si="5"/>
        <v>40</v>
      </c>
      <c r="AA13" s="17">
        <f t="shared" si="5"/>
        <v>17</v>
      </c>
      <c r="AB13" s="17">
        <f t="shared" si="5"/>
        <v>4</v>
      </c>
      <c r="AC13" s="17">
        <f t="shared" si="5"/>
        <v>853</v>
      </c>
      <c r="AD13" s="17">
        <f t="shared" si="5"/>
        <v>0</v>
      </c>
      <c r="AE13" s="31">
        <f t="shared" si="5"/>
        <v>482</v>
      </c>
      <c r="AF13" s="31">
        <f t="shared" si="5"/>
        <v>1335</v>
      </c>
    </row>
    <row r="14" spans="2:32" ht="23.1" customHeight="1" x14ac:dyDescent="0.25">
      <c r="B14" s="45" t="s">
        <v>41</v>
      </c>
      <c r="C14" s="50">
        <v>54</v>
      </c>
      <c r="D14" s="50">
        <v>11</v>
      </c>
      <c r="E14" s="50">
        <v>9</v>
      </c>
      <c r="F14" s="50">
        <v>70</v>
      </c>
      <c r="G14" s="50">
        <v>1</v>
      </c>
      <c r="H14" s="50">
        <v>1</v>
      </c>
      <c r="I14" s="50">
        <v>13</v>
      </c>
      <c r="J14" s="50">
        <v>6</v>
      </c>
      <c r="K14" s="50">
        <v>2</v>
      </c>
      <c r="L14" s="50">
        <v>1</v>
      </c>
      <c r="M14" s="50">
        <v>270</v>
      </c>
      <c r="N14" s="50">
        <v>0</v>
      </c>
      <c r="O14" s="15">
        <f t="shared" si="0"/>
        <v>168</v>
      </c>
      <c r="P14" s="15">
        <f t="shared" si="1"/>
        <v>438</v>
      </c>
      <c r="R14" s="1" t="s">
        <v>10</v>
      </c>
      <c r="S14" s="17">
        <f t="shared" ref="S14:AF14" si="6">SUM(C26:C29)</f>
        <v>166</v>
      </c>
      <c r="T14" s="17">
        <f t="shared" si="6"/>
        <v>42</v>
      </c>
      <c r="U14" s="17">
        <f t="shared" si="6"/>
        <v>25</v>
      </c>
      <c r="V14" s="17">
        <f t="shared" si="6"/>
        <v>154</v>
      </c>
      <c r="W14" s="17">
        <f t="shared" si="6"/>
        <v>6</v>
      </c>
      <c r="X14" s="17">
        <f t="shared" si="6"/>
        <v>1</v>
      </c>
      <c r="Y14" s="17">
        <f t="shared" si="6"/>
        <v>35</v>
      </c>
      <c r="Z14" s="17">
        <f t="shared" si="6"/>
        <v>43</v>
      </c>
      <c r="AA14" s="17">
        <f t="shared" si="6"/>
        <v>9</v>
      </c>
      <c r="AB14" s="17">
        <f t="shared" si="6"/>
        <v>4</v>
      </c>
      <c r="AC14" s="17">
        <f t="shared" si="6"/>
        <v>761</v>
      </c>
      <c r="AD14" s="17">
        <f t="shared" si="6"/>
        <v>0</v>
      </c>
      <c r="AE14" s="31">
        <f t="shared" si="6"/>
        <v>485</v>
      </c>
      <c r="AF14" s="31">
        <f t="shared" si="6"/>
        <v>1246</v>
      </c>
    </row>
    <row r="15" spans="2:32" ht="23.1" customHeight="1" x14ac:dyDescent="0.25">
      <c r="B15" s="45" t="s">
        <v>42</v>
      </c>
      <c r="C15" s="50">
        <v>51</v>
      </c>
      <c r="D15" s="50">
        <v>3</v>
      </c>
      <c r="E15" s="50">
        <v>7</v>
      </c>
      <c r="F15" s="50">
        <v>58</v>
      </c>
      <c r="G15" s="50">
        <v>0</v>
      </c>
      <c r="H15" s="50">
        <v>0</v>
      </c>
      <c r="I15" s="50">
        <v>5</v>
      </c>
      <c r="J15" s="50">
        <v>3</v>
      </c>
      <c r="K15" s="50">
        <v>3</v>
      </c>
      <c r="L15" s="50">
        <v>1</v>
      </c>
      <c r="M15" s="50">
        <v>260</v>
      </c>
      <c r="N15" s="50">
        <v>0</v>
      </c>
      <c r="O15" s="15">
        <f t="shared" si="0"/>
        <v>131</v>
      </c>
      <c r="P15" s="15">
        <f t="shared" si="1"/>
        <v>391</v>
      </c>
      <c r="R15" s="1" t="s">
        <v>11</v>
      </c>
      <c r="S15" s="17">
        <f t="shared" ref="S15:AF15" si="7">SUM(C30:C33)</f>
        <v>206</v>
      </c>
      <c r="T15" s="17">
        <f t="shared" si="7"/>
        <v>37</v>
      </c>
      <c r="U15" s="17">
        <f t="shared" si="7"/>
        <v>36</v>
      </c>
      <c r="V15" s="17">
        <f t="shared" si="7"/>
        <v>182</v>
      </c>
      <c r="W15" s="17">
        <f t="shared" si="7"/>
        <v>8</v>
      </c>
      <c r="X15" s="17">
        <f t="shared" si="7"/>
        <v>3</v>
      </c>
      <c r="Y15" s="17">
        <f t="shared" si="7"/>
        <v>48</v>
      </c>
      <c r="Z15" s="17">
        <f t="shared" si="7"/>
        <v>31</v>
      </c>
      <c r="AA15" s="17">
        <f t="shared" si="7"/>
        <v>5</v>
      </c>
      <c r="AB15" s="17">
        <f t="shared" si="7"/>
        <v>1</v>
      </c>
      <c r="AC15" s="17">
        <f t="shared" si="7"/>
        <v>582</v>
      </c>
      <c r="AD15" s="17">
        <f t="shared" si="7"/>
        <v>0</v>
      </c>
      <c r="AE15" s="31">
        <f t="shared" si="7"/>
        <v>557</v>
      </c>
      <c r="AF15" s="31">
        <f t="shared" si="7"/>
        <v>1139</v>
      </c>
    </row>
    <row r="16" spans="2:32" ht="23.1" customHeight="1" x14ac:dyDescent="0.25">
      <c r="B16" s="45" t="s">
        <v>43</v>
      </c>
      <c r="C16" s="50">
        <v>54</v>
      </c>
      <c r="D16" s="50">
        <v>18</v>
      </c>
      <c r="E16" s="50">
        <v>12</v>
      </c>
      <c r="F16" s="50">
        <v>52</v>
      </c>
      <c r="G16" s="50">
        <v>2</v>
      </c>
      <c r="H16" s="50">
        <v>0</v>
      </c>
      <c r="I16" s="50">
        <v>8</v>
      </c>
      <c r="J16" s="50">
        <v>13</v>
      </c>
      <c r="K16" s="50">
        <v>4</v>
      </c>
      <c r="L16" s="50">
        <v>3</v>
      </c>
      <c r="M16" s="50">
        <v>365</v>
      </c>
      <c r="N16" s="50">
        <v>0</v>
      </c>
      <c r="O16" s="15">
        <f t="shared" si="0"/>
        <v>166</v>
      </c>
      <c r="P16" s="15">
        <f t="shared" si="1"/>
        <v>531</v>
      </c>
      <c r="R16" s="1" t="s">
        <v>12</v>
      </c>
      <c r="S16" s="17">
        <f t="shared" ref="S16:AF16" si="8">SUM(C34:C37)</f>
        <v>156</v>
      </c>
      <c r="T16" s="17">
        <f t="shared" si="8"/>
        <v>35</v>
      </c>
      <c r="U16" s="17">
        <f t="shared" si="8"/>
        <v>15</v>
      </c>
      <c r="V16" s="17">
        <f t="shared" si="8"/>
        <v>167</v>
      </c>
      <c r="W16" s="17">
        <f t="shared" si="8"/>
        <v>6</v>
      </c>
      <c r="X16" s="17">
        <f t="shared" si="8"/>
        <v>2</v>
      </c>
      <c r="Y16" s="17">
        <f t="shared" si="8"/>
        <v>39</v>
      </c>
      <c r="Z16" s="17">
        <f t="shared" si="8"/>
        <v>36</v>
      </c>
      <c r="AA16" s="17">
        <f t="shared" si="8"/>
        <v>7</v>
      </c>
      <c r="AB16" s="17">
        <f t="shared" si="8"/>
        <v>8</v>
      </c>
      <c r="AC16" s="17">
        <f t="shared" si="8"/>
        <v>649</v>
      </c>
      <c r="AD16" s="17">
        <f t="shared" si="8"/>
        <v>0</v>
      </c>
      <c r="AE16" s="31">
        <f t="shared" si="8"/>
        <v>471</v>
      </c>
      <c r="AF16" s="31">
        <f t="shared" si="8"/>
        <v>1120</v>
      </c>
    </row>
    <row r="17" spans="2:32" ht="23.1" customHeight="1" x14ac:dyDescent="0.25">
      <c r="B17" s="45" t="s">
        <v>44</v>
      </c>
      <c r="C17" s="50">
        <v>30</v>
      </c>
      <c r="D17" s="50">
        <v>7</v>
      </c>
      <c r="E17" s="50">
        <v>3</v>
      </c>
      <c r="F17" s="50">
        <v>42</v>
      </c>
      <c r="G17" s="50">
        <v>0</v>
      </c>
      <c r="H17" s="50">
        <v>0</v>
      </c>
      <c r="I17" s="50">
        <v>7</v>
      </c>
      <c r="J17" s="50">
        <v>6</v>
      </c>
      <c r="K17" s="50">
        <v>2</v>
      </c>
      <c r="L17" s="50">
        <v>0</v>
      </c>
      <c r="M17" s="50">
        <v>145</v>
      </c>
      <c r="N17" s="50">
        <v>0</v>
      </c>
      <c r="O17" s="15">
        <f t="shared" si="0"/>
        <v>97</v>
      </c>
      <c r="P17" s="15">
        <f t="shared" si="1"/>
        <v>242</v>
      </c>
      <c r="R17" s="1" t="s">
        <v>13</v>
      </c>
      <c r="S17" s="17">
        <f t="shared" ref="S17:AF17" si="9">SUM(C38:C41)</f>
        <v>134</v>
      </c>
      <c r="T17" s="17">
        <f t="shared" si="9"/>
        <v>27</v>
      </c>
      <c r="U17" s="17">
        <f t="shared" si="9"/>
        <v>16</v>
      </c>
      <c r="V17" s="17">
        <f t="shared" si="9"/>
        <v>154</v>
      </c>
      <c r="W17" s="17">
        <f t="shared" si="9"/>
        <v>7</v>
      </c>
      <c r="X17" s="17">
        <f t="shared" si="9"/>
        <v>6</v>
      </c>
      <c r="Y17" s="17">
        <f t="shared" si="9"/>
        <v>30</v>
      </c>
      <c r="Z17" s="17">
        <f t="shared" si="9"/>
        <v>31</v>
      </c>
      <c r="AA17" s="17">
        <f t="shared" si="9"/>
        <v>9</v>
      </c>
      <c r="AB17" s="17">
        <f t="shared" si="9"/>
        <v>8</v>
      </c>
      <c r="AC17" s="17">
        <f t="shared" si="9"/>
        <v>510</v>
      </c>
      <c r="AD17" s="17">
        <f t="shared" si="9"/>
        <v>0</v>
      </c>
      <c r="AE17" s="31">
        <f t="shared" si="9"/>
        <v>422</v>
      </c>
      <c r="AF17" s="31">
        <f t="shared" si="9"/>
        <v>932</v>
      </c>
    </row>
    <row r="18" spans="2:32" ht="23.1" customHeight="1" x14ac:dyDescent="0.25">
      <c r="B18" s="45" t="s">
        <v>45</v>
      </c>
      <c r="C18" s="50">
        <v>55</v>
      </c>
      <c r="D18" s="50">
        <v>10</v>
      </c>
      <c r="E18" s="50">
        <v>4</v>
      </c>
      <c r="F18" s="50">
        <v>61</v>
      </c>
      <c r="G18" s="50">
        <v>3</v>
      </c>
      <c r="H18" s="50">
        <v>0</v>
      </c>
      <c r="I18" s="50">
        <v>8</v>
      </c>
      <c r="J18" s="50">
        <v>11</v>
      </c>
      <c r="K18" s="50">
        <v>6</v>
      </c>
      <c r="L18" s="50">
        <v>1</v>
      </c>
      <c r="M18" s="50">
        <v>210</v>
      </c>
      <c r="N18" s="50">
        <v>0</v>
      </c>
      <c r="O18" s="15">
        <f t="shared" si="0"/>
        <v>159</v>
      </c>
      <c r="P18" s="15">
        <f t="shared" si="1"/>
        <v>369</v>
      </c>
      <c r="R18" s="1" t="s">
        <v>14</v>
      </c>
      <c r="S18" s="17">
        <f t="shared" ref="S18:AF18" si="10">SUM(C42:C45)</f>
        <v>146</v>
      </c>
      <c r="T18" s="17">
        <f t="shared" si="10"/>
        <v>38</v>
      </c>
      <c r="U18" s="17">
        <f t="shared" si="10"/>
        <v>30</v>
      </c>
      <c r="V18" s="17">
        <f t="shared" si="10"/>
        <v>159</v>
      </c>
      <c r="W18" s="17">
        <f t="shared" si="10"/>
        <v>4</v>
      </c>
      <c r="X18" s="17">
        <f t="shared" si="10"/>
        <v>5</v>
      </c>
      <c r="Y18" s="17">
        <f t="shared" si="10"/>
        <v>42</v>
      </c>
      <c r="Z18" s="17">
        <f t="shared" si="10"/>
        <v>31</v>
      </c>
      <c r="AA18" s="17">
        <f t="shared" si="10"/>
        <v>10</v>
      </c>
      <c r="AB18" s="17">
        <f t="shared" si="10"/>
        <v>2</v>
      </c>
      <c r="AC18" s="17">
        <f t="shared" si="10"/>
        <v>505</v>
      </c>
      <c r="AD18" s="17">
        <f t="shared" si="10"/>
        <v>0</v>
      </c>
      <c r="AE18" s="31">
        <f t="shared" si="10"/>
        <v>467</v>
      </c>
      <c r="AF18" s="31">
        <f t="shared" si="10"/>
        <v>972</v>
      </c>
    </row>
    <row r="19" spans="2:32" ht="23.1" customHeight="1" x14ac:dyDescent="0.25">
      <c r="B19" s="45" t="s">
        <v>46</v>
      </c>
      <c r="C19" s="50">
        <v>69</v>
      </c>
      <c r="D19" s="50">
        <v>10</v>
      </c>
      <c r="E19" s="50">
        <v>4</v>
      </c>
      <c r="F19" s="50">
        <v>65</v>
      </c>
      <c r="G19" s="50">
        <v>2</v>
      </c>
      <c r="H19" s="50">
        <v>3</v>
      </c>
      <c r="I19" s="50">
        <v>14</v>
      </c>
      <c r="J19" s="50">
        <v>15</v>
      </c>
      <c r="K19" s="50">
        <v>7</v>
      </c>
      <c r="L19" s="50">
        <v>0</v>
      </c>
      <c r="M19" s="50">
        <v>335</v>
      </c>
      <c r="N19" s="50">
        <v>0</v>
      </c>
      <c r="O19" s="15">
        <f t="shared" si="0"/>
        <v>189</v>
      </c>
      <c r="P19" s="15">
        <f t="shared" si="1"/>
        <v>524</v>
      </c>
      <c r="R19" s="1" t="s">
        <v>15</v>
      </c>
      <c r="S19" s="17">
        <f t="shared" ref="S19:AF19" si="11">SUM(C46:C49)</f>
        <v>140</v>
      </c>
      <c r="T19" s="17">
        <f t="shared" si="11"/>
        <v>30</v>
      </c>
      <c r="U19" s="17">
        <f t="shared" si="11"/>
        <v>79</v>
      </c>
      <c r="V19" s="17">
        <f t="shared" si="11"/>
        <v>166</v>
      </c>
      <c r="W19" s="17">
        <f t="shared" si="11"/>
        <v>6</v>
      </c>
      <c r="X19" s="17">
        <f t="shared" si="11"/>
        <v>4</v>
      </c>
      <c r="Y19" s="17">
        <f t="shared" si="11"/>
        <v>36</v>
      </c>
      <c r="Z19" s="17">
        <f t="shared" si="11"/>
        <v>28</v>
      </c>
      <c r="AA19" s="17">
        <f t="shared" si="11"/>
        <v>8</v>
      </c>
      <c r="AB19" s="17">
        <f t="shared" si="11"/>
        <v>11</v>
      </c>
      <c r="AC19" s="17">
        <f t="shared" si="11"/>
        <v>600</v>
      </c>
      <c r="AD19" s="17">
        <f t="shared" si="11"/>
        <v>0</v>
      </c>
      <c r="AE19" s="31">
        <f t="shared" si="11"/>
        <v>508</v>
      </c>
      <c r="AF19" s="31">
        <f t="shared" si="11"/>
        <v>1108</v>
      </c>
    </row>
    <row r="20" spans="2:32" ht="23.1" customHeight="1" x14ac:dyDescent="0.25">
      <c r="B20" s="45" t="s">
        <v>47</v>
      </c>
      <c r="C20" s="50">
        <v>31</v>
      </c>
      <c r="D20" s="50">
        <v>6</v>
      </c>
      <c r="E20" s="50">
        <v>3</v>
      </c>
      <c r="F20" s="50">
        <v>30</v>
      </c>
      <c r="G20" s="50">
        <v>5</v>
      </c>
      <c r="H20" s="50">
        <v>0</v>
      </c>
      <c r="I20" s="50">
        <v>3</v>
      </c>
      <c r="J20" s="50">
        <v>6</v>
      </c>
      <c r="K20" s="50">
        <v>0</v>
      </c>
      <c r="L20" s="50">
        <v>0</v>
      </c>
      <c r="M20" s="50">
        <v>188</v>
      </c>
      <c r="N20" s="50">
        <v>0</v>
      </c>
      <c r="O20" s="15">
        <f t="shared" si="0"/>
        <v>84</v>
      </c>
      <c r="P20" s="15">
        <f t="shared" si="1"/>
        <v>272</v>
      </c>
      <c r="R20" s="1" t="s">
        <v>16</v>
      </c>
      <c r="S20" s="17">
        <f t="shared" ref="S20:AF20" si="12">SUM(C50:C53)</f>
        <v>112</v>
      </c>
      <c r="T20" s="17">
        <f t="shared" si="12"/>
        <v>29</v>
      </c>
      <c r="U20" s="17">
        <f t="shared" si="12"/>
        <v>29</v>
      </c>
      <c r="V20" s="17">
        <f t="shared" si="12"/>
        <v>137</v>
      </c>
      <c r="W20" s="17">
        <f t="shared" si="12"/>
        <v>4</v>
      </c>
      <c r="X20" s="17">
        <f t="shared" si="12"/>
        <v>3</v>
      </c>
      <c r="Y20" s="17">
        <f t="shared" si="12"/>
        <v>40</v>
      </c>
      <c r="Z20" s="17">
        <f t="shared" si="12"/>
        <v>20</v>
      </c>
      <c r="AA20" s="17">
        <f t="shared" si="12"/>
        <v>8</v>
      </c>
      <c r="AB20" s="17">
        <f t="shared" si="12"/>
        <v>9</v>
      </c>
      <c r="AC20" s="17">
        <f t="shared" si="12"/>
        <v>756</v>
      </c>
      <c r="AD20" s="17">
        <f t="shared" si="12"/>
        <v>0</v>
      </c>
      <c r="AE20" s="31">
        <f t="shared" si="12"/>
        <v>391</v>
      </c>
      <c r="AF20" s="31">
        <f t="shared" si="12"/>
        <v>1147</v>
      </c>
    </row>
    <row r="21" spans="2:32" ht="23.1" customHeight="1" x14ac:dyDescent="0.25">
      <c r="B21" s="45" t="s">
        <v>48</v>
      </c>
      <c r="C21" s="50">
        <v>57</v>
      </c>
      <c r="D21" s="50">
        <v>8</v>
      </c>
      <c r="E21" s="50">
        <v>7</v>
      </c>
      <c r="F21" s="50">
        <v>47</v>
      </c>
      <c r="G21" s="50">
        <v>5</v>
      </c>
      <c r="H21" s="50">
        <v>0</v>
      </c>
      <c r="I21" s="50">
        <v>11</v>
      </c>
      <c r="J21" s="50">
        <v>8</v>
      </c>
      <c r="K21" s="50">
        <v>3</v>
      </c>
      <c r="L21" s="50">
        <v>0</v>
      </c>
      <c r="M21" s="50">
        <v>210</v>
      </c>
      <c r="N21" s="50">
        <v>0</v>
      </c>
      <c r="O21" s="15">
        <f t="shared" si="0"/>
        <v>146</v>
      </c>
      <c r="P21" s="15">
        <f t="shared" si="1"/>
        <v>356</v>
      </c>
      <c r="R21" s="36" t="s">
        <v>20</v>
      </c>
      <c r="S21" s="34">
        <f t="shared" ref="S21:AF21" si="13">SUM(C54:C57)</f>
        <v>114</v>
      </c>
      <c r="T21" s="17">
        <f t="shared" si="13"/>
        <v>30</v>
      </c>
      <c r="U21" s="17">
        <f t="shared" si="13"/>
        <v>14</v>
      </c>
      <c r="V21" s="17">
        <f t="shared" si="13"/>
        <v>147</v>
      </c>
      <c r="W21" s="17">
        <f t="shared" si="13"/>
        <v>5</v>
      </c>
      <c r="X21" s="17">
        <f t="shared" si="13"/>
        <v>0</v>
      </c>
      <c r="Y21" s="17">
        <f t="shared" si="13"/>
        <v>35</v>
      </c>
      <c r="Z21" s="17">
        <f t="shared" si="13"/>
        <v>15</v>
      </c>
      <c r="AA21" s="17">
        <f t="shared" si="13"/>
        <v>7</v>
      </c>
      <c r="AB21" s="17">
        <f t="shared" si="13"/>
        <v>2</v>
      </c>
      <c r="AC21" s="17">
        <f t="shared" si="13"/>
        <v>684</v>
      </c>
      <c r="AD21" s="17">
        <f t="shared" si="13"/>
        <v>0</v>
      </c>
      <c r="AE21" s="31">
        <f t="shared" si="13"/>
        <v>369</v>
      </c>
      <c r="AF21" s="31">
        <f t="shared" si="13"/>
        <v>1053</v>
      </c>
    </row>
    <row r="22" spans="2:32" ht="23.1" customHeight="1" x14ac:dyDescent="0.25">
      <c r="B22" s="45" t="s">
        <v>49</v>
      </c>
      <c r="C22" s="50">
        <v>48</v>
      </c>
      <c r="D22" s="50">
        <v>12</v>
      </c>
      <c r="E22" s="50">
        <v>6</v>
      </c>
      <c r="F22" s="50">
        <v>56</v>
      </c>
      <c r="G22" s="50">
        <v>3</v>
      </c>
      <c r="H22" s="50">
        <v>0</v>
      </c>
      <c r="I22" s="50">
        <v>10</v>
      </c>
      <c r="J22" s="50">
        <v>7</v>
      </c>
      <c r="K22" s="50">
        <v>6</v>
      </c>
      <c r="L22" s="50">
        <v>1</v>
      </c>
      <c r="M22" s="50">
        <v>205</v>
      </c>
      <c r="N22" s="50">
        <v>0</v>
      </c>
      <c r="O22" s="15">
        <f t="shared" si="0"/>
        <v>149</v>
      </c>
      <c r="P22" s="15">
        <f t="shared" si="1"/>
        <v>354</v>
      </c>
      <c r="R22" s="36" t="s">
        <v>146</v>
      </c>
      <c r="S22" s="34">
        <f>SUM(C58:C61)</f>
        <v>114</v>
      </c>
      <c r="T22" s="34">
        <f t="shared" ref="T22:AF22" si="14">SUM(D58:D61)</f>
        <v>12</v>
      </c>
      <c r="U22" s="34">
        <f t="shared" si="14"/>
        <v>7</v>
      </c>
      <c r="V22" s="34">
        <f t="shared" si="14"/>
        <v>73</v>
      </c>
      <c r="W22" s="34">
        <f t="shared" si="14"/>
        <v>3</v>
      </c>
      <c r="X22" s="34">
        <f t="shared" si="14"/>
        <v>9</v>
      </c>
      <c r="Y22" s="34">
        <f t="shared" si="14"/>
        <v>7</v>
      </c>
      <c r="Z22" s="34">
        <f t="shared" si="14"/>
        <v>20</v>
      </c>
      <c r="AA22" s="34">
        <f t="shared" si="14"/>
        <v>3</v>
      </c>
      <c r="AB22" s="34">
        <f t="shared" si="14"/>
        <v>2</v>
      </c>
      <c r="AC22" s="34">
        <f t="shared" si="14"/>
        <v>266</v>
      </c>
      <c r="AD22" s="34">
        <f t="shared" si="14"/>
        <v>0</v>
      </c>
      <c r="AE22" s="31">
        <f t="shared" si="14"/>
        <v>250</v>
      </c>
      <c r="AF22" s="31">
        <f t="shared" si="14"/>
        <v>516</v>
      </c>
    </row>
    <row r="23" spans="2:32" ht="23.1" customHeight="1" x14ac:dyDescent="0.25">
      <c r="B23" s="45" t="s">
        <v>50</v>
      </c>
      <c r="C23" s="50">
        <v>37</v>
      </c>
      <c r="D23" s="50">
        <v>9</v>
      </c>
      <c r="E23" s="50">
        <v>3</v>
      </c>
      <c r="F23" s="50">
        <v>28</v>
      </c>
      <c r="G23" s="50">
        <v>2</v>
      </c>
      <c r="H23" s="50">
        <v>2</v>
      </c>
      <c r="I23" s="50">
        <v>7</v>
      </c>
      <c r="J23" s="50">
        <v>9</v>
      </c>
      <c r="K23" s="50">
        <v>3</v>
      </c>
      <c r="L23" s="50">
        <v>3</v>
      </c>
      <c r="M23" s="50">
        <v>160</v>
      </c>
      <c r="N23" s="50">
        <v>0</v>
      </c>
      <c r="O23" s="15">
        <f t="shared" si="0"/>
        <v>103</v>
      </c>
      <c r="P23" s="15">
        <f t="shared" si="1"/>
        <v>263</v>
      </c>
      <c r="R23" s="36" t="s">
        <v>147</v>
      </c>
      <c r="S23" s="34">
        <f>SUM(C62:C65)</f>
        <v>84</v>
      </c>
      <c r="T23" s="34">
        <f t="shared" ref="T23:AF23" si="15">SUM(D62:D65)</f>
        <v>22</v>
      </c>
      <c r="U23" s="34">
        <f t="shared" si="15"/>
        <v>13</v>
      </c>
      <c r="V23" s="34">
        <f t="shared" si="15"/>
        <v>108</v>
      </c>
      <c r="W23" s="34">
        <f t="shared" si="15"/>
        <v>6</v>
      </c>
      <c r="X23" s="34">
        <f t="shared" si="15"/>
        <v>7</v>
      </c>
      <c r="Y23" s="34">
        <f t="shared" si="15"/>
        <v>13</v>
      </c>
      <c r="Z23" s="34">
        <f t="shared" si="15"/>
        <v>20</v>
      </c>
      <c r="AA23" s="34">
        <f t="shared" si="15"/>
        <v>5</v>
      </c>
      <c r="AB23" s="34">
        <f t="shared" si="15"/>
        <v>4</v>
      </c>
      <c r="AC23" s="34">
        <f t="shared" si="15"/>
        <v>826</v>
      </c>
      <c r="AD23" s="34">
        <f t="shared" si="15"/>
        <v>0</v>
      </c>
      <c r="AE23" s="31">
        <f t="shared" si="15"/>
        <v>282</v>
      </c>
      <c r="AF23" s="31">
        <f t="shared" si="15"/>
        <v>1108</v>
      </c>
    </row>
    <row r="24" spans="2:32" ht="23.1" customHeight="1" x14ac:dyDescent="0.25">
      <c r="B24" s="45" t="s">
        <v>51</v>
      </c>
      <c r="C24" s="50">
        <v>35</v>
      </c>
      <c r="D24" s="50">
        <v>5</v>
      </c>
      <c r="E24" s="50">
        <v>4</v>
      </c>
      <c r="F24" s="50">
        <v>50</v>
      </c>
      <c r="G24" s="50">
        <v>2</v>
      </c>
      <c r="H24" s="50">
        <v>0</v>
      </c>
      <c r="I24" s="50">
        <v>12</v>
      </c>
      <c r="J24" s="50">
        <v>13</v>
      </c>
      <c r="K24" s="50">
        <v>3</v>
      </c>
      <c r="L24" s="50">
        <v>0</v>
      </c>
      <c r="M24" s="50">
        <v>255</v>
      </c>
      <c r="N24" s="50">
        <v>0</v>
      </c>
      <c r="O24" s="15">
        <f t="shared" si="0"/>
        <v>124</v>
      </c>
      <c r="P24" s="15">
        <f t="shared" si="1"/>
        <v>379</v>
      </c>
      <c r="R24" s="36" t="s">
        <v>148</v>
      </c>
      <c r="S24" s="34">
        <f>SUM(C66:C69)</f>
        <v>82</v>
      </c>
      <c r="T24" s="34">
        <f t="shared" ref="T24:AF24" si="16">SUM(D66:D69)</f>
        <v>14</v>
      </c>
      <c r="U24" s="34">
        <f t="shared" si="16"/>
        <v>10</v>
      </c>
      <c r="V24" s="34">
        <f t="shared" si="16"/>
        <v>93</v>
      </c>
      <c r="W24" s="34">
        <f t="shared" si="16"/>
        <v>9</v>
      </c>
      <c r="X24" s="34">
        <f t="shared" si="16"/>
        <v>2</v>
      </c>
      <c r="Y24" s="34">
        <f t="shared" si="16"/>
        <v>16</v>
      </c>
      <c r="Z24" s="34">
        <f t="shared" si="16"/>
        <v>20</v>
      </c>
      <c r="AA24" s="34">
        <f t="shared" si="16"/>
        <v>7</v>
      </c>
      <c r="AB24" s="34">
        <f t="shared" si="16"/>
        <v>8</v>
      </c>
      <c r="AC24" s="34">
        <f t="shared" si="16"/>
        <v>603</v>
      </c>
      <c r="AD24" s="34">
        <f t="shared" si="16"/>
        <v>0</v>
      </c>
      <c r="AE24" s="31">
        <f t="shared" si="16"/>
        <v>261</v>
      </c>
      <c r="AF24" s="31">
        <f t="shared" si="16"/>
        <v>864</v>
      </c>
    </row>
    <row r="25" spans="2:32" ht="23.1" customHeight="1" x14ac:dyDescent="0.25">
      <c r="B25" s="45" t="s">
        <v>52</v>
      </c>
      <c r="C25" s="50">
        <v>36</v>
      </c>
      <c r="D25" s="50">
        <v>7</v>
      </c>
      <c r="E25" s="50">
        <v>1</v>
      </c>
      <c r="F25" s="50">
        <v>37</v>
      </c>
      <c r="G25" s="50">
        <v>1</v>
      </c>
      <c r="H25" s="50">
        <v>0</v>
      </c>
      <c r="I25" s="50">
        <v>8</v>
      </c>
      <c r="J25" s="50">
        <v>11</v>
      </c>
      <c r="K25" s="50">
        <v>5</v>
      </c>
      <c r="L25" s="50">
        <v>0</v>
      </c>
      <c r="M25" s="50">
        <v>233</v>
      </c>
      <c r="N25" s="50">
        <v>0</v>
      </c>
      <c r="O25" s="15">
        <f t="shared" si="0"/>
        <v>106</v>
      </c>
      <c r="P25" s="15">
        <f t="shared" si="1"/>
        <v>339</v>
      </c>
      <c r="R25" s="36" t="s">
        <v>149</v>
      </c>
      <c r="S25" s="34">
        <f>SUM(C70:C73)</f>
        <v>102</v>
      </c>
      <c r="T25" s="34">
        <f t="shared" ref="T25:AF25" si="17">SUM(D70:D73)</f>
        <v>7</v>
      </c>
      <c r="U25" s="34">
        <f t="shared" si="17"/>
        <v>13</v>
      </c>
      <c r="V25" s="34">
        <f t="shared" si="17"/>
        <v>66</v>
      </c>
      <c r="W25" s="34">
        <f t="shared" si="17"/>
        <v>8</v>
      </c>
      <c r="X25" s="34">
        <f t="shared" si="17"/>
        <v>2</v>
      </c>
      <c r="Y25" s="34">
        <f t="shared" si="17"/>
        <v>22</v>
      </c>
      <c r="Z25" s="34">
        <f t="shared" si="17"/>
        <v>10</v>
      </c>
      <c r="AA25" s="34">
        <f t="shared" si="17"/>
        <v>11</v>
      </c>
      <c r="AB25" s="34">
        <f t="shared" si="17"/>
        <v>3</v>
      </c>
      <c r="AC25" s="34">
        <f t="shared" si="17"/>
        <v>319</v>
      </c>
      <c r="AD25" s="34">
        <f t="shared" si="17"/>
        <v>0</v>
      </c>
      <c r="AE25" s="31">
        <f t="shared" si="17"/>
        <v>244</v>
      </c>
      <c r="AF25" s="31">
        <f t="shared" si="17"/>
        <v>563</v>
      </c>
    </row>
    <row r="26" spans="2:32" ht="23.1" customHeight="1" x14ac:dyDescent="0.25">
      <c r="B26" s="45" t="s">
        <v>53</v>
      </c>
      <c r="C26" s="50">
        <v>42</v>
      </c>
      <c r="D26" s="50">
        <v>9</v>
      </c>
      <c r="E26" s="50">
        <v>5</v>
      </c>
      <c r="F26" s="50">
        <v>47</v>
      </c>
      <c r="G26" s="50">
        <v>1</v>
      </c>
      <c r="H26" s="50">
        <v>0</v>
      </c>
      <c r="I26" s="50">
        <v>12</v>
      </c>
      <c r="J26" s="50">
        <v>13</v>
      </c>
      <c r="K26" s="50">
        <v>4</v>
      </c>
      <c r="L26" s="50">
        <v>2</v>
      </c>
      <c r="M26" s="50">
        <v>208</v>
      </c>
      <c r="N26" s="50">
        <v>0</v>
      </c>
      <c r="O26" s="15">
        <f t="shared" si="0"/>
        <v>135</v>
      </c>
      <c r="P26" s="15">
        <f t="shared" si="1"/>
        <v>343</v>
      </c>
      <c r="R26" s="36" t="s">
        <v>150</v>
      </c>
      <c r="S26" s="34">
        <f>SUM(C74:C77)</f>
        <v>86</v>
      </c>
      <c r="T26" s="34">
        <f t="shared" ref="T26:AF26" si="18">SUM(D74:D77)</f>
        <v>3</v>
      </c>
      <c r="U26" s="34">
        <f t="shared" si="18"/>
        <v>3</v>
      </c>
      <c r="V26" s="34">
        <f t="shared" si="18"/>
        <v>36</v>
      </c>
      <c r="W26" s="34">
        <f t="shared" si="18"/>
        <v>8</v>
      </c>
      <c r="X26" s="34">
        <f t="shared" si="18"/>
        <v>3</v>
      </c>
      <c r="Y26" s="34">
        <f t="shared" si="18"/>
        <v>15</v>
      </c>
      <c r="Z26" s="34">
        <f t="shared" si="18"/>
        <v>18</v>
      </c>
      <c r="AA26" s="34">
        <f t="shared" si="18"/>
        <v>7</v>
      </c>
      <c r="AB26" s="34">
        <f t="shared" si="18"/>
        <v>11</v>
      </c>
      <c r="AC26" s="34">
        <f t="shared" si="18"/>
        <v>262</v>
      </c>
      <c r="AD26" s="34">
        <f t="shared" si="18"/>
        <v>0</v>
      </c>
      <c r="AE26" s="31">
        <f t="shared" si="18"/>
        <v>190</v>
      </c>
      <c r="AF26" s="31">
        <f t="shared" si="18"/>
        <v>452</v>
      </c>
    </row>
    <row r="27" spans="2:32" ht="23.1" customHeight="1" x14ac:dyDescent="0.25">
      <c r="B27" s="45" t="s">
        <v>54</v>
      </c>
      <c r="C27" s="50">
        <v>31</v>
      </c>
      <c r="D27" s="50">
        <v>14</v>
      </c>
      <c r="E27" s="50">
        <v>8</v>
      </c>
      <c r="F27" s="50">
        <v>29</v>
      </c>
      <c r="G27" s="50">
        <v>0</v>
      </c>
      <c r="H27" s="50">
        <v>1</v>
      </c>
      <c r="I27" s="50">
        <v>9</v>
      </c>
      <c r="J27" s="50">
        <v>6</v>
      </c>
      <c r="K27" s="50">
        <v>0</v>
      </c>
      <c r="L27" s="50">
        <v>1</v>
      </c>
      <c r="M27" s="50">
        <v>162</v>
      </c>
      <c r="N27" s="50">
        <v>0</v>
      </c>
      <c r="O27" s="15">
        <f t="shared" si="0"/>
        <v>99</v>
      </c>
      <c r="P27" s="15">
        <f t="shared" si="1"/>
        <v>261</v>
      </c>
      <c r="R27" s="36" t="s">
        <v>151</v>
      </c>
      <c r="S27" s="34">
        <f>SUM(C78:C81)</f>
        <v>31</v>
      </c>
      <c r="T27" s="34">
        <f t="shared" ref="T27:AF27" si="19">SUM(D78:D81)</f>
        <v>0</v>
      </c>
      <c r="U27" s="34">
        <f t="shared" si="19"/>
        <v>4</v>
      </c>
      <c r="V27" s="34">
        <f t="shared" si="19"/>
        <v>14</v>
      </c>
      <c r="W27" s="34">
        <f t="shared" si="19"/>
        <v>1</v>
      </c>
      <c r="X27" s="34">
        <f t="shared" si="19"/>
        <v>1</v>
      </c>
      <c r="Y27" s="34">
        <f t="shared" si="19"/>
        <v>3</v>
      </c>
      <c r="Z27" s="34">
        <f t="shared" si="19"/>
        <v>13</v>
      </c>
      <c r="AA27" s="34">
        <f t="shared" si="19"/>
        <v>12</v>
      </c>
      <c r="AB27" s="34">
        <f t="shared" si="19"/>
        <v>3</v>
      </c>
      <c r="AC27" s="34">
        <f t="shared" si="19"/>
        <v>124</v>
      </c>
      <c r="AD27" s="34">
        <f t="shared" si="19"/>
        <v>0</v>
      </c>
      <c r="AE27" s="31">
        <f t="shared" si="19"/>
        <v>82</v>
      </c>
      <c r="AF27" s="31">
        <f t="shared" si="19"/>
        <v>206</v>
      </c>
    </row>
    <row r="28" spans="2:32" ht="23.1" customHeight="1" x14ac:dyDescent="0.25">
      <c r="B28" s="45" t="s">
        <v>55</v>
      </c>
      <c r="C28" s="50">
        <v>47</v>
      </c>
      <c r="D28" s="50">
        <v>11</v>
      </c>
      <c r="E28" s="50">
        <v>6</v>
      </c>
      <c r="F28" s="50">
        <v>27</v>
      </c>
      <c r="G28" s="50">
        <v>1</v>
      </c>
      <c r="H28" s="50">
        <v>0</v>
      </c>
      <c r="I28" s="50">
        <v>4</v>
      </c>
      <c r="J28" s="50">
        <v>11</v>
      </c>
      <c r="K28" s="50">
        <v>3</v>
      </c>
      <c r="L28" s="50">
        <v>1</v>
      </c>
      <c r="M28" s="50">
        <v>231</v>
      </c>
      <c r="N28" s="50">
        <v>0</v>
      </c>
      <c r="O28" s="15">
        <f t="shared" si="0"/>
        <v>111</v>
      </c>
      <c r="P28" s="15">
        <f t="shared" si="1"/>
        <v>342</v>
      </c>
      <c r="R28" s="36" t="s">
        <v>152</v>
      </c>
      <c r="S28" s="34">
        <f>SUM(C82:C85)</f>
        <v>19</v>
      </c>
      <c r="T28" s="34">
        <f t="shared" ref="T28:AF28" si="20">SUM(D82:D85)</f>
        <v>1</v>
      </c>
      <c r="U28" s="34">
        <f t="shared" si="20"/>
        <v>1</v>
      </c>
      <c r="V28" s="34">
        <f t="shared" si="20"/>
        <v>3</v>
      </c>
      <c r="W28" s="34">
        <f t="shared" si="20"/>
        <v>0</v>
      </c>
      <c r="X28" s="34">
        <f t="shared" si="20"/>
        <v>1</v>
      </c>
      <c r="Y28" s="34">
        <f t="shared" si="20"/>
        <v>1</v>
      </c>
      <c r="Z28" s="34">
        <f t="shared" si="20"/>
        <v>3</v>
      </c>
      <c r="AA28" s="34">
        <f t="shared" si="20"/>
        <v>3</v>
      </c>
      <c r="AB28" s="34">
        <f t="shared" si="20"/>
        <v>4</v>
      </c>
      <c r="AC28" s="34">
        <f t="shared" si="20"/>
        <v>75</v>
      </c>
      <c r="AD28" s="34">
        <f t="shared" si="20"/>
        <v>0</v>
      </c>
      <c r="AE28" s="31">
        <f t="shared" si="20"/>
        <v>36</v>
      </c>
      <c r="AF28" s="31">
        <f t="shared" si="20"/>
        <v>111</v>
      </c>
    </row>
    <row r="29" spans="2:32" ht="23.1" customHeight="1" x14ac:dyDescent="0.25">
      <c r="B29" s="45" t="s">
        <v>56</v>
      </c>
      <c r="C29" s="50">
        <v>46</v>
      </c>
      <c r="D29" s="50">
        <v>8</v>
      </c>
      <c r="E29" s="50">
        <v>6</v>
      </c>
      <c r="F29" s="50">
        <v>51</v>
      </c>
      <c r="G29" s="50">
        <v>4</v>
      </c>
      <c r="H29" s="50">
        <v>0</v>
      </c>
      <c r="I29" s="50">
        <v>10</v>
      </c>
      <c r="J29" s="50">
        <v>13</v>
      </c>
      <c r="K29" s="50">
        <v>2</v>
      </c>
      <c r="L29" s="50">
        <v>0</v>
      </c>
      <c r="M29" s="50">
        <v>160</v>
      </c>
      <c r="N29" s="50">
        <v>0</v>
      </c>
      <c r="O29" s="15">
        <f t="shared" si="0"/>
        <v>140</v>
      </c>
      <c r="P29" s="15">
        <f t="shared" si="1"/>
        <v>300</v>
      </c>
      <c r="R29" s="36" t="s">
        <v>153</v>
      </c>
      <c r="S29" s="34">
        <f>SUM(C86:C89)</f>
        <v>16</v>
      </c>
      <c r="T29" s="34">
        <f t="shared" ref="T29:AF29" si="21">SUM(D86:D89)</f>
        <v>1</v>
      </c>
      <c r="U29" s="34">
        <f t="shared" si="21"/>
        <v>2</v>
      </c>
      <c r="V29" s="34">
        <f t="shared" si="21"/>
        <v>3</v>
      </c>
      <c r="W29" s="34">
        <f t="shared" si="21"/>
        <v>0</v>
      </c>
      <c r="X29" s="34">
        <f t="shared" si="21"/>
        <v>2</v>
      </c>
      <c r="Y29" s="34">
        <f t="shared" si="21"/>
        <v>7</v>
      </c>
      <c r="Z29" s="34">
        <f t="shared" si="21"/>
        <v>11</v>
      </c>
      <c r="AA29" s="34">
        <f t="shared" si="21"/>
        <v>6</v>
      </c>
      <c r="AB29" s="34">
        <f t="shared" si="21"/>
        <v>3</v>
      </c>
      <c r="AC29" s="34">
        <f t="shared" si="21"/>
        <v>51</v>
      </c>
      <c r="AD29" s="34">
        <f t="shared" si="21"/>
        <v>0</v>
      </c>
      <c r="AE29" s="31">
        <f t="shared" si="21"/>
        <v>51</v>
      </c>
      <c r="AF29" s="31">
        <f t="shared" si="21"/>
        <v>102</v>
      </c>
    </row>
    <row r="30" spans="2:32" ht="23.1" customHeight="1" x14ac:dyDescent="0.25">
      <c r="B30" s="45" t="s">
        <v>57</v>
      </c>
      <c r="C30" s="50">
        <v>51</v>
      </c>
      <c r="D30" s="50">
        <v>11</v>
      </c>
      <c r="E30" s="50">
        <v>7</v>
      </c>
      <c r="F30" s="50">
        <v>57</v>
      </c>
      <c r="G30" s="50">
        <v>1</v>
      </c>
      <c r="H30" s="50">
        <v>0</v>
      </c>
      <c r="I30" s="50">
        <v>11</v>
      </c>
      <c r="J30" s="50">
        <v>12</v>
      </c>
      <c r="K30" s="50">
        <v>2</v>
      </c>
      <c r="L30" s="50">
        <v>0</v>
      </c>
      <c r="M30" s="50">
        <v>140</v>
      </c>
      <c r="N30" s="50">
        <v>0</v>
      </c>
      <c r="O30" s="15">
        <f t="shared" si="0"/>
        <v>152</v>
      </c>
      <c r="P30" s="15">
        <f t="shared" si="1"/>
        <v>292</v>
      </c>
      <c r="R30" s="36" t="s">
        <v>154</v>
      </c>
      <c r="S30" s="34">
        <f>SUM(C90:C93)</f>
        <v>17</v>
      </c>
      <c r="T30" s="34">
        <f t="shared" ref="T30:AF30" si="22">SUM(D90:D93)</f>
        <v>0</v>
      </c>
      <c r="U30" s="34">
        <f t="shared" si="22"/>
        <v>2</v>
      </c>
      <c r="V30" s="34">
        <f t="shared" si="22"/>
        <v>7</v>
      </c>
      <c r="W30" s="34">
        <f t="shared" si="22"/>
        <v>0</v>
      </c>
      <c r="X30" s="34">
        <f t="shared" si="22"/>
        <v>6</v>
      </c>
      <c r="Y30" s="34">
        <f t="shared" si="22"/>
        <v>0</v>
      </c>
      <c r="Z30" s="34">
        <f t="shared" si="22"/>
        <v>8</v>
      </c>
      <c r="AA30" s="34">
        <f t="shared" si="22"/>
        <v>10</v>
      </c>
      <c r="AB30" s="34">
        <f t="shared" si="22"/>
        <v>3</v>
      </c>
      <c r="AC30" s="34">
        <f t="shared" si="22"/>
        <v>45</v>
      </c>
      <c r="AD30" s="34">
        <f t="shared" si="22"/>
        <v>0</v>
      </c>
      <c r="AE30" s="31">
        <f t="shared" si="22"/>
        <v>53</v>
      </c>
      <c r="AF30" s="31">
        <f t="shared" si="22"/>
        <v>98</v>
      </c>
    </row>
    <row r="31" spans="2:32" ht="23.1" customHeight="1" x14ac:dyDescent="0.25">
      <c r="B31" s="46" t="s">
        <v>58</v>
      </c>
      <c r="C31" s="50">
        <v>58</v>
      </c>
      <c r="D31" s="50">
        <v>6</v>
      </c>
      <c r="E31" s="50">
        <v>13</v>
      </c>
      <c r="F31" s="50">
        <v>38</v>
      </c>
      <c r="G31" s="50">
        <v>2</v>
      </c>
      <c r="H31" s="50">
        <v>0</v>
      </c>
      <c r="I31" s="50">
        <v>11</v>
      </c>
      <c r="J31" s="50">
        <v>10</v>
      </c>
      <c r="K31" s="50">
        <v>1</v>
      </c>
      <c r="L31" s="50">
        <v>0</v>
      </c>
      <c r="M31" s="50">
        <v>167</v>
      </c>
      <c r="N31" s="50">
        <v>0</v>
      </c>
      <c r="O31" s="15">
        <f t="shared" si="0"/>
        <v>139</v>
      </c>
      <c r="P31" s="15">
        <f t="shared" si="1"/>
        <v>306</v>
      </c>
      <c r="R31" s="36" t="s">
        <v>155</v>
      </c>
      <c r="S31" s="34">
        <f>SUM(C94:C97)</f>
        <v>38</v>
      </c>
      <c r="T31" s="34">
        <f t="shared" ref="T31:AF31" si="23">SUM(D94:D97)</f>
        <v>2</v>
      </c>
      <c r="U31" s="34">
        <f t="shared" si="23"/>
        <v>4</v>
      </c>
      <c r="V31" s="34">
        <f t="shared" si="23"/>
        <v>30</v>
      </c>
      <c r="W31" s="34">
        <f t="shared" si="23"/>
        <v>1</v>
      </c>
      <c r="X31" s="34">
        <f t="shared" si="23"/>
        <v>4</v>
      </c>
      <c r="Y31" s="34">
        <f t="shared" si="23"/>
        <v>12</v>
      </c>
      <c r="Z31" s="34">
        <f t="shared" si="23"/>
        <v>16</v>
      </c>
      <c r="AA31" s="34">
        <f t="shared" si="23"/>
        <v>17</v>
      </c>
      <c r="AB31" s="34">
        <f t="shared" si="23"/>
        <v>8</v>
      </c>
      <c r="AC31" s="34">
        <f t="shared" si="23"/>
        <v>126</v>
      </c>
      <c r="AD31" s="34">
        <f t="shared" si="23"/>
        <v>0</v>
      </c>
      <c r="AE31" s="31">
        <f t="shared" si="23"/>
        <v>132</v>
      </c>
      <c r="AF31" s="31">
        <f t="shared" si="23"/>
        <v>258</v>
      </c>
    </row>
    <row r="32" spans="2:32" ht="23.1" customHeight="1" x14ac:dyDescent="0.25">
      <c r="B32" s="46" t="s">
        <v>59</v>
      </c>
      <c r="C32" s="50">
        <v>57</v>
      </c>
      <c r="D32" s="50">
        <v>4</v>
      </c>
      <c r="E32" s="50">
        <v>6</v>
      </c>
      <c r="F32" s="50">
        <v>34</v>
      </c>
      <c r="G32" s="50">
        <v>4</v>
      </c>
      <c r="H32" s="50">
        <v>3</v>
      </c>
      <c r="I32" s="50">
        <v>9</v>
      </c>
      <c r="J32" s="50">
        <v>3</v>
      </c>
      <c r="K32" s="50">
        <v>0</v>
      </c>
      <c r="L32" s="50">
        <v>1</v>
      </c>
      <c r="M32" s="50">
        <v>170</v>
      </c>
      <c r="N32" s="50">
        <v>0</v>
      </c>
      <c r="O32" s="15">
        <f t="shared" si="0"/>
        <v>121</v>
      </c>
      <c r="P32" s="15">
        <f t="shared" si="1"/>
        <v>291</v>
      </c>
      <c r="R32" s="33" t="s">
        <v>156</v>
      </c>
      <c r="S32" s="34">
        <f>SUM(C98:C101)</f>
        <v>25</v>
      </c>
      <c r="T32" s="34">
        <f t="shared" ref="T32:AF32" si="24">SUM(D98:D101)</f>
        <v>3</v>
      </c>
      <c r="U32" s="34">
        <f t="shared" si="24"/>
        <v>3</v>
      </c>
      <c r="V32" s="34">
        <f t="shared" si="24"/>
        <v>35</v>
      </c>
      <c r="W32" s="34">
        <f t="shared" si="24"/>
        <v>2</v>
      </c>
      <c r="X32" s="34">
        <f t="shared" si="24"/>
        <v>14</v>
      </c>
      <c r="Y32" s="34">
        <f t="shared" si="24"/>
        <v>6</v>
      </c>
      <c r="Z32" s="34">
        <f t="shared" si="24"/>
        <v>10</v>
      </c>
      <c r="AA32" s="34">
        <f t="shared" si="24"/>
        <v>6</v>
      </c>
      <c r="AB32" s="34">
        <f t="shared" si="24"/>
        <v>3</v>
      </c>
      <c r="AC32" s="34">
        <f t="shared" si="24"/>
        <v>79</v>
      </c>
      <c r="AD32" s="34">
        <f t="shared" si="24"/>
        <v>0</v>
      </c>
      <c r="AE32" s="31">
        <f t="shared" si="24"/>
        <v>107</v>
      </c>
      <c r="AF32" s="31">
        <f t="shared" si="24"/>
        <v>186</v>
      </c>
    </row>
    <row r="33" spans="2:32" ht="23.1" customHeight="1" x14ac:dyDescent="0.25">
      <c r="B33" s="45" t="s">
        <v>60</v>
      </c>
      <c r="C33" s="50">
        <v>40</v>
      </c>
      <c r="D33" s="50">
        <v>16</v>
      </c>
      <c r="E33" s="50">
        <v>10</v>
      </c>
      <c r="F33" s="50">
        <v>53</v>
      </c>
      <c r="G33" s="50">
        <v>1</v>
      </c>
      <c r="H33" s="50">
        <v>0</v>
      </c>
      <c r="I33" s="50">
        <v>17</v>
      </c>
      <c r="J33" s="50">
        <v>6</v>
      </c>
      <c r="K33" s="50">
        <v>2</v>
      </c>
      <c r="L33" s="50">
        <v>0</v>
      </c>
      <c r="M33" s="50">
        <v>105</v>
      </c>
      <c r="N33" s="50">
        <v>0</v>
      </c>
      <c r="O33" s="15">
        <f t="shared" si="0"/>
        <v>145</v>
      </c>
      <c r="P33" s="15">
        <f t="shared" si="1"/>
        <v>250</v>
      </c>
      <c r="R33" s="33" t="s">
        <v>157</v>
      </c>
      <c r="S33" s="34">
        <f>SUM(C102:C105)</f>
        <v>44</v>
      </c>
      <c r="T33" s="34">
        <f t="shared" ref="T33:AF33" si="25">SUM(D102:D105)</f>
        <v>3</v>
      </c>
      <c r="U33" s="34">
        <f t="shared" si="25"/>
        <v>11</v>
      </c>
      <c r="V33" s="34">
        <f t="shared" si="25"/>
        <v>80</v>
      </c>
      <c r="W33" s="34">
        <f t="shared" si="25"/>
        <v>5</v>
      </c>
      <c r="X33" s="34">
        <f t="shared" si="25"/>
        <v>1</v>
      </c>
      <c r="Y33" s="34">
        <f t="shared" si="25"/>
        <v>13</v>
      </c>
      <c r="Z33" s="34">
        <f t="shared" si="25"/>
        <v>7</v>
      </c>
      <c r="AA33" s="34">
        <f t="shared" si="25"/>
        <v>6</v>
      </c>
      <c r="AB33" s="34">
        <f t="shared" si="25"/>
        <v>14</v>
      </c>
      <c r="AC33" s="34">
        <f t="shared" si="25"/>
        <v>141</v>
      </c>
      <c r="AD33" s="34">
        <f t="shared" si="25"/>
        <v>0</v>
      </c>
      <c r="AE33" s="31">
        <f t="shared" si="25"/>
        <v>184</v>
      </c>
      <c r="AF33" s="31">
        <f t="shared" si="25"/>
        <v>325</v>
      </c>
    </row>
    <row r="34" spans="2:32" ht="23.1" customHeight="1" x14ac:dyDescent="0.25">
      <c r="B34" s="46" t="s">
        <v>61</v>
      </c>
      <c r="C34" s="50">
        <v>46</v>
      </c>
      <c r="D34" s="50">
        <v>8</v>
      </c>
      <c r="E34" s="50">
        <v>5</v>
      </c>
      <c r="F34" s="50">
        <v>52</v>
      </c>
      <c r="G34" s="50">
        <v>2</v>
      </c>
      <c r="H34" s="50">
        <v>0</v>
      </c>
      <c r="I34" s="50">
        <v>8</v>
      </c>
      <c r="J34" s="50">
        <v>7</v>
      </c>
      <c r="K34" s="50">
        <v>2</v>
      </c>
      <c r="L34" s="50">
        <v>3</v>
      </c>
      <c r="M34" s="50">
        <v>115</v>
      </c>
      <c r="N34" s="50">
        <v>0</v>
      </c>
      <c r="O34" s="15">
        <f t="shared" si="0"/>
        <v>133</v>
      </c>
      <c r="P34" s="15">
        <f t="shared" si="1"/>
        <v>248</v>
      </c>
      <c r="R34" s="38" t="s">
        <v>90</v>
      </c>
      <c r="S34" s="39">
        <f t="shared" ref="S34:AF34" si="26">MAX(S10:S12)</f>
        <v>267</v>
      </c>
      <c r="T34" s="39">
        <f t="shared" si="26"/>
        <v>39</v>
      </c>
      <c r="U34" s="39">
        <f t="shared" si="26"/>
        <v>31</v>
      </c>
      <c r="V34" s="39">
        <f t="shared" si="26"/>
        <v>226</v>
      </c>
      <c r="W34" s="39">
        <f t="shared" si="26"/>
        <v>15</v>
      </c>
      <c r="X34" s="39">
        <f t="shared" si="26"/>
        <v>6</v>
      </c>
      <c r="Y34" s="39">
        <f t="shared" si="26"/>
        <v>36</v>
      </c>
      <c r="Z34" s="39">
        <f t="shared" si="26"/>
        <v>40</v>
      </c>
      <c r="AA34" s="39">
        <f t="shared" si="26"/>
        <v>16</v>
      </c>
      <c r="AB34" s="39">
        <f t="shared" si="26"/>
        <v>5</v>
      </c>
      <c r="AC34" s="39">
        <f t="shared" si="26"/>
        <v>1193</v>
      </c>
      <c r="AD34" s="39">
        <f t="shared" si="26"/>
        <v>1</v>
      </c>
      <c r="AE34" s="40">
        <f t="shared" si="26"/>
        <v>628</v>
      </c>
      <c r="AF34" s="40">
        <f t="shared" si="26"/>
        <v>1821</v>
      </c>
    </row>
    <row r="35" spans="2:32" ht="23.1" customHeight="1" x14ac:dyDescent="0.25">
      <c r="B35" s="46" t="s">
        <v>62</v>
      </c>
      <c r="C35" s="50">
        <v>44</v>
      </c>
      <c r="D35" s="50">
        <v>9</v>
      </c>
      <c r="E35" s="50">
        <v>1</v>
      </c>
      <c r="F35" s="50">
        <v>45</v>
      </c>
      <c r="G35" s="50">
        <v>1</v>
      </c>
      <c r="H35" s="50">
        <v>2</v>
      </c>
      <c r="I35" s="50">
        <v>11</v>
      </c>
      <c r="J35" s="50">
        <v>10</v>
      </c>
      <c r="K35" s="50">
        <v>0</v>
      </c>
      <c r="L35" s="50">
        <v>2</v>
      </c>
      <c r="M35" s="50">
        <v>176</v>
      </c>
      <c r="N35" s="50">
        <v>0</v>
      </c>
      <c r="O35" s="15">
        <f t="shared" si="0"/>
        <v>125</v>
      </c>
      <c r="P35" s="15">
        <f t="shared" si="1"/>
        <v>301</v>
      </c>
      <c r="R35" s="38" t="s">
        <v>91</v>
      </c>
      <c r="S35" s="39">
        <f t="shared" ref="S35:AF35" si="27">MAX(S13:S18)</f>
        <v>206</v>
      </c>
      <c r="T35" s="39">
        <f t="shared" si="27"/>
        <v>42</v>
      </c>
      <c r="U35" s="39">
        <f t="shared" si="27"/>
        <v>36</v>
      </c>
      <c r="V35" s="39">
        <f t="shared" si="27"/>
        <v>182</v>
      </c>
      <c r="W35" s="39">
        <f t="shared" si="27"/>
        <v>8</v>
      </c>
      <c r="X35" s="39">
        <f t="shared" si="27"/>
        <v>6</v>
      </c>
      <c r="Y35" s="39">
        <f t="shared" si="27"/>
        <v>48</v>
      </c>
      <c r="Z35" s="39">
        <f t="shared" si="27"/>
        <v>43</v>
      </c>
      <c r="AA35" s="39">
        <f t="shared" si="27"/>
        <v>17</v>
      </c>
      <c r="AB35" s="39">
        <f t="shared" si="27"/>
        <v>8</v>
      </c>
      <c r="AC35" s="39">
        <f t="shared" si="27"/>
        <v>853</v>
      </c>
      <c r="AD35" s="39">
        <f t="shared" si="27"/>
        <v>0</v>
      </c>
      <c r="AE35" s="40">
        <f t="shared" si="27"/>
        <v>557</v>
      </c>
      <c r="AF35" s="40">
        <f t="shared" si="27"/>
        <v>1335</v>
      </c>
    </row>
    <row r="36" spans="2:32" ht="23.1" customHeight="1" x14ac:dyDescent="0.25">
      <c r="B36" s="46" t="s">
        <v>63</v>
      </c>
      <c r="C36" s="50">
        <v>28</v>
      </c>
      <c r="D36" s="50">
        <v>2</v>
      </c>
      <c r="E36" s="50">
        <v>3</v>
      </c>
      <c r="F36" s="50">
        <v>30</v>
      </c>
      <c r="G36" s="50">
        <v>0</v>
      </c>
      <c r="H36" s="50">
        <v>0</v>
      </c>
      <c r="I36" s="50">
        <v>9</v>
      </c>
      <c r="J36" s="50">
        <v>8</v>
      </c>
      <c r="K36" s="50">
        <v>1</v>
      </c>
      <c r="L36" s="50">
        <v>1</v>
      </c>
      <c r="M36" s="50">
        <v>200</v>
      </c>
      <c r="N36" s="50">
        <v>0</v>
      </c>
      <c r="O36" s="15">
        <f t="shared" si="0"/>
        <v>82</v>
      </c>
      <c r="P36" s="15">
        <f t="shared" si="1"/>
        <v>282</v>
      </c>
      <c r="R36" s="38" t="s">
        <v>92</v>
      </c>
      <c r="S36" s="39">
        <f t="shared" ref="S36:AF36" si="28">MAX(S19:S21)</f>
        <v>140</v>
      </c>
      <c r="T36" s="39">
        <f t="shared" si="28"/>
        <v>30</v>
      </c>
      <c r="U36" s="39">
        <f t="shared" si="28"/>
        <v>79</v>
      </c>
      <c r="V36" s="39">
        <f t="shared" si="28"/>
        <v>166</v>
      </c>
      <c r="W36" s="39">
        <f t="shared" si="28"/>
        <v>6</v>
      </c>
      <c r="X36" s="39">
        <f t="shared" si="28"/>
        <v>4</v>
      </c>
      <c r="Y36" s="39">
        <f t="shared" si="28"/>
        <v>40</v>
      </c>
      <c r="Z36" s="39">
        <f t="shared" si="28"/>
        <v>28</v>
      </c>
      <c r="AA36" s="39">
        <f t="shared" si="28"/>
        <v>8</v>
      </c>
      <c r="AB36" s="39">
        <f t="shared" si="28"/>
        <v>11</v>
      </c>
      <c r="AC36" s="39">
        <f t="shared" si="28"/>
        <v>756</v>
      </c>
      <c r="AD36" s="39">
        <f t="shared" si="28"/>
        <v>0</v>
      </c>
      <c r="AE36" s="40">
        <f t="shared" si="28"/>
        <v>508</v>
      </c>
      <c r="AF36" s="40">
        <f t="shared" si="28"/>
        <v>1147</v>
      </c>
    </row>
    <row r="37" spans="2:32" ht="23.1" customHeight="1" x14ac:dyDescent="0.25">
      <c r="B37" s="45" t="s">
        <v>64</v>
      </c>
      <c r="C37" s="50">
        <v>38</v>
      </c>
      <c r="D37" s="50">
        <v>16</v>
      </c>
      <c r="E37" s="50">
        <v>6</v>
      </c>
      <c r="F37" s="50">
        <v>40</v>
      </c>
      <c r="G37" s="50">
        <v>3</v>
      </c>
      <c r="H37" s="50">
        <v>0</v>
      </c>
      <c r="I37" s="50">
        <v>11</v>
      </c>
      <c r="J37" s="50">
        <v>11</v>
      </c>
      <c r="K37" s="50">
        <v>4</v>
      </c>
      <c r="L37" s="50">
        <v>2</v>
      </c>
      <c r="M37" s="50">
        <v>158</v>
      </c>
      <c r="N37" s="50">
        <v>0</v>
      </c>
      <c r="O37" s="15">
        <f t="shared" si="0"/>
        <v>131</v>
      </c>
      <c r="P37" s="15">
        <f t="shared" si="1"/>
        <v>289</v>
      </c>
      <c r="R37" s="37" t="s">
        <v>85</v>
      </c>
      <c r="S37" s="35">
        <f t="shared" ref="S37:AF37" si="29">SUM(S10:S12)</f>
        <v>668</v>
      </c>
      <c r="T37" s="16">
        <f t="shared" si="29"/>
        <v>104</v>
      </c>
      <c r="U37" s="16">
        <f t="shared" si="29"/>
        <v>75</v>
      </c>
      <c r="V37" s="16">
        <f t="shared" si="29"/>
        <v>651</v>
      </c>
      <c r="W37" s="16">
        <f t="shared" si="29"/>
        <v>32</v>
      </c>
      <c r="X37" s="16">
        <f t="shared" si="29"/>
        <v>10</v>
      </c>
      <c r="Y37" s="16">
        <f t="shared" si="29"/>
        <v>95</v>
      </c>
      <c r="Z37" s="16">
        <f t="shared" si="29"/>
        <v>90</v>
      </c>
      <c r="AA37" s="16">
        <f t="shared" si="29"/>
        <v>36</v>
      </c>
      <c r="AB37" s="16">
        <f t="shared" si="29"/>
        <v>6</v>
      </c>
      <c r="AC37" s="16">
        <f t="shared" si="29"/>
        <v>3176</v>
      </c>
      <c r="AD37" s="16">
        <f t="shared" si="29"/>
        <v>1</v>
      </c>
      <c r="AE37" s="32">
        <f t="shared" si="29"/>
        <v>1768</v>
      </c>
      <c r="AF37" s="32">
        <f t="shared" si="29"/>
        <v>4944</v>
      </c>
    </row>
    <row r="38" spans="2:32" ht="23.1" customHeight="1" x14ac:dyDescent="0.25">
      <c r="B38" s="46" t="s">
        <v>65</v>
      </c>
      <c r="C38" s="50">
        <v>27</v>
      </c>
      <c r="D38" s="50">
        <v>6</v>
      </c>
      <c r="E38" s="50">
        <v>3</v>
      </c>
      <c r="F38" s="50">
        <v>22</v>
      </c>
      <c r="G38" s="50">
        <v>1</v>
      </c>
      <c r="H38" s="50">
        <v>1</v>
      </c>
      <c r="I38" s="50">
        <v>7</v>
      </c>
      <c r="J38" s="50">
        <v>7</v>
      </c>
      <c r="K38" s="50">
        <v>7</v>
      </c>
      <c r="L38" s="50">
        <v>3</v>
      </c>
      <c r="M38" s="50">
        <v>143</v>
      </c>
      <c r="N38" s="50">
        <v>0</v>
      </c>
      <c r="O38" s="15">
        <f t="shared" si="0"/>
        <v>84</v>
      </c>
      <c r="P38" s="15">
        <f t="shared" si="1"/>
        <v>227</v>
      </c>
      <c r="R38" s="28" t="s">
        <v>86</v>
      </c>
      <c r="S38" s="16">
        <f t="shared" ref="S38:AF38" si="30">SUM(S13:S18)</f>
        <v>964</v>
      </c>
      <c r="T38" s="16">
        <f t="shared" si="30"/>
        <v>212</v>
      </c>
      <c r="U38" s="16">
        <f t="shared" si="30"/>
        <v>136</v>
      </c>
      <c r="V38" s="16">
        <f t="shared" si="30"/>
        <v>987</v>
      </c>
      <c r="W38" s="16">
        <f t="shared" si="30"/>
        <v>39</v>
      </c>
      <c r="X38" s="16">
        <f t="shared" si="30"/>
        <v>19</v>
      </c>
      <c r="Y38" s="16">
        <f t="shared" si="30"/>
        <v>231</v>
      </c>
      <c r="Z38" s="16">
        <f t="shared" si="30"/>
        <v>212</v>
      </c>
      <c r="AA38" s="16">
        <f t="shared" si="30"/>
        <v>57</v>
      </c>
      <c r="AB38" s="16">
        <f t="shared" si="30"/>
        <v>27</v>
      </c>
      <c r="AC38" s="16">
        <f t="shared" si="30"/>
        <v>3860</v>
      </c>
      <c r="AD38" s="16">
        <f t="shared" si="30"/>
        <v>0</v>
      </c>
      <c r="AE38" s="32">
        <f t="shared" si="30"/>
        <v>2884</v>
      </c>
      <c r="AF38" s="32">
        <f t="shared" si="30"/>
        <v>6744</v>
      </c>
    </row>
    <row r="39" spans="2:32" ht="23.1" customHeight="1" x14ac:dyDescent="0.25">
      <c r="B39" s="46" t="s">
        <v>66</v>
      </c>
      <c r="C39" s="50">
        <v>40</v>
      </c>
      <c r="D39" s="50">
        <v>5</v>
      </c>
      <c r="E39" s="50">
        <v>4</v>
      </c>
      <c r="F39" s="50">
        <v>53</v>
      </c>
      <c r="G39" s="50">
        <v>1</v>
      </c>
      <c r="H39" s="50">
        <v>1</v>
      </c>
      <c r="I39" s="50">
        <v>6</v>
      </c>
      <c r="J39" s="50">
        <v>8</v>
      </c>
      <c r="K39" s="50">
        <v>1</v>
      </c>
      <c r="L39" s="50">
        <v>3</v>
      </c>
      <c r="M39" s="50">
        <v>117</v>
      </c>
      <c r="N39" s="50">
        <v>0</v>
      </c>
      <c r="O39" s="15">
        <f t="shared" si="0"/>
        <v>122</v>
      </c>
      <c r="P39" s="15">
        <f t="shared" si="1"/>
        <v>239</v>
      </c>
      <c r="R39" s="29" t="s">
        <v>87</v>
      </c>
      <c r="S39" s="16">
        <f t="shared" ref="S39:AF39" si="31">SUM(S19:S21)</f>
        <v>366</v>
      </c>
      <c r="T39" s="16">
        <f t="shared" si="31"/>
        <v>89</v>
      </c>
      <c r="U39" s="16">
        <f t="shared" si="31"/>
        <v>122</v>
      </c>
      <c r="V39" s="16">
        <f t="shared" si="31"/>
        <v>450</v>
      </c>
      <c r="W39" s="16">
        <f t="shared" si="31"/>
        <v>15</v>
      </c>
      <c r="X39" s="16">
        <f t="shared" si="31"/>
        <v>7</v>
      </c>
      <c r="Y39" s="16">
        <f t="shared" si="31"/>
        <v>111</v>
      </c>
      <c r="Z39" s="16">
        <f t="shared" si="31"/>
        <v>63</v>
      </c>
      <c r="AA39" s="16">
        <f t="shared" si="31"/>
        <v>23</v>
      </c>
      <c r="AB39" s="16">
        <f t="shared" si="31"/>
        <v>22</v>
      </c>
      <c r="AC39" s="16">
        <f t="shared" si="31"/>
        <v>2040</v>
      </c>
      <c r="AD39" s="16">
        <f t="shared" si="31"/>
        <v>0</v>
      </c>
      <c r="AE39" s="32">
        <f t="shared" si="31"/>
        <v>1268</v>
      </c>
      <c r="AF39" s="32">
        <f t="shared" si="31"/>
        <v>3308</v>
      </c>
    </row>
    <row r="40" spans="2:32" ht="23.1" customHeight="1" x14ac:dyDescent="0.25">
      <c r="B40" s="46" t="s">
        <v>67</v>
      </c>
      <c r="C40" s="50">
        <v>23</v>
      </c>
      <c r="D40" s="50">
        <v>7</v>
      </c>
      <c r="E40" s="50">
        <v>4</v>
      </c>
      <c r="F40" s="50">
        <v>35</v>
      </c>
      <c r="G40" s="50">
        <v>3</v>
      </c>
      <c r="H40" s="50">
        <v>2</v>
      </c>
      <c r="I40" s="50">
        <v>4</v>
      </c>
      <c r="J40" s="50">
        <v>6</v>
      </c>
      <c r="K40" s="50">
        <v>0</v>
      </c>
      <c r="L40" s="50">
        <v>2</v>
      </c>
      <c r="M40" s="50">
        <v>145</v>
      </c>
      <c r="N40" s="50">
        <v>0</v>
      </c>
      <c r="O40" s="15">
        <f t="shared" si="0"/>
        <v>86</v>
      </c>
      <c r="P40" s="15">
        <f t="shared" si="1"/>
        <v>231</v>
      </c>
      <c r="R40" s="5" t="s">
        <v>17</v>
      </c>
      <c r="S40" s="16">
        <f t="shared" ref="S40:AF40" si="32">SUM(S10:S21)</f>
        <v>1998</v>
      </c>
      <c r="T40" s="16">
        <f t="shared" si="32"/>
        <v>405</v>
      </c>
      <c r="U40" s="16">
        <f t="shared" si="32"/>
        <v>333</v>
      </c>
      <c r="V40" s="16">
        <f t="shared" si="32"/>
        <v>2088</v>
      </c>
      <c r="W40" s="16">
        <f t="shared" si="32"/>
        <v>86</v>
      </c>
      <c r="X40" s="16">
        <f t="shared" si="32"/>
        <v>36</v>
      </c>
      <c r="Y40" s="16">
        <f t="shared" si="32"/>
        <v>437</v>
      </c>
      <c r="Z40" s="16">
        <f t="shared" si="32"/>
        <v>365</v>
      </c>
      <c r="AA40" s="16">
        <f t="shared" si="32"/>
        <v>116</v>
      </c>
      <c r="AB40" s="16">
        <f t="shared" si="32"/>
        <v>55</v>
      </c>
      <c r="AC40" s="16">
        <f t="shared" si="32"/>
        <v>9076</v>
      </c>
      <c r="AD40" s="16">
        <f t="shared" si="32"/>
        <v>1</v>
      </c>
      <c r="AE40" s="32">
        <f t="shared" si="32"/>
        <v>5920</v>
      </c>
      <c r="AF40" s="32">
        <f t="shared" si="32"/>
        <v>14996</v>
      </c>
    </row>
    <row r="41" spans="2:32" ht="23.1" customHeight="1" x14ac:dyDescent="0.25">
      <c r="B41" s="45" t="s">
        <v>68</v>
      </c>
      <c r="C41" s="50">
        <v>44</v>
      </c>
      <c r="D41" s="50">
        <v>9</v>
      </c>
      <c r="E41" s="50">
        <v>5</v>
      </c>
      <c r="F41" s="50">
        <v>44</v>
      </c>
      <c r="G41" s="50">
        <v>2</v>
      </c>
      <c r="H41" s="50">
        <v>2</v>
      </c>
      <c r="I41" s="50">
        <v>13</v>
      </c>
      <c r="J41" s="50">
        <v>10</v>
      </c>
      <c r="K41" s="50">
        <v>1</v>
      </c>
      <c r="L41" s="50">
        <v>0</v>
      </c>
      <c r="M41" s="50">
        <v>105</v>
      </c>
      <c r="N41" s="50">
        <v>0</v>
      </c>
      <c r="O41" s="15">
        <f t="shared" si="0"/>
        <v>130</v>
      </c>
      <c r="P41" s="15">
        <f t="shared" si="1"/>
        <v>235</v>
      </c>
      <c r="R41" s="5" t="s">
        <v>159</v>
      </c>
      <c r="S41" s="16">
        <f>SUM(S10:S33)</f>
        <v>2656</v>
      </c>
      <c r="T41" s="16">
        <f t="shared" ref="T41:AF41" si="33">SUM(T10:T33)</f>
        <v>473</v>
      </c>
      <c r="U41" s="16">
        <f t="shared" si="33"/>
        <v>406</v>
      </c>
      <c r="V41" s="16">
        <f t="shared" si="33"/>
        <v>2636</v>
      </c>
      <c r="W41" s="16">
        <f t="shared" si="33"/>
        <v>129</v>
      </c>
      <c r="X41" s="16">
        <f t="shared" si="33"/>
        <v>88</v>
      </c>
      <c r="Y41" s="16">
        <f t="shared" si="33"/>
        <v>552</v>
      </c>
      <c r="Z41" s="16">
        <f t="shared" si="33"/>
        <v>521</v>
      </c>
      <c r="AA41" s="16">
        <f t="shared" si="33"/>
        <v>209</v>
      </c>
      <c r="AB41" s="16">
        <f t="shared" si="33"/>
        <v>121</v>
      </c>
      <c r="AC41" s="16">
        <f t="shared" si="33"/>
        <v>11993</v>
      </c>
      <c r="AD41" s="16">
        <f t="shared" si="33"/>
        <v>1</v>
      </c>
      <c r="AE41" s="32">
        <f t="shared" si="33"/>
        <v>7792</v>
      </c>
      <c r="AF41" s="32">
        <f t="shared" si="33"/>
        <v>19785</v>
      </c>
    </row>
    <row r="42" spans="2:32" ht="23.1" customHeight="1" x14ac:dyDescent="0.25">
      <c r="B42" s="46" t="s">
        <v>69</v>
      </c>
      <c r="C42" s="50">
        <v>52</v>
      </c>
      <c r="D42" s="50">
        <v>13</v>
      </c>
      <c r="E42" s="50">
        <v>4</v>
      </c>
      <c r="F42" s="50">
        <v>48</v>
      </c>
      <c r="G42" s="50">
        <v>1</v>
      </c>
      <c r="H42" s="50">
        <v>2</v>
      </c>
      <c r="I42" s="50">
        <v>10</v>
      </c>
      <c r="J42" s="50">
        <v>13</v>
      </c>
      <c r="K42" s="50">
        <v>1</v>
      </c>
      <c r="L42" s="50">
        <v>1</v>
      </c>
      <c r="M42" s="50">
        <v>160</v>
      </c>
      <c r="N42" s="50">
        <v>0</v>
      </c>
      <c r="O42" s="15">
        <f t="shared" si="0"/>
        <v>145</v>
      </c>
      <c r="P42" s="15">
        <f t="shared" si="1"/>
        <v>305</v>
      </c>
      <c r="R42" s="5" t="s">
        <v>160</v>
      </c>
      <c r="S42" s="48">
        <f>S41/S40</f>
        <v>1.3293293293293293</v>
      </c>
      <c r="T42" s="48">
        <f t="shared" ref="T42:AF42" si="34">T41/T40</f>
        <v>1.1679012345679012</v>
      </c>
      <c r="U42" s="48">
        <f t="shared" si="34"/>
        <v>1.2192192192192193</v>
      </c>
      <c r="V42" s="48">
        <f t="shared" si="34"/>
        <v>1.2624521072796935</v>
      </c>
      <c r="W42" s="48">
        <f t="shared" si="34"/>
        <v>1.5</v>
      </c>
      <c r="X42" s="48">
        <f t="shared" si="34"/>
        <v>2.4444444444444446</v>
      </c>
      <c r="Y42" s="48">
        <f t="shared" si="34"/>
        <v>1.263157894736842</v>
      </c>
      <c r="Z42" s="48">
        <f t="shared" si="34"/>
        <v>1.4273972602739726</v>
      </c>
      <c r="AA42" s="48">
        <f t="shared" si="34"/>
        <v>1.8017241379310345</v>
      </c>
      <c r="AB42" s="48">
        <f t="shared" si="34"/>
        <v>2.2000000000000002</v>
      </c>
      <c r="AC42" s="48">
        <f t="shared" si="34"/>
        <v>1.3213970912296165</v>
      </c>
      <c r="AD42" s="48">
        <f t="shared" si="34"/>
        <v>1</v>
      </c>
      <c r="AE42" s="48">
        <f t="shared" si="34"/>
        <v>1.3162162162162163</v>
      </c>
      <c r="AF42" s="48">
        <f t="shared" si="34"/>
        <v>1.3193518271539078</v>
      </c>
    </row>
    <row r="43" spans="2:32" ht="23.1" customHeight="1" x14ac:dyDescent="0.25">
      <c r="B43" s="45" t="s">
        <v>70</v>
      </c>
      <c r="C43" s="50">
        <v>40</v>
      </c>
      <c r="D43" s="50">
        <v>10</v>
      </c>
      <c r="E43" s="50">
        <v>11</v>
      </c>
      <c r="F43" s="50">
        <v>47</v>
      </c>
      <c r="G43" s="50">
        <v>1</v>
      </c>
      <c r="H43" s="50">
        <v>2</v>
      </c>
      <c r="I43" s="50">
        <v>11</v>
      </c>
      <c r="J43" s="50">
        <v>4</v>
      </c>
      <c r="K43" s="50">
        <v>3</v>
      </c>
      <c r="L43" s="50">
        <v>0</v>
      </c>
      <c r="M43" s="50">
        <v>90</v>
      </c>
      <c r="N43" s="50">
        <v>0</v>
      </c>
      <c r="O43" s="15">
        <f t="shared" si="0"/>
        <v>129</v>
      </c>
      <c r="P43" s="15">
        <f t="shared" si="1"/>
        <v>219</v>
      </c>
    </row>
    <row r="44" spans="2:32" ht="23.1" customHeight="1" x14ac:dyDescent="0.25">
      <c r="B44" s="47" t="s">
        <v>71</v>
      </c>
      <c r="C44" s="50">
        <v>35</v>
      </c>
      <c r="D44" s="50">
        <v>8</v>
      </c>
      <c r="E44" s="50">
        <v>12</v>
      </c>
      <c r="F44" s="50">
        <v>31</v>
      </c>
      <c r="G44" s="50">
        <v>1</v>
      </c>
      <c r="H44" s="50">
        <v>0</v>
      </c>
      <c r="I44" s="50">
        <v>8</v>
      </c>
      <c r="J44" s="50">
        <v>6</v>
      </c>
      <c r="K44" s="50">
        <v>3</v>
      </c>
      <c r="L44" s="50">
        <v>0</v>
      </c>
      <c r="M44" s="50">
        <v>140</v>
      </c>
      <c r="N44" s="50">
        <v>0</v>
      </c>
      <c r="O44" s="15">
        <f t="shared" si="0"/>
        <v>104</v>
      </c>
      <c r="P44" s="15">
        <f t="shared" si="1"/>
        <v>244</v>
      </c>
    </row>
    <row r="45" spans="2:32" ht="23.1" customHeight="1" x14ac:dyDescent="0.25">
      <c r="B45" s="45" t="s">
        <v>72</v>
      </c>
      <c r="C45" s="50">
        <v>19</v>
      </c>
      <c r="D45" s="50">
        <v>7</v>
      </c>
      <c r="E45" s="50">
        <v>3</v>
      </c>
      <c r="F45" s="50">
        <v>33</v>
      </c>
      <c r="G45" s="50">
        <v>1</v>
      </c>
      <c r="H45" s="50">
        <v>1</v>
      </c>
      <c r="I45" s="50">
        <v>13</v>
      </c>
      <c r="J45" s="50">
        <v>8</v>
      </c>
      <c r="K45" s="50">
        <v>3</v>
      </c>
      <c r="L45" s="50">
        <v>1</v>
      </c>
      <c r="M45" s="50">
        <v>115</v>
      </c>
      <c r="N45" s="50">
        <v>0</v>
      </c>
      <c r="O45" s="15">
        <f t="shared" si="0"/>
        <v>89</v>
      </c>
      <c r="P45" s="15">
        <f t="shared" si="1"/>
        <v>204</v>
      </c>
    </row>
    <row r="46" spans="2:32" ht="23.1" customHeight="1" x14ac:dyDescent="0.25">
      <c r="B46" s="46" t="s">
        <v>73</v>
      </c>
      <c r="C46" s="50">
        <v>31</v>
      </c>
      <c r="D46" s="50">
        <v>7</v>
      </c>
      <c r="E46" s="50">
        <v>8</v>
      </c>
      <c r="F46" s="50">
        <v>54</v>
      </c>
      <c r="G46" s="50">
        <v>0</v>
      </c>
      <c r="H46" s="50">
        <v>0</v>
      </c>
      <c r="I46" s="50">
        <v>7</v>
      </c>
      <c r="J46" s="50">
        <v>6</v>
      </c>
      <c r="K46" s="50">
        <v>3</v>
      </c>
      <c r="L46" s="50">
        <v>2</v>
      </c>
      <c r="M46" s="50">
        <v>105</v>
      </c>
      <c r="N46" s="50">
        <v>0</v>
      </c>
      <c r="O46" s="15">
        <f t="shared" si="0"/>
        <v>118</v>
      </c>
      <c r="P46" s="15">
        <f t="shared" si="1"/>
        <v>223</v>
      </c>
      <c r="R46" s="8"/>
      <c r="T46"/>
    </row>
    <row r="47" spans="2:32" ht="23.1" customHeight="1" x14ac:dyDescent="0.25">
      <c r="B47" s="46" t="s">
        <v>74</v>
      </c>
      <c r="C47" s="50">
        <v>36</v>
      </c>
      <c r="D47" s="50">
        <v>6</v>
      </c>
      <c r="E47" s="50">
        <v>9</v>
      </c>
      <c r="F47" s="50">
        <v>36</v>
      </c>
      <c r="G47" s="50">
        <v>1</v>
      </c>
      <c r="H47" s="50">
        <v>1</v>
      </c>
      <c r="I47" s="50">
        <v>11</v>
      </c>
      <c r="J47" s="50">
        <v>3</v>
      </c>
      <c r="K47" s="50">
        <v>2</v>
      </c>
      <c r="L47" s="50">
        <v>1</v>
      </c>
      <c r="M47" s="50">
        <v>175</v>
      </c>
      <c r="N47" s="50">
        <v>0</v>
      </c>
      <c r="O47" s="15">
        <f t="shared" si="0"/>
        <v>106</v>
      </c>
      <c r="P47" s="15">
        <f t="shared" si="1"/>
        <v>281</v>
      </c>
      <c r="R47" s="8"/>
      <c r="T47"/>
    </row>
    <row r="48" spans="2:32" ht="23.1" customHeight="1" x14ac:dyDescent="0.25">
      <c r="B48" s="46" t="s">
        <v>75</v>
      </c>
      <c r="C48" s="50">
        <v>36</v>
      </c>
      <c r="D48" s="50">
        <v>11</v>
      </c>
      <c r="E48" s="50">
        <v>50</v>
      </c>
      <c r="F48" s="50">
        <v>36</v>
      </c>
      <c r="G48" s="50">
        <v>1</v>
      </c>
      <c r="H48" s="50">
        <v>2</v>
      </c>
      <c r="I48" s="50">
        <v>8</v>
      </c>
      <c r="J48" s="50">
        <v>8</v>
      </c>
      <c r="K48" s="50">
        <v>3</v>
      </c>
      <c r="L48" s="50">
        <v>4</v>
      </c>
      <c r="M48" s="50">
        <v>165</v>
      </c>
      <c r="N48" s="50">
        <v>0</v>
      </c>
      <c r="O48" s="15">
        <f t="shared" si="0"/>
        <v>159</v>
      </c>
      <c r="P48" s="15">
        <f t="shared" si="1"/>
        <v>324</v>
      </c>
      <c r="R48" s="8"/>
      <c r="T48"/>
    </row>
    <row r="49" spans="2:20" ht="23.1" customHeight="1" x14ac:dyDescent="0.25">
      <c r="B49" s="45" t="s">
        <v>76</v>
      </c>
      <c r="C49" s="50">
        <v>37</v>
      </c>
      <c r="D49" s="50">
        <v>6</v>
      </c>
      <c r="E49" s="50">
        <v>12</v>
      </c>
      <c r="F49" s="50">
        <v>40</v>
      </c>
      <c r="G49" s="50">
        <v>4</v>
      </c>
      <c r="H49" s="50">
        <v>1</v>
      </c>
      <c r="I49" s="50">
        <v>10</v>
      </c>
      <c r="J49" s="50">
        <v>11</v>
      </c>
      <c r="K49" s="50">
        <v>0</v>
      </c>
      <c r="L49" s="50">
        <v>4</v>
      </c>
      <c r="M49" s="50">
        <v>155</v>
      </c>
      <c r="N49" s="50">
        <v>0</v>
      </c>
      <c r="O49" s="15">
        <f t="shared" si="0"/>
        <v>125</v>
      </c>
      <c r="P49" s="15">
        <f t="shared" si="1"/>
        <v>280</v>
      </c>
      <c r="R49" s="8"/>
      <c r="T49"/>
    </row>
    <row r="50" spans="2:20" ht="23.1" customHeight="1" x14ac:dyDescent="0.25">
      <c r="B50" s="46" t="s">
        <v>77</v>
      </c>
      <c r="C50" s="50">
        <v>42</v>
      </c>
      <c r="D50" s="50">
        <v>9</v>
      </c>
      <c r="E50" s="50">
        <v>15</v>
      </c>
      <c r="F50" s="50">
        <v>42</v>
      </c>
      <c r="G50" s="50">
        <v>1</v>
      </c>
      <c r="H50" s="50">
        <v>0</v>
      </c>
      <c r="I50" s="50">
        <v>12</v>
      </c>
      <c r="J50" s="50">
        <v>4</v>
      </c>
      <c r="K50" s="50">
        <v>1</v>
      </c>
      <c r="L50" s="50">
        <v>6</v>
      </c>
      <c r="M50" s="50">
        <v>208</v>
      </c>
      <c r="N50" s="50">
        <v>0</v>
      </c>
      <c r="O50" s="15">
        <f t="shared" si="0"/>
        <v>132</v>
      </c>
      <c r="P50" s="15">
        <f t="shared" si="1"/>
        <v>340</v>
      </c>
      <c r="R50" s="8"/>
      <c r="T50"/>
    </row>
    <row r="51" spans="2:20" ht="23.1" customHeight="1" x14ac:dyDescent="0.25">
      <c r="B51" s="46" t="s">
        <v>78</v>
      </c>
      <c r="C51" s="50">
        <v>25</v>
      </c>
      <c r="D51" s="50">
        <v>3</v>
      </c>
      <c r="E51" s="50">
        <v>2</v>
      </c>
      <c r="F51" s="50">
        <v>27</v>
      </c>
      <c r="G51" s="50">
        <v>2</v>
      </c>
      <c r="H51" s="50">
        <v>1</v>
      </c>
      <c r="I51" s="50">
        <v>6</v>
      </c>
      <c r="J51" s="50">
        <v>5</v>
      </c>
      <c r="K51" s="50">
        <v>0</v>
      </c>
      <c r="L51" s="50">
        <v>2</v>
      </c>
      <c r="M51" s="50">
        <v>210</v>
      </c>
      <c r="N51" s="50">
        <v>0</v>
      </c>
      <c r="O51" s="15">
        <f t="shared" si="0"/>
        <v>73</v>
      </c>
      <c r="P51" s="15">
        <f t="shared" si="1"/>
        <v>283</v>
      </c>
      <c r="R51" s="8"/>
      <c r="T51"/>
    </row>
    <row r="52" spans="2:20" ht="23.1" customHeight="1" x14ac:dyDescent="0.25">
      <c r="B52" s="46" t="s">
        <v>79</v>
      </c>
      <c r="C52" s="50">
        <v>15</v>
      </c>
      <c r="D52" s="50">
        <v>5</v>
      </c>
      <c r="E52" s="50">
        <v>7</v>
      </c>
      <c r="F52" s="50">
        <v>23</v>
      </c>
      <c r="G52" s="50">
        <v>0</v>
      </c>
      <c r="H52" s="50">
        <v>2</v>
      </c>
      <c r="I52" s="50">
        <v>9</v>
      </c>
      <c r="J52" s="50">
        <v>8</v>
      </c>
      <c r="K52" s="50">
        <v>3</v>
      </c>
      <c r="L52" s="50">
        <v>0</v>
      </c>
      <c r="M52" s="50">
        <v>196</v>
      </c>
      <c r="N52" s="50">
        <v>0</v>
      </c>
      <c r="O52" s="15">
        <f t="shared" si="0"/>
        <v>72</v>
      </c>
      <c r="P52" s="15">
        <f t="shared" si="1"/>
        <v>268</v>
      </c>
      <c r="R52" s="8"/>
      <c r="T52"/>
    </row>
    <row r="53" spans="2:20" ht="23.1" customHeight="1" x14ac:dyDescent="0.25">
      <c r="B53" s="45" t="s">
        <v>80</v>
      </c>
      <c r="C53" s="50">
        <v>30</v>
      </c>
      <c r="D53" s="50">
        <v>12</v>
      </c>
      <c r="E53" s="50">
        <v>5</v>
      </c>
      <c r="F53" s="50">
        <v>45</v>
      </c>
      <c r="G53" s="50">
        <v>1</v>
      </c>
      <c r="H53" s="50">
        <v>0</v>
      </c>
      <c r="I53" s="50">
        <v>13</v>
      </c>
      <c r="J53" s="50">
        <v>3</v>
      </c>
      <c r="K53" s="50">
        <v>4</v>
      </c>
      <c r="L53" s="50">
        <v>1</v>
      </c>
      <c r="M53" s="50">
        <v>142</v>
      </c>
      <c r="N53" s="50">
        <v>0</v>
      </c>
      <c r="O53" s="15">
        <f t="shared" si="0"/>
        <v>114</v>
      </c>
      <c r="P53" s="15">
        <f t="shared" si="1"/>
        <v>256</v>
      </c>
      <c r="R53" s="8"/>
      <c r="T53"/>
    </row>
    <row r="54" spans="2:20" ht="23.1" customHeight="1" x14ac:dyDescent="0.25">
      <c r="B54" s="45" t="s">
        <v>81</v>
      </c>
      <c r="C54" s="50">
        <v>28</v>
      </c>
      <c r="D54" s="50">
        <v>11</v>
      </c>
      <c r="E54" s="50">
        <v>2</v>
      </c>
      <c r="F54" s="50">
        <v>22</v>
      </c>
      <c r="G54" s="50">
        <v>1</v>
      </c>
      <c r="H54" s="50">
        <v>0</v>
      </c>
      <c r="I54" s="50">
        <v>10</v>
      </c>
      <c r="J54" s="50">
        <v>6</v>
      </c>
      <c r="K54" s="50">
        <v>2</v>
      </c>
      <c r="L54" s="50">
        <v>0</v>
      </c>
      <c r="M54" s="50">
        <v>124</v>
      </c>
      <c r="N54" s="50">
        <v>0</v>
      </c>
      <c r="O54" s="15">
        <f t="shared" si="0"/>
        <v>82</v>
      </c>
      <c r="P54" s="15">
        <f t="shared" si="1"/>
        <v>206</v>
      </c>
      <c r="R54" s="8"/>
      <c r="T54"/>
    </row>
    <row r="55" spans="2:20" ht="23.1" customHeight="1" x14ac:dyDescent="0.25">
      <c r="B55" s="45" t="s">
        <v>82</v>
      </c>
      <c r="C55" s="50">
        <v>40</v>
      </c>
      <c r="D55" s="50">
        <v>2</v>
      </c>
      <c r="E55" s="50">
        <v>2</v>
      </c>
      <c r="F55" s="50">
        <v>36</v>
      </c>
      <c r="G55" s="50">
        <v>1</v>
      </c>
      <c r="H55" s="50">
        <v>0</v>
      </c>
      <c r="I55" s="50">
        <v>9</v>
      </c>
      <c r="J55" s="50">
        <v>4</v>
      </c>
      <c r="K55" s="50">
        <v>0</v>
      </c>
      <c r="L55" s="50">
        <v>1</v>
      </c>
      <c r="M55" s="50">
        <v>260</v>
      </c>
      <c r="N55" s="50">
        <v>0</v>
      </c>
      <c r="O55" s="15">
        <f t="shared" si="0"/>
        <v>95</v>
      </c>
      <c r="P55" s="15">
        <f t="shared" si="1"/>
        <v>355</v>
      </c>
      <c r="R55" s="8"/>
      <c r="T55"/>
    </row>
    <row r="56" spans="2:20" ht="23.1" customHeight="1" x14ac:dyDescent="0.25">
      <c r="B56" s="45" t="s">
        <v>83</v>
      </c>
      <c r="C56" s="50">
        <v>25</v>
      </c>
      <c r="D56" s="50">
        <v>10</v>
      </c>
      <c r="E56" s="50">
        <v>7</v>
      </c>
      <c r="F56" s="50">
        <v>55</v>
      </c>
      <c r="G56" s="50">
        <v>1</v>
      </c>
      <c r="H56" s="50">
        <v>0</v>
      </c>
      <c r="I56" s="50">
        <v>9</v>
      </c>
      <c r="J56" s="50">
        <v>4</v>
      </c>
      <c r="K56" s="50">
        <v>3</v>
      </c>
      <c r="L56" s="50">
        <v>0</v>
      </c>
      <c r="M56" s="50">
        <v>215</v>
      </c>
      <c r="N56" s="50">
        <v>0</v>
      </c>
      <c r="O56" s="15">
        <f t="shared" si="0"/>
        <v>114</v>
      </c>
      <c r="P56" s="15">
        <f t="shared" si="1"/>
        <v>329</v>
      </c>
      <c r="R56" s="8"/>
      <c r="T56"/>
    </row>
    <row r="57" spans="2:20" ht="23.1" customHeight="1" x14ac:dyDescent="0.25">
      <c r="B57" s="45" t="s">
        <v>84</v>
      </c>
      <c r="C57" s="50">
        <v>21</v>
      </c>
      <c r="D57" s="50">
        <v>7</v>
      </c>
      <c r="E57" s="50">
        <v>3</v>
      </c>
      <c r="F57" s="50">
        <v>34</v>
      </c>
      <c r="G57" s="50">
        <v>2</v>
      </c>
      <c r="H57" s="50">
        <v>0</v>
      </c>
      <c r="I57" s="50">
        <v>7</v>
      </c>
      <c r="J57" s="50">
        <v>1</v>
      </c>
      <c r="K57" s="50">
        <v>2</v>
      </c>
      <c r="L57" s="50">
        <v>1</v>
      </c>
      <c r="M57" s="50">
        <v>85</v>
      </c>
      <c r="N57" s="50">
        <v>0</v>
      </c>
      <c r="O57" s="15">
        <f t="shared" si="0"/>
        <v>78</v>
      </c>
      <c r="P57" s="15">
        <f t="shared" si="1"/>
        <v>163</v>
      </c>
      <c r="R57" s="8"/>
      <c r="T57"/>
    </row>
    <row r="58" spans="2:20" ht="23.1" customHeight="1" x14ac:dyDescent="0.25">
      <c r="B58" s="45" t="s">
        <v>99</v>
      </c>
      <c r="C58" s="50">
        <v>18</v>
      </c>
      <c r="D58" s="50">
        <v>1</v>
      </c>
      <c r="E58" s="50">
        <v>1</v>
      </c>
      <c r="F58" s="50">
        <v>10</v>
      </c>
      <c r="G58" s="50">
        <v>0</v>
      </c>
      <c r="H58" s="50">
        <v>1</v>
      </c>
      <c r="I58" s="50">
        <v>3</v>
      </c>
      <c r="J58" s="50">
        <v>1</v>
      </c>
      <c r="K58" s="50">
        <v>2</v>
      </c>
      <c r="L58" s="50">
        <v>0</v>
      </c>
      <c r="M58" s="50">
        <v>30</v>
      </c>
      <c r="N58" s="50">
        <v>0</v>
      </c>
      <c r="O58" s="15">
        <f t="shared" si="0"/>
        <v>37</v>
      </c>
      <c r="P58" s="15">
        <f t="shared" si="1"/>
        <v>67</v>
      </c>
      <c r="R58" s="8"/>
      <c r="T58"/>
    </row>
    <row r="59" spans="2:20" ht="23.1" customHeight="1" x14ac:dyDescent="0.25">
      <c r="B59" s="45" t="s">
        <v>100</v>
      </c>
      <c r="C59" s="50">
        <v>25</v>
      </c>
      <c r="D59" s="50">
        <v>3</v>
      </c>
      <c r="E59" s="50">
        <v>2</v>
      </c>
      <c r="F59" s="50">
        <v>6</v>
      </c>
      <c r="G59" s="50">
        <v>1</v>
      </c>
      <c r="H59" s="50">
        <v>1</v>
      </c>
      <c r="I59" s="50">
        <v>1</v>
      </c>
      <c r="J59" s="50">
        <v>3</v>
      </c>
      <c r="K59" s="50">
        <v>1</v>
      </c>
      <c r="L59" s="50">
        <v>1</v>
      </c>
      <c r="M59" s="50">
        <v>35</v>
      </c>
      <c r="N59" s="50">
        <v>0</v>
      </c>
      <c r="O59" s="15">
        <f t="shared" si="0"/>
        <v>44</v>
      </c>
      <c r="P59" s="15">
        <f t="shared" si="1"/>
        <v>79</v>
      </c>
      <c r="R59" s="8"/>
      <c r="T59"/>
    </row>
    <row r="60" spans="2:20" ht="23.1" customHeight="1" x14ac:dyDescent="0.25">
      <c r="B60" s="45" t="s">
        <v>101</v>
      </c>
      <c r="C60" s="50">
        <v>43</v>
      </c>
      <c r="D60" s="50">
        <v>3</v>
      </c>
      <c r="E60" s="50">
        <v>0</v>
      </c>
      <c r="F60" s="50">
        <v>25</v>
      </c>
      <c r="G60" s="50">
        <v>1</v>
      </c>
      <c r="H60" s="50">
        <v>4</v>
      </c>
      <c r="I60" s="50">
        <v>0</v>
      </c>
      <c r="J60" s="50">
        <v>9</v>
      </c>
      <c r="K60" s="50">
        <v>0</v>
      </c>
      <c r="L60" s="50">
        <v>0</v>
      </c>
      <c r="M60" s="50">
        <v>20</v>
      </c>
      <c r="N60" s="50">
        <v>0</v>
      </c>
      <c r="O60" s="15">
        <f t="shared" si="0"/>
        <v>85</v>
      </c>
      <c r="P60" s="15">
        <f t="shared" si="1"/>
        <v>105</v>
      </c>
      <c r="R60" s="8"/>
      <c r="T60"/>
    </row>
    <row r="61" spans="2:20" ht="23.1" customHeight="1" x14ac:dyDescent="0.25">
      <c r="B61" s="45" t="s">
        <v>102</v>
      </c>
      <c r="C61" s="50">
        <v>28</v>
      </c>
      <c r="D61" s="50">
        <v>5</v>
      </c>
      <c r="E61" s="50">
        <v>4</v>
      </c>
      <c r="F61" s="50">
        <v>32</v>
      </c>
      <c r="G61" s="50">
        <v>1</v>
      </c>
      <c r="H61" s="50">
        <v>3</v>
      </c>
      <c r="I61" s="50">
        <v>3</v>
      </c>
      <c r="J61" s="50">
        <v>7</v>
      </c>
      <c r="K61" s="50">
        <v>0</v>
      </c>
      <c r="L61" s="50">
        <v>1</v>
      </c>
      <c r="M61" s="50">
        <v>181</v>
      </c>
      <c r="N61" s="50">
        <v>0</v>
      </c>
      <c r="O61" s="15">
        <f t="shared" si="0"/>
        <v>84</v>
      </c>
      <c r="P61" s="15">
        <f t="shared" si="1"/>
        <v>265</v>
      </c>
      <c r="R61" s="8"/>
      <c r="T61"/>
    </row>
    <row r="62" spans="2:20" ht="23.1" customHeight="1" x14ac:dyDescent="0.25">
      <c r="B62" s="45" t="s">
        <v>107</v>
      </c>
      <c r="C62" s="50">
        <v>21</v>
      </c>
      <c r="D62" s="50">
        <v>5</v>
      </c>
      <c r="E62" s="50">
        <v>2</v>
      </c>
      <c r="F62" s="50">
        <v>8</v>
      </c>
      <c r="G62" s="50">
        <v>0</v>
      </c>
      <c r="H62" s="50">
        <v>2</v>
      </c>
      <c r="I62" s="50">
        <v>3</v>
      </c>
      <c r="J62" s="50">
        <v>2</v>
      </c>
      <c r="K62" s="50">
        <v>1</v>
      </c>
      <c r="L62" s="50">
        <v>1</v>
      </c>
      <c r="M62" s="50">
        <v>65</v>
      </c>
      <c r="N62" s="50">
        <v>0</v>
      </c>
      <c r="O62" s="15">
        <f t="shared" si="0"/>
        <v>45</v>
      </c>
      <c r="P62" s="15">
        <f t="shared" si="1"/>
        <v>110</v>
      </c>
      <c r="R62" s="8"/>
      <c r="T62"/>
    </row>
    <row r="63" spans="2:20" ht="23.1" customHeight="1" x14ac:dyDescent="0.25">
      <c r="B63" s="45" t="s">
        <v>108</v>
      </c>
      <c r="C63" s="50">
        <v>25</v>
      </c>
      <c r="D63" s="50">
        <v>5</v>
      </c>
      <c r="E63" s="50">
        <v>4</v>
      </c>
      <c r="F63" s="50">
        <v>18</v>
      </c>
      <c r="G63" s="50">
        <v>0</v>
      </c>
      <c r="H63" s="50">
        <v>1</v>
      </c>
      <c r="I63" s="50">
        <v>0</v>
      </c>
      <c r="J63" s="50">
        <v>2</v>
      </c>
      <c r="K63" s="50">
        <v>0</v>
      </c>
      <c r="L63" s="50">
        <v>0</v>
      </c>
      <c r="M63" s="50">
        <v>168</v>
      </c>
      <c r="N63" s="50">
        <v>0</v>
      </c>
      <c r="O63" s="15">
        <f t="shared" si="0"/>
        <v>55</v>
      </c>
      <c r="P63" s="15">
        <f t="shared" si="1"/>
        <v>223</v>
      </c>
      <c r="R63" s="8"/>
      <c r="T63"/>
    </row>
    <row r="64" spans="2:20" ht="23.1" customHeight="1" x14ac:dyDescent="0.25">
      <c r="B64" s="45" t="s">
        <v>109</v>
      </c>
      <c r="C64" s="50">
        <v>22</v>
      </c>
      <c r="D64" s="50">
        <v>5</v>
      </c>
      <c r="E64" s="50">
        <v>5</v>
      </c>
      <c r="F64" s="50">
        <v>55</v>
      </c>
      <c r="G64" s="50">
        <v>1</v>
      </c>
      <c r="H64" s="50">
        <v>1</v>
      </c>
      <c r="I64" s="50">
        <v>6</v>
      </c>
      <c r="J64" s="50">
        <v>13</v>
      </c>
      <c r="K64" s="50">
        <v>1</v>
      </c>
      <c r="L64" s="50">
        <v>1</v>
      </c>
      <c r="M64" s="50">
        <v>315</v>
      </c>
      <c r="N64" s="50">
        <v>0</v>
      </c>
      <c r="O64" s="15">
        <f t="shared" si="0"/>
        <v>110</v>
      </c>
      <c r="P64" s="15">
        <f t="shared" si="1"/>
        <v>425</v>
      </c>
      <c r="R64" s="8"/>
      <c r="T64"/>
    </row>
    <row r="65" spans="2:20" ht="23.1" customHeight="1" x14ac:dyDescent="0.25">
      <c r="B65" s="45" t="s">
        <v>158</v>
      </c>
      <c r="C65" s="50">
        <v>16</v>
      </c>
      <c r="D65" s="50">
        <v>7</v>
      </c>
      <c r="E65" s="50">
        <v>2</v>
      </c>
      <c r="F65" s="50">
        <v>27</v>
      </c>
      <c r="G65" s="50">
        <v>5</v>
      </c>
      <c r="H65" s="50">
        <v>3</v>
      </c>
      <c r="I65" s="50">
        <v>4</v>
      </c>
      <c r="J65" s="50">
        <v>3</v>
      </c>
      <c r="K65" s="50">
        <v>3</v>
      </c>
      <c r="L65" s="50">
        <v>2</v>
      </c>
      <c r="M65" s="50">
        <v>278</v>
      </c>
      <c r="N65" s="50">
        <v>0</v>
      </c>
      <c r="O65" s="15">
        <f t="shared" si="0"/>
        <v>72</v>
      </c>
      <c r="P65" s="15">
        <f t="shared" si="1"/>
        <v>350</v>
      </c>
      <c r="R65" s="8"/>
      <c r="T65"/>
    </row>
    <row r="66" spans="2:20" ht="23.1" customHeight="1" x14ac:dyDescent="0.25">
      <c r="B66" s="45" t="s">
        <v>103</v>
      </c>
      <c r="C66" s="50">
        <v>24</v>
      </c>
      <c r="D66" s="50">
        <v>4</v>
      </c>
      <c r="E66" s="50">
        <v>5</v>
      </c>
      <c r="F66" s="50">
        <v>36</v>
      </c>
      <c r="G66" s="50">
        <v>2</v>
      </c>
      <c r="H66" s="50">
        <v>1</v>
      </c>
      <c r="I66" s="50">
        <v>1</v>
      </c>
      <c r="J66" s="50">
        <v>9</v>
      </c>
      <c r="K66" s="50">
        <v>5</v>
      </c>
      <c r="L66" s="50">
        <v>4</v>
      </c>
      <c r="M66" s="50">
        <v>216</v>
      </c>
      <c r="N66" s="50">
        <v>0</v>
      </c>
      <c r="O66" s="15">
        <f t="shared" si="0"/>
        <v>91</v>
      </c>
      <c r="P66" s="15">
        <f t="shared" si="1"/>
        <v>307</v>
      </c>
      <c r="R66" s="8"/>
      <c r="T66"/>
    </row>
    <row r="67" spans="2:20" ht="23.1" customHeight="1" x14ac:dyDescent="0.25">
      <c r="B67" s="45" t="s">
        <v>104</v>
      </c>
      <c r="C67" s="50">
        <v>26</v>
      </c>
      <c r="D67" s="50">
        <v>3</v>
      </c>
      <c r="E67" s="50">
        <v>1</v>
      </c>
      <c r="F67" s="50">
        <v>19</v>
      </c>
      <c r="G67" s="50">
        <v>0</v>
      </c>
      <c r="H67" s="50">
        <v>0</v>
      </c>
      <c r="I67" s="50">
        <v>6</v>
      </c>
      <c r="J67" s="50">
        <v>2</v>
      </c>
      <c r="K67" s="50">
        <v>1</v>
      </c>
      <c r="L67" s="50">
        <v>4</v>
      </c>
      <c r="M67" s="50">
        <v>198</v>
      </c>
      <c r="N67" s="50">
        <v>0</v>
      </c>
      <c r="O67" s="15">
        <f t="shared" si="0"/>
        <v>62</v>
      </c>
      <c r="P67" s="15">
        <f t="shared" si="1"/>
        <v>260</v>
      </c>
      <c r="R67" s="8"/>
      <c r="T67"/>
    </row>
    <row r="68" spans="2:20" ht="23.1" customHeight="1" x14ac:dyDescent="0.25">
      <c r="B68" s="45" t="s">
        <v>105</v>
      </c>
      <c r="C68" s="50">
        <v>16</v>
      </c>
      <c r="D68" s="50">
        <v>3</v>
      </c>
      <c r="E68" s="50">
        <v>3</v>
      </c>
      <c r="F68" s="50">
        <v>19</v>
      </c>
      <c r="G68" s="50">
        <v>5</v>
      </c>
      <c r="H68" s="50">
        <v>0</v>
      </c>
      <c r="I68" s="50">
        <v>6</v>
      </c>
      <c r="J68" s="50">
        <v>8</v>
      </c>
      <c r="K68" s="50">
        <v>1</v>
      </c>
      <c r="L68" s="50">
        <v>0</v>
      </c>
      <c r="M68" s="50">
        <v>109</v>
      </c>
      <c r="N68" s="50">
        <v>0</v>
      </c>
      <c r="O68" s="15">
        <f t="shared" si="0"/>
        <v>61</v>
      </c>
      <c r="P68" s="15">
        <f t="shared" si="1"/>
        <v>170</v>
      </c>
      <c r="R68" s="8"/>
      <c r="T68"/>
    </row>
    <row r="69" spans="2:20" ht="23.1" customHeight="1" x14ac:dyDescent="0.25">
      <c r="B69" s="45" t="s">
        <v>106</v>
      </c>
      <c r="C69" s="50">
        <v>16</v>
      </c>
      <c r="D69" s="50">
        <v>4</v>
      </c>
      <c r="E69" s="50">
        <v>1</v>
      </c>
      <c r="F69" s="50">
        <v>19</v>
      </c>
      <c r="G69" s="50">
        <v>2</v>
      </c>
      <c r="H69" s="50">
        <v>1</v>
      </c>
      <c r="I69" s="50">
        <v>3</v>
      </c>
      <c r="J69" s="50">
        <v>1</v>
      </c>
      <c r="K69" s="50">
        <v>0</v>
      </c>
      <c r="L69" s="50">
        <v>0</v>
      </c>
      <c r="M69" s="50">
        <v>80</v>
      </c>
      <c r="N69" s="50">
        <v>0</v>
      </c>
      <c r="O69" s="15">
        <f t="shared" si="0"/>
        <v>47</v>
      </c>
      <c r="P69" s="15">
        <f t="shared" si="1"/>
        <v>127</v>
      </c>
      <c r="R69" s="8"/>
      <c r="T69"/>
    </row>
    <row r="70" spans="2:20" ht="23.1" customHeight="1" x14ac:dyDescent="0.25">
      <c r="B70" s="45" t="s">
        <v>110</v>
      </c>
      <c r="C70" s="50">
        <v>25</v>
      </c>
      <c r="D70" s="50">
        <v>2</v>
      </c>
      <c r="E70" s="50">
        <v>6</v>
      </c>
      <c r="F70" s="50">
        <v>16</v>
      </c>
      <c r="G70" s="50">
        <v>3</v>
      </c>
      <c r="H70" s="50">
        <v>0</v>
      </c>
      <c r="I70" s="50">
        <v>7</v>
      </c>
      <c r="J70" s="50">
        <v>2</v>
      </c>
      <c r="K70" s="50">
        <v>2</v>
      </c>
      <c r="L70" s="50">
        <v>1</v>
      </c>
      <c r="M70" s="50">
        <v>92</v>
      </c>
      <c r="N70" s="50">
        <v>0</v>
      </c>
      <c r="O70" s="15">
        <f t="shared" si="0"/>
        <v>64</v>
      </c>
      <c r="P70" s="15">
        <f t="shared" si="1"/>
        <v>156</v>
      </c>
      <c r="R70" s="8"/>
      <c r="T70"/>
    </row>
    <row r="71" spans="2:20" ht="23.1" customHeight="1" x14ac:dyDescent="0.25">
      <c r="B71" s="45" t="s">
        <v>111</v>
      </c>
      <c r="C71" s="50">
        <v>34</v>
      </c>
      <c r="D71" s="50">
        <v>1</v>
      </c>
      <c r="E71" s="50">
        <v>2</v>
      </c>
      <c r="F71" s="50">
        <v>13</v>
      </c>
      <c r="G71" s="50">
        <v>2</v>
      </c>
      <c r="H71" s="50">
        <v>0</v>
      </c>
      <c r="I71" s="50">
        <v>6</v>
      </c>
      <c r="J71" s="50">
        <v>2</v>
      </c>
      <c r="K71" s="50">
        <v>5</v>
      </c>
      <c r="L71" s="50">
        <v>0</v>
      </c>
      <c r="M71" s="50">
        <v>59</v>
      </c>
      <c r="N71" s="50">
        <v>0</v>
      </c>
      <c r="O71" s="15">
        <f t="shared" si="0"/>
        <v>65</v>
      </c>
      <c r="P71" s="15">
        <f t="shared" si="1"/>
        <v>124</v>
      </c>
      <c r="R71" s="8"/>
      <c r="T71"/>
    </row>
    <row r="72" spans="2:20" ht="23.1" customHeight="1" x14ac:dyDescent="0.25">
      <c r="B72" s="45" t="s">
        <v>112</v>
      </c>
      <c r="C72" s="50">
        <v>20</v>
      </c>
      <c r="D72" s="50">
        <v>3</v>
      </c>
      <c r="E72" s="50">
        <v>1</v>
      </c>
      <c r="F72" s="50">
        <v>24</v>
      </c>
      <c r="G72" s="50">
        <v>0</v>
      </c>
      <c r="H72" s="50">
        <v>1</v>
      </c>
      <c r="I72" s="50">
        <v>3</v>
      </c>
      <c r="J72" s="50">
        <v>3</v>
      </c>
      <c r="K72" s="50">
        <v>2</v>
      </c>
      <c r="L72" s="50">
        <v>0</v>
      </c>
      <c r="M72" s="50">
        <v>82</v>
      </c>
      <c r="N72" s="50">
        <v>0</v>
      </c>
      <c r="O72" s="15">
        <f t="shared" si="0"/>
        <v>57</v>
      </c>
      <c r="P72" s="15">
        <f t="shared" si="1"/>
        <v>139</v>
      </c>
      <c r="R72" s="8"/>
      <c r="T72"/>
    </row>
    <row r="73" spans="2:20" ht="23.1" customHeight="1" x14ac:dyDescent="0.25">
      <c r="B73" s="45" t="s">
        <v>113</v>
      </c>
      <c r="C73" s="50">
        <v>23</v>
      </c>
      <c r="D73" s="50">
        <v>1</v>
      </c>
      <c r="E73" s="50">
        <v>4</v>
      </c>
      <c r="F73" s="50">
        <v>13</v>
      </c>
      <c r="G73" s="50">
        <v>3</v>
      </c>
      <c r="H73" s="50">
        <v>1</v>
      </c>
      <c r="I73" s="50">
        <v>6</v>
      </c>
      <c r="J73" s="50">
        <v>3</v>
      </c>
      <c r="K73" s="50">
        <v>2</v>
      </c>
      <c r="L73" s="50">
        <v>2</v>
      </c>
      <c r="M73" s="50">
        <v>86</v>
      </c>
      <c r="N73" s="50">
        <v>0</v>
      </c>
      <c r="O73" s="15">
        <f t="shared" si="0"/>
        <v>58</v>
      </c>
      <c r="P73" s="15">
        <f t="shared" si="1"/>
        <v>144</v>
      </c>
      <c r="R73" s="8"/>
      <c r="T73"/>
    </row>
    <row r="74" spans="2:20" ht="23.1" customHeight="1" x14ac:dyDescent="0.25">
      <c r="B74" s="45" t="s">
        <v>114</v>
      </c>
      <c r="C74" s="50">
        <v>32</v>
      </c>
      <c r="D74" s="50">
        <v>1</v>
      </c>
      <c r="E74" s="50">
        <v>0</v>
      </c>
      <c r="F74" s="50">
        <v>15</v>
      </c>
      <c r="G74" s="50">
        <v>4</v>
      </c>
      <c r="H74" s="50">
        <v>1</v>
      </c>
      <c r="I74" s="50">
        <v>4</v>
      </c>
      <c r="J74" s="50">
        <v>8</v>
      </c>
      <c r="K74" s="50">
        <v>1</v>
      </c>
      <c r="L74" s="50">
        <v>3</v>
      </c>
      <c r="M74" s="50">
        <v>93</v>
      </c>
      <c r="N74" s="50">
        <v>0</v>
      </c>
      <c r="O74" s="15">
        <f t="shared" ref="O74:O105" si="35">SUM(C74:L74,N74)</f>
        <v>69</v>
      </c>
      <c r="P74" s="15">
        <f t="shared" ref="P74:P105" si="36">SUM(C74:N74)</f>
        <v>162</v>
      </c>
      <c r="R74" s="8"/>
      <c r="T74"/>
    </row>
    <row r="75" spans="2:20" ht="23.1" customHeight="1" x14ac:dyDescent="0.25">
      <c r="B75" s="45" t="s">
        <v>115</v>
      </c>
      <c r="C75" s="50">
        <v>19</v>
      </c>
      <c r="D75" s="50">
        <v>0</v>
      </c>
      <c r="E75" s="50">
        <v>0</v>
      </c>
      <c r="F75" s="50">
        <v>6</v>
      </c>
      <c r="G75" s="50">
        <v>0</v>
      </c>
      <c r="H75" s="50">
        <v>0</v>
      </c>
      <c r="I75" s="50">
        <v>2</v>
      </c>
      <c r="J75" s="50">
        <v>0</v>
      </c>
      <c r="K75" s="50">
        <v>0</v>
      </c>
      <c r="L75" s="50">
        <v>1</v>
      </c>
      <c r="M75" s="50">
        <v>46</v>
      </c>
      <c r="N75" s="50">
        <v>0</v>
      </c>
      <c r="O75" s="15">
        <f t="shared" si="35"/>
        <v>28</v>
      </c>
      <c r="P75" s="15">
        <f t="shared" si="36"/>
        <v>74</v>
      </c>
      <c r="R75" s="8"/>
      <c r="T75"/>
    </row>
    <row r="76" spans="2:20" ht="23.1" customHeight="1" x14ac:dyDescent="0.25">
      <c r="B76" s="45" t="s">
        <v>116</v>
      </c>
      <c r="C76" s="50">
        <v>18</v>
      </c>
      <c r="D76" s="50">
        <v>1</v>
      </c>
      <c r="E76" s="50">
        <v>1</v>
      </c>
      <c r="F76" s="50">
        <v>9</v>
      </c>
      <c r="G76" s="50">
        <v>1</v>
      </c>
      <c r="H76" s="50">
        <v>2</v>
      </c>
      <c r="I76" s="50">
        <v>5</v>
      </c>
      <c r="J76" s="50">
        <v>6</v>
      </c>
      <c r="K76" s="50">
        <v>1</v>
      </c>
      <c r="L76" s="50">
        <v>1</v>
      </c>
      <c r="M76" s="50">
        <v>68</v>
      </c>
      <c r="N76" s="50">
        <v>0</v>
      </c>
      <c r="O76" s="15">
        <f t="shared" si="35"/>
        <v>45</v>
      </c>
      <c r="P76" s="15">
        <f t="shared" si="36"/>
        <v>113</v>
      </c>
      <c r="R76" s="8"/>
      <c r="T76"/>
    </row>
    <row r="77" spans="2:20" ht="23.1" customHeight="1" x14ac:dyDescent="0.25">
      <c r="B77" s="45" t="s">
        <v>117</v>
      </c>
      <c r="C77" s="50">
        <v>17</v>
      </c>
      <c r="D77" s="50">
        <v>1</v>
      </c>
      <c r="E77" s="50">
        <v>2</v>
      </c>
      <c r="F77" s="50">
        <v>6</v>
      </c>
      <c r="G77" s="50">
        <v>3</v>
      </c>
      <c r="H77" s="50">
        <v>0</v>
      </c>
      <c r="I77" s="50">
        <v>4</v>
      </c>
      <c r="J77" s="50">
        <v>4</v>
      </c>
      <c r="K77" s="50">
        <v>5</v>
      </c>
      <c r="L77" s="50">
        <v>6</v>
      </c>
      <c r="M77" s="50">
        <v>55</v>
      </c>
      <c r="N77" s="50">
        <v>0</v>
      </c>
      <c r="O77" s="15">
        <f t="shared" si="35"/>
        <v>48</v>
      </c>
      <c r="P77" s="15">
        <f t="shared" si="36"/>
        <v>103</v>
      </c>
      <c r="R77" s="8"/>
      <c r="T77"/>
    </row>
    <row r="78" spans="2:20" ht="23.1" customHeight="1" x14ac:dyDescent="0.25">
      <c r="B78" s="46" t="s">
        <v>118</v>
      </c>
      <c r="C78" s="50">
        <v>6</v>
      </c>
      <c r="D78" s="50">
        <v>0</v>
      </c>
      <c r="E78" s="50">
        <v>0</v>
      </c>
      <c r="F78" s="50">
        <v>1</v>
      </c>
      <c r="G78" s="50">
        <v>0</v>
      </c>
      <c r="H78" s="50">
        <v>0</v>
      </c>
      <c r="I78" s="50">
        <v>0</v>
      </c>
      <c r="J78" s="50">
        <v>4</v>
      </c>
      <c r="K78" s="50">
        <v>1</v>
      </c>
      <c r="L78" s="50">
        <v>0</v>
      </c>
      <c r="M78" s="50">
        <v>34</v>
      </c>
      <c r="N78" s="50">
        <v>0</v>
      </c>
      <c r="O78" s="15">
        <f t="shared" si="35"/>
        <v>12</v>
      </c>
      <c r="P78" s="15">
        <f t="shared" si="36"/>
        <v>46</v>
      </c>
      <c r="R78" s="8"/>
      <c r="T78"/>
    </row>
    <row r="79" spans="2:20" ht="23.1" customHeight="1" x14ac:dyDescent="0.25">
      <c r="B79" s="45" t="s">
        <v>119</v>
      </c>
      <c r="C79" s="50">
        <v>10</v>
      </c>
      <c r="D79" s="50">
        <v>0</v>
      </c>
      <c r="E79" s="50">
        <v>1</v>
      </c>
      <c r="F79" s="50">
        <v>9</v>
      </c>
      <c r="G79" s="50">
        <v>1</v>
      </c>
      <c r="H79" s="50">
        <v>1</v>
      </c>
      <c r="I79" s="50">
        <v>0</v>
      </c>
      <c r="J79" s="50">
        <v>4</v>
      </c>
      <c r="K79" s="50">
        <v>5</v>
      </c>
      <c r="L79" s="50">
        <v>0</v>
      </c>
      <c r="M79" s="50">
        <v>30</v>
      </c>
      <c r="N79" s="50">
        <v>0</v>
      </c>
      <c r="O79" s="15">
        <f t="shared" si="35"/>
        <v>31</v>
      </c>
      <c r="P79" s="15">
        <f t="shared" si="36"/>
        <v>61</v>
      </c>
      <c r="R79" s="8"/>
      <c r="T79"/>
    </row>
    <row r="80" spans="2:20" ht="23.1" customHeight="1" x14ac:dyDescent="0.25">
      <c r="B80" s="47" t="s">
        <v>120</v>
      </c>
      <c r="C80" s="50">
        <v>11</v>
      </c>
      <c r="D80" s="50">
        <v>0</v>
      </c>
      <c r="E80" s="50">
        <v>0</v>
      </c>
      <c r="F80" s="50">
        <v>3</v>
      </c>
      <c r="G80" s="50">
        <v>0</v>
      </c>
      <c r="H80" s="50">
        <v>0</v>
      </c>
      <c r="I80" s="50">
        <v>3</v>
      </c>
      <c r="J80" s="50">
        <v>3</v>
      </c>
      <c r="K80" s="50">
        <v>5</v>
      </c>
      <c r="L80" s="50">
        <v>3</v>
      </c>
      <c r="M80" s="50">
        <v>35</v>
      </c>
      <c r="N80" s="50">
        <v>0</v>
      </c>
      <c r="O80" s="15">
        <f t="shared" si="35"/>
        <v>28</v>
      </c>
      <c r="P80" s="15">
        <f t="shared" si="36"/>
        <v>63</v>
      </c>
      <c r="R80" s="8"/>
      <c r="T80"/>
    </row>
    <row r="81" spans="2:20" ht="23.1" customHeight="1" x14ac:dyDescent="0.25">
      <c r="B81" s="45" t="s">
        <v>121</v>
      </c>
      <c r="C81" s="50">
        <v>4</v>
      </c>
      <c r="D81" s="50">
        <v>0</v>
      </c>
      <c r="E81" s="50">
        <v>3</v>
      </c>
      <c r="F81" s="50">
        <v>1</v>
      </c>
      <c r="G81" s="50">
        <v>0</v>
      </c>
      <c r="H81" s="50">
        <v>0</v>
      </c>
      <c r="I81" s="50">
        <v>0</v>
      </c>
      <c r="J81" s="50">
        <v>2</v>
      </c>
      <c r="K81" s="50">
        <v>1</v>
      </c>
      <c r="L81" s="50">
        <v>0</v>
      </c>
      <c r="M81" s="50">
        <v>25</v>
      </c>
      <c r="N81" s="50">
        <v>0</v>
      </c>
      <c r="O81" s="15">
        <f t="shared" si="35"/>
        <v>11</v>
      </c>
      <c r="P81" s="15">
        <f t="shared" si="36"/>
        <v>36</v>
      </c>
      <c r="R81" s="8"/>
      <c r="T81"/>
    </row>
    <row r="82" spans="2:20" ht="23.1" customHeight="1" x14ac:dyDescent="0.25">
      <c r="B82" s="46" t="s">
        <v>122</v>
      </c>
      <c r="C82" s="50">
        <v>7</v>
      </c>
      <c r="D82" s="50">
        <v>1</v>
      </c>
      <c r="E82" s="50">
        <v>1</v>
      </c>
      <c r="F82" s="50">
        <v>0</v>
      </c>
      <c r="G82" s="50">
        <v>0</v>
      </c>
      <c r="H82" s="50">
        <v>1</v>
      </c>
      <c r="I82" s="50">
        <v>1</v>
      </c>
      <c r="J82" s="50">
        <v>1</v>
      </c>
      <c r="K82" s="50">
        <v>1</v>
      </c>
      <c r="L82" s="50">
        <v>1</v>
      </c>
      <c r="M82" s="50">
        <v>34</v>
      </c>
      <c r="N82" s="50">
        <v>0</v>
      </c>
      <c r="O82" s="15">
        <f t="shared" si="35"/>
        <v>14</v>
      </c>
      <c r="P82" s="15">
        <f t="shared" si="36"/>
        <v>48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2</v>
      </c>
      <c r="L83" s="50">
        <v>1</v>
      </c>
      <c r="M83" s="50">
        <v>9</v>
      </c>
      <c r="N83" s="50">
        <v>0</v>
      </c>
      <c r="O83" s="15">
        <f t="shared" si="35"/>
        <v>5</v>
      </c>
      <c r="P83" s="15">
        <f t="shared" si="36"/>
        <v>14</v>
      </c>
      <c r="R83" s="8"/>
      <c r="T83"/>
    </row>
    <row r="84" spans="2:20" ht="23.1" customHeight="1" x14ac:dyDescent="0.25">
      <c r="B84" s="47" t="s">
        <v>124</v>
      </c>
      <c r="C84" s="50">
        <v>4</v>
      </c>
      <c r="D84" s="50">
        <v>0</v>
      </c>
      <c r="E84" s="50">
        <v>0</v>
      </c>
      <c r="F84" s="50">
        <v>1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2</v>
      </c>
      <c r="M84" s="50">
        <v>15</v>
      </c>
      <c r="N84" s="50">
        <v>0</v>
      </c>
      <c r="O84" s="15">
        <f t="shared" si="35"/>
        <v>8</v>
      </c>
      <c r="P84" s="15">
        <f t="shared" si="36"/>
        <v>23</v>
      </c>
      <c r="R84" s="8"/>
      <c r="T84"/>
    </row>
    <row r="85" spans="2:20" ht="23.1" customHeight="1" x14ac:dyDescent="0.25">
      <c r="B85" s="45" t="s">
        <v>125</v>
      </c>
      <c r="C85" s="50">
        <v>6</v>
      </c>
      <c r="D85" s="50">
        <v>0</v>
      </c>
      <c r="E85" s="50">
        <v>0</v>
      </c>
      <c r="F85" s="50">
        <v>2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17</v>
      </c>
      <c r="N85" s="50">
        <v>0</v>
      </c>
      <c r="O85" s="15">
        <f t="shared" si="35"/>
        <v>9</v>
      </c>
      <c r="P85" s="15">
        <f t="shared" si="36"/>
        <v>26</v>
      </c>
      <c r="R85" s="8"/>
      <c r="T85"/>
    </row>
    <row r="86" spans="2:20" ht="23.1" customHeight="1" x14ac:dyDescent="0.25">
      <c r="B86" s="46" t="s">
        <v>126</v>
      </c>
      <c r="C86" s="50">
        <v>7</v>
      </c>
      <c r="D86" s="50">
        <v>0</v>
      </c>
      <c r="E86" s="50">
        <v>2</v>
      </c>
      <c r="F86" s="50">
        <v>2</v>
      </c>
      <c r="G86" s="50">
        <v>0</v>
      </c>
      <c r="H86" s="50">
        <v>2</v>
      </c>
      <c r="I86" s="50">
        <v>2</v>
      </c>
      <c r="J86" s="50">
        <v>2</v>
      </c>
      <c r="K86" s="50">
        <v>0</v>
      </c>
      <c r="L86" s="50">
        <v>2</v>
      </c>
      <c r="M86" s="50">
        <v>16</v>
      </c>
      <c r="N86" s="50">
        <v>0</v>
      </c>
      <c r="O86" s="15">
        <f t="shared" si="35"/>
        <v>19</v>
      </c>
      <c r="P86" s="15">
        <f t="shared" si="36"/>
        <v>35</v>
      </c>
      <c r="R86" s="8"/>
      <c r="T86"/>
    </row>
    <row r="87" spans="2:20" ht="23.1" customHeight="1" x14ac:dyDescent="0.25">
      <c r="B87" s="45" t="s">
        <v>127</v>
      </c>
      <c r="C87" s="50">
        <v>3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4</v>
      </c>
      <c r="J87" s="50">
        <v>5</v>
      </c>
      <c r="K87" s="50">
        <v>2</v>
      </c>
      <c r="L87" s="50">
        <v>1</v>
      </c>
      <c r="M87" s="50">
        <v>14</v>
      </c>
      <c r="N87" s="50">
        <v>0</v>
      </c>
      <c r="O87" s="15">
        <f t="shared" si="35"/>
        <v>15</v>
      </c>
      <c r="P87" s="15">
        <f t="shared" si="36"/>
        <v>29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2</v>
      </c>
      <c r="K88" s="50">
        <v>1</v>
      </c>
      <c r="L88" s="50">
        <v>0</v>
      </c>
      <c r="M88" s="50">
        <v>10</v>
      </c>
      <c r="N88" s="50">
        <v>0</v>
      </c>
      <c r="O88" s="15">
        <f t="shared" si="35"/>
        <v>4</v>
      </c>
      <c r="P88" s="15">
        <f t="shared" si="36"/>
        <v>14</v>
      </c>
      <c r="R88" s="8"/>
      <c r="T88"/>
    </row>
    <row r="89" spans="2:20" ht="23.1" customHeight="1" x14ac:dyDescent="0.25">
      <c r="B89" s="45" t="s">
        <v>129</v>
      </c>
      <c r="C89" s="50">
        <v>5</v>
      </c>
      <c r="D89" s="50">
        <v>1</v>
      </c>
      <c r="E89" s="50">
        <v>0</v>
      </c>
      <c r="F89" s="50">
        <v>1</v>
      </c>
      <c r="G89" s="50">
        <v>0</v>
      </c>
      <c r="H89" s="50">
        <v>0</v>
      </c>
      <c r="I89" s="50">
        <v>1</v>
      </c>
      <c r="J89" s="50">
        <v>2</v>
      </c>
      <c r="K89" s="50">
        <v>3</v>
      </c>
      <c r="L89" s="50">
        <v>0</v>
      </c>
      <c r="M89" s="50">
        <v>11</v>
      </c>
      <c r="N89" s="50">
        <v>0</v>
      </c>
      <c r="O89" s="15">
        <f t="shared" si="35"/>
        <v>13</v>
      </c>
      <c r="P89" s="15">
        <f t="shared" si="36"/>
        <v>24</v>
      </c>
      <c r="R89" s="8"/>
      <c r="T89"/>
    </row>
    <row r="90" spans="2:20" ht="23.1" customHeight="1" x14ac:dyDescent="0.25">
      <c r="B90" s="46" t="s">
        <v>130</v>
      </c>
      <c r="C90" s="50">
        <v>3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3</v>
      </c>
      <c r="K90" s="50">
        <v>0</v>
      </c>
      <c r="L90" s="50">
        <v>0</v>
      </c>
      <c r="M90" s="50">
        <v>6</v>
      </c>
      <c r="N90" s="50">
        <v>0</v>
      </c>
      <c r="O90" s="15">
        <f t="shared" si="35"/>
        <v>7</v>
      </c>
      <c r="P90" s="15">
        <f t="shared" si="36"/>
        <v>13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1</v>
      </c>
      <c r="F91" s="50">
        <v>0</v>
      </c>
      <c r="G91" s="50">
        <v>0</v>
      </c>
      <c r="H91" s="50">
        <v>1</v>
      </c>
      <c r="I91" s="50">
        <v>0</v>
      </c>
      <c r="J91" s="50">
        <v>3</v>
      </c>
      <c r="K91" s="50">
        <v>2</v>
      </c>
      <c r="L91" s="50">
        <v>1</v>
      </c>
      <c r="M91" s="50">
        <v>9</v>
      </c>
      <c r="N91" s="50">
        <v>0</v>
      </c>
      <c r="O91" s="15">
        <f t="shared" si="35"/>
        <v>10</v>
      </c>
      <c r="P91" s="15">
        <f t="shared" si="36"/>
        <v>19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0</v>
      </c>
      <c r="E92" s="50">
        <v>0</v>
      </c>
      <c r="F92" s="50">
        <v>0</v>
      </c>
      <c r="G92" s="50">
        <v>0</v>
      </c>
      <c r="H92" s="50">
        <v>4</v>
      </c>
      <c r="I92" s="50">
        <v>0</v>
      </c>
      <c r="J92" s="50">
        <v>0</v>
      </c>
      <c r="K92" s="50">
        <v>1</v>
      </c>
      <c r="L92" s="50">
        <v>1</v>
      </c>
      <c r="M92" s="50">
        <v>15</v>
      </c>
      <c r="N92" s="50">
        <v>0</v>
      </c>
      <c r="O92" s="15">
        <f t="shared" si="35"/>
        <v>9</v>
      </c>
      <c r="P92" s="15">
        <f t="shared" si="36"/>
        <v>24</v>
      </c>
      <c r="R92" s="8"/>
      <c r="T92"/>
    </row>
    <row r="93" spans="2:20" ht="23.1" customHeight="1" x14ac:dyDescent="0.25">
      <c r="B93" s="45" t="s">
        <v>133</v>
      </c>
      <c r="C93" s="50">
        <v>9</v>
      </c>
      <c r="D93" s="50">
        <v>0</v>
      </c>
      <c r="E93" s="50">
        <v>1</v>
      </c>
      <c r="F93" s="50">
        <v>6</v>
      </c>
      <c r="G93" s="50">
        <v>0</v>
      </c>
      <c r="H93" s="50">
        <v>1</v>
      </c>
      <c r="I93" s="50">
        <v>0</v>
      </c>
      <c r="J93" s="50">
        <v>2</v>
      </c>
      <c r="K93" s="50">
        <v>7</v>
      </c>
      <c r="L93" s="50">
        <v>1</v>
      </c>
      <c r="M93" s="50">
        <v>15</v>
      </c>
      <c r="N93" s="50">
        <v>0</v>
      </c>
      <c r="O93" s="15">
        <f t="shared" si="35"/>
        <v>27</v>
      </c>
      <c r="P93" s="15">
        <f t="shared" si="36"/>
        <v>42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0</v>
      </c>
      <c r="E94" s="50">
        <v>1</v>
      </c>
      <c r="F94" s="50">
        <v>5</v>
      </c>
      <c r="G94" s="50">
        <v>0</v>
      </c>
      <c r="H94" s="50">
        <v>2</v>
      </c>
      <c r="I94" s="50">
        <v>3</v>
      </c>
      <c r="J94" s="50">
        <v>3</v>
      </c>
      <c r="K94" s="50">
        <v>6</v>
      </c>
      <c r="L94" s="50">
        <v>2</v>
      </c>
      <c r="M94" s="50">
        <v>35</v>
      </c>
      <c r="N94" s="50">
        <v>0</v>
      </c>
      <c r="O94" s="15">
        <f t="shared" si="35"/>
        <v>26</v>
      </c>
      <c r="P94" s="15">
        <f t="shared" si="36"/>
        <v>61</v>
      </c>
      <c r="R94" s="8"/>
      <c r="T94"/>
    </row>
    <row r="95" spans="2:20" ht="23.1" customHeight="1" x14ac:dyDescent="0.25">
      <c r="B95" s="45" t="s">
        <v>135</v>
      </c>
      <c r="C95" s="50">
        <v>7</v>
      </c>
      <c r="D95" s="50">
        <v>0</v>
      </c>
      <c r="E95" s="50">
        <v>1</v>
      </c>
      <c r="F95" s="50">
        <v>8</v>
      </c>
      <c r="G95" s="50">
        <v>0</v>
      </c>
      <c r="H95" s="50">
        <v>1</v>
      </c>
      <c r="I95" s="50">
        <v>3</v>
      </c>
      <c r="J95" s="50">
        <v>4</v>
      </c>
      <c r="K95" s="50">
        <v>6</v>
      </c>
      <c r="L95" s="50">
        <v>0</v>
      </c>
      <c r="M95" s="50">
        <v>27</v>
      </c>
      <c r="N95" s="50">
        <v>0</v>
      </c>
      <c r="O95" s="15">
        <f t="shared" si="35"/>
        <v>30</v>
      </c>
      <c r="P95" s="15">
        <f t="shared" si="36"/>
        <v>57</v>
      </c>
      <c r="R95" s="8"/>
      <c r="T95"/>
    </row>
    <row r="96" spans="2:20" ht="23.1" customHeight="1" x14ac:dyDescent="0.25">
      <c r="B96" s="47" t="s">
        <v>136</v>
      </c>
      <c r="C96" s="50">
        <v>17</v>
      </c>
      <c r="D96" s="50">
        <v>0</v>
      </c>
      <c r="E96" s="50">
        <v>1</v>
      </c>
      <c r="F96" s="50">
        <v>7</v>
      </c>
      <c r="G96" s="50">
        <v>0</v>
      </c>
      <c r="H96" s="50">
        <v>0</v>
      </c>
      <c r="I96" s="50">
        <v>2</v>
      </c>
      <c r="J96" s="50">
        <v>8</v>
      </c>
      <c r="K96" s="50">
        <v>2</v>
      </c>
      <c r="L96" s="50">
        <v>2</v>
      </c>
      <c r="M96" s="50">
        <v>35</v>
      </c>
      <c r="N96" s="50">
        <v>0</v>
      </c>
      <c r="O96" s="15">
        <f t="shared" si="35"/>
        <v>39</v>
      </c>
      <c r="P96" s="15">
        <f t="shared" si="36"/>
        <v>74</v>
      </c>
      <c r="R96" s="8"/>
      <c r="T96"/>
    </row>
    <row r="97" spans="2:20" ht="23.1" customHeight="1" x14ac:dyDescent="0.25">
      <c r="B97" s="45" t="s">
        <v>137</v>
      </c>
      <c r="C97" s="50">
        <v>10</v>
      </c>
      <c r="D97" s="50">
        <v>2</v>
      </c>
      <c r="E97" s="50">
        <v>1</v>
      </c>
      <c r="F97" s="50">
        <v>10</v>
      </c>
      <c r="G97" s="50">
        <v>1</v>
      </c>
      <c r="H97" s="50">
        <v>1</v>
      </c>
      <c r="I97" s="50">
        <v>4</v>
      </c>
      <c r="J97" s="50">
        <v>1</v>
      </c>
      <c r="K97" s="50">
        <v>3</v>
      </c>
      <c r="L97" s="50">
        <v>4</v>
      </c>
      <c r="M97" s="50">
        <v>29</v>
      </c>
      <c r="N97" s="50">
        <v>0</v>
      </c>
      <c r="O97" s="15">
        <f t="shared" si="35"/>
        <v>37</v>
      </c>
      <c r="P97" s="15">
        <f t="shared" si="36"/>
        <v>66</v>
      </c>
      <c r="R97" s="8"/>
      <c r="T97"/>
    </row>
    <row r="98" spans="2:20" ht="23.1" customHeight="1" x14ac:dyDescent="0.25">
      <c r="B98" s="46" t="s">
        <v>138</v>
      </c>
      <c r="C98" s="50">
        <v>14</v>
      </c>
      <c r="D98" s="50">
        <v>0</v>
      </c>
      <c r="E98" s="50">
        <v>1</v>
      </c>
      <c r="F98" s="50">
        <v>7</v>
      </c>
      <c r="G98" s="50">
        <v>1</v>
      </c>
      <c r="H98" s="50">
        <v>7</v>
      </c>
      <c r="I98" s="50">
        <v>2</v>
      </c>
      <c r="J98" s="50">
        <v>4</v>
      </c>
      <c r="K98" s="50">
        <v>2</v>
      </c>
      <c r="L98" s="50">
        <v>0</v>
      </c>
      <c r="M98" s="50">
        <v>26</v>
      </c>
      <c r="N98" s="50">
        <v>0</v>
      </c>
      <c r="O98" s="15">
        <f t="shared" si="35"/>
        <v>38</v>
      </c>
      <c r="P98" s="15">
        <f t="shared" si="36"/>
        <v>64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10</v>
      </c>
      <c r="G99" s="50">
        <v>0</v>
      </c>
      <c r="H99" s="50">
        <v>5</v>
      </c>
      <c r="I99" s="50">
        <v>3</v>
      </c>
      <c r="J99" s="50">
        <v>1</v>
      </c>
      <c r="K99" s="50">
        <v>1</v>
      </c>
      <c r="L99" s="50">
        <v>2</v>
      </c>
      <c r="M99" s="50">
        <v>26</v>
      </c>
      <c r="N99" s="50">
        <v>0</v>
      </c>
      <c r="O99" s="15">
        <f t="shared" si="35"/>
        <v>23</v>
      </c>
      <c r="P99" s="15">
        <f t="shared" si="36"/>
        <v>49</v>
      </c>
      <c r="R99" s="8"/>
      <c r="T99"/>
    </row>
    <row r="100" spans="2:20" ht="23.1" customHeight="1" x14ac:dyDescent="0.25">
      <c r="B100" s="47" t="s">
        <v>140</v>
      </c>
      <c r="C100" s="50">
        <v>3</v>
      </c>
      <c r="D100" s="50">
        <v>1</v>
      </c>
      <c r="E100" s="50">
        <v>1</v>
      </c>
      <c r="F100" s="50">
        <v>2</v>
      </c>
      <c r="G100" s="50">
        <v>0</v>
      </c>
      <c r="H100" s="50">
        <v>0</v>
      </c>
      <c r="I100" s="50">
        <v>1</v>
      </c>
      <c r="J100" s="50">
        <v>2</v>
      </c>
      <c r="K100" s="50">
        <v>0</v>
      </c>
      <c r="L100" s="50">
        <v>0</v>
      </c>
      <c r="M100" s="50">
        <v>12</v>
      </c>
      <c r="N100" s="50">
        <v>0</v>
      </c>
      <c r="O100" s="15">
        <f t="shared" si="35"/>
        <v>10</v>
      </c>
      <c r="P100" s="15">
        <f t="shared" si="36"/>
        <v>22</v>
      </c>
      <c r="R100" s="8"/>
      <c r="T100"/>
    </row>
    <row r="101" spans="2:20" ht="23.1" customHeight="1" x14ac:dyDescent="0.25">
      <c r="B101" s="45" t="s">
        <v>141</v>
      </c>
      <c r="C101" s="50">
        <v>7</v>
      </c>
      <c r="D101" s="50">
        <v>2</v>
      </c>
      <c r="E101" s="50">
        <v>1</v>
      </c>
      <c r="F101" s="50">
        <v>16</v>
      </c>
      <c r="G101" s="50">
        <v>1</v>
      </c>
      <c r="H101" s="50">
        <v>2</v>
      </c>
      <c r="I101" s="50">
        <v>0</v>
      </c>
      <c r="J101" s="50">
        <v>3</v>
      </c>
      <c r="K101" s="50">
        <v>3</v>
      </c>
      <c r="L101" s="50">
        <v>1</v>
      </c>
      <c r="M101" s="50">
        <v>15</v>
      </c>
      <c r="N101" s="50">
        <v>0</v>
      </c>
      <c r="O101" s="15">
        <f t="shared" si="35"/>
        <v>36</v>
      </c>
      <c r="P101" s="15">
        <f t="shared" si="36"/>
        <v>51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0</v>
      </c>
      <c r="E102" s="50">
        <v>5</v>
      </c>
      <c r="F102" s="50">
        <v>13</v>
      </c>
      <c r="G102" s="50">
        <v>0</v>
      </c>
      <c r="H102" s="50">
        <v>0</v>
      </c>
      <c r="I102" s="50">
        <v>0</v>
      </c>
      <c r="J102" s="50">
        <v>2</v>
      </c>
      <c r="K102" s="50">
        <v>1</v>
      </c>
      <c r="L102" s="50">
        <v>4</v>
      </c>
      <c r="M102" s="50">
        <v>26</v>
      </c>
      <c r="N102" s="50">
        <v>0</v>
      </c>
      <c r="O102" s="15">
        <f t="shared" si="35"/>
        <v>28</v>
      </c>
      <c r="P102" s="15">
        <f t="shared" si="36"/>
        <v>54</v>
      </c>
      <c r="R102" s="8"/>
      <c r="T102"/>
    </row>
    <row r="103" spans="2:20" ht="23.1" customHeight="1" x14ac:dyDescent="0.25">
      <c r="B103" s="45" t="s">
        <v>143</v>
      </c>
      <c r="C103" s="50">
        <v>4</v>
      </c>
      <c r="D103" s="50">
        <v>0</v>
      </c>
      <c r="E103" s="50">
        <v>2</v>
      </c>
      <c r="F103" s="50">
        <v>11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2</v>
      </c>
      <c r="M103" s="50">
        <v>41</v>
      </c>
      <c r="N103" s="50">
        <v>0</v>
      </c>
      <c r="O103" s="15">
        <f t="shared" si="35"/>
        <v>20</v>
      </c>
      <c r="P103" s="15">
        <f t="shared" si="36"/>
        <v>61</v>
      </c>
      <c r="R103" s="8"/>
      <c r="T103"/>
    </row>
    <row r="104" spans="2:20" ht="23.1" customHeight="1" x14ac:dyDescent="0.25">
      <c r="B104" s="47" t="s">
        <v>144</v>
      </c>
      <c r="C104" s="50">
        <v>14</v>
      </c>
      <c r="D104" s="50">
        <v>0</v>
      </c>
      <c r="E104" s="50">
        <v>2</v>
      </c>
      <c r="F104" s="50">
        <v>23</v>
      </c>
      <c r="G104" s="50">
        <v>1</v>
      </c>
      <c r="H104" s="50">
        <v>0</v>
      </c>
      <c r="I104" s="50">
        <v>5</v>
      </c>
      <c r="J104" s="50">
        <v>1</v>
      </c>
      <c r="K104" s="50">
        <v>3</v>
      </c>
      <c r="L104" s="50">
        <v>4</v>
      </c>
      <c r="M104" s="50">
        <v>32</v>
      </c>
      <c r="N104" s="50">
        <v>0</v>
      </c>
      <c r="O104" s="15">
        <f t="shared" si="35"/>
        <v>53</v>
      </c>
      <c r="P104" s="15">
        <f t="shared" si="36"/>
        <v>85</v>
      </c>
      <c r="R104" s="8"/>
      <c r="T104"/>
    </row>
    <row r="105" spans="2:20" ht="23.1" customHeight="1" x14ac:dyDescent="0.25">
      <c r="B105" s="45" t="s">
        <v>145</v>
      </c>
      <c r="C105" s="50">
        <v>23</v>
      </c>
      <c r="D105" s="50">
        <v>3</v>
      </c>
      <c r="E105" s="50">
        <v>2</v>
      </c>
      <c r="F105" s="50">
        <v>33</v>
      </c>
      <c r="G105" s="50">
        <v>4</v>
      </c>
      <c r="H105" s="50">
        <v>1</v>
      </c>
      <c r="I105" s="50">
        <v>7</v>
      </c>
      <c r="J105" s="50">
        <v>4</v>
      </c>
      <c r="K105" s="50">
        <v>2</v>
      </c>
      <c r="L105" s="50">
        <v>4</v>
      </c>
      <c r="M105" s="50">
        <v>42</v>
      </c>
      <c r="N105" s="50">
        <v>0</v>
      </c>
      <c r="O105" s="15">
        <f t="shared" si="35"/>
        <v>83</v>
      </c>
      <c r="P105" s="15">
        <f t="shared" si="36"/>
        <v>125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2656</v>
      </c>
      <c r="D106" s="16">
        <f t="shared" ref="D106:P106" si="37">SUM(D10:D105)</f>
        <v>473</v>
      </c>
      <c r="E106" s="16">
        <f t="shared" si="37"/>
        <v>406</v>
      </c>
      <c r="F106" s="16">
        <f t="shared" si="37"/>
        <v>2636</v>
      </c>
      <c r="G106" s="16">
        <f t="shared" si="37"/>
        <v>129</v>
      </c>
      <c r="H106" s="16">
        <f t="shared" si="37"/>
        <v>88</v>
      </c>
      <c r="I106" s="16">
        <f t="shared" si="37"/>
        <v>552</v>
      </c>
      <c r="J106" s="16">
        <f t="shared" si="37"/>
        <v>521</v>
      </c>
      <c r="K106" s="16">
        <f t="shared" si="37"/>
        <v>209</v>
      </c>
      <c r="L106" s="16">
        <f t="shared" si="37"/>
        <v>121</v>
      </c>
      <c r="M106" s="16">
        <f t="shared" si="37"/>
        <v>11993</v>
      </c>
      <c r="N106" s="16">
        <f t="shared" si="37"/>
        <v>1</v>
      </c>
      <c r="O106" s="16">
        <f t="shared" si="37"/>
        <v>7792</v>
      </c>
      <c r="P106" s="16">
        <f t="shared" si="37"/>
        <v>19785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0.13424311346980036</v>
      </c>
      <c r="D107" s="43">
        <f t="shared" si="38"/>
        <v>2.3907000252716703E-2</v>
      </c>
      <c r="E107" s="43">
        <f t="shared" si="38"/>
        <v>2.0520596411422794E-2</v>
      </c>
      <c r="F107" s="43">
        <f t="shared" si="38"/>
        <v>0.13323224665150366</v>
      </c>
      <c r="G107" s="43">
        <f t="shared" si="38"/>
        <v>6.5200909780136467E-3</v>
      </c>
      <c r="H107" s="43">
        <f t="shared" si="38"/>
        <v>4.4478140005054338E-3</v>
      </c>
      <c r="I107" s="43">
        <f t="shared" si="38"/>
        <v>2.7899924184988628E-2</v>
      </c>
      <c r="J107" s="43">
        <f t="shared" si="38"/>
        <v>2.633308061662876E-2</v>
      </c>
      <c r="K107" s="43">
        <f t="shared" si="38"/>
        <v>1.0563558251200405E-2</v>
      </c>
      <c r="L107" s="43">
        <f t="shared" si="38"/>
        <v>6.1157442506949711E-3</v>
      </c>
      <c r="M107" s="43">
        <f t="shared" si="38"/>
        <v>0.60616628759160984</v>
      </c>
      <c r="N107" s="43">
        <f t="shared" si="38"/>
        <v>5.0543340914834469E-5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0.34086242299794661</v>
      </c>
      <c r="D108" s="44">
        <f t="shared" ref="D108:N108" si="39">D106/$O$106</f>
        <v>6.070328542094456E-2</v>
      </c>
      <c r="E108" s="44">
        <f t="shared" si="39"/>
        <v>5.2104722792607805E-2</v>
      </c>
      <c r="F108" s="44">
        <f t="shared" si="39"/>
        <v>0.33829568788501024</v>
      </c>
      <c r="G108" s="44">
        <f t="shared" si="39"/>
        <v>1.6555441478439424E-2</v>
      </c>
      <c r="H108" s="44">
        <f t="shared" si="39"/>
        <v>1.1293634496919919E-2</v>
      </c>
      <c r="I108" s="44">
        <f t="shared" si="39"/>
        <v>7.0841889117043116E-2</v>
      </c>
      <c r="J108" s="44">
        <f t="shared" si="39"/>
        <v>6.6863449691991789E-2</v>
      </c>
      <c r="K108" s="44">
        <f t="shared" si="39"/>
        <v>2.6822381930184803E-2</v>
      </c>
      <c r="L108" s="44">
        <f t="shared" si="39"/>
        <v>1.5528747433264887E-2</v>
      </c>
      <c r="M108" s="44"/>
      <c r="N108" s="44">
        <f t="shared" si="39"/>
        <v>1.2833675564681725E-4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37" zoomScale="60" workbookViewId="0">
      <selection activeCell="G27" sqref="G2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Bwaise-Kawempe'!C3:G3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3" t="str">
        <f>'26.07 Kawempe-Bwaise-24h'!G5:H5</f>
        <v>Before Steel and Tube</v>
      </c>
      <c r="H5" s="64"/>
      <c r="I5" s="14"/>
      <c r="J5" s="2" t="s">
        <v>5</v>
      </c>
      <c r="K5" s="63" t="s">
        <v>182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Bwaise-Kawempe'!D6:E6</f>
        <v>Bwaise</v>
      </c>
      <c r="E6" s="64"/>
      <c r="F6" s="2" t="s">
        <v>2</v>
      </c>
      <c r="G6" s="63" t="str">
        <f>'22.07 Bwaise-Kawempe'!G6:H6</f>
        <v>Kawempe</v>
      </c>
      <c r="H6" s="64"/>
      <c r="J6" s="2" t="s">
        <v>21</v>
      </c>
      <c r="K6" s="63" t="str">
        <f>'26.07 Kawempe-Bwaise-24h'!K6:L6</f>
        <v>Salima &amp; Olaju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25</v>
      </c>
      <c r="D10" s="50">
        <v>7</v>
      </c>
      <c r="E10" s="50">
        <v>0</v>
      </c>
      <c r="F10" s="50">
        <v>34</v>
      </c>
      <c r="G10" s="50">
        <v>34</v>
      </c>
      <c r="H10" s="50">
        <v>1</v>
      </c>
      <c r="I10" s="50">
        <v>14</v>
      </c>
      <c r="J10" s="50">
        <v>4</v>
      </c>
      <c r="K10" s="50">
        <v>2</v>
      </c>
      <c r="L10" s="50">
        <v>3</v>
      </c>
      <c r="M10" s="50">
        <v>93</v>
      </c>
      <c r="N10" s="50">
        <v>0</v>
      </c>
      <c r="O10" s="15">
        <f t="shared" ref="O10:O73" si="0">SUM(C10:L10,N10)</f>
        <v>124</v>
      </c>
      <c r="P10" s="15">
        <f t="shared" ref="P10:P73" si="1">SUM(C10:N10)</f>
        <v>217</v>
      </c>
      <c r="R10" s="1" t="s">
        <v>6</v>
      </c>
      <c r="S10" s="17">
        <f t="shared" ref="S10:AF10" si="2">SUM(C10:C13)</f>
        <v>91</v>
      </c>
      <c r="T10" s="17">
        <f t="shared" si="2"/>
        <v>25</v>
      </c>
      <c r="U10" s="17">
        <f t="shared" si="2"/>
        <v>13</v>
      </c>
      <c r="V10" s="17">
        <f t="shared" si="2"/>
        <v>92</v>
      </c>
      <c r="W10" s="17">
        <f t="shared" si="2"/>
        <v>134</v>
      </c>
      <c r="X10" s="17">
        <f t="shared" si="2"/>
        <v>6</v>
      </c>
      <c r="Y10" s="17">
        <f t="shared" si="2"/>
        <v>32</v>
      </c>
      <c r="Z10" s="17">
        <f t="shared" si="2"/>
        <v>10</v>
      </c>
      <c r="AA10" s="17">
        <f t="shared" si="2"/>
        <v>4</v>
      </c>
      <c r="AB10" s="17">
        <f t="shared" si="2"/>
        <v>5</v>
      </c>
      <c r="AC10" s="17">
        <f t="shared" si="2"/>
        <v>319</v>
      </c>
      <c r="AD10" s="17">
        <f t="shared" si="2"/>
        <v>0</v>
      </c>
      <c r="AE10" s="31">
        <f t="shared" si="2"/>
        <v>412</v>
      </c>
      <c r="AF10" s="31">
        <f t="shared" si="2"/>
        <v>731</v>
      </c>
    </row>
    <row r="11" spans="2:32" s="6" customFormat="1" ht="23.1" customHeight="1" x14ac:dyDescent="0.25">
      <c r="B11" s="45" t="s">
        <v>38</v>
      </c>
      <c r="C11" s="50">
        <v>9</v>
      </c>
      <c r="D11" s="50">
        <v>3</v>
      </c>
      <c r="E11" s="50">
        <v>2</v>
      </c>
      <c r="F11" s="50">
        <v>24</v>
      </c>
      <c r="G11" s="50">
        <v>24</v>
      </c>
      <c r="H11" s="50">
        <v>5</v>
      </c>
      <c r="I11" s="50">
        <v>4</v>
      </c>
      <c r="J11" s="50">
        <v>2</v>
      </c>
      <c r="K11" s="50">
        <v>0</v>
      </c>
      <c r="L11" s="50">
        <v>0</v>
      </c>
      <c r="M11" s="50">
        <v>80</v>
      </c>
      <c r="N11" s="50">
        <v>0</v>
      </c>
      <c r="O11" s="15">
        <f t="shared" si="0"/>
        <v>73</v>
      </c>
      <c r="P11" s="15">
        <f t="shared" si="1"/>
        <v>153</v>
      </c>
      <c r="R11" s="1" t="s">
        <v>7</v>
      </c>
      <c r="S11" s="17">
        <f t="shared" ref="S11:AF11" si="3">SUM(C14:C17)</f>
        <v>62</v>
      </c>
      <c r="T11" s="17">
        <f t="shared" si="3"/>
        <v>22</v>
      </c>
      <c r="U11" s="17">
        <f t="shared" si="3"/>
        <v>7</v>
      </c>
      <c r="V11" s="17">
        <f t="shared" si="3"/>
        <v>126</v>
      </c>
      <c r="W11" s="17">
        <f t="shared" si="3"/>
        <v>10</v>
      </c>
      <c r="X11" s="17">
        <f t="shared" si="3"/>
        <v>5</v>
      </c>
      <c r="Y11" s="17">
        <f t="shared" si="3"/>
        <v>5</v>
      </c>
      <c r="Z11" s="17">
        <f t="shared" si="3"/>
        <v>23</v>
      </c>
      <c r="AA11" s="17">
        <f t="shared" si="3"/>
        <v>4</v>
      </c>
      <c r="AB11" s="17">
        <f t="shared" si="3"/>
        <v>4</v>
      </c>
      <c r="AC11" s="17">
        <f t="shared" si="3"/>
        <v>5</v>
      </c>
      <c r="AD11" s="17">
        <f t="shared" si="3"/>
        <v>0</v>
      </c>
      <c r="AE11" s="31">
        <f t="shared" si="3"/>
        <v>268</v>
      </c>
      <c r="AF11" s="31">
        <f t="shared" si="3"/>
        <v>273</v>
      </c>
    </row>
    <row r="12" spans="2:32" ht="23.1" customHeight="1" x14ac:dyDescent="0.25">
      <c r="B12" s="45" t="s">
        <v>39</v>
      </c>
      <c r="C12" s="50">
        <v>31</v>
      </c>
      <c r="D12" s="50">
        <v>3</v>
      </c>
      <c r="E12" s="50">
        <v>8</v>
      </c>
      <c r="F12" s="50">
        <v>34</v>
      </c>
      <c r="G12" s="50">
        <v>34</v>
      </c>
      <c r="H12" s="50">
        <v>0</v>
      </c>
      <c r="I12" s="50">
        <v>9</v>
      </c>
      <c r="J12" s="50">
        <v>1</v>
      </c>
      <c r="K12" s="50">
        <v>1</v>
      </c>
      <c r="L12" s="50">
        <v>1</v>
      </c>
      <c r="M12" s="50">
        <v>17</v>
      </c>
      <c r="N12" s="50">
        <v>0</v>
      </c>
      <c r="O12" s="15">
        <f t="shared" si="0"/>
        <v>122</v>
      </c>
      <c r="P12" s="15">
        <f t="shared" si="1"/>
        <v>139</v>
      </c>
      <c r="R12" s="1" t="s">
        <v>8</v>
      </c>
      <c r="S12" s="17">
        <f t="shared" ref="S12:AF12" si="4">SUM(C18:C21)</f>
        <v>131</v>
      </c>
      <c r="T12" s="17">
        <f t="shared" si="4"/>
        <v>23</v>
      </c>
      <c r="U12" s="17">
        <f t="shared" si="4"/>
        <v>129</v>
      </c>
      <c r="V12" s="17">
        <f t="shared" si="4"/>
        <v>6</v>
      </c>
      <c r="W12" s="17">
        <f t="shared" si="4"/>
        <v>0</v>
      </c>
      <c r="X12" s="17">
        <f t="shared" si="4"/>
        <v>17</v>
      </c>
      <c r="Y12" s="17">
        <f t="shared" si="4"/>
        <v>19</v>
      </c>
      <c r="Z12" s="17">
        <f t="shared" si="4"/>
        <v>12</v>
      </c>
      <c r="AA12" s="17">
        <f t="shared" si="4"/>
        <v>5</v>
      </c>
      <c r="AB12" s="17">
        <f t="shared" si="4"/>
        <v>6</v>
      </c>
      <c r="AC12" s="17">
        <f t="shared" si="4"/>
        <v>674</v>
      </c>
      <c r="AD12" s="17">
        <f t="shared" si="4"/>
        <v>0</v>
      </c>
      <c r="AE12" s="31">
        <f t="shared" si="4"/>
        <v>348</v>
      </c>
      <c r="AF12" s="31">
        <f t="shared" si="4"/>
        <v>1022</v>
      </c>
    </row>
    <row r="13" spans="2:32" ht="23.1" customHeight="1" x14ac:dyDescent="0.25">
      <c r="B13" s="45" t="s">
        <v>40</v>
      </c>
      <c r="C13" s="50">
        <v>26</v>
      </c>
      <c r="D13" s="50">
        <v>12</v>
      </c>
      <c r="E13" s="50">
        <v>3</v>
      </c>
      <c r="F13" s="50">
        <v>0</v>
      </c>
      <c r="G13" s="50">
        <v>42</v>
      </c>
      <c r="H13" s="50">
        <v>0</v>
      </c>
      <c r="I13" s="50">
        <v>5</v>
      </c>
      <c r="J13" s="50">
        <v>3</v>
      </c>
      <c r="K13" s="50">
        <v>1</v>
      </c>
      <c r="L13" s="50">
        <v>1</v>
      </c>
      <c r="M13" s="50">
        <v>129</v>
      </c>
      <c r="N13" s="50">
        <v>0</v>
      </c>
      <c r="O13" s="15">
        <f t="shared" si="0"/>
        <v>93</v>
      </c>
      <c r="P13" s="15">
        <f t="shared" si="1"/>
        <v>222</v>
      </c>
      <c r="R13" s="1" t="s">
        <v>9</v>
      </c>
      <c r="S13" s="17">
        <f t="shared" ref="S13:AF13" si="5">SUM(C22:C25)</f>
        <v>82</v>
      </c>
      <c r="T13" s="17">
        <f t="shared" si="5"/>
        <v>16</v>
      </c>
      <c r="U13" s="17">
        <f t="shared" si="5"/>
        <v>12</v>
      </c>
      <c r="V13" s="17">
        <f t="shared" si="5"/>
        <v>111</v>
      </c>
      <c r="W13" s="17">
        <f t="shared" si="5"/>
        <v>6</v>
      </c>
      <c r="X13" s="17">
        <f t="shared" si="5"/>
        <v>2</v>
      </c>
      <c r="Y13" s="17">
        <f t="shared" si="5"/>
        <v>44</v>
      </c>
      <c r="Z13" s="17">
        <f t="shared" si="5"/>
        <v>12</v>
      </c>
      <c r="AA13" s="17">
        <f t="shared" si="5"/>
        <v>2</v>
      </c>
      <c r="AB13" s="17">
        <f t="shared" si="5"/>
        <v>11</v>
      </c>
      <c r="AC13" s="17">
        <f t="shared" si="5"/>
        <v>714</v>
      </c>
      <c r="AD13" s="17">
        <f t="shared" si="5"/>
        <v>0</v>
      </c>
      <c r="AE13" s="31">
        <f t="shared" si="5"/>
        <v>298</v>
      </c>
      <c r="AF13" s="31">
        <f t="shared" si="5"/>
        <v>1012</v>
      </c>
    </row>
    <row r="14" spans="2:32" ht="23.1" customHeight="1" x14ac:dyDescent="0.25">
      <c r="B14" s="45" t="s">
        <v>41</v>
      </c>
      <c r="C14" s="50">
        <v>14</v>
      </c>
      <c r="D14" s="50">
        <v>3</v>
      </c>
      <c r="E14" s="50">
        <v>3</v>
      </c>
      <c r="F14" s="50">
        <v>28</v>
      </c>
      <c r="G14" s="50">
        <v>5</v>
      </c>
      <c r="H14" s="50">
        <v>2</v>
      </c>
      <c r="I14" s="50">
        <v>2</v>
      </c>
      <c r="J14" s="50">
        <v>7</v>
      </c>
      <c r="K14" s="50">
        <v>2</v>
      </c>
      <c r="L14" s="50">
        <v>2</v>
      </c>
      <c r="M14" s="50">
        <v>3</v>
      </c>
      <c r="N14" s="50">
        <v>0</v>
      </c>
      <c r="O14" s="15">
        <f t="shared" si="0"/>
        <v>68</v>
      </c>
      <c r="P14" s="15">
        <f t="shared" si="1"/>
        <v>71</v>
      </c>
      <c r="R14" s="1" t="s">
        <v>10</v>
      </c>
      <c r="S14" s="17">
        <f t="shared" ref="S14:AF14" si="6">SUM(C26:C29)</f>
        <v>131</v>
      </c>
      <c r="T14" s="17">
        <f t="shared" si="6"/>
        <v>34</v>
      </c>
      <c r="U14" s="17">
        <f t="shared" si="6"/>
        <v>16</v>
      </c>
      <c r="V14" s="17">
        <f t="shared" si="6"/>
        <v>128</v>
      </c>
      <c r="W14" s="17">
        <f t="shared" si="6"/>
        <v>5</v>
      </c>
      <c r="X14" s="17">
        <f t="shared" si="6"/>
        <v>2</v>
      </c>
      <c r="Y14" s="17">
        <f t="shared" si="6"/>
        <v>40</v>
      </c>
      <c r="Z14" s="17">
        <f t="shared" si="6"/>
        <v>10</v>
      </c>
      <c r="AA14" s="17">
        <f t="shared" si="6"/>
        <v>2</v>
      </c>
      <c r="AB14" s="17">
        <f t="shared" si="6"/>
        <v>6</v>
      </c>
      <c r="AC14" s="17">
        <f t="shared" si="6"/>
        <v>425</v>
      </c>
      <c r="AD14" s="17">
        <f t="shared" si="6"/>
        <v>0</v>
      </c>
      <c r="AE14" s="31">
        <f t="shared" si="6"/>
        <v>374</v>
      </c>
      <c r="AF14" s="31">
        <f t="shared" si="6"/>
        <v>799</v>
      </c>
    </row>
    <row r="15" spans="2:32" ht="23.1" customHeight="1" x14ac:dyDescent="0.25">
      <c r="B15" s="45" t="s">
        <v>42</v>
      </c>
      <c r="C15" s="50">
        <v>22</v>
      </c>
      <c r="D15" s="50">
        <v>5</v>
      </c>
      <c r="E15" s="50">
        <v>1</v>
      </c>
      <c r="F15" s="50">
        <v>37</v>
      </c>
      <c r="G15" s="50">
        <v>2</v>
      </c>
      <c r="H15" s="50">
        <v>1</v>
      </c>
      <c r="I15" s="50">
        <v>1</v>
      </c>
      <c r="J15" s="50">
        <v>11</v>
      </c>
      <c r="K15" s="50">
        <v>1</v>
      </c>
      <c r="L15" s="50">
        <v>1</v>
      </c>
      <c r="M15" s="50">
        <v>0</v>
      </c>
      <c r="N15" s="50">
        <v>0</v>
      </c>
      <c r="O15" s="15">
        <f t="shared" si="0"/>
        <v>82</v>
      </c>
      <c r="P15" s="15">
        <f t="shared" si="1"/>
        <v>82</v>
      </c>
      <c r="R15" s="1" t="s">
        <v>11</v>
      </c>
      <c r="S15" s="17">
        <f t="shared" ref="S15:AF15" si="7">SUM(C30:C33)</f>
        <v>152</v>
      </c>
      <c r="T15" s="17">
        <f t="shared" si="7"/>
        <v>14</v>
      </c>
      <c r="U15" s="17">
        <f t="shared" si="7"/>
        <v>18</v>
      </c>
      <c r="V15" s="17">
        <f t="shared" si="7"/>
        <v>113</v>
      </c>
      <c r="W15" s="17">
        <f t="shared" si="7"/>
        <v>4</v>
      </c>
      <c r="X15" s="17">
        <f t="shared" si="7"/>
        <v>2</v>
      </c>
      <c r="Y15" s="17">
        <f t="shared" si="7"/>
        <v>54</v>
      </c>
      <c r="Z15" s="17">
        <f t="shared" si="7"/>
        <v>4</v>
      </c>
      <c r="AA15" s="17">
        <f t="shared" si="7"/>
        <v>13</v>
      </c>
      <c r="AB15" s="17">
        <f t="shared" si="7"/>
        <v>4</v>
      </c>
      <c r="AC15" s="17">
        <f t="shared" si="7"/>
        <v>498</v>
      </c>
      <c r="AD15" s="17">
        <f t="shared" si="7"/>
        <v>0</v>
      </c>
      <c r="AE15" s="31">
        <f t="shared" si="7"/>
        <v>378</v>
      </c>
      <c r="AF15" s="31">
        <f t="shared" si="7"/>
        <v>876</v>
      </c>
    </row>
    <row r="16" spans="2:32" ht="23.1" customHeight="1" x14ac:dyDescent="0.25">
      <c r="B16" s="45" t="s">
        <v>43</v>
      </c>
      <c r="C16" s="50">
        <v>15</v>
      </c>
      <c r="D16" s="50">
        <v>4</v>
      </c>
      <c r="E16" s="50">
        <v>0</v>
      </c>
      <c r="F16" s="50">
        <v>30</v>
      </c>
      <c r="G16" s="50">
        <v>1</v>
      </c>
      <c r="H16" s="50">
        <v>0</v>
      </c>
      <c r="I16" s="50">
        <v>0</v>
      </c>
      <c r="J16" s="50">
        <v>5</v>
      </c>
      <c r="K16" s="50">
        <v>0</v>
      </c>
      <c r="L16" s="50">
        <v>0</v>
      </c>
      <c r="M16" s="50">
        <v>1</v>
      </c>
      <c r="N16" s="50">
        <v>0</v>
      </c>
      <c r="O16" s="15">
        <f t="shared" si="0"/>
        <v>55</v>
      </c>
      <c r="P16" s="15">
        <f t="shared" si="1"/>
        <v>56</v>
      </c>
      <c r="R16" s="1" t="s">
        <v>12</v>
      </c>
      <c r="S16" s="17">
        <f t="shared" ref="S16:AF16" si="8">SUM(C34:C37)</f>
        <v>124</v>
      </c>
      <c r="T16" s="17">
        <f t="shared" si="8"/>
        <v>21</v>
      </c>
      <c r="U16" s="17">
        <f t="shared" si="8"/>
        <v>25</v>
      </c>
      <c r="V16" s="17">
        <f t="shared" si="8"/>
        <v>109</v>
      </c>
      <c r="W16" s="17">
        <f t="shared" si="8"/>
        <v>5</v>
      </c>
      <c r="X16" s="17">
        <f t="shared" si="8"/>
        <v>2</v>
      </c>
      <c r="Y16" s="17">
        <f t="shared" si="8"/>
        <v>2</v>
      </c>
      <c r="Z16" s="17">
        <f t="shared" si="8"/>
        <v>45</v>
      </c>
      <c r="AA16" s="17">
        <f t="shared" si="8"/>
        <v>12</v>
      </c>
      <c r="AB16" s="17">
        <f t="shared" si="8"/>
        <v>5</v>
      </c>
      <c r="AC16" s="17">
        <f t="shared" si="8"/>
        <v>555</v>
      </c>
      <c r="AD16" s="17">
        <f t="shared" si="8"/>
        <v>0</v>
      </c>
      <c r="AE16" s="31">
        <f t="shared" si="8"/>
        <v>350</v>
      </c>
      <c r="AF16" s="31">
        <f t="shared" si="8"/>
        <v>905</v>
      </c>
    </row>
    <row r="17" spans="2:32" ht="23.1" customHeight="1" x14ac:dyDescent="0.25">
      <c r="B17" s="45" t="s">
        <v>44</v>
      </c>
      <c r="C17" s="50">
        <v>11</v>
      </c>
      <c r="D17" s="50">
        <v>10</v>
      </c>
      <c r="E17" s="50">
        <v>3</v>
      </c>
      <c r="F17" s="50">
        <v>31</v>
      </c>
      <c r="G17" s="50">
        <v>2</v>
      </c>
      <c r="H17" s="50">
        <v>2</v>
      </c>
      <c r="I17" s="50">
        <v>2</v>
      </c>
      <c r="J17" s="50">
        <v>0</v>
      </c>
      <c r="K17" s="50">
        <v>1</v>
      </c>
      <c r="L17" s="50">
        <v>1</v>
      </c>
      <c r="M17" s="50">
        <v>1</v>
      </c>
      <c r="N17" s="50">
        <v>0</v>
      </c>
      <c r="O17" s="15">
        <f t="shared" si="0"/>
        <v>63</v>
      </c>
      <c r="P17" s="15">
        <f t="shared" si="1"/>
        <v>64</v>
      </c>
      <c r="R17" s="1" t="s">
        <v>13</v>
      </c>
      <c r="S17" s="17">
        <f t="shared" ref="S17:AF17" si="9">SUM(C38:C41)</f>
        <v>110</v>
      </c>
      <c r="T17" s="17">
        <f t="shared" si="9"/>
        <v>23</v>
      </c>
      <c r="U17" s="17">
        <f t="shared" si="9"/>
        <v>20</v>
      </c>
      <c r="V17" s="17">
        <f t="shared" si="9"/>
        <v>108</v>
      </c>
      <c r="W17" s="17">
        <f t="shared" si="9"/>
        <v>9</v>
      </c>
      <c r="X17" s="17">
        <f t="shared" si="9"/>
        <v>2</v>
      </c>
      <c r="Y17" s="17">
        <f t="shared" si="9"/>
        <v>50</v>
      </c>
      <c r="Z17" s="17">
        <f t="shared" si="9"/>
        <v>18</v>
      </c>
      <c r="AA17" s="17">
        <f t="shared" si="9"/>
        <v>6</v>
      </c>
      <c r="AB17" s="17">
        <f t="shared" si="9"/>
        <v>11</v>
      </c>
      <c r="AC17" s="17">
        <f t="shared" si="9"/>
        <v>340</v>
      </c>
      <c r="AD17" s="17">
        <f t="shared" si="9"/>
        <v>0</v>
      </c>
      <c r="AE17" s="31">
        <f t="shared" si="9"/>
        <v>357</v>
      </c>
      <c r="AF17" s="31">
        <f t="shared" si="9"/>
        <v>697</v>
      </c>
    </row>
    <row r="18" spans="2:32" ht="23.1" customHeight="1" x14ac:dyDescent="0.25">
      <c r="B18" s="45" t="s">
        <v>45</v>
      </c>
      <c r="C18" s="50">
        <v>25</v>
      </c>
      <c r="D18" s="50">
        <v>3</v>
      </c>
      <c r="E18" s="50">
        <v>30</v>
      </c>
      <c r="F18" s="50">
        <v>0</v>
      </c>
      <c r="G18" s="50">
        <v>0</v>
      </c>
      <c r="H18" s="50">
        <v>2</v>
      </c>
      <c r="I18" s="50">
        <v>2</v>
      </c>
      <c r="J18" s="50">
        <v>1</v>
      </c>
      <c r="K18" s="50">
        <v>2</v>
      </c>
      <c r="L18" s="50">
        <v>1</v>
      </c>
      <c r="M18" s="50">
        <v>175</v>
      </c>
      <c r="N18" s="50">
        <v>0</v>
      </c>
      <c r="O18" s="15">
        <f t="shared" si="0"/>
        <v>66</v>
      </c>
      <c r="P18" s="15">
        <f t="shared" si="1"/>
        <v>241</v>
      </c>
      <c r="R18" s="1" t="s">
        <v>14</v>
      </c>
      <c r="S18" s="17">
        <f t="shared" ref="S18:AF18" si="10">SUM(C42:C45)</f>
        <v>85</v>
      </c>
      <c r="T18" s="17">
        <f t="shared" si="10"/>
        <v>15</v>
      </c>
      <c r="U18" s="17">
        <f t="shared" si="10"/>
        <v>17</v>
      </c>
      <c r="V18" s="17">
        <f t="shared" si="10"/>
        <v>79</v>
      </c>
      <c r="W18" s="17">
        <f t="shared" si="10"/>
        <v>5</v>
      </c>
      <c r="X18" s="17">
        <f t="shared" si="10"/>
        <v>1</v>
      </c>
      <c r="Y18" s="17">
        <f t="shared" si="10"/>
        <v>18</v>
      </c>
      <c r="Z18" s="17">
        <f t="shared" si="10"/>
        <v>6</v>
      </c>
      <c r="AA18" s="17">
        <f t="shared" si="10"/>
        <v>6</v>
      </c>
      <c r="AB18" s="17">
        <f t="shared" si="10"/>
        <v>11</v>
      </c>
      <c r="AC18" s="17">
        <f t="shared" si="10"/>
        <v>405</v>
      </c>
      <c r="AD18" s="17">
        <f t="shared" si="10"/>
        <v>0</v>
      </c>
      <c r="AE18" s="31">
        <f t="shared" si="10"/>
        <v>243</v>
      </c>
      <c r="AF18" s="31">
        <f t="shared" si="10"/>
        <v>648</v>
      </c>
    </row>
    <row r="19" spans="2:32" ht="23.1" customHeight="1" x14ac:dyDescent="0.25">
      <c r="B19" s="45" t="s">
        <v>46</v>
      </c>
      <c r="C19" s="50">
        <v>28</v>
      </c>
      <c r="D19" s="50">
        <v>6</v>
      </c>
      <c r="E19" s="50">
        <v>23</v>
      </c>
      <c r="F19" s="50">
        <v>1</v>
      </c>
      <c r="G19" s="50">
        <v>0</v>
      </c>
      <c r="H19" s="50">
        <v>2</v>
      </c>
      <c r="I19" s="50">
        <v>2</v>
      </c>
      <c r="J19" s="50">
        <v>3</v>
      </c>
      <c r="K19" s="50">
        <v>0</v>
      </c>
      <c r="L19" s="50">
        <v>1</v>
      </c>
      <c r="M19" s="50">
        <v>135</v>
      </c>
      <c r="N19" s="50">
        <v>0</v>
      </c>
      <c r="O19" s="15">
        <f t="shared" si="0"/>
        <v>66</v>
      </c>
      <c r="P19" s="15">
        <f t="shared" si="1"/>
        <v>201</v>
      </c>
      <c r="R19" s="1" t="s">
        <v>15</v>
      </c>
      <c r="S19" s="17">
        <f t="shared" ref="S19:AF19" si="11">SUM(C46:C49)</f>
        <v>146</v>
      </c>
      <c r="T19" s="17">
        <f t="shared" si="11"/>
        <v>24</v>
      </c>
      <c r="U19" s="17">
        <f t="shared" si="11"/>
        <v>16</v>
      </c>
      <c r="V19" s="17">
        <f t="shared" si="11"/>
        <v>124</v>
      </c>
      <c r="W19" s="17">
        <f t="shared" si="11"/>
        <v>8</v>
      </c>
      <c r="X19" s="17">
        <f t="shared" si="11"/>
        <v>2</v>
      </c>
      <c r="Y19" s="17">
        <f t="shared" si="11"/>
        <v>37</v>
      </c>
      <c r="Z19" s="17">
        <f t="shared" si="11"/>
        <v>9</v>
      </c>
      <c r="AA19" s="17">
        <f t="shared" si="11"/>
        <v>10</v>
      </c>
      <c r="AB19" s="17">
        <f t="shared" si="11"/>
        <v>8</v>
      </c>
      <c r="AC19" s="17">
        <f t="shared" si="11"/>
        <v>728</v>
      </c>
      <c r="AD19" s="17">
        <f t="shared" si="11"/>
        <v>0</v>
      </c>
      <c r="AE19" s="31">
        <f t="shared" si="11"/>
        <v>384</v>
      </c>
      <c r="AF19" s="31">
        <f t="shared" si="11"/>
        <v>1112</v>
      </c>
    </row>
    <row r="20" spans="2:32" ht="23.1" customHeight="1" x14ac:dyDescent="0.25">
      <c r="B20" s="45" t="s">
        <v>47</v>
      </c>
      <c r="C20" s="50">
        <v>39</v>
      </c>
      <c r="D20" s="50">
        <v>6</v>
      </c>
      <c r="E20" s="50">
        <v>48</v>
      </c>
      <c r="F20" s="50">
        <v>3</v>
      </c>
      <c r="G20" s="50">
        <v>0</v>
      </c>
      <c r="H20" s="50">
        <v>10</v>
      </c>
      <c r="I20" s="50">
        <v>10</v>
      </c>
      <c r="J20" s="50">
        <v>3</v>
      </c>
      <c r="K20" s="50">
        <v>3</v>
      </c>
      <c r="L20" s="50">
        <v>1</v>
      </c>
      <c r="M20" s="50">
        <v>245</v>
      </c>
      <c r="N20" s="50">
        <v>0</v>
      </c>
      <c r="O20" s="15">
        <f t="shared" si="0"/>
        <v>123</v>
      </c>
      <c r="P20" s="15">
        <f t="shared" si="1"/>
        <v>368</v>
      </c>
      <c r="R20" s="1" t="s">
        <v>16</v>
      </c>
      <c r="S20" s="17">
        <f t="shared" ref="S20:AF20" si="12">SUM(C50:C53)</f>
        <v>179</v>
      </c>
      <c r="T20" s="17">
        <f t="shared" si="12"/>
        <v>23</v>
      </c>
      <c r="U20" s="17">
        <f t="shared" si="12"/>
        <v>24</v>
      </c>
      <c r="V20" s="17">
        <f t="shared" si="12"/>
        <v>146</v>
      </c>
      <c r="W20" s="17">
        <f t="shared" si="12"/>
        <v>6</v>
      </c>
      <c r="X20" s="17">
        <f t="shared" si="12"/>
        <v>5</v>
      </c>
      <c r="Y20" s="17">
        <f t="shared" si="12"/>
        <v>53</v>
      </c>
      <c r="Z20" s="17">
        <f t="shared" si="12"/>
        <v>17</v>
      </c>
      <c r="AA20" s="17">
        <f t="shared" si="12"/>
        <v>7</v>
      </c>
      <c r="AB20" s="17">
        <f t="shared" si="12"/>
        <v>16</v>
      </c>
      <c r="AC20" s="17">
        <f t="shared" si="12"/>
        <v>586</v>
      </c>
      <c r="AD20" s="17">
        <f t="shared" si="12"/>
        <v>0</v>
      </c>
      <c r="AE20" s="31">
        <f t="shared" si="12"/>
        <v>476</v>
      </c>
      <c r="AF20" s="31">
        <f t="shared" si="12"/>
        <v>1062</v>
      </c>
    </row>
    <row r="21" spans="2:32" ht="23.1" customHeight="1" x14ac:dyDescent="0.25">
      <c r="B21" s="45" t="s">
        <v>48</v>
      </c>
      <c r="C21" s="50">
        <v>39</v>
      </c>
      <c r="D21" s="50">
        <v>8</v>
      </c>
      <c r="E21" s="50">
        <v>28</v>
      </c>
      <c r="F21" s="50">
        <v>2</v>
      </c>
      <c r="G21" s="50">
        <v>0</v>
      </c>
      <c r="H21" s="50">
        <v>3</v>
      </c>
      <c r="I21" s="50">
        <v>5</v>
      </c>
      <c r="J21" s="50">
        <v>5</v>
      </c>
      <c r="K21" s="50">
        <v>0</v>
      </c>
      <c r="L21" s="50">
        <v>3</v>
      </c>
      <c r="M21" s="50">
        <v>119</v>
      </c>
      <c r="N21" s="50">
        <v>0</v>
      </c>
      <c r="O21" s="15">
        <f t="shared" si="0"/>
        <v>93</v>
      </c>
      <c r="P21" s="15">
        <f t="shared" si="1"/>
        <v>212</v>
      </c>
      <c r="R21" s="36" t="s">
        <v>20</v>
      </c>
      <c r="S21" s="34">
        <f t="shared" ref="S21:AF21" si="13">SUM(C54:C57)</f>
        <v>113</v>
      </c>
      <c r="T21" s="17">
        <f t="shared" si="13"/>
        <v>11</v>
      </c>
      <c r="U21" s="17">
        <f t="shared" si="13"/>
        <v>13</v>
      </c>
      <c r="V21" s="17">
        <f t="shared" si="13"/>
        <v>98</v>
      </c>
      <c r="W21" s="17">
        <f t="shared" si="13"/>
        <v>5</v>
      </c>
      <c r="X21" s="17">
        <f t="shared" si="13"/>
        <v>1</v>
      </c>
      <c r="Y21" s="17">
        <f t="shared" si="13"/>
        <v>32</v>
      </c>
      <c r="Z21" s="17">
        <f t="shared" si="13"/>
        <v>9</v>
      </c>
      <c r="AA21" s="17">
        <f t="shared" si="13"/>
        <v>9</v>
      </c>
      <c r="AB21" s="17">
        <f t="shared" si="13"/>
        <v>7</v>
      </c>
      <c r="AC21" s="17">
        <f t="shared" si="13"/>
        <v>577</v>
      </c>
      <c r="AD21" s="17">
        <f t="shared" si="13"/>
        <v>0</v>
      </c>
      <c r="AE21" s="31">
        <f t="shared" si="13"/>
        <v>298</v>
      </c>
      <c r="AF21" s="31">
        <f t="shared" si="13"/>
        <v>875</v>
      </c>
    </row>
    <row r="22" spans="2:32" ht="23.1" customHeight="1" x14ac:dyDescent="0.25">
      <c r="B22" s="45" t="s">
        <v>49</v>
      </c>
      <c r="C22" s="50">
        <v>15</v>
      </c>
      <c r="D22" s="50">
        <v>2</v>
      </c>
      <c r="E22" s="50">
        <v>2</v>
      </c>
      <c r="F22" s="50">
        <v>15</v>
      </c>
      <c r="G22" s="50">
        <v>1</v>
      </c>
      <c r="H22" s="50">
        <v>1</v>
      </c>
      <c r="I22" s="50">
        <v>2</v>
      </c>
      <c r="J22" s="50">
        <v>1</v>
      </c>
      <c r="K22" s="50">
        <v>0</v>
      </c>
      <c r="L22" s="50">
        <v>2</v>
      </c>
      <c r="M22" s="50">
        <v>105</v>
      </c>
      <c r="N22" s="50">
        <v>0</v>
      </c>
      <c r="O22" s="15">
        <f t="shared" si="0"/>
        <v>41</v>
      </c>
      <c r="P22" s="15">
        <f t="shared" si="1"/>
        <v>146</v>
      </c>
      <c r="R22" s="36" t="s">
        <v>146</v>
      </c>
      <c r="S22" s="34">
        <f>SUM(C58:C61)</f>
        <v>71</v>
      </c>
      <c r="T22" s="34">
        <f t="shared" ref="T22:AF22" si="14">SUM(D58:D61)</f>
        <v>7</v>
      </c>
      <c r="U22" s="34">
        <f t="shared" si="14"/>
        <v>4</v>
      </c>
      <c r="V22" s="34">
        <f t="shared" si="14"/>
        <v>105</v>
      </c>
      <c r="W22" s="34">
        <f t="shared" si="14"/>
        <v>11</v>
      </c>
      <c r="X22" s="34">
        <f t="shared" si="14"/>
        <v>4</v>
      </c>
      <c r="Y22" s="34">
        <f t="shared" si="14"/>
        <v>14</v>
      </c>
      <c r="Z22" s="34">
        <f t="shared" si="14"/>
        <v>11</v>
      </c>
      <c r="AA22" s="34">
        <f t="shared" si="14"/>
        <v>11</v>
      </c>
      <c r="AB22" s="34">
        <f t="shared" si="14"/>
        <v>4</v>
      </c>
      <c r="AC22" s="34">
        <f t="shared" si="14"/>
        <v>553</v>
      </c>
      <c r="AD22" s="34">
        <f t="shared" si="14"/>
        <v>0</v>
      </c>
      <c r="AE22" s="31">
        <f t="shared" si="14"/>
        <v>242</v>
      </c>
      <c r="AF22" s="31">
        <f t="shared" si="14"/>
        <v>795</v>
      </c>
    </row>
    <row r="23" spans="2:32" ht="23.1" customHeight="1" x14ac:dyDescent="0.25">
      <c r="B23" s="45" t="s">
        <v>50</v>
      </c>
      <c r="C23" s="50">
        <v>14</v>
      </c>
      <c r="D23" s="50">
        <v>3</v>
      </c>
      <c r="E23" s="50">
        <v>6</v>
      </c>
      <c r="F23" s="50">
        <v>29</v>
      </c>
      <c r="G23" s="50">
        <v>4</v>
      </c>
      <c r="H23" s="50">
        <v>1</v>
      </c>
      <c r="I23" s="50">
        <v>19</v>
      </c>
      <c r="J23" s="50">
        <v>5</v>
      </c>
      <c r="K23" s="50">
        <v>1</v>
      </c>
      <c r="L23" s="50">
        <v>2</v>
      </c>
      <c r="M23" s="50">
        <v>180</v>
      </c>
      <c r="N23" s="50">
        <v>0</v>
      </c>
      <c r="O23" s="15">
        <f t="shared" si="0"/>
        <v>84</v>
      </c>
      <c r="P23" s="15">
        <f t="shared" si="1"/>
        <v>264</v>
      </c>
      <c r="R23" s="36" t="s">
        <v>147</v>
      </c>
      <c r="S23" s="34">
        <f>SUM(C62:C65)</f>
        <v>186</v>
      </c>
      <c r="T23" s="34">
        <f t="shared" ref="T23:AF23" si="15">SUM(D62:D65)</f>
        <v>5</v>
      </c>
      <c r="U23" s="34">
        <f t="shared" si="15"/>
        <v>10</v>
      </c>
      <c r="V23" s="34">
        <f t="shared" si="15"/>
        <v>89</v>
      </c>
      <c r="W23" s="34">
        <f t="shared" si="15"/>
        <v>2</v>
      </c>
      <c r="X23" s="34">
        <f t="shared" si="15"/>
        <v>2</v>
      </c>
      <c r="Y23" s="34">
        <f t="shared" si="15"/>
        <v>22</v>
      </c>
      <c r="Z23" s="34">
        <f t="shared" si="15"/>
        <v>20</v>
      </c>
      <c r="AA23" s="34">
        <f t="shared" si="15"/>
        <v>10</v>
      </c>
      <c r="AB23" s="34">
        <f t="shared" si="15"/>
        <v>6</v>
      </c>
      <c r="AC23" s="34">
        <f t="shared" si="15"/>
        <v>680</v>
      </c>
      <c r="AD23" s="34">
        <f t="shared" si="15"/>
        <v>0</v>
      </c>
      <c r="AE23" s="31">
        <f t="shared" si="15"/>
        <v>352</v>
      </c>
      <c r="AF23" s="31">
        <f t="shared" si="15"/>
        <v>1032</v>
      </c>
    </row>
    <row r="24" spans="2:32" ht="23.1" customHeight="1" x14ac:dyDescent="0.25">
      <c r="B24" s="45" t="s">
        <v>51</v>
      </c>
      <c r="C24" s="50">
        <v>30</v>
      </c>
      <c r="D24" s="50">
        <v>4</v>
      </c>
      <c r="E24" s="50">
        <v>3</v>
      </c>
      <c r="F24" s="50">
        <v>35</v>
      </c>
      <c r="G24" s="50">
        <v>1</v>
      </c>
      <c r="H24" s="50">
        <v>0</v>
      </c>
      <c r="I24" s="50">
        <v>23</v>
      </c>
      <c r="J24" s="50">
        <v>6</v>
      </c>
      <c r="K24" s="50">
        <v>0</v>
      </c>
      <c r="L24" s="50">
        <v>6</v>
      </c>
      <c r="M24" s="50">
        <v>244</v>
      </c>
      <c r="N24" s="50">
        <v>0</v>
      </c>
      <c r="O24" s="15">
        <f t="shared" si="0"/>
        <v>108</v>
      </c>
      <c r="P24" s="15">
        <f t="shared" si="1"/>
        <v>352</v>
      </c>
      <c r="R24" s="36" t="s">
        <v>148</v>
      </c>
      <c r="S24" s="34">
        <f>SUM(C66:C69)</f>
        <v>144</v>
      </c>
      <c r="T24" s="34">
        <f t="shared" ref="T24:AF24" si="16">SUM(D66:D69)</f>
        <v>3</v>
      </c>
      <c r="U24" s="34">
        <f t="shared" si="16"/>
        <v>14</v>
      </c>
      <c r="V24" s="34">
        <f t="shared" si="16"/>
        <v>94</v>
      </c>
      <c r="W24" s="34">
        <f t="shared" si="16"/>
        <v>4</v>
      </c>
      <c r="X24" s="34">
        <f t="shared" si="16"/>
        <v>1</v>
      </c>
      <c r="Y24" s="34">
        <f t="shared" si="16"/>
        <v>6</v>
      </c>
      <c r="Z24" s="34">
        <f t="shared" si="16"/>
        <v>14</v>
      </c>
      <c r="AA24" s="34">
        <f t="shared" si="16"/>
        <v>5</v>
      </c>
      <c r="AB24" s="34">
        <f t="shared" si="16"/>
        <v>3</v>
      </c>
      <c r="AC24" s="34">
        <f t="shared" si="16"/>
        <v>610</v>
      </c>
      <c r="AD24" s="34">
        <f t="shared" si="16"/>
        <v>0</v>
      </c>
      <c r="AE24" s="31">
        <f t="shared" si="16"/>
        <v>288</v>
      </c>
      <c r="AF24" s="31">
        <f t="shared" si="16"/>
        <v>898</v>
      </c>
    </row>
    <row r="25" spans="2:32" ht="23.1" customHeight="1" x14ac:dyDescent="0.25">
      <c r="B25" s="45" t="s">
        <v>52</v>
      </c>
      <c r="C25" s="50">
        <v>23</v>
      </c>
      <c r="D25" s="50">
        <v>7</v>
      </c>
      <c r="E25" s="50">
        <v>1</v>
      </c>
      <c r="F25" s="50">
        <v>32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1</v>
      </c>
      <c r="M25" s="50">
        <v>185</v>
      </c>
      <c r="N25" s="50">
        <v>0</v>
      </c>
      <c r="O25" s="15">
        <f t="shared" si="0"/>
        <v>65</v>
      </c>
      <c r="P25" s="15">
        <f t="shared" si="1"/>
        <v>250</v>
      </c>
      <c r="R25" s="36" t="s">
        <v>149</v>
      </c>
      <c r="S25" s="34">
        <f>SUM(C70:C73)</f>
        <v>182</v>
      </c>
      <c r="T25" s="34">
        <f t="shared" ref="T25:AF25" si="17">SUM(D70:D73)</f>
        <v>1</v>
      </c>
      <c r="U25" s="34">
        <f t="shared" si="17"/>
        <v>10</v>
      </c>
      <c r="V25" s="34">
        <f t="shared" si="17"/>
        <v>67</v>
      </c>
      <c r="W25" s="34">
        <f t="shared" si="17"/>
        <v>9</v>
      </c>
      <c r="X25" s="34">
        <f t="shared" si="17"/>
        <v>3</v>
      </c>
      <c r="Y25" s="34">
        <f t="shared" si="17"/>
        <v>15</v>
      </c>
      <c r="Z25" s="34">
        <f t="shared" si="17"/>
        <v>8</v>
      </c>
      <c r="AA25" s="34">
        <f t="shared" si="17"/>
        <v>13</v>
      </c>
      <c r="AB25" s="34">
        <f t="shared" si="17"/>
        <v>3</v>
      </c>
      <c r="AC25" s="34">
        <f t="shared" si="17"/>
        <v>440</v>
      </c>
      <c r="AD25" s="34">
        <f t="shared" si="17"/>
        <v>0</v>
      </c>
      <c r="AE25" s="31">
        <f t="shared" si="17"/>
        <v>311</v>
      </c>
      <c r="AF25" s="31">
        <f t="shared" si="17"/>
        <v>751</v>
      </c>
    </row>
    <row r="26" spans="2:32" ht="23.1" customHeight="1" x14ac:dyDescent="0.25">
      <c r="B26" s="45" t="s">
        <v>53</v>
      </c>
      <c r="C26" s="50">
        <v>36</v>
      </c>
      <c r="D26" s="50">
        <v>6</v>
      </c>
      <c r="E26" s="50">
        <v>2</v>
      </c>
      <c r="F26" s="50">
        <v>29</v>
      </c>
      <c r="G26" s="50">
        <v>3</v>
      </c>
      <c r="H26" s="50">
        <v>0</v>
      </c>
      <c r="I26" s="50">
        <v>10</v>
      </c>
      <c r="J26" s="50">
        <v>2</v>
      </c>
      <c r="K26" s="50">
        <v>1</v>
      </c>
      <c r="L26" s="50">
        <v>0</v>
      </c>
      <c r="M26" s="50">
        <v>120</v>
      </c>
      <c r="N26" s="50">
        <v>0</v>
      </c>
      <c r="O26" s="15">
        <f t="shared" si="0"/>
        <v>89</v>
      </c>
      <c r="P26" s="15">
        <f t="shared" si="1"/>
        <v>209</v>
      </c>
      <c r="R26" s="36" t="s">
        <v>150</v>
      </c>
      <c r="S26" s="34">
        <f>SUM(C74:C77)</f>
        <v>208</v>
      </c>
      <c r="T26" s="34">
        <f t="shared" ref="T26:AF26" si="18">SUM(D74:D77)</f>
        <v>5</v>
      </c>
      <c r="U26" s="34">
        <f t="shared" si="18"/>
        <v>3</v>
      </c>
      <c r="V26" s="34">
        <f t="shared" si="18"/>
        <v>76</v>
      </c>
      <c r="W26" s="34">
        <f t="shared" si="18"/>
        <v>5</v>
      </c>
      <c r="X26" s="34">
        <f t="shared" si="18"/>
        <v>9</v>
      </c>
      <c r="Y26" s="34">
        <f t="shared" si="18"/>
        <v>11</v>
      </c>
      <c r="Z26" s="34">
        <f t="shared" si="18"/>
        <v>18</v>
      </c>
      <c r="AA26" s="34">
        <f t="shared" si="18"/>
        <v>11</v>
      </c>
      <c r="AB26" s="34">
        <f t="shared" si="18"/>
        <v>1</v>
      </c>
      <c r="AC26" s="34">
        <f t="shared" si="18"/>
        <v>407</v>
      </c>
      <c r="AD26" s="34">
        <f t="shared" si="18"/>
        <v>0</v>
      </c>
      <c r="AE26" s="31">
        <f t="shared" si="18"/>
        <v>347</v>
      </c>
      <c r="AF26" s="31">
        <f t="shared" si="18"/>
        <v>754</v>
      </c>
    </row>
    <row r="27" spans="2:32" ht="23.1" customHeight="1" x14ac:dyDescent="0.25">
      <c r="B27" s="45" t="s">
        <v>54</v>
      </c>
      <c r="C27" s="50">
        <v>30</v>
      </c>
      <c r="D27" s="50">
        <v>13</v>
      </c>
      <c r="E27" s="50">
        <v>3</v>
      </c>
      <c r="F27" s="50">
        <v>28</v>
      </c>
      <c r="G27" s="50">
        <v>1</v>
      </c>
      <c r="H27" s="50">
        <v>1</v>
      </c>
      <c r="I27" s="50">
        <v>13</v>
      </c>
      <c r="J27" s="50">
        <v>4</v>
      </c>
      <c r="K27" s="50">
        <v>0</v>
      </c>
      <c r="L27" s="50">
        <v>2</v>
      </c>
      <c r="M27" s="50">
        <v>164</v>
      </c>
      <c r="N27" s="50">
        <v>0</v>
      </c>
      <c r="O27" s="15">
        <f t="shared" si="0"/>
        <v>95</v>
      </c>
      <c r="P27" s="15">
        <f t="shared" si="1"/>
        <v>259</v>
      </c>
      <c r="R27" s="36" t="s">
        <v>151</v>
      </c>
      <c r="S27" s="34">
        <f>SUM(C78:C81)</f>
        <v>39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24</v>
      </c>
      <c r="W27" s="34">
        <f t="shared" si="19"/>
        <v>0</v>
      </c>
      <c r="X27" s="34">
        <f t="shared" si="19"/>
        <v>2</v>
      </c>
      <c r="Y27" s="34">
        <f t="shared" si="19"/>
        <v>2</v>
      </c>
      <c r="Z27" s="34">
        <f t="shared" si="19"/>
        <v>5</v>
      </c>
      <c r="AA27" s="34">
        <f t="shared" si="19"/>
        <v>3</v>
      </c>
      <c r="AB27" s="34">
        <f t="shared" si="19"/>
        <v>0</v>
      </c>
      <c r="AC27" s="34">
        <f t="shared" si="19"/>
        <v>76</v>
      </c>
      <c r="AD27" s="34">
        <f t="shared" si="19"/>
        <v>0</v>
      </c>
      <c r="AE27" s="31">
        <f t="shared" si="19"/>
        <v>75</v>
      </c>
      <c r="AF27" s="31">
        <f t="shared" si="19"/>
        <v>151</v>
      </c>
    </row>
    <row r="28" spans="2:32" ht="23.1" customHeight="1" x14ac:dyDescent="0.25">
      <c r="B28" s="45" t="s">
        <v>55</v>
      </c>
      <c r="C28" s="50">
        <v>34</v>
      </c>
      <c r="D28" s="50">
        <v>9</v>
      </c>
      <c r="E28" s="50">
        <v>6</v>
      </c>
      <c r="F28" s="50">
        <v>36</v>
      </c>
      <c r="G28" s="50">
        <v>0</v>
      </c>
      <c r="H28" s="50">
        <v>0</v>
      </c>
      <c r="I28" s="50">
        <v>12</v>
      </c>
      <c r="J28" s="50">
        <v>1</v>
      </c>
      <c r="K28" s="50">
        <v>0</v>
      </c>
      <c r="L28" s="50">
        <v>4</v>
      </c>
      <c r="M28" s="50">
        <v>125</v>
      </c>
      <c r="N28" s="50">
        <v>0</v>
      </c>
      <c r="O28" s="15">
        <f t="shared" si="0"/>
        <v>102</v>
      </c>
      <c r="P28" s="15">
        <f t="shared" si="1"/>
        <v>227</v>
      </c>
      <c r="R28" s="36" t="s">
        <v>152</v>
      </c>
      <c r="S28" s="34">
        <f>SUM(C82:C85)</f>
        <v>61</v>
      </c>
      <c r="T28" s="34">
        <f t="shared" ref="T28:AF28" si="20">SUM(D82:D85)</f>
        <v>0</v>
      </c>
      <c r="U28" s="34">
        <f t="shared" si="20"/>
        <v>3</v>
      </c>
      <c r="V28" s="34">
        <f t="shared" si="20"/>
        <v>14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11</v>
      </c>
      <c r="AA28" s="34">
        <f t="shared" si="20"/>
        <v>21</v>
      </c>
      <c r="AB28" s="34">
        <f t="shared" si="20"/>
        <v>3</v>
      </c>
      <c r="AC28" s="34">
        <f t="shared" si="20"/>
        <v>179</v>
      </c>
      <c r="AD28" s="34">
        <f t="shared" si="20"/>
        <v>0</v>
      </c>
      <c r="AE28" s="31">
        <f t="shared" si="20"/>
        <v>114</v>
      </c>
      <c r="AF28" s="31">
        <f t="shared" si="20"/>
        <v>293</v>
      </c>
    </row>
    <row r="29" spans="2:32" ht="23.1" customHeight="1" x14ac:dyDescent="0.25">
      <c r="B29" s="45" t="s">
        <v>56</v>
      </c>
      <c r="C29" s="50">
        <v>31</v>
      </c>
      <c r="D29" s="50">
        <v>6</v>
      </c>
      <c r="E29" s="50">
        <v>5</v>
      </c>
      <c r="F29" s="50">
        <v>35</v>
      </c>
      <c r="G29" s="50">
        <v>1</v>
      </c>
      <c r="H29" s="50">
        <v>1</v>
      </c>
      <c r="I29" s="50">
        <v>5</v>
      </c>
      <c r="J29" s="50">
        <v>3</v>
      </c>
      <c r="K29" s="50">
        <v>1</v>
      </c>
      <c r="L29" s="50">
        <v>0</v>
      </c>
      <c r="M29" s="50">
        <v>16</v>
      </c>
      <c r="N29" s="50">
        <v>0</v>
      </c>
      <c r="O29" s="15">
        <f t="shared" si="0"/>
        <v>88</v>
      </c>
      <c r="P29" s="15">
        <f t="shared" si="1"/>
        <v>104</v>
      </c>
      <c r="R29" s="36" t="s">
        <v>153</v>
      </c>
      <c r="S29" s="34">
        <f>SUM(C86:C89)</f>
        <v>48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2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9</v>
      </c>
      <c r="AA29" s="34">
        <f t="shared" si="21"/>
        <v>10</v>
      </c>
      <c r="AB29" s="34">
        <f t="shared" si="21"/>
        <v>1</v>
      </c>
      <c r="AC29" s="34">
        <f t="shared" si="21"/>
        <v>124</v>
      </c>
      <c r="AD29" s="34">
        <f t="shared" si="21"/>
        <v>0</v>
      </c>
      <c r="AE29" s="31">
        <f t="shared" si="21"/>
        <v>74</v>
      </c>
      <c r="AF29" s="31">
        <f t="shared" si="21"/>
        <v>198</v>
      </c>
    </row>
    <row r="30" spans="2:32" ht="23.1" customHeight="1" x14ac:dyDescent="0.25">
      <c r="B30" s="45" t="s">
        <v>57</v>
      </c>
      <c r="C30" s="50">
        <v>53</v>
      </c>
      <c r="D30" s="50">
        <v>2</v>
      </c>
      <c r="E30" s="50">
        <v>6</v>
      </c>
      <c r="F30" s="50">
        <v>28</v>
      </c>
      <c r="G30" s="50">
        <v>1</v>
      </c>
      <c r="H30" s="50">
        <v>0</v>
      </c>
      <c r="I30" s="50">
        <v>10</v>
      </c>
      <c r="J30" s="50">
        <v>3</v>
      </c>
      <c r="K30" s="50">
        <v>2</v>
      </c>
      <c r="L30" s="50">
        <v>3</v>
      </c>
      <c r="M30" s="50">
        <v>123</v>
      </c>
      <c r="N30" s="50">
        <v>0</v>
      </c>
      <c r="O30" s="15">
        <f t="shared" si="0"/>
        <v>108</v>
      </c>
      <c r="P30" s="15">
        <f t="shared" si="1"/>
        <v>231</v>
      </c>
      <c r="R30" s="36" t="s">
        <v>154</v>
      </c>
      <c r="S30" s="34">
        <f>SUM(C90:C93)</f>
        <v>35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3</v>
      </c>
      <c r="W30" s="34">
        <f t="shared" si="22"/>
        <v>1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11</v>
      </c>
      <c r="AB30" s="34">
        <f t="shared" si="22"/>
        <v>1</v>
      </c>
      <c r="AC30" s="34">
        <f t="shared" si="22"/>
        <v>98</v>
      </c>
      <c r="AD30" s="34">
        <f t="shared" si="22"/>
        <v>0</v>
      </c>
      <c r="AE30" s="31">
        <f t="shared" si="22"/>
        <v>53</v>
      </c>
      <c r="AF30" s="31">
        <f t="shared" si="22"/>
        <v>151</v>
      </c>
    </row>
    <row r="31" spans="2:32" ht="23.1" customHeight="1" x14ac:dyDescent="0.25">
      <c r="B31" s="46" t="s">
        <v>58</v>
      </c>
      <c r="C31" s="50">
        <v>65</v>
      </c>
      <c r="D31" s="50">
        <v>3</v>
      </c>
      <c r="E31" s="50">
        <v>7</v>
      </c>
      <c r="F31" s="50">
        <v>56</v>
      </c>
      <c r="G31" s="50">
        <v>2</v>
      </c>
      <c r="H31" s="50">
        <v>2</v>
      </c>
      <c r="I31" s="50">
        <v>32</v>
      </c>
      <c r="J31" s="50">
        <v>1</v>
      </c>
      <c r="K31" s="50">
        <v>5</v>
      </c>
      <c r="L31" s="50">
        <v>1</v>
      </c>
      <c r="M31" s="50">
        <v>210</v>
      </c>
      <c r="N31" s="50">
        <v>0</v>
      </c>
      <c r="O31" s="15">
        <f t="shared" si="0"/>
        <v>174</v>
      </c>
      <c r="P31" s="15">
        <f t="shared" si="1"/>
        <v>384</v>
      </c>
      <c r="R31" s="36" t="s">
        <v>155</v>
      </c>
      <c r="S31" s="34">
        <f>SUM(C94:C97)</f>
        <v>26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7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6</v>
      </c>
      <c r="AA31" s="34">
        <f t="shared" si="23"/>
        <v>11</v>
      </c>
      <c r="AB31" s="34">
        <f t="shared" si="23"/>
        <v>0</v>
      </c>
      <c r="AC31" s="34">
        <f t="shared" si="23"/>
        <v>60</v>
      </c>
      <c r="AD31" s="34">
        <f t="shared" si="23"/>
        <v>0</v>
      </c>
      <c r="AE31" s="31">
        <f t="shared" si="23"/>
        <v>55</v>
      </c>
      <c r="AF31" s="31">
        <f t="shared" si="23"/>
        <v>115</v>
      </c>
    </row>
    <row r="32" spans="2:32" ht="23.1" customHeight="1" x14ac:dyDescent="0.25">
      <c r="B32" s="46" t="s">
        <v>59</v>
      </c>
      <c r="C32" s="50">
        <v>12</v>
      </c>
      <c r="D32" s="50">
        <v>1</v>
      </c>
      <c r="E32" s="50">
        <v>3</v>
      </c>
      <c r="F32" s="50">
        <v>7</v>
      </c>
      <c r="G32" s="50">
        <v>0</v>
      </c>
      <c r="H32" s="50">
        <v>0</v>
      </c>
      <c r="I32" s="50">
        <v>6</v>
      </c>
      <c r="J32" s="50">
        <v>0</v>
      </c>
      <c r="K32" s="50">
        <v>2</v>
      </c>
      <c r="L32" s="50">
        <v>0</v>
      </c>
      <c r="M32" s="50">
        <v>30</v>
      </c>
      <c r="N32" s="50">
        <v>0</v>
      </c>
      <c r="O32" s="15">
        <f t="shared" si="0"/>
        <v>31</v>
      </c>
      <c r="P32" s="15">
        <f t="shared" si="1"/>
        <v>61</v>
      </c>
      <c r="R32" s="33" t="s">
        <v>156</v>
      </c>
      <c r="S32" s="34">
        <f>SUM(C98:C101)</f>
        <v>36</v>
      </c>
      <c r="T32" s="34">
        <f t="shared" ref="T32:AF32" si="24">SUM(D98:D101)</f>
        <v>8</v>
      </c>
      <c r="U32" s="34">
        <f t="shared" si="24"/>
        <v>2</v>
      </c>
      <c r="V32" s="34">
        <f t="shared" si="24"/>
        <v>17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10</v>
      </c>
      <c r="AA32" s="34">
        <f t="shared" si="24"/>
        <v>13</v>
      </c>
      <c r="AB32" s="34">
        <f t="shared" si="24"/>
        <v>4</v>
      </c>
      <c r="AC32" s="34">
        <f t="shared" si="24"/>
        <v>82</v>
      </c>
      <c r="AD32" s="34">
        <f t="shared" si="24"/>
        <v>0</v>
      </c>
      <c r="AE32" s="31">
        <f t="shared" si="24"/>
        <v>94</v>
      </c>
      <c r="AF32" s="31">
        <f t="shared" si="24"/>
        <v>176</v>
      </c>
    </row>
    <row r="33" spans="2:32" ht="23.1" customHeight="1" x14ac:dyDescent="0.25">
      <c r="B33" s="45" t="s">
        <v>60</v>
      </c>
      <c r="C33" s="50">
        <v>22</v>
      </c>
      <c r="D33" s="50">
        <v>8</v>
      </c>
      <c r="E33" s="50">
        <v>2</v>
      </c>
      <c r="F33" s="50">
        <v>22</v>
      </c>
      <c r="G33" s="50">
        <v>1</v>
      </c>
      <c r="H33" s="50">
        <v>0</v>
      </c>
      <c r="I33" s="50">
        <v>6</v>
      </c>
      <c r="J33" s="50">
        <v>0</v>
      </c>
      <c r="K33" s="50">
        <v>4</v>
      </c>
      <c r="L33" s="50">
        <v>0</v>
      </c>
      <c r="M33" s="50">
        <v>135</v>
      </c>
      <c r="N33" s="50">
        <v>0</v>
      </c>
      <c r="O33" s="15">
        <f t="shared" si="0"/>
        <v>65</v>
      </c>
      <c r="P33" s="15">
        <f t="shared" si="1"/>
        <v>200</v>
      </c>
      <c r="R33" s="33" t="s">
        <v>157</v>
      </c>
      <c r="S33" s="34">
        <f>SUM(C102:C105)</f>
        <v>42</v>
      </c>
      <c r="T33" s="34">
        <f t="shared" ref="T33:AF33" si="25">SUM(D102:D105)</f>
        <v>0</v>
      </c>
      <c r="U33" s="34">
        <f t="shared" si="25"/>
        <v>5</v>
      </c>
      <c r="V33" s="34">
        <f t="shared" si="25"/>
        <v>41</v>
      </c>
      <c r="W33" s="34">
        <f t="shared" si="25"/>
        <v>1</v>
      </c>
      <c r="X33" s="34">
        <f t="shared" si="25"/>
        <v>1</v>
      </c>
      <c r="Y33" s="34">
        <f t="shared" si="25"/>
        <v>6</v>
      </c>
      <c r="Z33" s="34">
        <f t="shared" si="25"/>
        <v>16</v>
      </c>
      <c r="AA33" s="34">
        <f t="shared" si="25"/>
        <v>13</v>
      </c>
      <c r="AB33" s="34">
        <f t="shared" si="25"/>
        <v>9</v>
      </c>
      <c r="AC33" s="34">
        <f t="shared" si="25"/>
        <v>164</v>
      </c>
      <c r="AD33" s="34">
        <f t="shared" si="25"/>
        <v>0</v>
      </c>
      <c r="AE33" s="31">
        <f t="shared" si="25"/>
        <v>134</v>
      </c>
      <c r="AF33" s="31">
        <f t="shared" si="25"/>
        <v>298</v>
      </c>
    </row>
    <row r="34" spans="2:32" ht="23.1" customHeight="1" x14ac:dyDescent="0.25">
      <c r="B34" s="46" t="s">
        <v>61</v>
      </c>
      <c r="C34" s="50">
        <v>21</v>
      </c>
      <c r="D34" s="50">
        <v>8</v>
      </c>
      <c r="E34" s="50">
        <v>7</v>
      </c>
      <c r="F34" s="50">
        <v>27</v>
      </c>
      <c r="G34" s="50">
        <v>0</v>
      </c>
      <c r="H34" s="50">
        <v>0</v>
      </c>
      <c r="I34" s="50">
        <v>0</v>
      </c>
      <c r="J34" s="50">
        <v>1</v>
      </c>
      <c r="K34" s="50">
        <v>3</v>
      </c>
      <c r="L34" s="50">
        <v>0</v>
      </c>
      <c r="M34" s="50">
        <v>160</v>
      </c>
      <c r="N34" s="50">
        <v>0</v>
      </c>
      <c r="O34" s="15">
        <f t="shared" si="0"/>
        <v>67</v>
      </c>
      <c r="P34" s="15">
        <f t="shared" si="1"/>
        <v>227</v>
      </c>
      <c r="R34" s="38" t="s">
        <v>90</v>
      </c>
      <c r="S34" s="39">
        <f t="shared" ref="S34:AF34" si="26">MAX(S10:S12)</f>
        <v>131</v>
      </c>
      <c r="T34" s="39">
        <f t="shared" si="26"/>
        <v>25</v>
      </c>
      <c r="U34" s="39">
        <f t="shared" si="26"/>
        <v>129</v>
      </c>
      <c r="V34" s="39">
        <f t="shared" si="26"/>
        <v>126</v>
      </c>
      <c r="W34" s="39">
        <f t="shared" si="26"/>
        <v>134</v>
      </c>
      <c r="X34" s="39">
        <f t="shared" si="26"/>
        <v>17</v>
      </c>
      <c r="Y34" s="39">
        <f t="shared" si="26"/>
        <v>32</v>
      </c>
      <c r="Z34" s="39">
        <f t="shared" si="26"/>
        <v>23</v>
      </c>
      <c r="AA34" s="39">
        <f t="shared" si="26"/>
        <v>5</v>
      </c>
      <c r="AB34" s="39">
        <f t="shared" si="26"/>
        <v>6</v>
      </c>
      <c r="AC34" s="39">
        <f t="shared" si="26"/>
        <v>674</v>
      </c>
      <c r="AD34" s="39">
        <f t="shared" si="26"/>
        <v>0</v>
      </c>
      <c r="AE34" s="40">
        <f t="shared" si="26"/>
        <v>412</v>
      </c>
      <c r="AF34" s="40">
        <f t="shared" si="26"/>
        <v>1022</v>
      </c>
    </row>
    <row r="35" spans="2:32" ht="23.1" customHeight="1" x14ac:dyDescent="0.25">
      <c r="B35" s="46" t="s">
        <v>62</v>
      </c>
      <c r="C35" s="50">
        <v>41</v>
      </c>
      <c r="D35" s="50">
        <v>4</v>
      </c>
      <c r="E35" s="50">
        <v>8</v>
      </c>
      <c r="F35" s="50">
        <v>30</v>
      </c>
      <c r="G35" s="50">
        <v>1</v>
      </c>
      <c r="H35" s="50">
        <v>0</v>
      </c>
      <c r="I35" s="50">
        <v>0</v>
      </c>
      <c r="J35" s="50">
        <v>12</v>
      </c>
      <c r="K35" s="50">
        <v>2</v>
      </c>
      <c r="L35" s="50">
        <v>3</v>
      </c>
      <c r="M35" s="50">
        <v>195</v>
      </c>
      <c r="N35" s="50">
        <v>0</v>
      </c>
      <c r="O35" s="15">
        <f t="shared" si="0"/>
        <v>101</v>
      </c>
      <c r="P35" s="15">
        <f t="shared" si="1"/>
        <v>296</v>
      </c>
      <c r="R35" s="38" t="s">
        <v>91</v>
      </c>
      <c r="S35" s="39">
        <f t="shared" ref="S35:AF35" si="27">MAX(S13:S18)</f>
        <v>152</v>
      </c>
      <c r="T35" s="39">
        <f t="shared" si="27"/>
        <v>34</v>
      </c>
      <c r="U35" s="39">
        <f t="shared" si="27"/>
        <v>25</v>
      </c>
      <c r="V35" s="39">
        <f t="shared" si="27"/>
        <v>128</v>
      </c>
      <c r="W35" s="39">
        <f t="shared" si="27"/>
        <v>9</v>
      </c>
      <c r="X35" s="39">
        <f t="shared" si="27"/>
        <v>2</v>
      </c>
      <c r="Y35" s="39">
        <f t="shared" si="27"/>
        <v>54</v>
      </c>
      <c r="Z35" s="39">
        <f t="shared" si="27"/>
        <v>45</v>
      </c>
      <c r="AA35" s="39">
        <f t="shared" si="27"/>
        <v>13</v>
      </c>
      <c r="AB35" s="39">
        <f t="shared" si="27"/>
        <v>11</v>
      </c>
      <c r="AC35" s="39">
        <f t="shared" si="27"/>
        <v>714</v>
      </c>
      <c r="AD35" s="39">
        <f t="shared" si="27"/>
        <v>0</v>
      </c>
      <c r="AE35" s="40">
        <f t="shared" si="27"/>
        <v>378</v>
      </c>
      <c r="AF35" s="40">
        <f t="shared" si="27"/>
        <v>1012</v>
      </c>
    </row>
    <row r="36" spans="2:32" ht="23.1" customHeight="1" x14ac:dyDescent="0.25">
      <c r="B36" s="46" t="s">
        <v>63</v>
      </c>
      <c r="C36" s="50">
        <v>35</v>
      </c>
      <c r="D36" s="50">
        <v>6</v>
      </c>
      <c r="E36" s="50">
        <v>3</v>
      </c>
      <c r="F36" s="50">
        <v>26</v>
      </c>
      <c r="G36" s="50">
        <v>1</v>
      </c>
      <c r="H36" s="50">
        <v>0</v>
      </c>
      <c r="I36" s="50">
        <v>0</v>
      </c>
      <c r="J36" s="50">
        <v>26</v>
      </c>
      <c r="K36" s="50">
        <v>6</v>
      </c>
      <c r="L36" s="50">
        <v>2</v>
      </c>
      <c r="M36" s="50">
        <v>95</v>
      </c>
      <c r="N36" s="50">
        <v>0</v>
      </c>
      <c r="O36" s="15">
        <f t="shared" si="0"/>
        <v>105</v>
      </c>
      <c r="P36" s="15">
        <f t="shared" si="1"/>
        <v>200</v>
      </c>
      <c r="R36" s="38" t="s">
        <v>92</v>
      </c>
      <c r="S36" s="39">
        <f t="shared" ref="S36:AF36" si="28">MAX(S19:S21)</f>
        <v>179</v>
      </c>
      <c r="T36" s="39">
        <f t="shared" si="28"/>
        <v>24</v>
      </c>
      <c r="U36" s="39">
        <f t="shared" si="28"/>
        <v>24</v>
      </c>
      <c r="V36" s="39">
        <f t="shared" si="28"/>
        <v>146</v>
      </c>
      <c r="W36" s="39">
        <f t="shared" si="28"/>
        <v>8</v>
      </c>
      <c r="X36" s="39">
        <f t="shared" si="28"/>
        <v>5</v>
      </c>
      <c r="Y36" s="39">
        <f t="shared" si="28"/>
        <v>53</v>
      </c>
      <c r="Z36" s="39">
        <f t="shared" si="28"/>
        <v>17</v>
      </c>
      <c r="AA36" s="39">
        <f t="shared" si="28"/>
        <v>10</v>
      </c>
      <c r="AB36" s="39">
        <f t="shared" si="28"/>
        <v>16</v>
      </c>
      <c r="AC36" s="39">
        <f t="shared" si="28"/>
        <v>728</v>
      </c>
      <c r="AD36" s="39">
        <f t="shared" si="28"/>
        <v>0</v>
      </c>
      <c r="AE36" s="40">
        <f t="shared" si="28"/>
        <v>476</v>
      </c>
      <c r="AF36" s="40">
        <f t="shared" si="28"/>
        <v>1112</v>
      </c>
    </row>
    <row r="37" spans="2:32" ht="23.1" customHeight="1" x14ac:dyDescent="0.25">
      <c r="B37" s="45" t="s">
        <v>64</v>
      </c>
      <c r="C37" s="50">
        <v>27</v>
      </c>
      <c r="D37" s="50">
        <v>3</v>
      </c>
      <c r="E37" s="50">
        <v>7</v>
      </c>
      <c r="F37" s="50">
        <v>26</v>
      </c>
      <c r="G37" s="50">
        <v>3</v>
      </c>
      <c r="H37" s="50">
        <v>2</v>
      </c>
      <c r="I37" s="50">
        <v>2</v>
      </c>
      <c r="J37" s="50">
        <v>6</v>
      </c>
      <c r="K37" s="50">
        <v>1</v>
      </c>
      <c r="L37" s="50">
        <v>0</v>
      </c>
      <c r="M37" s="50">
        <v>105</v>
      </c>
      <c r="N37" s="50">
        <v>0</v>
      </c>
      <c r="O37" s="15">
        <f t="shared" si="0"/>
        <v>77</v>
      </c>
      <c r="P37" s="15">
        <f t="shared" si="1"/>
        <v>182</v>
      </c>
      <c r="R37" s="37" t="s">
        <v>85</v>
      </c>
      <c r="S37" s="35">
        <f t="shared" ref="S37:AF37" si="29">SUM(S10:S12)</f>
        <v>284</v>
      </c>
      <c r="T37" s="16">
        <f t="shared" si="29"/>
        <v>70</v>
      </c>
      <c r="U37" s="16">
        <f t="shared" si="29"/>
        <v>149</v>
      </c>
      <c r="V37" s="16">
        <f t="shared" si="29"/>
        <v>224</v>
      </c>
      <c r="W37" s="16">
        <f t="shared" si="29"/>
        <v>144</v>
      </c>
      <c r="X37" s="16">
        <f t="shared" si="29"/>
        <v>28</v>
      </c>
      <c r="Y37" s="16">
        <f t="shared" si="29"/>
        <v>56</v>
      </c>
      <c r="Z37" s="16">
        <f t="shared" si="29"/>
        <v>45</v>
      </c>
      <c r="AA37" s="16">
        <f t="shared" si="29"/>
        <v>13</v>
      </c>
      <c r="AB37" s="16">
        <f t="shared" si="29"/>
        <v>15</v>
      </c>
      <c r="AC37" s="16">
        <f t="shared" si="29"/>
        <v>998</v>
      </c>
      <c r="AD37" s="16">
        <f t="shared" si="29"/>
        <v>0</v>
      </c>
      <c r="AE37" s="32">
        <f t="shared" si="29"/>
        <v>1028</v>
      </c>
      <c r="AF37" s="32">
        <f t="shared" si="29"/>
        <v>2026</v>
      </c>
    </row>
    <row r="38" spans="2:32" ht="23.1" customHeight="1" x14ac:dyDescent="0.25">
      <c r="B38" s="46" t="s">
        <v>65</v>
      </c>
      <c r="C38" s="50">
        <v>24</v>
      </c>
      <c r="D38" s="50">
        <v>8</v>
      </c>
      <c r="E38" s="50">
        <v>2</v>
      </c>
      <c r="F38" s="50">
        <v>24</v>
      </c>
      <c r="G38" s="50">
        <v>2</v>
      </c>
      <c r="H38" s="50">
        <v>0</v>
      </c>
      <c r="I38" s="50">
        <v>20</v>
      </c>
      <c r="J38" s="50">
        <v>6</v>
      </c>
      <c r="K38" s="50">
        <v>1</v>
      </c>
      <c r="L38" s="50">
        <v>2</v>
      </c>
      <c r="M38" s="50">
        <v>80</v>
      </c>
      <c r="N38" s="50">
        <v>0</v>
      </c>
      <c r="O38" s="15">
        <f t="shared" si="0"/>
        <v>89</v>
      </c>
      <c r="P38" s="15">
        <f t="shared" si="1"/>
        <v>169</v>
      </c>
      <c r="R38" s="28" t="s">
        <v>86</v>
      </c>
      <c r="S38" s="16">
        <f t="shared" ref="S38:AF38" si="30">SUM(S13:S18)</f>
        <v>684</v>
      </c>
      <c r="T38" s="16">
        <f t="shared" si="30"/>
        <v>123</v>
      </c>
      <c r="U38" s="16">
        <f t="shared" si="30"/>
        <v>108</v>
      </c>
      <c r="V38" s="16">
        <f t="shared" si="30"/>
        <v>648</v>
      </c>
      <c r="W38" s="16">
        <f t="shared" si="30"/>
        <v>34</v>
      </c>
      <c r="X38" s="16">
        <f t="shared" si="30"/>
        <v>11</v>
      </c>
      <c r="Y38" s="16">
        <f t="shared" si="30"/>
        <v>208</v>
      </c>
      <c r="Z38" s="16">
        <f t="shared" si="30"/>
        <v>95</v>
      </c>
      <c r="AA38" s="16">
        <f t="shared" si="30"/>
        <v>41</v>
      </c>
      <c r="AB38" s="16">
        <f t="shared" si="30"/>
        <v>48</v>
      </c>
      <c r="AC38" s="16">
        <f t="shared" si="30"/>
        <v>2937</v>
      </c>
      <c r="AD38" s="16">
        <f t="shared" si="30"/>
        <v>0</v>
      </c>
      <c r="AE38" s="32">
        <f t="shared" si="30"/>
        <v>2000</v>
      </c>
      <c r="AF38" s="32">
        <f t="shared" si="30"/>
        <v>4937</v>
      </c>
    </row>
    <row r="39" spans="2:32" ht="23.1" customHeight="1" x14ac:dyDescent="0.25">
      <c r="B39" s="46" t="s">
        <v>66</v>
      </c>
      <c r="C39" s="50">
        <v>17</v>
      </c>
      <c r="D39" s="50">
        <v>4</v>
      </c>
      <c r="E39" s="50">
        <v>6</v>
      </c>
      <c r="F39" s="50">
        <v>24</v>
      </c>
      <c r="G39" s="50">
        <v>2</v>
      </c>
      <c r="H39" s="50">
        <v>1</v>
      </c>
      <c r="I39" s="50">
        <v>14</v>
      </c>
      <c r="J39" s="50">
        <v>7</v>
      </c>
      <c r="K39" s="50">
        <v>2</v>
      </c>
      <c r="L39" s="50">
        <v>3</v>
      </c>
      <c r="M39" s="50">
        <v>70</v>
      </c>
      <c r="N39" s="50">
        <v>0</v>
      </c>
      <c r="O39" s="15">
        <f t="shared" si="0"/>
        <v>80</v>
      </c>
      <c r="P39" s="15">
        <f t="shared" si="1"/>
        <v>150</v>
      </c>
      <c r="R39" s="29" t="s">
        <v>87</v>
      </c>
      <c r="S39" s="16">
        <f t="shared" ref="S39:AF39" si="31">SUM(S19:S21)</f>
        <v>438</v>
      </c>
      <c r="T39" s="16">
        <f t="shared" si="31"/>
        <v>58</v>
      </c>
      <c r="U39" s="16">
        <f t="shared" si="31"/>
        <v>53</v>
      </c>
      <c r="V39" s="16">
        <f t="shared" si="31"/>
        <v>368</v>
      </c>
      <c r="W39" s="16">
        <f t="shared" si="31"/>
        <v>19</v>
      </c>
      <c r="X39" s="16">
        <f t="shared" si="31"/>
        <v>8</v>
      </c>
      <c r="Y39" s="16">
        <f t="shared" si="31"/>
        <v>122</v>
      </c>
      <c r="Z39" s="16">
        <f t="shared" si="31"/>
        <v>35</v>
      </c>
      <c r="AA39" s="16">
        <f t="shared" si="31"/>
        <v>26</v>
      </c>
      <c r="AB39" s="16">
        <f t="shared" si="31"/>
        <v>31</v>
      </c>
      <c r="AC39" s="16">
        <f t="shared" si="31"/>
        <v>1891</v>
      </c>
      <c r="AD39" s="16">
        <f t="shared" si="31"/>
        <v>0</v>
      </c>
      <c r="AE39" s="32">
        <f t="shared" si="31"/>
        <v>1158</v>
      </c>
      <c r="AF39" s="32">
        <f t="shared" si="31"/>
        <v>3049</v>
      </c>
    </row>
    <row r="40" spans="2:32" ht="23.1" customHeight="1" x14ac:dyDescent="0.25">
      <c r="B40" s="46" t="s">
        <v>67</v>
      </c>
      <c r="C40" s="50">
        <v>40</v>
      </c>
      <c r="D40" s="50">
        <v>7</v>
      </c>
      <c r="E40" s="50">
        <v>8</v>
      </c>
      <c r="F40" s="50">
        <v>41</v>
      </c>
      <c r="G40" s="50">
        <v>4</v>
      </c>
      <c r="H40" s="50">
        <v>0</v>
      </c>
      <c r="I40" s="50">
        <v>13</v>
      </c>
      <c r="J40" s="50">
        <v>4</v>
      </c>
      <c r="K40" s="50">
        <v>2</v>
      </c>
      <c r="L40" s="50">
        <v>5</v>
      </c>
      <c r="M40" s="50">
        <v>125</v>
      </c>
      <c r="N40" s="50">
        <v>0</v>
      </c>
      <c r="O40" s="15">
        <f t="shared" si="0"/>
        <v>124</v>
      </c>
      <c r="P40" s="15">
        <f t="shared" si="1"/>
        <v>249</v>
      </c>
      <c r="R40" s="5" t="s">
        <v>17</v>
      </c>
      <c r="S40" s="16">
        <f t="shared" ref="S40:AF40" si="32">SUM(S10:S21)</f>
        <v>1406</v>
      </c>
      <c r="T40" s="16">
        <f t="shared" si="32"/>
        <v>251</v>
      </c>
      <c r="U40" s="16">
        <f t="shared" si="32"/>
        <v>310</v>
      </c>
      <c r="V40" s="16">
        <f t="shared" si="32"/>
        <v>1240</v>
      </c>
      <c r="W40" s="16">
        <f t="shared" si="32"/>
        <v>197</v>
      </c>
      <c r="X40" s="16">
        <f t="shared" si="32"/>
        <v>47</v>
      </c>
      <c r="Y40" s="16">
        <f t="shared" si="32"/>
        <v>386</v>
      </c>
      <c r="Z40" s="16">
        <f t="shared" si="32"/>
        <v>175</v>
      </c>
      <c r="AA40" s="16">
        <f t="shared" si="32"/>
        <v>80</v>
      </c>
      <c r="AB40" s="16">
        <f t="shared" si="32"/>
        <v>94</v>
      </c>
      <c r="AC40" s="16">
        <f t="shared" si="32"/>
        <v>5826</v>
      </c>
      <c r="AD40" s="16">
        <f t="shared" si="32"/>
        <v>0</v>
      </c>
      <c r="AE40" s="32">
        <f t="shared" si="32"/>
        <v>4186</v>
      </c>
      <c r="AF40" s="32">
        <f t="shared" si="32"/>
        <v>10012</v>
      </c>
    </row>
    <row r="41" spans="2:32" ht="23.1" customHeight="1" x14ac:dyDescent="0.25">
      <c r="B41" s="45" t="s">
        <v>68</v>
      </c>
      <c r="C41" s="50">
        <v>29</v>
      </c>
      <c r="D41" s="50">
        <v>4</v>
      </c>
      <c r="E41" s="50">
        <v>4</v>
      </c>
      <c r="F41" s="50">
        <v>19</v>
      </c>
      <c r="G41" s="50">
        <v>1</v>
      </c>
      <c r="H41" s="50">
        <v>1</v>
      </c>
      <c r="I41" s="50">
        <v>3</v>
      </c>
      <c r="J41" s="50">
        <v>1</v>
      </c>
      <c r="K41" s="50">
        <v>1</v>
      </c>
      <c r="L41" s="50">
        <v>1</v>
      </c>
      <c r="M41" s="50">
        <v>65</v>
      </c>
      <c r="N41" s="50">
        <v>0</v>
      </c>
      <c r="O41" s="15">
        <f t="shared" si="0"/>
        <v>64</v>
      </c>
      <c r="P41" s="15">
        <f t="shared" si="1"/>
        <v>129</v>
      </c>
      <c r="R41" s="5" t="s">
        <v>159</v>
      </c>
      <c r="S41" s="16">
        <f>SUM(S10:S33)</f>
        <v>2484</v>
      </c>
      <c r="T41" s="16">
        <f t="shared" ref="T41:AF41" si="33">SUM(T10:T33)</f>
        <v>280</v>
      </c>
      <c r="U41" s="16">
        <f t="shared" si="33"/>
        <v>363</v>
      </c>
      <c r="V41" s="16">
        <f t="shared" si="33"/>
        <v>1779</v>
      </c>
      <c r="W41" s="16">
        <f t="shared" si="33"/>
        <v>230</v>
      </c>
      <c r="X41" s="16">
        <f t="shared" si="33"/>
        <v>69</v>
      </c>
      <c r="Y41" s="16">
        <f t="shared" si="33"/>
        <v>475</v>
      </c>
      <c r="Z41" s="16">
        <f t="shared" si="33"/>
        <v>304</v>
      </c>
      <c r="AA41" s="16">
        <f t="shared" si="33"/>
        <v>212</v>
      </c>
      <c r="AB41" s="16">
        <f t="shared" si="33"/>
        <v>129</v>
      </c>
      <c r="AC41" s="16">
        <f t="shared" si="33"/>
        <v>9299</v>
      </c>
      <c r="AD41" s="16">
        <f t="shared" si="33"/>
        <v>0</v>
      </c>
      <c r="AE41" s="32">
        <f t="shared" si="33"/>
        <v>6325</v>
      </c>
      <c r="AF41" s="32">
        <f t="shared" si="33"/>
        <v>15624</v>
      </c>
    </row>
    <row r="42" spans="2:32" ht="23.1" customHeight="1" x14ac:dyDescent="0.25">
      <c r="B42" s="46" t="s">
        <v>69</v>
      </c>
      <c r="C42" s="50">
        <v>9</v>
      </c>
      <c r="D42" s="50">
        <v>2</v>
      </c>
      <c r="E42" s="50">
        <v>2</v>
      </c>
      <c r="F42" s="50">
        <v>13</v>
      </c>
      <c r="G42" s="50">
        <v>1</v>
      </c>
      <c r="H42" s="50">
        <v>1</v>
      </c>
      <c r="I42" s="50">
        <v>4</v>
      </c>
      <c r="J42" s="50">
        <v>0</v>
      </c>
      <c r="K42" s="50">
        <v>0</v>
      </c>
      <c r="L42" s="50">
        <v>4</v>
      </c>
      <c r="M42" s="50">
        <v>40</v>
      </c>
      <c r="N42" s="50">
        <v>0</v>
      </c>
      <c r="O42" s="15">
        <f t="shared" si="0"/>
        <v>36</v>
      </c>
      <c r="P42" s="15">
        <f t="shared" si="1"/>
        <v>76</v>
      </c>
      <c r="R42" s="5" t="s">
        <v>160</v>
      </c>
      <c r="S42" s="48">
        <f>S41/S40</f>
        <v>1.7667140825035561</v>
      </c>
      <c r="T42" s="48">
        <f t="shared" ref="T42:AF42" si="34">T41/T40</f>
        <v>1.1155378486055776</v>
      </c>
      <c r="U42" s="48">
        <f t="shared" si="34"/>
        <v>1.1709677419354838</v>
      </c>
      <c r="V42" s="48">
        <f t="shared" si="34"/>
        <v>1.4346774193548386</v>
      </c>
      <c r="W42" s="48">
        <f t="shared" si="34"/>
        <v>1.1675126903553299</v>
      </c>
      <c r="X42" s="48">
        <f t="shared" si="34"/>
        <v>1.4680851063829787</v>
      </c>
      <c r="Y42" s="48">
        <f t="shared" si="34"/>
        <v>1.2305699481865284</v>
      </c>
      <c r="Z42" s="48">
        <f t="shared" si="34"/>
        <v>1.7371428571428571</v>
      </c>
      <c r="AA42" s="48">
        <f t="shared" si="34"/>
        <v>2.65</v>
      </c>
      <c r="AB42" s="48">
        <f t="shared" si="34"/>
        <v>1.3723404255319149</v>
      </c>
      <c r="AC42" s="48">
        <f t="shared" si="34"/>
        <v>1.5961208376244422</v>
      </c>
      <c r="AD42" s="48" t="e">
        <f t="shared" si="34"/>
        <v>#DIV/0!</v>
      </c>
      <c r="AE42" s="48">
        <f t="shared" si="34"/>
        <v>1.5109890109890109</v>
      </c>
      <c r="AF42" s="48">
        <f t="shared" si="34"/>
        <v>1.5605273671594087</v>
      </c>
    </row>
    <row r="43" spans="2:32" ht="23.1" customHeight="1" x14ac:dyDescent="0.25">
      <c r="B43" s="45" t="s">
        <v>70</v>
      </c>
      <c r="C43" s="50">
        <v>15</v>
      </c>
      <c r="D43" s="50">
        <v>6</v>
      </c>
      <c r="E43" s="50">
        <v>5</v>
      </c>
      <c r="F43" s="50">
        <v>20</v>
      </c>
      <c r="G43" s="50">
        <v>2</v>
      </c>
      <c r="H43" s="50">
        <v>0</v>
      </c>
      <c r="I43" s="50">
        <v>7</v>
      </c>
      <c r="J43" s="50">
        <v>1</v>
      </c>
      <c r="K43" s="50">
        <v>1</v>
      </c>
      <c r="L43" s="50">
        <v>2</v>
      </c>
      <c r="M43" s="50">
        <v>90</v>
      </c>
      <c r="N43" s="50">
        <v>0</v>
      </c>
      <c r="O43" s="15">
        <f t="shared" si="0"/>
        <v>59</v>
      </c>
      <c r="P43" s="15">
        <f t="shared" si="1"/>
        <v>149</v>
      </c>
    </row>
    <row r="44" spans="2:32" ht="23.1" customHeight="1" x14ac:dyDescent="0.25">
      <c r="B44" s="47" t="s">
        <v>71</v>
      </c>
      <c r="C44" s="50">
        <v>34</v>
      </c>
      <c r="D44" s="50">
        <v>5</v>
      </c>
      <c r="E44" s="50">
        <v>4</v>
      </c>
      <c r="F44" s="50">
        <v>25</v>
      </c>
      <c r="G44" s="50">
        <v>2</v>
      </c>
      <c r="H44" s="50">
        <v>0</v>
      </c>
      <c r="I44" s="50">
        <v>6</v>
      </c>
      <c r="J44" s="50">
        <v>4</v>
      </c>
      <c r="K44" s="50">
        <v>4</v>
      </c>
      <c r="L44" s="50">
        <v>3</v>
      </c>
      <c r="M44" s="50">
        <v>165</v>
      </c>
      <c r="N44" s="50">
        <v>0</v>
      </c>
      <c r="O44" s="15">
        <f t="shared" si="0"/>
        <v>87</v>
      </c>
      <c r="P44" s="15">
        <f t="shared" si="1"/>
        <v>252</v>
      </c>
    </row>
    <row r="45" spans="2:32" ht="23.1" customHeight="1" x14ac:dyDescent="0.25">
      <c r="B45" s="45" t="s">
        <v>72</v>
      </c>
      <c r="C45" s="50">
        <v>27</v>
      </c>
      <c r="D45" s="50">
        <v>2</v>
      </c>
      <c r="E45" s="50">
        <v>6</v>
      </c>
      <c r="F45" s="50">
        <v>21</v>
      </c>
      <c r="G45" s="50">
        <v>0</v>
      </c>
      <c r="H45" s="50">
        <v>0</v>
      </c>
      <c r="I45" s="50">
        <v>1</v>
      </c>
      <c r="J45" s="50">
        <v>1</v>
      </c>
      <c r="K45" s="50">
        <v>1</v>
      </c>
      <c r="L45" s="50">
        <v>2</v>
      </c>
      <c r="M45" s="50">
        <v>110</v>
      </c>
      <c r="N45" s="50">
        <v>0</v>
      </c>
      <c r="O45" s="15">
        <f t="shared" si="0"/>
        <v>61</v>
      </c>
      <c r="P45" s="15">
        <f t="shared" si="1"/>
        <v>171</v>
      </c>
    </row>
    <row r="46" spans="2:32" ht="23.1" customHeight="1" x14ac:dyDescent="0.25">
      <c r="B46" s="46" t="s">
        <v>73</v>
      </c>
      <c r="C46" s="50">
        <v>30</v>
      </c>
      <c r="D46" s="50">
        <v>6</v>
      </c>
      <c r="E46" s="50">
        <v>6</v>
      </c>
      <c r="F46" s="50">
        <v>24</v>
      </c>
      <c r="G46" s="50">
        <v>3</v>
      </c>
      <c r="H46" s="50">
        <v>0</v>
      </c>
      <c r="I46" s="50">
        <v>8</v>
      </c>
      <c r="J46" s="50">
        <v>1</v>
      </c>
      <c r="K46" s="50">
        <v>6</v>
      </c>
      <c r="L46" s="50">
        <v>3</v>
      </c>
      <c r="M46" s="50">
        <v>195</v>
      </c>
      <c r="N46" s="50">
        <v>0</v>
      </c>
      <c r="O46" s="15">
        <f t="shared" si="0"/>
        <v>87</v>
      </c>
      <c r="P46" s="15">
        <f t="shared" si="1"/>
        <v>282</v>
      </c>
      <c r="R46" s="8"/>
      <c r="T46"/>
    </row>
    <row r="47" spans="2:32" ht="23.1" customHeight="1" x14ac:dyDescent="0.25">
      <c r="B47" s="46" t="s">
        <v>74</v>
      </c>
      <c r="C47" s="50">
        <v>41</v>
      </c>
      <c r="D47" s="50">
        <v>6</v>
      </c>
      <c r="E47" s="50">
        <v>5</v>
      </c>
      <c r="F47" s="50">
        <v>30</v>
      </c>
      <c r="G47" s="50">
        <v>0</v>
      </c>
      <c r="H47" s="50">
        <v>1</v>
      </c>
      <c r="I47" s="50">
        <v>13</v>
      </c>
      <c r="J47" s="50">
        <v>2</v>
      </c>
      <c r="K47" s="50">
        <v>3</v>
      </c>
      <c r="L47" s="50">
        <v>3</v>
      </c>
      <c r="M47" s="50">
        <v>200</v>
      </c>
      <c r="N47" s="50">
        <v>0</v>
      </c>
      <c r="O47" s="15">
        <f t="shared" si="0"/>
        <v>104</v>
      </c>
      <c r="P47" s="15">
        <f t="shared" si="1"/>
        <v>304</v>
      </c>
      <c r="R47" s="8"/>
      <c r="T47"/>
    </row>
    <row r="48" spans="2:32" ht="23.1" customHeight="1" x14ac:dyDescent="0.25">
      <c r="B48" s="46" t="s">
        <v>75</v>
      </c>
      <c r="C48" s="50">
        <v>44</v>
      </c>
      <c r="D48" s="50">
        <v>4</v>
      </c>
      <c r="E48" s="50">
        <v>3</v>
      </c>
      <c r="F48" s="50">
        <v>39</v>
      </c>
      <c r="G48" s="50">
        <v>3</v>
      </c>
      <c r="H48" s="50">
        <v>1</v>
      </c>
      <c r="I48" s="50">
        <v>10</v>
      </c>
      <c r="J48" s="50">
        <v>5</v>
      </c>
      <c r="K48" s="50">
        <v>0</v>
      </c>
      <c r="L48" s="50">
        <v>1</v>
      </c>
      <c r="M48" s="50">
        <v>213</v>
      </c>
      <c r="N48" s="50">
        <v>0</v>
      </c>
      <c r="O48" s="15">
        <f t="shared" si="0"/>
        <v>110</v>
      </c>
      <c r="P48" s="15">
        <f t="shared" si="1"/>
        <v>323</v>
      </c>
      <c r="R48" s="8"/>
      <c r="T48"/>
    </row>
    <row r="49" spans="2:20" ht="23.1" customHeight="1" x14ac:dyDescent="0.25">
      <c r="B49" s="45" t="s">
        <v>76</v>
      </c>
      <c r="C49" s="50">
        <v>31</v>
      </c>
      <c r="D49" s="50">
        <v>8</v>
      </c>
      <c r="E49" s="50">
        <v>2</v>
      </c>
      <c r="F49" s="50">
        <v>31</v>
      </c>
      <c r="G49" s="50">
        <v>2</v>
      </c>
      <c r="H49" s="50">
        <v>0</v>
      </c>
      <c r="I49" s="50">
        <v>6</v>
      </c>
      <c r="J49" s="50">
        <v>1</v>
      </c>
      <c r="K49" s="50">
        <v>1</v>
      </c>
      <c r="L49" s="50">
        <v>1</v>
      </c>
      <c r="M49" s="50">
        <v>120</v>
      </c>
      <c r="N49" s="50">
        <v>0</v>
      </c>
      <c r="O49" s="15">
        <f t="shared" si="0"/>
        <v>83</v>
      </c>
      <c r="P49" s="15">
        <f t="shared" si="1"/>
        <v>203</v>
      </c>
      <c r="R49" s="8"/>
      <c r="T49"/>
    </row>
    <row r="50" spans="2:20" ht="23.1" customHeight="1" x14ac:dyDescent="0.25">
      <c r="B50" s="46" t="s">
        <v>77</v>
      </c>
      <c r="C50" s="50">
        <v>53</v>
      </c>
      <c r="D50" s="50">
        <v>6</v>
      </c>
      <c r="E50" s="50">
        <v>5</v>
      </c>
      <c r="F50" s="50">
        <v>46</v>
      </c>
      <c r="G50" s="50">
        <v>0</v>
      </c>
      <c r="H50" s="50">
        <v>4</v>
      </c>
      <c r="I50" s="50">
        <v>10</v>
      </c>
      <c r="J50" s="50">
        <v>3</v>
      </c>
      <c r="K50" s="50">
        <v>1</v>
      </c>
      <c r="L50" s="50">
        <v>3</v>
      </c>
      <c r="M50" s="50">
        <v>126</v>
      </c>
      <c r="N50" s="50">
        <v>0</v>
      </c>
      <c r="O50" s="15">
        <f t="shared" si="0"/>
        <v>131</v>
      </c>
      <c r="P50" s="15">
        <f t="shared" si="1"/>
        <v>257</v>
      </c>
      <c r="R50" s="8"/>
      <c r="T50"/>
    </row>
    <row r="51" spans="2:20" ht="23.1" customHeight="1" x14ac:dyDescent="0.25">
      <c r="B51" s="46" t="s">
        <v>78</v>
      </c>
      <c r="C51" s="50">
        <v>37</v>
      </c>
      <c r="D51" s="50">
        <v>5</v>
      </c>
      <c r="E51" s="50">
        <v>6</v>
      </c>
      <c r="F51" s="50">
        <v>28</v>
      </c>
      <c r="G51" s="50">
        <v>1</v>
      </c>
      <c r="H51" s="50">
        <v>1</v>
      </c>
      <c r="I51" s="50">
        <v>8</v>
      </c>
      <c r="J51" s="50">
        <v>6</v>
      </c>
      <c r="K51" s="50">
        <v>2</v>
      </c>
      <c r="L51" s="50">
        <v>4</v>
      </c>
      <c r="M51" s="50">
        <v>165</v>
      </c>
      <c r="N51" s="50">
        <v>0</v>
      </c>
      <c r="O51" s="15">
        <f t="shared" si="0"/>
        <v>98</v>
      </c>
      <c r="P51" s="15">
        <f t="shared" si="1"/>
        <v>263</v>
      </c>
      <c r="R51" s="8"/>
      <c r="T51"/>
    </row>
    <row r="52" spans="2:20" ht="23.1" customHeight="1" x14ac:dyDescent="0.25">
      <c r="B52" s="46" t="s">
        <v>79</v>
      </c>
      <c r="C52" s="50">
        <v>53</v>
      </c>
      <c r="D52" s="50">
        <v>6</v>
      </c>
      <c r="E52" s="50">
        <v>4</v>
      </c>
      <c r="F52" s="50">
        <v>33</v>
      </c>
      <c r="G52" s="50">
        <v>1</v>
      </c>
      <c r="H52" s="50">
        <v>0</v>
      </c>
      <c r="I52" s="50">
        <v>20</v>
      </c>
      <c r="J52" s="50">
        <v>4</v>
      </c>
      <c r="K52" s="50">
        <v>2</v>
      </c>
      <c r="L52" s="50">
        <v>4</v>
      </c>
      <c r="M52" s="50">
        <v>155</v>
      </c>
      <c r="N52" s="50">
        <v>0</v>
      </c>
      <c r="O52" s="15">
        <f t="shared" si="0"/>
        <v>127</v>
      </c>
      <c r="P52" s="15">
        <f t="shared" si="1"/>
        <v>282</v>
      </c>
      <c r="R52" s="8"/>
      <c r="T52"/>
    </row>
    <row r="53" spans="2:20" ht="23.1" customHeight="1" x14ac:dyDescent="0.25">
      <c r="B53" s="45" t="s">
        <v>80</v>
      </c>
      <c r="C53" s="50">
        <v>36</v>
      </c>
      <c r="D53" s="50">
        <v>6</v>
      </c>
      <c r="E53" s="50">
        <v>9</v>
      </c>
      <c r="F53" s="50">
        <v>39</v>
      </c>
      <c r="G53" s="50">
        <v>4</v>
      </c>
      <c r="H53" s="50">
        <v>0</v>
      </c>
      <c r="I53" s="50">
        <v>15</v>
      </c>
      <c r="J53" s="50">
        <v>4</v>
      </c>
      <c r="K53" s="50">
        <v>2</v>
      </c>
      <c r="L53" s="50">
        <v>5</v>
      </c>
      <c r="M53" s="50">
        <v>140</v>
      </c>
      <c r="N53" s="50">
        <v>0</v>
      </c>
      <c r="O53" s="15">
        <f t="shared" si="0"/>
        <v>120</v>
      </c>
      <c r="P53" s="15">
        <f t="shared" si="1"/>
        <v>260</v>
      </c>
      <c r="R53" s="8"/>
      <c r="T53"/>
    </row>
    <row r="54" spans="2:20" ht="23.1" customHeight="1" x14ac:dyDescent="0.25">
      <c r="B54" s="45" t="s">
        <v>81</v>
      </c>
      <c r="C54" s="50">
        <v>59</v>
      </c>
      <c r="D54" s="50">
        <v>2</v>
      </c>
      <c r="E54" s="50">
        <v>2</v>
      </c>
      <c r="F54" s="50">
        <v>30</v>
      </c>
      <c r="G54" s="50">
        <v>2</v>
      </c>
      <c r="H54" s="50">
        <v>0</v>
      </c>
      <c r="I54" s="50">
        <v>11</v>
      </c>
      <c r="J54" s="50">
        <v>0</v>
      </c>
      <c r="K54" s="50">
        <v>3</v>
      </c>
      <c r="L54" s="50">
        <v>1</v>
      </c>
      <c r="M54" s="50">
        <v>175</v>
      </c>
      <c r="N54" s="50">
        <v>0</v>
      </c>
      <c r="O54" s="15">
        <f t="shared" si="0"/>
        <v>110</v>
      </c>
      <c r="P54" s="15">
        <f t="shared" si="1"/>
        <v>285</v>
      </c>
      <c r="R54" s="8"/>
      <c r="T54"/>
    </row>
    <row r="55" spans="2:20" ht="23.1" customHeight="1" x14ac:dyDescent="0.25">
      <c r="B55" s="45" t="s">
        <v>82</v>
      </c>
      <c r="C55" s="50">
        <v>27</v>
      </c>
      <c r="D55" s="50">
        <v>5</v>
      </c>
      <c r="E55" s="50">
        <v>1</v>
      </c>
      <c r="F55" s="50">
        <v>31</v>
      </c>
      <c r="G55" s="50">
        <v>2</v>
      </c>
      <c r="H55" s="50">
        <v>1</v>
      </c>
      <c r="I55" s="50">
        <v>7</v>
      </c>
      <c r="J55" s="50">
        <v>5</v>
      </c>
      <c r="K55" s="50">
        <v>2</v>
      </c>
      <c r="L55" s="50">
        <v>5</v>
      </c>
      <c r="M55" s="50">
        <v>165</v>
      </c>
      <c r="N55" s="50">
        <v>0</v>
      </c>
      <c r="O55" s="15">
        <f t="shared" si="0"/>
        <v>86</v>
      </c>
      <c r="P55" s="15">
        <f t="shared" si="1"/>
        <v>251</v>
      </c>
      <c r="R55" s="8"/>
      <c r="T55"/>
    </row>
    <row r="56" spans="2:20" ht="23.1" customHeight="1" x14ac:dyDescent="0.25">
      <c r="B56" s="45" t="s">
        <v>83</v>
      </c>
      <c r="C56" s="50">
        <v>14</v>
      </c>
      <c r="D56" s="50">
        <v>3</v>
      </c>
      <c r="E56" s="50">
        <v>5</v>
      </c>
      <c r="F56" s="50">
        <v>30</v>
      </c>
      <c r="G56" s="50">
        <v>1</v>
      </c>
      <c r="H56" s="50">
        <v>0</v>
      </c>
      <c r="I56" s="50">
        <v>11</v>
      </c>
      <c r="J56" s="50">
        <v>1</v>
      </c>
      <c r="K56" s="50">
        <v>3</v>
      </c>
      <c r="L56" s="50">
        <v>1</v>
      </c>
      <c r="M56" s="50">
        <v>112</v>
      </c>
      <c r="N56" s="50">
        <v>0</v>
      </c>
      <c r="O56" s="15">
        <f t="shared" si="0"/>
        <v>69</v>
      </c>
      <c r="P56" s="15">
        <f t="shared" si="1"/>
        <v>181</v>
      </c>
      <c r="R56" s="8"/>
      <c r="T56"/>
    </row>
    <row r="57" spans="2:20" ht="23.1" customHeight="1" x14ac:dyDescent="0.25">
      <c r="B57" s="45" t="s">
        <v>84</v>
      </c>
      <c r="C57" s="50">
        <v>13</v>
      </c>
      <c r="D57" s="50">
        <v>1</v>
      </c>
      <c r="E57" s="50">
        <v>5</v>
      </c>
      <c r="F57" s="50">
        <v>7</v>
      </c>
      <c r="G57" s="50">
        <v>0</v>
      </c>
      <c r="H57" s="50">
        <v>0</v>
      </c>
      <c r="I57" s="50">
        <v>3</v>
      </c>
      <c r="J57" s="50">
        <v>3</v>
      </c>
      <c r="K57" s="50">
        <v>1</v>
      </c>
      <c r="L57" s="50">
        <v>0</v>
      </c>
      <c r="M57" s="50">
        <v>125</v>
      </c>
      <c r="N57" s="50">
        <v>0</v>
      </c>
      <c r="O57" s="15">
        <f t="shared" si="0"/>
        <v>33</v>
      </c>
      <c r="P57" s="15">
        <f t="shared" si="1"/>
        <v>158</v>
      </c>
      <c r="R57" s="8"/>
      <c r="T57"/>
    </row>
    <row r="58" spans="2:20" ht="23.1" customHeight="1" x14ac:dyDescent="0.25">
      <c r="B58" s="45" t="s">
        <v>99</v>
      </c>
      <c r="C58" s="50">
        <v>15</v>
      </c>
      <c r="D58" s="50">
        <v>5</v>
      </c>
      <c r="E58" s="50">
        <v>0</v>
      </c>
      <c r="F58" s="50">
        <v>24</v>
      </c>
      <c r="G58" s="50">
        <v>8</v>
      </c>
      <c r="H58" s="50">
        <v>1</v>
      </c>
      <c r="I58" s="50">
        <v>1</v>
      </c>
      <c r="J58" s="50">
        <v>1</v>
      </c>
      <c r="K58" s="50">
        <v>1</v>
      </c>
      <c r="L58" s="50">
        <v>2</v>
      </c>
      <c r="M58" s="50">
        <v>82</v>
      </c>
      <c r="N58" s="50">
        <v>0</v>
      </c>
      <c r="O58" s="15">
        <f t="shared" si="0"/>
        <v>58</v>
      </c>
      <c r="P58" s="15">
        <f t="shared" si="1"/>
        <v>140</v>
      </c>
      <c r="R58" s="8"/>
      <c r="T58"/>
    </row>
    <row r="59" spans="2:20" ht="23.1" customHeight="1" x14ac:dyDescent="0.25">
      <c r="B59" s="45" t="s">
        <v>100</v>
      </c>
      <c r="C59" s="50">
        <v>11</v>
      </c>
      <c r="D59" s="50">
        <v>1</v>
      </c>
      <c r="E59" s="50">
        <v>0</v>
      </c>
      <c r="F59" s="50">
        <v>31</v>
      </c>
      <c r="G59" s="50">
        <v>1</v>
      </c>
      <c r="H59" s="50">
        <v>1</v>
      </c>
      <c r="I59" s="50">
        <v>1</v>
      </c>
      <c r="J59" s="50">
        <v>3</v>
      </c>
      <c r="K59" s="50">
        <v>5</v>
      </c>
      <c r="L59" s="50">
        <v>1</v>
      </c>
      <c r="M59" s="50">
        <v>121</v>
      </c>
      <c r="N59" s="50">
        <v>0</v>
      </c>
      <c r="O59" s="15">
        <f t="shared" si="0"/>
        <v>55</v>
      </c>
      <c r="P59" s="15">
        <f t="shared" si="1"/>
        <v>176</v>
      </c>
      <c r="R59" s="8"/>
      <c r="T59"/>
    </row>
    <row r="60" spans="2:20" ht="23.1" customHeight="1" x14ac:dyDescent="0.25">
      <c r="B60" s="45" t="s">
        <v>101</v>
      </c>
      <c r="C60" s="50">
        <v>13</v>
      </c>
      <c r="D60" s="50">
        <v>1</v>
      </c>
      <c r="E60" s="50">
        <v>1</v>
      </c>
      <c r="F60" s="50">
        <v>21</v>
      </c>
      <c r="G60" s="50">
        <v>1</v>
      </c>
      <c r="H60" s="50">
        <v>1</v>
      </c>
      <c r="I60" s="50">
        <v>1</v>
      </c>
      <c r="J60" s="50">
        <v>4</v>
      </c>
      <c r="K60" s="50">
        <v>2</v>
      </c>
      <c r="L60" s="50">
        <v>0</v>
      </c>
      <c r="M60" s="50">
        <v>105</v>
      </c>
      <c r="N60" s="50">
        <v>0</v>
      </c>
      <c r="O60" s="15">
        <f t="shared" si="0"/>
        <v>45</v>
      </c>
      <c r="P60" s="15">
        <f t="shared" si="1"/>
        <v>150</v>
      </c>
      <c r="R60" s="8"/>
      <c r="T60"/>
    </row>
    <row r="61" spans="2:20" ht="23.1" customHeight="1" x14ac:dyDescent="0.25">
      <c r="B61" s="45" t="s">
        <v>102</v>
      </c>
      <c r="C61" s="50">
        <v>32</v>
      </c>
      <c r="D61" s="50">
        <v>0</v>
      </c>
      <c r="E61" s="50">
        <v>3</v>
      </c>
      <c r="F61" s="50">
        <v>29</v>
      </c>
      <c r="G61" s="50">
        <v>1</v>
      </c>
      <c r="H61" s="50">
        <v>1</v>
      </c>
      <c r="I61" s="50">
        <v>11</v>
      </c>
      <c r="J61" s="50">
        <v>3</v>
      </c>
      <c r="K61" s="50">
        <v>3</v>
      </c>
      <c r="L61" s="50">
        <v>1</v>
      </c>
      <c r="M61" s="50">
        <v>245</v>
      </c>
      <c r="N61" s="50">
        <v>0</v>
      </c>
      <c r="O61" s="15">
        <f t="shared" si="0"/>
        <v>84</v>
      </c>
      <c r="P61" s="15">
        <f t="shared" si="1"/>
        <v>329</v>
      </c>
      <c r="R61" s="8"/>
      <c r="T61"/>
    </row>
    <row r="62" spans="2:20" ht="23.1" customHeight="1" x14ac:dyDescent="0.25">
      <c r="B62" s="45" t="s">
        <v>107</v>
      </c>
      <c r="C62" s="50">
        <v>60</v>
      </c>
      <c r="D62" s="50">
        <v>0</v>
      </c>
      <c r="E62" s="50">
        <v>1</v>
      </c>
      <c r="F62" s="50">
        <v>15</v>
      </c>
      <c r="G62" s="50">
        <v>1</v>
      </c>
      <c r="H62" s="50">
        <v>0</v>
      </c>
      <c r="I62" s="50">
        <v>4</v>
      </c>
      <c r="J62" s="50">
        <v>5</v>
      </c>
      <c r="K62" s="50">
        <v>4</v>
      </c>
      <c r="L62" s="50">
        <v>3</v>
      </c>
      <c r="M62" s="50">
        <v>175</v>
      </c>
      <c r="N62" s="50">
        <v>0</v>
      </c>
      <c r="O62" s="15">
        <f t="shared" si="0"/>
        <v>93</v>
      </c>
      <c r="P62" s="15">
        <f t="shared" si="1"/>
        <v>268</v>
      </c>
      <c r="R62" s="8"/>
      <c r="T62"/>
    </row>
    <row r="63" spans="2:20" ht="23.1" customHeight="1" x14ac:dyDescent="0.25">
      <c r="B63" s="45" t="s">
        <v>108</v>
      </c>
      <c r="C63" s="50">
        <v>42</v>
      </c>
      <c r="D63" s="50">
        <v>0</v>
      </c>
      <c r="E63" s="50">
        <v>2</v>
      </c>
      <c r="F63" s="50">
        <v>24</v>
      </c>
      <c r="G63" s="50">
        <v>1</v>
      </c>
      <c r="H63" s="50">
        <v>1</v>
      </c>
      <c r="I63" s="50">
        <v>4</v>
      </c>
      <c r="J63" s="50">
        <v>4</v>
      </c>
      <c r="K63" s="50">
        <v>1</v>
      </c>
      <c r="L63" s="50">
        <v>1</v>
      </c>
      <c r="M63" s="50">
        <v>205</v>
      </c>
      <c r="N63" s="50">
        <v>0</v>
      </c>
      <c r="O63" s="15">
        <f t="shared" si="0"/>
        <v>80</v>
      </c>
      <c r="P63" s="15">
        <f t="shared" si="1"/>
        <v>285</v>
      </c>
      <c r="R63" s="8"/>
      <c r="T63"/>
    </row>
    <row r="64" spans="2:20" ht="23.1" customHeight="1" x14ac:dyDescent="0.25">
      <c r="B64" s="45" t="s">
        <v>109</v>
      </c>
      <c r="C64" s="50">
        <v>19</v>
      </c>
      <c r="D64" s="50">
        <v>3</v>
      </c>
      <c r="E64" s="50">
        <v>2</v>
      </c>
      <c r="F64" s="50">
        <v>15</v>
      </c>
      <c r="G64" s="50">
        <v>0</v>
      </c>
      <c r="H64" s="50">
        <v>0</v>
      </c>
      <c r="I64" s="50">
        <v>3</v>
      </c>
      <c r="J64" s="50">
        <v>5</v>
      </c>
      <c r="K64" s="50">
        <v>2</v>
      </c>
      <c r="L64" s="50">
        <v>1</v>
      </c>
      <c r="M64" s="50">
        <v>120</v>
      </c>
      <c r="N64" s="50">
        <v>0</v>
      </c>
      <c r="O64" s="15">
        <f t="shared" si="0"/>
        <v>50</v>
      </c>
      <c r="P64" s="15">
        <f t="shared" si="1"/>
        <v>170</v>
      </c>
      <c r="R64" s="8"/>
      <c r="T64"/>
    </row>
    <row r="65" spans="2:20" ht="23.1" customHeight="1" x14ac:dyDescent="0.25">
      <c r="B65" s="45" t="s">
        <v>158</v>
      </c>
      <c r="C65" s="50">
        <v>65</v>
      </c>
      <c r="D65" s="50">
        <v>2</v>
      </c>
      <c r="E65" s="50">
        <v>5</v>
      </c>
      <c r="F65" s="50">
        <v>35</v>
      </c>
      <c r="G65" s="50">
        <v>0</v>
      </c>
      <c r="H65" s="50">
        <v>1</v>
      </c>
      <c r="I65" s="50">
        <v>11</v>
      </c>
      <c r="J65" s="50">
        <v>6</v>
      </c>
      <c r="K65" s="50">
        <v>3</v>
      </c>
      <c r="L65" s="50">
        <v>1</v>
      </c>
      <c r="M65" s="50">
        <v>180</v>
      </c>
      <c r="N65" s="50">
        <v>0</v>
      </c>
      <c r="O65" s="15">
        <f t="shared" si="0"/>
        <v>129</v>
      </c>
      <c r="P65" s="15">
        <f t="shared" si="1"/>
        <v>309</v>
      </c>
      <c r="R65" s="8"/>
      <c r="T65"/>
    </row>
    <row r="66" spans="2:20" ht="23.1" customHeight="1" x14ac:dyDescent="0.25">
      <c r="B66" s="45" t="s">
        <v>103</v>
      </c>
      <c r="C66" s="50">
        <v>33</v>
      </c>
      <c r="D66" s="50">
        <v>1</v>
      </c>
      <c r="E66" s="50">
        <v>3</v>
      </c>
      <c r="F66" s="50">
        <v>18</v>
      </c>
      <c r="G66" s="50">
        <v>2</v>
      </c>
      <c r="H66" s="50">
        <v>0</v>
      </c>
      <c r="I66" s="50">
        <v>2</v>
      </c>
      <c r="J66" s="50">
        <v>3</v>
      </c>
      <c r="K66" s="50">
        <v>2</v>
      </c>
      <c r="L66" s="50">
        <v>1</v>
      </c>
      <c r="M66" s="50">
        <v>205</v>
      </c>
      <c r="N66" s="50">
        <v>0</v>
      </c>
      <c r="O66" s="15">
        <f t="shared" si="0"/>
        <v>65</v>
      </c>
      <c r="P66" s="15">
        <f t="shared" si="1"/>
        <v>270</v>
      </c>
      <c r="R66" s="8"/>
      <c r="T66"/>
    </row>
    <row r="67" spans="2:20" ht="23.1" customHeight="1" x14ac:dyDescent="0.25">
      <c r="B67" s="45" t="s">
        <v>104</v>
      </c>
      <c r="C67" s="50">
        <v>30</v>
      </c>
      <c r="D67" s="50">
        <v>0</v>
      </c>
      <c r="E67" s="50">
        <v>6</v>
      </c>
      <c r="F67" s="50">
        <v>23</v>
      </c>
      <c r="G67" s="50">
        <v>0</v>
      </c>
      <c r="H67" s="50">
        <v>0</v>
      </c>
      <c r="I67" s="50">
        <v>0</v>
      </c>
      <c r="J67" s="50">
        <v>4</v>
      </c>
      <c r="K67" s="50">
        <v>0</v>
      </c>
      <c r="L67" s="50">
        <v>2</v>
      </c>
      <c r="M67" s="50">
        <v>180</v>
      </c>
      <c r="N67" s="50">
        <v>0</v>
      </c>
      <c r="O67" s="15">
        <f t="shared" si="0"/>
        <v>65</v>
      </c>
      <c r="P67" s="15">
        <f t="shared" si="1"/>
        <v>245</v>
      </c>
      <c r="R67" s="8"/>
      <c r="T67"/>
    </row>
    <row r="68" spans="2:20" ht="23.1" customHeight="1" x14ac:dyDescent="0.25">
      <c r="B68" s="45" t="s">
        <v>105</v>
      </c>
      <c r="C68" s="50">
        <v>52</v>
      </c>
      <c r="D68" s="50">
        <v>2</v>
      </c>
      <c r="E68" s="50">
        <v>4</v>
      </c>
      <c r="F68" s="50">
        <v>28</v>
      </c>
      <c r="G68" s="50">
        <v>1</v>
      </c>
      <c r="H68" s="50">
        <v>1</v>
      </c>
      <c r="I68" s="50">
        <v>2</v>
      </c>
      <c r="J68" s="50">
        <v>3</v>
      </c>
      <c r="K68" s="50">
        <v>3</v>
      </c>
      <c r="L68" s="50">
        <v>0</v>
      </c>
      <c r="M68" s="50">
        <v>150</v>
      </c>
      <c r="N68" s="50">
        <v>0</v>
      </c>
      <c r="O68" s="15">
        <f t="shared" si="0"/>
        <v>96</v>
      </c>
      <c r="P68" s="15">
        <f t="shared" si="1"/>
        <v>246</v>
      </c>
      <c r="R68" s="8"/>
      <c r="T68"/>
    </row>
    <row r="69" spans="2:20" ht="23.1" customHeight="1" x14ac:dyDescent="0.25">
      <c r="B69" s="45" t="s">
        <v>106</v>
      </c>
      <c r="C69" s="50">
        <v>29</v>
      </c>
      <c r="D69" s="50">
        <v>0</v>
      </c>
      <c r="E69" s="50">
        <v>1</v>
      </c>
      <c r="F69" s="50">
        <v>25</v>
      </c>
      <c r="G69" s="50">
        <v>1</v>
      </c>
      <c r="H69" s="50">
        <v>0</v>
      </c>
      <c r="I69" s="50">
        <v>2</v>
      </c>
      <c r="J69" s="50">
        <v>4</v>
      </c>
      <c r="K69" s="50">
        <v>0</v>
      </c>
      <c r="L69" s="50">
        <v>0</v>
      </c>
      <c r="M69" s="50">
        <v>75</v>
      </c>
      <c r="N69" s="50">
        <v>0</v>
      </c>
      <c r="O69" s="15">
        <f t="shared" si="0"/>
        <v>62</v>
      </c>
      <c r="P69" s="15">
        <f t="shared" si="1"/>
        <v>137</v>
      </c>
      <c r="R69" s="8"/>
      <c r="T69"/>
    </row>
    <row r="70" spans="2:20" ht="23.1" customHeight="1" x14ac:dyDescent="0.25">
      <c r="B70" s="45" t="s">
        <v>110</v>
      </c>
      <c r="C70" s="50">
        <v>25</v>
      </c>
      <c r="D70" s="50">
        <v>0</v>
      </c>
      <c r="E70" s="50">
        <v>2</v>
      </c>
      <c r="F70" s="50">
        <v>18</v>
      </c>
      <c r="G70" s="50">
        <v>1</v>
      </c>
      <c r="H70" s="50">
        <v>0</v>
      </c>
      <c r="I70" s="50">
        <v>1</v>
      </c>
      <c r="J70" s="50">
        <v>0</v>
      </c>
      <c r="K70" s="50">
        <v>1</v>
      </c>
      <c r="L70" s="50">
        <v>1</v>
      </c>
      <c r="M70" s="50">
        <v>95</v>
      </c>
      <c r="N70" s="50">
        <v>0</v>
      </c>
      <c r="O70" s="15">
        <f t="shared" si="0"/>
        <v>49</v>
      </c>
      <c r="P70" s="15">
        <f t="shared" si="1"/>
        <v>144</v>
      </c>
      <c r="R70" s="8"/>
      <c r="T70"/>
    </row>
    <row r="71" spans="2:20" ht="23.1" customHeight="1" x14ac:dyDescent="0.25">
      <c r="B71" s="45" t="s">
        <v>111</v>
      </c>
      <c r="C71" s="50">
        <v>52</v>
      </c>
      <c r="D71" s="50">
        <v>1</v>
      </c>
      <c r="E71" s="50">
        <v>5</v>
      </c>
      <c r="F71" s="50">
        <v>19</v>
      </c>
      <c r="G71" s="50">
        <v>5</v>
      </c>
      <c r="H71" s="50">
        <v>2</v>
      </c>
      <c r="I71" s="50">
        <v>6</v>
      </c>
      <c r="J71" s="50">
        <v>2</v>
      </c>
      <c r="K71" s="50">
        <v>6</v>
      </c>
      <c r="L71" s="50">
        <v>1</v>
      </c>
      <c r="M71" s="50">
        <v>135</v>
      </c>
      <c r="N71" s="50">
        <v>0</v>
      </c>
      <c r="O71" s="15">
        <f t="shared" si="0"/>
        <v>99</v>
      </c>
      <c r="P71" s="15">
        <f t="shared" si="1"/>
        <v>234</v>
      </c>
      <c r="R71" s="8"/>
      <c r="T71"/>
    </row>
    <row r="72" spans="2:20" ht="23.1" customHeight="1" x14ac:dyDescent="0.25">
      <c r="B72" s="45" t="s">
        <v>112</v>
      </c>
      <c r="C72" s="50">
        <v>48</v>
      </c>
      <c r="D72" s="50">
        <v>0</v>
      </c>
      <c r="E72" s="50">
        <v>2</v>
      </c>
      <c r="F72" s="50">
        <v>15</v>
      </c>
      <c r="G72" s="50">
        <v>1</v>
      </c>
      <c r="H72" s="50">
        <v>0</v>
      </c>
      <c r="I72" s="50">
        <v>4</v>
      </c>
      <c r="J72" s="50">
        <v>4</v>
      </c>
      <c r="K72" s="50">
        <v>3</v>
      </c>
      <c r="L72" s="50">
        <v>1</v>
      </c>
      <c r="M72" s="50">
        <v>85</v>
      </c>
      <c r="N72" s="50">
        <v>0</v>
      </c>
      <c r="O72" s="15">
        <f t="shared" si="0"/>
        <v>78</v>
      </c>
      <c r="P72" s="15">
        <f t="shared" si="1"/>
        <v>163</v>
      </c>
      <c r="R72" s="8"/>
      <c r="T72"/>
    </row>
    <row r="73" spans="2:20" ht="23.1" customHeight="1" x14ac:dyDescent="0.25">
      <c r="B73" s="45" t="s">
        <v>113</v>
      </c>
      <c r="C73" s="50">
        <v>57</v>
      </c>
      <c r="D73" s="50">
        <v>0</v>
      </c>
      <c r="E73" s="50">
        <v>1</v>
      </c>
      <c r="F73" s="50">
        <v>15</v>
      </c>
      <c r="G73" s="50">
        <v>2</v>
      </c>
      <c r="H73" s="50">
        <v>1</v>
      </c>
      <c r="I73" s="50">
        <v>4</v>
      </c>
      <c r="J73" s="50">
        <v>2</v>
      </c>
      <c r="K73" s="50">
        <v>3</v>
      </c>
      <c r="L73" s="50">
        <v>0</v>
      </c>
      <c r="M73" s="50">
        <v>125</v>
      </c>
      <c r="N73" s="50">
        <v>0</v>
      </c>
      <c r="O73" s="15">
        <f t="shared" si="0"/>
        <v>85</v>
      </c>
      <c r="P73" s="15">
        <f t="shared" si="1"/>
        <v>210</v>
      </c>
      <c r="R73" s="8"/>
      <c r="T73"/>
    </row>
    <row r="74" spans="2:20" ht="23.1" customHeight="1" x14ac:dyDescent="0.25">
      <c r="B74" s="45" t="s">
        <v>114</v>
      </c>
      <c r="C74" s="50">
        <v>62</v>
      </c>
      <c r="D74" s="50">
        <v>0</v>
      </c>
      <c r="E74" s="50">
        <v>1</v>
      </c>
      <c r="F74" s="50">
        <v>24</v>
      </c>
      <c r="G74" s="50">
        <v>2</v>
      </c>
      <c r="H74" s="50">
        <v>4</v>
      </c>
      <c r="I74" s="50">
        <v>6</v>
      </c>
      <c r="J74" s="50">
        <v>7</v>
      </c>
      <c r="K74" s="50">
        <v>6</v>
      </c>
      <c r="L74" s="50">
        <v>0</v>
      </c>
      <c r="M74" s="50">
        <v>122</v>
      </c>
      <c r="N74" s="50">
        <v>0</v>
      </c>
      <c r="O74" s="15">
        <f t="shared" ref="O74:O105" si="35">SUM(C74:L74,N74)</f>
        <v>112</v>
      </c>
      <c r="P74" s="15">
        <f t="shared" ref="P74:P105" si="36">SUM(C74:N74)</f>
        <v>234</v>
      </c>
      <c r="R74" s="8"/>
      <c r="T74"/>
    </row>
    <row r="75" spans="2:20" ht="23.1" customHeight="1" x14ac:dyDescent="0.25">
      <c r="B75" s="45" t="s">
        <v>115</v>
      </c>
      <c r="C75" s="50">
        <v>55</v>
      </c>
      <c r="D75" s="50">
        <v>0</v>
      </c>
      <c r="E75" s="50">
        <v>1</v>
      </c>
      <c r="F75" s="50">
        <v>18</v>
      </c>
      <c r="G75" s="50">
        <v>2</v>
      </c>
      <c r="H75" s="50">
        <v>3</v>
      </c>
      <c r="I75" s="50">
        <v>2</v>
      </c>
      <c r="J75" s="50">
        <v>1</v>
      </c>
      <c r="K75" s="50">
        <v>3</v>
      </c>
      <c r="L75" s="50">
        <v>0</v>
      </c>
      <c r="M75" s="50">
        <v>97</v>
      </c>
      <c r="N75" s="50">
        <v>0</v>
      </c>
      <c r="O75" s="15">
        <f t="shared" si="35"/>
        <v>85</v>
      </c>
      <c r="P75" s="15">
        <f t="shared" si="36"/>
        <v>182</v>
      </c>
      <c r="R75" s="8"/>
      <c r="T75"/>
    </row>
    <row r="76" spans="2:20" ht="23.1" customHeight="1" x14ac:dyDescent="0.25">
      <c r="B76" s="45" t="s">
        <v>116</v>
      </c>
      <c r="C76" s="50">
        <v>45</v>
      </c>
      <c r="D76" s="50">
        <v>0</v>
      </c>
      <c r="E76" s="50">
        <v>0</v>
      </c>
      <c r="F76" s="50">
        <v>14</v>
      </c>
      <c r="G76" s="50">
        <v>1</v>
      </c>
      <c r="H76" s="50">
        <v>2</v>
      </c>
      <c r="I76" s="50">
        <v>0</v>
      </c>
      <c r="J76" s="50">
        <v>5</v>
      </c>
      <c r="K76" s="50">
        <v>1</v>
      </c>
      <c r="L76" s="50">
        <v>1</v>
      </c>
      <c r="M76" s="50">
        <v>96</v>
      </c>
      <c r="N76" s="50">
        <v>0</v>
      </c>
      <c r="O76" s="15">
        <f t="shared" si="35"/>
        <v>69</v>
      </c>
      <c r="P76" s="15">
        <f t="shared" si="36"/>
        <v>165</v>
      </c>
      <c r="R76" s="8"/>
      <c r="T76"/>
    </row>
    <row r="77" spans="2:20" ht="23.1" customHeight="1" x14ac:dyDescent="0.25">
      <c r="B77" s="45" t="s">
        <v>117</v>
      </c>
      <c r="C77" s="50">
        <v>46</v>
      </c>
      <c r="D77" s="50">
        <v>5</v>
      </c>
      <c r="E77" s="50">
        <v>1</v>
      </c>
      <c r="F77" s="50">
        <v>20</v>
      </c>
      <c r="G77" s="50">
        <v>0</v>
      </c>
      <c r="H77" s="50">
        <v>0</v>
      </c>
      <c r="I77" s="50">
        <v>3</v>
      </c>
      <c r="J77" s="50">
        <v>5</v>
      </c>
      <c r="K77" s="50">
        <v>1</v>
      </c>
      <c r="L77" s="50">
        <v>0</v>
      </c>
      <c r="M77" s="50">
        <v>92</v>
      </c>
      <c r="N77" s="50">
        <v>0</v>
      </c>
      <c r="O77" s="15">
        <f t="shared" si="35"/>
        <v>81</v>
      </c>
      <c r="P77" s="15">
        <f t="shared" si="36"/>
        <v>173</v>
      </c>
      <c r="R77" s="8"/>
      <c r="T77"/>
    </row>
    <row r="78" spans="2:20" ht="23.1" customHeight="1" x14ac:dyDescent="0.25">
      <c r="B78" s="46" t="s">
        <v>118</v>
      </c>
      <c r="C78" s="50">
        <v>16</v>
      </c>
      <c r="D78" s="50">
        <v>0</v>
      </c>
      <c r="E78" s="50">
        <v>0</v>
      </c>
      <c r="F78" s="50">
        <v>9</v>
      </c>
      <c r="G78" s="50">
        <v>0</v>
      </c>
      <c r="H78" s="50">
        <v>0</v>
      </c>
      <c r="I78" s="50">
        <v>1</v>
      </c>
      <c r="J78" s="50">
        <v>2</v>
      </c>
      <c r="K78" s="50">
        <v>1</v>
      </c>
      <c r="L78" s="50">
        <v>0</v>
      </c>
      <c r="M78" s="50">
        <v>28</v>
      </c>
      <c r="N78" s="50">
        <v>0</v>
      </c>
      <c r="O78" s="15">
        <f t="shared" si="35"/>
        <v>29</v>
      </c>
      <c r="P78" s="15">
        <f t="shared" si="36"/>
        <v>57</v>
      </c>
      <c r="R78" s="8"/>
      <c r="T78"/>
    </row>
    <row r="79" spans="2:20" ht="23.1" customHeight="1" x14ac:dyDescent="0.25">
      <c r="B79" s="45" t="s">
        <v>119</v>
      </c>
      <c r="C79" s="50">
        <v>13</v>
      </c>
      <c r="D79" s="50">
        <v>0</v>
      </c>
      <c r="E79" s="50">
        <v>0</v>
      </c>
      <c r="F79" s="50">
        <v>7</v>
      </c>
      <c r="G79" s="50">
        <v>0</v>
      </c>
      <c r="H79" s="50">
        <v>2</v>
      </c>
      <c r="I79" s="50">
        <v>1</v>
      </c>
      <c r="J79" s="50">
        <v>1</v>
      </c>
      <c r="K79" s="50">
        <v>0</v>
      </c>
      <c r="L79" s="50">
        <v>0</v>
      </c>
      <c r="M79" s="50">
        <v>12</v>
      </c>
      <c r="N79" s="50">
        <v>0</v>
      </c>
      <c r="O79" s="15">
        <f t="shared" si="35"/>
        <v>24</v>
      </c>
      <c r="P79" s="15">
        <f t="shared" si="36"/>
        <v>36</v>
      </c>
      <c r="R79" s="8"/>
      <c r="T79"/>
    </row>
    <row r="80" spans="2:20" ht="23.1" customHeight="1" x14ac:dyDescent="0.25">
      <c r="B80" s="47" t="s">
        <v>120</v>
      </c>
      <c r="C80" s="50">
        <v>6</v>
      </c>
      <c r="D80" s="50">
        <v>0</v>
      </c>
      <c r="E80" s="50">
        <v>0</v>
      </c>
      <c r="F80" s="50">
        <v>3</v>
      </c>
      <c r="G80" s="50">
        <v>0</v>
      </c>
      <c r="H80" s="50">
        <v>0</v>
      </c>
      <c r="I80" s="50">
        <v>0</v>
      </c>
      <c r="J80" s="50">
        <v>0</v>
      </c>
      <c r="K80" s="50">
        <v>1</v>
      </c>
      <c r="L80" s="50">
        <v>0</v>
      </c>
      <c r="M80" s="50">
        <v>17</v>
      </c>
      <c r="N80" s="50">
        <v>0</v>
      </c>
      <c r="O80" s="15">
        <f t="shared" si="35"/>
        <v>10</v>
      </c>
      <c r="P80" s="15">
        <f t="shared" si="36"/>
        <v>27</v>
      </c>
      <c r="R80" s="8"/>
      <c r="T80"/>
    </row>
    <row r="81" spans="2:20" ht="23.1" customHeight="1" x14ac:dyDescent="0.25">
      <c r="B81" s="45" t="s">
        <v>121</v>
      </c>
      <c r="C81" s="50">
        <v>4</v>
      </c>
      <c r="D81" s="50">
        <v>0</v>
      </c>
      <c r="E81" s="50">
        <v>0</v>
      </c>
      <c r="F81" s="50">
        <v>5</v>
      </c>
      <c r="G81" s="50">
        <v>0</v>
      </c>
      <c r="H81" s="50">
        <v>0</v>
      </c>
      <c r="I81" s="50">
        <v>0</v>
      </c>
      <c r="J81" s="50">
        <v>2</v>
      </c>
      <c r="K81" s="50">
        <v>1</v>
      </c>
      <c r="L81" s="50">
        <v>0</v>
      </c>
      <c r="M81" s="50">
        <v>19</v>
      </c>
      <c r="N81" s="50">
        <v>0</v>
      </c>
      <c r="O81" s="15">
        <f t="shared" si="35"/>
        <v>12</v>
      </c>
      <c r="P81" s="15">
        <f t="shared" si="36"/>
        <v>31</v>
      </c>
      <c r="R81" s="8"/>
      <c r="T81"/>
    </row>
    <row r="82" spans="2:20" ht="23.1" customHeight="1" x14ac:dyDescent="0.25">
      <c r="B82" s="46" t="s">
        <v>122</v>
      </c>
      <c r="C82" s="50">
        <v>15</v>
      </c>
      <c r="D82" s="50">
        <v>0</v>
      </c>
      <c r="E82" s="50">
        <v>2</v>
      </c>
      <c r="F82" s="50">
        <v>5</v>
      </c>
      <c r="G82" s="50">
        <v>0</v>
      </c>
      <c r="H82" s="50">
        <v>0</v>
      </c>
      <c r="I82" s="50">
        <v>0</v>
      </c>
      <c r="J82" s="50">
        <v>2</v>
      </c>
      <c r="K82" s="50">
        <v>5</v>
      </c>
      <c r="L82" s="50">
        <v>1</v>
      </c>
      <c r="M82" s="50">
        <v>56</v>
      </c>
      <c r="N82" s="50">
        <v>0</v>
      </c>
      <c r="O82" s="15">
        <f t="shared" si="35"/>
        <v>30</v>
      </c>
      <c r="P82" s="15">
        <f t="shared" si="36"/>
        <v>86</v>
      </c>
      <c r="R82" s="8"/>
      <c r="T82"/>
    </row>
    <row r="83" spans="2:20" ht="23.1" customHeight="1" x14ac:dyDescent="0.25">
      <c r="B83" s="45" t="s">
        <v>123</v>
      </c>
      <c r="C83" s="50">
        <v>19</v>
      </c>
      <c r="D83" s="50">
        <v>0</v>
      </c>
      <c r="E83" s="50">
        <v>0</v>
      </c>
      <c r="F83" s="50">
        <v>5</v>
      </c>
      <c r="G83" s="50">
        <v>0</v>
      </c>
      <c r="H83" s="50">
        <v>0</v>
      </c>
      <c r="I83" s="50">
        <v>1</v>
      </c>
      <c r="J83" s="50">
        <v>1</v>
      </c>
      <c r="K83" s="50">
        <v>10</v>
      </c>
      <c r="L83" s="50">
        <v>0</v>
      </c>
      <c r="M83" s="50">
        <v>52</v>
      </c>
      <c r="N83" s="50">
        <v>0</v>
      </c>
      <c r="O83" s="15">
        <f t="shared" si="35"/>
        <v>36</v>
      </c>
      <c r="P83" s="15">
        <f t="shared" si="36"/>
        <v>88</v>
      </c>
      <c r="R83" s="8"/>
      <c r="T83"/>
    </row>
    <row r="84" spans="2:20" ht="23.1" customHeight="1" x14ac:dyDescent="0.25">
      <c r="B84" s="47" t="s">
        <v>124</v>
      </c>
      <c r="C84" s="50">
        <v>18</v>
      </c>
      <c r="D84" s="50">
        <v>0</v>
      </c>
      <c r="E84" s="50">
        <v>1</v>
      </c>
      <c r="F84" s="50">
        <v>2</v>
      </c>
      <c r="G84" s="50">
        <v>0</v>
      </c>
      <c r="H84" s="50">
        <v>0</v>
      </c>
      <c r="I84" s="50">
        <v>0</v>
      </c>
      <c r="J84" s="50">
        <v>4</v>
      </c>
      <c r="K84" s="50">
        <v>4</v>
      </c>
      <c r="L84" s="50">
        <v>2</v>
      </c>
      <c r="M84" s="50">
        <v>41</v>
      </c>
      <c r="N84" s="50">
        <v>0</v>
      </c>
      <c r="O84" s="15">
        <f t="shared" si="35"/>
        <v>31</v>
      </c>
      <c r="P84" s="15">
        <f t="shared" si="36"/>
        <v>72</v>
      </c>
      <c r="R84" s="8"/>
      <c r="T84"/>
    </row>
    <row r="85" spans="2:20" ht="23.1" customHeight="1" x14ac:dyDescent="0.25">
      <c r="B85" s="45" t="s">
        <v>125</v>
      </c>
      <c r="C85" s="50">
        <v>9</v>
      </c>
      <c r="D85" s="50">
        <v>0</v>
      </c>
      <c r="E85" s="50">
        <v>0</v>
      </c>
      <c r="F85" s="50">
        <v>2</v>
      </c>
      <c r="G85" s="50">
        <v>0</v>
      </c>
      <c r="H85" s="50">
        <v>0</v>
      </c>
      <c r="I85" s="50">
        <v>0</v>
      </c>
      <c r="J85" s="50">
        <v>4</v>
      </c>
      <c r="K85" s="50">
        <v>2</v>
      </c>
      <c r="L85" s="50">
        <v>0</v>
      </c>
      <c r="M85" s="50">
        <v>30</v>
      </c>
      <c r="N85" s="50">
        <v>0</v>
      </c>
      <c r="O85" s="15">
        <f t="shared" si="35"/>
        <v>17</v>
      </c>
      <c r="P85" s="15">
        <f t="shared" si="36"/>
        <v>47</v>
      </c>
      <c r="R85" s="8"/>
      <c r="T85"/>
    </row>
    <row r="86" spans="2:20" ht="23.1" customHeight="1" x14ac:dyDescent="0.25">
      <c r="B86" s="46" t="s">
        <v>126</v>
      </c>
      <c r="C86" s="50">
        <v>6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2</v>
      </c>
      <c r="J86" s="50">
        <v>0</v>
      </c>
      <c r="K86" s="50">
        <v>2</v>
      </c>
      <c r="L86" s="50">
        <v>0</v>
      </c>
      <c r="M86" s="50">
        <v>34</v>
      </c>
      <c r="N86" s="50">
        <v>0</v>
      </c>
      <c r="O86" s="15">
        <f t="shared" si="35"/>
        <v>11</v>
      </c>
      <c r="P86" s="15">
        <f t="shared" si="36"/>
        <v>45</v>
      </c>
      <c r="R86" s="8"/>
      <c r="T86"/>
    </row>
    <row r="87" spans="2:20" ht="23.1" customHeight="1" x14ac:dyDescent="0.25">
      <c r="B87" s="45" t="s">
        <v>127</v>
      </c>
      <c r="C87" s="50">
        <v>12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2</v>
      </c>
      <c r="J87" s="50">
        <v>2</v>
      </c>
      <c r="K87" s="50">
        <v>2</v>
      </c>
      <c r="L87" s="50">
        <v>0</v>
      </c>
      <c r="M87" s="50">
        <v>34</v>
      </c>
      <c r="N87" s="50">
        <v>0</v>
      </c>
      <c r="O87" s="15">
        <f t="shared" si="35"/>
        <v>18</v>
      </c>
      <c r="P87" s="15">
        <f t="shared" si="36"/>
        <v>52</v>
      </c>
      <c r="R87" s="8"/>
      <c r="T87"/>
    </row>
    <row r="88" spans="2:20" ht="23.1" customHeight="1" x14ac:dyDescent="0.25">
      <c r="B88" s="47" t="s">
        <v>128</v>
      </c>
      <c r="C88" s="50">
        <v>12</v>
      </c>
      <c r="D88" s="50">
        <v>0</v>
      </c>
      <c r="E88" s="50">
        <v>0</v>
      </c>
      <c r="F88" s="50">
        <v>1</v>
      </c>
      <c r="G88" s="50">
        <v>0</v>
      </c>
      <c r="H88" s="50">
        <v>0</v>
      </c>
      <c r="I88" s="50">
        <v>0</v>
      </c>
      <c r="J88" s="50">
        <v>3</v>
      </c>
      <c r="K88" s="50">
        <v>4</v>
      </c>
      <c r="L88" s="50">
        <v>0</v>
      </c>
      <c r="M88" s="50">
        <v>24</v>
      </c>
      <c r="N88" s="50">
        <v>0</v>
      </c>
      <c r="O88" s="15">
        <f t="shared" si="35"/>
        <v>20</v>
      </c>
      <c r="P88" s="15">
        <f t="shared" si="36"/>
        <v>44</v>
      </c>
      <c r="R88" s="8"/>
      <c r="T88"/>
    </row>
    <row r="89" spans="2:20" ht="23.1" customHeight="1" x14ac:dyDescent="0.25">
      <c r="B89" s="45" t="s">
        <v>129</v>
      </c>
      <c r="C89" s="50">
        <v>18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4</v>
      </c>
      <c r="K89" s="50">
        <v>2</v>
      </c>
      <c r="L89" s="50">
        <v>1</v>
      </c>
      <c r="M89" s="50">
        <v>32</v>
      </c>
      <c r="N89" s="50">
        <v>0</v>
      </c>
      <c r="O89" s="15">
        <f t="shared" si="35"/>
        <v>25</v>
      </c>
      <c r="P89" s="15">
        <f t="shared" si="36"/>
        <v>57</v>
      </c>
      <c r="R89" s="8"/>
      <c r="T89"/>
    </row>
    <row r="90" spans="2:20" ht="23.1" customHeight="1" x14ac:dyDescent="0.25">
      <c r="B90" s="46" t="s">
        <v>130</v>
      </c>
      <c r="C90" s="50">
        <v>10</v>
      </c>
      <c r="D90" s="50">
        <v>0</v>
      </c>
      <c r="E90" s="50">
        <v>1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2</v>
      </c>
      <c r="L90" s="50">
        <v>0</v>
      </c>
      <c r="M90" s="50">
        <v>27</v>
      </c>
      <c r="N90" s="50">
        <v>0</v>
      </c>
      <c r="O90" s="15">
        <f t="shared" si="35"/>
        <v>14</v>
      </c>
      <c r="P90" s="15">
        <f t="shared" si="36"/>
        <v>41</v>
      </c>
      <c r="R90" s="8"/>
      <c r="T90"/>
    </row>
    <row r="91" spans="2:20" ht="23.1" customHeight="1" x14ac:dyDescent="0.25">
      <c r="B91" s="45" t="s">
        <v>131</v>
      </c>
      <c r="C91" s="50">
        <v>8</v>
      </c>
      <c r="D91" s="50">
        <v>0</v>
      </c>
      <c r="E91" s="50">
        <v>0</v>
      </c>
      <c r="F91" s="50">
        <v>1</v>
      </c>
      <c r="G91" s="50">
        <v>0</v>
      </c>
      <c r="H91" s="50">
        <v>0</v>
      </c>
      <c r="I91" s="50">
        <v>0</v>
      </c>
      <c r="J91" s="50">
        <v>1</v>
      </c>
      <c r="K91" s="50">
        <v>3</v>
      </c>
      <c r="L91" s="50">
        <v>0</v>
      </c>
      <c r="M91" s="50">
        <v>23</v>
      </c>
      <c r="N91" s="50">
        <v>0</v>
      </c>
      <c r="O91" s="15">
        <f t="shared" si="35"/>
        <v>13</v>
      </c>
      <c r="P91" s="15">
        <f t="shared" si="36"/>
        <v>36</v>
      </c>
      <c r="R91" s="8"/>
      <c r="T91"/>
    </row>
    <row r="92" spans="2:20" ht="23.1" customHeight="1" x14ac:dyDescent="0.25">
      <c r="B92" s="47" t="s">
        <v>132</v>
      </c>
      <c r="C92" s="50">
        <v>10</v>
      </c>
      <c r="D92" s="50">
        <v>0</v>
      </c>
      <c r="E92" s="50">
        <v>0</v>
      </c>
      <c r="F92" s="50">
        <v>0</v>
      </c>
      <c r="G92" s="50">
        <v>1</v>
      </c>
      <c r="H92" s="50">
        <v>0</v>
      </c>
      <c r="I92" s="50">
        <v>0</v>
      </c>
      <c r="J92" s="50">
        <v>0</v>
      </c>
      <c r="K92" s="50">
        <v>4</v>
      </c>
      <c r="L92" s="50">
        <v>0</v>
      </c>
      <c r="M92" s="50">
        <v>29</v>
      </c>
      <c r="N92" s="50">
        <v>0</v>
      </c>
      <c r="O92" s="15">
        <f t="shared" si="35"/>
        <v>15</v>
      </c>
      <c r="P92" s="15">
        <f t="shared" si="36"/>
        <v>44</v>
      </c>
      <c r="R92" s="8"/>
      <c r="T92"/>
    </row>
    <row r="93" spans="2:20" ht="23.1" customHeight="1" x14ac:dyDescent="0.25">
      <c r="B93" s="45" t="s">
        <v>133</v>
      </c>
      <c r="C93" s="50">
        <v>7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2</v>
      </c>
      <c r="L93" s="50">
        <v>1</v>
      </c>
      <c r="M93" s="50">
        <v>19</v>
      </c>
      <c r="N93" s="50">
        <v>0</v>
      </c>
      <c r="O93" s="15">
        <f t="shared" si="35"/>
        <v>11</v>
      </c>
      <c r="P93" s="15">
        <f t="shared" si="36"/>
        <v>30</v>
      </c>
      <c r="R93" s="8"/>
      <c r="T93"/>
    </row>
    <row r="94" spans="2:20" ht="23.1" customHeight="1" x14ac:dyDescent="0.25">
      <c r="B94" s="46" t="s">
        <v>134</v>
      </c>
      <c r="C94" s="50">
        <v>13</v>
      </c>
      <c r="D94" s="50">
        <v>0</v>
      </c>
      <c r="E94" s="50">
        <v>0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3</v>
      </c>
      <c r="L94" s="50">
        <v>0</v>
      </c>
      <c r="M94" s="50">
        <v>18</v>
      </c>
      <c r="N94" s="50">
        <v>0</v>
      </c>
      <c r="O94" s="15">
        <f t="shared" si="35"/>
        <v>17</v>
      </c>
      <c r="P94" s="15">
        <f t="shared" si="36"/>
        <v>35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4</v>
      </c>
      <c r="G95" s="50">
        <v>0</v>
      </c>
      <c r="H95" s="50">
        <v>0</v>
      </c>
      <c r="I95" s="50">
        <v>3</v>
      </c>
      <c r="J95" s="50">
        <v>2</v>
      </c>
      <c r="K95" s="50">
        <v>0</v>
      </c>
      <c r="L95" s="50">
        <v>0</v>
      </c>
      <c r="M95" s="50">
        <v>18</v>
      </c>
      <c r="N95" s="50">
        <v>0</v>
      </c>
      <c r="O95" s="15">
        <f t="shared" si="35"/>
        <v>10</v>
      </c>
      <c r="P95" s="15">
        <f t="shared" si="36"/>
        <v>28</v>
      </c>
      <c r="R95" s="8"/>
      <c r="T95"/>
    </row>
    <row r="96" spans="2:20" ht="23.1" customHeight="1" x14ac:dyDescent="0.25">
      <c r="B96" s="47" t="s">
        <v>136</v>
      </c>
      <c r="C96" s="50">
        <v>9</v>
      </c>
      <c r="D96" s="50">
        <v>0</v>
      </c>
      <c r="E96" s="50">
        <v>1</v>
      </c>
      <c r="F96" s="50">
        <v>0</v>
      </c>
      <c r="G96" s="50">
        <v>0</v>
      </c>
      <c r="H96" s="50">
        <v>0</v>
      </c>
      <c r="I96" s="50">
        <v>1</v>
      </c>
      <c r="J96" s="50">
        <v>4</v>
      </c>
      <c r="K96" s="50">
        <v>7</v>
      </c>
      <c r="L96" s="50">
        <v>0</v>
      </c>
      <c r="M96" s="50">
        <v>11</v>
      </c>
      <c r="N96" s="50">
        <v>0</v>
      </c>
      <c r="O96" s="15">
        <f t="shared" si="35"/>
        <v>22</v>
      </c>
      <c r="P96" s="15">
        <f t="shared" si="36"/>
        <v>33</v>
      </c>
      <c r="R96" s="8"/>
      <c r="T96"/>
    </row>
    <row r="97" spans="2:20" ht="23.1" customHeight="1" x14ac:dyDescent="0.25">
      <c r="B97" s="45" t="s">
        <v>137</v>
      </c>
      <c r="C97" s="50">
        <v>3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0</v>
      </c>
      <c r="J97" s="50">
        <v>0</v>
      </c>
      <c r="K97" s="50">
        <v>1</v>
      </c>
      <c r="L97" s="50">
        <v>0</v>
      </c>
      <c r="M97" s="50">
        <v>13</v>
      </c>
      <c r="N97" s="50">
        <v>0</v>
      </c>
      <c r="O97" s="15">
        <f t="shared" si="35"/>
        <v>6</v>
      </c>
      <c r="P97" s="15">
        <f t="shared" si="36"/>
        <v>19</v>
      </c>
      <c r="R97" s="8"/>
      <c r="T97"/>
    </row>
    <row r="98" spans="2:20" ht="23.1" customHeight="1" x14ac:dyDescent="0.25">
      <c r="B98" s="46" t="s">
        <v>138</v>
      </c>
      <c r="C98" s="50">
        <v>13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2</v>
      </c>
      <c r="K98" s="50">
        <v>3</v>
      </c>
      <c r="L98" s="50">
        <v>0</v>
      </c>
      <c r="M98" s="50">
        <v>8</v>
      </c>
      <c r="N98" s="50">
        <v>0</v>
      </c>
      <c r="O98" s="15">
        <f t="shared" si="35"/>
        <v>19</v>
      </c>
      <c r="P98" s="15">
        <f t="shared" si="36"/>
        <v>27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1</v>
      </c>
      <c r="E99" s="50">
        <v>1</v>
      </c>
      <c r="F99" s="50">
        <v>4</v>
      </c>
      <c r="G99" s="50">
        <v>0</v>
      </c>
      <c r="H99" s="50">
        <v>0</v>
      </c>
      <c r="I99" s="50">
        <v>1</v>
      </c>
      <c r="J99" s="50">
        <v>3</v>
      </c>
      <c r="K99" s="50">
        <v>2</v>
      </c>
      <c r="L99" s="50">
        <v>1</v>
      </c>
      <c r="M99" s="50">
        <v>27</v>
      </c>
      <c r="N99" s="50">
        <v>0</v>
      </c>
      <c r="O99" s="15">
        <f t="shared" si="35"/>
        <v>16</v>
      </c>
      <c r="P99" s="15">
        <f t="shared" si="36"/>
        <v>43</v>
      </c>
      <c r="R99" s="8"/>
      <c r="T99"/>
    </row>
    <row r="100" spans="2:20" ht="23.1" customHeight="1" x14ac:dyDescent="0.25">
      <c r="B100" s="47" t="s">
        <v>140</v>
      </c>
      <c r="C100" s="50">
        <v>8</v>
      </c>
      <c r="D100" s="50">
        <v>7</v>
      </c>
      <c r="E100" s="50">
        <v>0</v>
      </c>
      <c r="F100" s="50">
        <v>4</v>
      </c>
      <c r="G100" s="50">
        <v>0</v>
      </c>
      <c r="H100" s="50">
        <v>0</v>
      </c>
      <c r="I100" s="50">
        <v>2</v>
      </c>
      <c r="J100" s="50">
        <v>4</v>
      </c>
      <c r="K100" s="50">
        <v>4</v>
      </c>
      <c r="L100" s="50">
        <v>2</v>
      </c>
      <c r="M100" s="50">
        <v>22</v>
      </c>
      <c r="N100" s="50">
        <v>0</v>
      </c>
      <c r="O100" s="15">
        <f t="shared" si="35"/>
        <v>31</v>
      </c>
      <c r="P100" s="15">
        <f t="shared" si="36"/>
        <v>53</v>
      </c>
      <c r="R100" s="8"/>
      <c r="T100"/>
    </row>
    <row r="101" spans="2:20" ht="23.1" customHeight="1" x14ac:dyDescent="0.25">
      <c r="B101" s="45" t="s">
        <v>141</v>
      </c>
      <c r="C101" s="50">
        <v>12</v>
      </c>
      <c r="D101" s="50">
        <v>0</v>
      </c>
      <c r="E101" s="50">
        <v>1</v>
      </c>
      <c r="F101" s="50">
        <v>8</v>
      </c>
      <c r="G101" s="50">
        <v>0</v>
      </c>
      <c r="H101" s="50">
        <v>0</v>
      </c>
      <c r="I101" s="50">
        <v>1</v>
      </c>
      <c r="J101" s="50">
        <v>1</v>
      </c>
      <c r="K101" s="50">
        <v>4</v>
      </c>
      <c r="L101" s="50">
        <v>1</v>
      </c>
      <c r="M101" s="50">
        <v>25</v>
      </c>
      <c r="N101" s="50">
        <v>0</v>
      </c>
      <c r="O101" s="15">
        <f t="shared" si="35"/>
        <v>28</v>
      </c>
      <c r="P101" s="15">
        <f t="shared" si="36"/>
        <v>53</v>
      </c>
      <c r="R101" s="8"/>
      <c r="T101"/>
    </row>
    <row r="102" spans="2:20" ht="23.1" customHeight="1" x14ac:dyDescent="0.25">
      <c r="B102" s="46" t="s">
        <v>142</v>
      </c>
      <c r="C102" s="50">
        <v>8</v>
      </c>
      <c r="D102" s="50">
        <v>0</v>
      </c>
      <c r="E102" s="50">
        <v>1</v>
      </c>
      <c r="F102" s="50">
        <v>7</v>
      </c>
      <c r="G102" s="50">
        <v>0</v>
      </c>
      <c r="H102" s="50">
        <v>1</v>
      </c>
      <c r="I102" s="50">
        <v>0</v>
      </c>
      <c r="J102" s="50">
        <v>1</v>
      </c>
      <c r="K102" s="50">
        <v>1</v>
      </c>
      <c r="L102" s="50">
        <v>0</v>
      </c>
      <c r="M102" s="50">
        <v>22</v>
      </c>
      <c r="N102" s="50">
        <v>0</v>
      </c>
      <c r="O102" s="15">
        <f t="shared" si="35"/>
        <v>19</v>
      </c>
      <c r="P102" s="15">
        <f t="shared" si="36"/>
        <v>41</v>
      </c>
      <c r="R102" s="8"/>
      <c r="T102"/>
    </row>
    <row r="103" spans="2:20" ht="23.1" customHeight="1" x14ac:dyDescent="0.25">
      <c r="B103" s="45" t="s">
        <v>143</v>
      </c>
      <c r="C103" s="50">
        <v>6</v>
      </c>
      <c r="D103" s="50">
        <v>0</v>
      </c>
      <c r="E103" s="50">
        <v>0</v>
      </c>
      <c r="F103" s="50">
        <v>5</v>
      </c>
      <c r="G103" s="50">
        <v>0</v>
      </c>
      <c r="H103" s="50">
        <v>0</v>
      </c>
      <c r="I103" s="50">
        <v>0</v>
      </c>
      <c r="J103" s="50">
        <v>2</v>
      </c>
      <c r="K103" s="50">
        <v>3</v>
      </c>
      <c r="L103" s="50">
        <v>5</v>
      </c>
      <c r="M103" s="50">
        <v>23</v>
      </c>
      <c r="N103" s="50">
        <v>0</v>
      </c>
      <c r="O103" s="15">
        <f t="shared" si="35"/>
        <v>21</v>
      </c>
      <c r="P103" s="15">
        <f t="shared" si="36"/>
        <v>44</v>
      </c>
      <c r="R103" s="8"/>
      <c r="T103"/>
    </row>
    <row r="104" spans="2:20" ht="23.1" customHeight="1" x14ac:dyDescent="0.25">
      <c r="B104" s="47" t="s">
        <v>144</v>
      </c>
      <c r="C104" s="50">
        <v>14</v>
      </c>
      <c r="D104" s="50">
        <v>0</v>
      </c>
      <c r="E104" s="50">
        <v>1</v>
      </c>
      <c r="F104" s="50">
        <v>15</v>
      </c>
      <c r="G104" s="50">
        <v>0</v>
      </c>
      <c r="H104" s="50">
        <v>0</v>
      </c>
      <c r="I104" s="50">
        <v>2</v>
      </c>
      <c r="J104" s="50">
        <v>6</v>
      </c>
      <c r="K104" s="50">
        <v>4</v>
      </c>
      <c r="L104" s="50">
        <v>4</v>
      </c>
      <c r="M104" s="50">
        <v>63</v>
      </c>
      <c r="N104" s="50">
        <v>0</v>
      </c>
      <c r="O104" s="15">
        <f t="shared" si="35"/>
        <v>46</v>
      </c>
      <c r="P104" s="15">
        <f t="shared" si="36"/>
        <v>109</v>
      </c>
      <c r="R104" s="8"/>
      <c r="T104"/>
    </row>
    <row r="105" spans="2:20" ht="23.1" customHeight="1" x14ac:dyDescent="0.25">
      <c r="B105" s="45" t="s">
        <v>145</v>
      </c>
      <c r="C105" s="50">
        <v>14</v>
      </c>
      <c r="D105" s="50">
        <v>0</v>
      </c>
      <c r="E105" s="50">
        <v>3</v>
      </c>
      <c r="F105" s="50">
        <v>14</v>
      </c>
      <c r="G105" s="50">
        <v>1</v>
      </c>
      <c r="H105" s="50">
        <v>0</v>
      </c>
      <c r="I105" s="50">
        <v>4</v>
      </c>
      <c r="J105" s="50">
        <v>7</v>
      </c>
      <c r="K105" s="50">
        <v>5</v>
      </c>
      <c r="L105" s="50">
        <v>0</v>
      </c>
      <c r="M105" s="50">
        <v>56</v>
      </c>
      <c r="N105" s="50">
        <v>0</v>
      </c>
      <c r="O105" s="15">
        <f t="shared" si="35"/>
        <v>48</v>
      </c>
      <c r="P105" s="15">
        <f t="shared" si="36"/>
        <v>104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2484</v>
      </c>
      <c r="D106" s="16">
        <f t="shared" ref="D106:P106" si="37">SUM(D10:D105)</f>
        <v>280</v>
      </c>
      <c r="E106" s="16">
        <f t="shared" si="37"/>
        <v>363</v>
      </c>
      <c r="F106" s="16">
        <f t="shared" si="37"/>
        <v>1779</v>
      </c>
      <c r="G106" s="16">
        <f t="shared" si="37"/>
        <v>230</v>
      </c>
      <c r="H106" s="16">
        <f t="shared" si="37"/>
        <v>69</v>
      </c>
      <c r="I106" s="16">
        <f t="shared" si="37"/>
        <v>475</v>
      </c>
      <c r="J106" s="16">
        <f t="shared" si="37"/>
        <v>304</v>
      </c>
      <c r="K106" s="16">
        <f t="shared" si="37"/>
        <v>212</v>
      </c>
      <c r="L106" s="16">
        <f t="shared" si="37"/>
        <v>129</v>
      </c>
      <c r="M106" s="16">
        <f t="shared" si="37"/>
        <v>9299</v>
      </c>
      <c r="N106" s="16">
        <f t="shared" si="37"/>
        <v>0</v>
      </c>
      <c r="O106" s="16">
        <f t="shared" si="37"/>
        <v>6325</v>
      </c>
      <c r="P106" s="16">
        <f t="shared" si="37"/>
        <v>15624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0.15898617511520738</v>
      </c>
      <c r="D107" s="43">
        <f t="shared" si="38"/>
        <v>1.7921146953405017E-2</v>
      </c>
      <c r="E107" s="43">
        <f t="shared" si="38"/>
        <v>2.3233486943164364E-2</v>
      </c>
      <c r="F107" s="43">
        <f t="shared" si="38"/>
        <v>0.11386328725038403</v>
      </c>
      <c r="G107" s="43">
        <f t="shared" si="38"/>
        <v>1.472094214029698E-2</v>
      </c>
      <c r="H107" s="43">
        <f t="shared" si="38"/>
        <v>4.4162826420890934E-3</v>
      </c>
      <c r="I107" s="43">
        <f t="shared" si="38"/>
        <v>3.0401945724526369E-2</v>
      </c>
      <c r="J107" s="43">
        <f t="shared" si="38"/>
        <v>1.9457245263696878E-2</v>
      </c>
      <c r="K107" s="43">
        <f t="shared" si="38"/>
        <v>1.3568868407578085E-2</v>
      </c>
      <c r="L107" s="43">
        <f t="shared" si="38"/>
        <v>8.2565284178187405E-3</v>
      </c>
      <c r="M107" s="43">
        <f t="shared" si="38"/>
        <v>0.59517409114183306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0.3927272727272727</v>
      </c>
      <c r="D108" s="44">
        <f t="shared" ref="D108:N108" si="39">D106/$O$106</f>
        <v>4.4268774703557313E-2</v>
      </c>
      <c r="E108" s="44">
        <f t="shared" si="39"/>
        <v>5.7391304347826085E-2</v>
      </c>
      <c r="F108" s="44">
        <f t="shared" si="39"/>
        <v>0.28126482213438736</v>
      </c>
      <c r="G108" s="44">
        <f t="shared" si="39"/>
        <v>3.6363636363636362E-2</v>
      </c>
      <c r="H108" s="44">
        <f t="shared" si="39"/>
        <v>1.090909090909091E-2</v>
      </c>
      <c r="I108" s="44">
        <f t="shared" si="39"/>
        <v>7.5098814229249009E-2</v>
      </c>
      <c r="J108" s="44">
        <f t="shared" si="39"/>
        <v>4.8063241106719369E-2</v>
      </c>
      <c r="K108" s="44">
        <f t="shared" si="39"/>
        <v>3.351778656126482E-2</v>
      </c>
      <c r="L108" s="44">
        <f t="shared" si="39"/>
        <v>2.0395256916996049E-2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G121" sqref="G12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Bwaise-Kawempe'!C3:G3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Bwaise-Kawempe-24h'!D5</f>
        <v>27.07.19</v>
      </c>
      <c r="E5" s="3"/>
      <c r="F5" s="41" t="s">
        <v>1</v>
      </c>
      <c r="G5" s="63" t="str">
        <f>'27.07 Bwaise-Kawempe-24h'!G5:H5</f>
        <v>Before Steel and Tube</v>
      </c>
      <c r="H5" s="64"/>
      <c r="I5" s="14"/>
      <c r="J5" s="2" t="s">
        <v>5</v>
      </c>
      <c r="K5" s="63" t="s">
        <v>183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kawempe-Bwaise'!D6:E6</f>
        <v>Kawempe</v>
      </c>
      <c r="E6" s="64"/>
      <c r="F6" s="2" t="s">
        <v>2</v>
      </c>
      <c r="G6" s="63" t="str">
        <f>'22.07 kawempe-Bwaise'!G6:H6</f>
        <v>Bwaise</v>
      </c>
      <c r="H6" s="64"/>
      <c r="J6" s="2" t="s">
        <v>21</v>
      </c>
      <c r="K6" s="63" t="str">
        <f>'27.07 Bwaise-Kawempe-24h'!K6:L6</f>
        <v>Salima &amp; Olaju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72</v>
      </c>
      <c r="D10" s="50">
        <v>13</v>
      </c>
      <c r="E10" s="50">
        <v>4</v>
      </c>
      <c r="F10" s="50">
        <v>0</v>
      </c>
      <c r="G10" s="50">
        <v>5</v>
      </c>
      <c r="H10" s="50">
        <v>1</v>
      </c>
      <c r="I10" s="50">
        <v>10</v>
      </c>
      <c r="J10" s="50">
        <v>12</v>
      </c>
      <c r="K10" s="50">
        <v>6</v>
      </c>
      <c r="L10" s="50">
        <v>1</v>
      </c>
      <c r="M10" s="50">
        <v>1</v>
      </c>
      <c r="N10" s="50">
        <v>0</v>
      </c>
      <c r="O10" s="15">
        <f t="shared" ref="O10:O73" si="0">SUM(C10:L10,N10)</f>
        <v>124</v>
      </c>
      <c r="P10" s="15">
        <f t="shared" ref="P10:P73" si="1">SUM(C10:N10)</f>
        <v>125</v>
      </c>
      <c r="R10" s="1" t="s">
        <v>6</v>
      </c>
      <c r="S10" s="17">
        <f t="shared" ref="S10:AF10" si="2">SUM(C10:C13)</f>
        <v>226</v>
      </c>
      <c r="T10" s="17">
        <f t="shared" si="2"/>
        <v>36</v>
      </c>
      <c r="U10" s="17">
        <f t="shared" si="2"/>
        <v>19</v>
      </c>
      <c r="V10" s="17">
        <f t="shared" si="2"/>
        <v>152</v>
      </c>
      <c r="W10" s="17">
        <f t="shared" si="2"/>
        <v>15</v>
      </c>
      <c r="X10" s="17">
        <f t="shared" si="2"/>
        <v>3</v>
      </c>
      <c r="Y10" s="17">
        <f t="shared" si="2"/>
        <v>26</v>
      </c>
      <c r="Z10" s="17">
        <f t="shared" si="2"/>
        <v>26</v>
      </c>
      <c r="AA10" s="17">
        <f t="shared" si="2"/>
        <v>14</v>
      </c>
      <c r="AB10" s="17">
        <f t="shared" si="2"/>
        <v>4</v>
      </c>
      <c r="AC10" s="17">
        <f t="shared" si="2"/>
        <v>600</v>
      </c>
      <c r="AD10" s="17">
        <f t="shared" si="2"/>
        <v>0</v>
      </c>
      <c r="AE10" s="31">
        <f t="shared" si="2"/>
        <v>521</v>
      </c>
      <c r="AF10" s="31">
        <f t="shared" si="2"/>
        <v>1121</v>
      </c>
    </row>
    <row r="11" spans="2:32" s="6" customFormat="1" ht="23.1" customHeight="1" x14ac:dyDescent="0.25">
      <c r="B11" s="45" t="s">
        <v>38</v>
      </c>
      <c r="C11" s="50">
        <v>40</v>
      </c>
      <c r="D11" s="50">
        <v>5</v>
      </c>
      <c r="E11" s="50">
        <v>3</v>
      </c>
      <c r="F11" s="50">
        <v>41</v>
      </c>
      <c r="G11" s="50">
        <v>3</v>
      </c>
      <c r="H11" s="50">
        <v>0</v>
      </c>
      <c r="I11" s="50">
        <v>7</v>
      </c>
      <c r="J11" s="50">
        <v>7</v>
      </c>
      <c r="K11" s="50">
        <v>4</v>
      </c>
      <c r="L11" s="50">
        <v>1</v>
      </c>
      <c r="M11" s="50">
        <v>139</v>
      </c>
      <c r="N11" s="50">
        <v>0</v>
      </c>
      <c r="O11" s="15">
        <f t="shared" si="0"/>
        <v>111</v>
      </c>
      <c r="P11" s="15">
        <f t="shared" si="1"/>
        <v>250</v>
      </c>
      <c r="R11" s="1" t="s">
        <v>7</v>
      </c>
      <c r="S11" s="17">
        <f t="shared" ref="S11:AF11" si="3">SUM(C14:C17)</f>
        <v>159</v>
      </c>
      <c r="T11" s="17">
        <f t="shared" si="3"/>
        <v>31</v>
      </c>
      <c r="U11" s="17">
        <f t="shared" si="3"/>
        <v>12</v>
      </c>
      <c r="V11" s="17">
        <f t="shared" si="3"/>
        <v>158</v>
      </c>
      <c r="W11" s="17">
        <f t="shared" si="3"/>
        <v>7</v>
      </c>
      <c r="X11" s="17">
        <f t="shared" si="3"/>
        <v>2</v>
      </c>
      <c r="Y11" s="17">
        <f t="shared" si="3"/>
        <v>27</v>
      </c>
      <c r="Z11" s="17">
        <f t="shared" si="3"/>
        <v>20</v>
      </c>
      <c r="AA11" s="17">
        <f t="shared" si="3"/>
        <v>10</v>
      </c>
      <c r="AB11" s="17">
        <f t="shared" si="3"/>
        <v>6</v>
      </c>
      <c r="AC11" s="17">
        <f t="shared" si="3"/>
        <v>1073</v>
      </c>
      <c r="AD11" s="17">
        <f t="shared" si="3"/>
        <v>0</v>
      </c>
      <c r="AE11" s="31">
        <f t="shared" si="3"/>
        <v>432</v>
      </c>
      <c r="AF11" s="31">
        <f t="shared" si="3"/>
        <v>1505</v>
      </c>
    </row>
    <row r="12" spans="2:32" ht="23.1" customHeight="1" x14ac:dyDescent="0.25">
      <c r="B12" s="45" t="s">
        <v>39</v>
      </c>
      <c r="C12" s="50">
        <v>55</v>
      </c>
      <c r="D12" s="50">
        <v>9</v>
      </c>
      <c r="E12" s="50">
        <v>3</v>
      </c>
      <c r="F12" s="50">
        <v>51</v>
      </c>
      <c r="G12" s="50">
        <v>2</v>
      </c>
      <c r="H12" s="50">
        <v>0</v>
      </c>
      <c r="I12" s="50">
        <v>1</v>
      </c>
      <c r="J12" s="50">
        <v>3</v>
      </c>
      <c r="K12" s="50">
        <v>2</v>
      </c>
      <c r="L12" s="50">
        <v>0</v>
      </c>
      <c r="M12" s="50">
        <v>140</v>
      </c>
      <c r="N12" s="50">
        <v>0</v>
      </c>
      <c r="O12" s="15">
        <f t="shared" si="0"/>
        <v>126</v>
      </c>
      <c r="P12" s="15">
        <f t="shared" si="1"/>
        <v>266</v>
      </c>
      <c r="R12" s="1" t="s">
        <v>8</v>
      </c>
      <c r="S12" s="17">
        <f t="shared" ref="S12:AF12" si="4">SUM(C18:C21)</f>
        <v>176</v>
      </c>
      <c r="T12" s="17">
        <f t="shared" si="4"/>
        <v>36</v>
      </c>
      <c r="U12" s="17">
        <f t="shared" si="4"/>
        <v>8</v>
      </c>
      <c r="V12" s="17">
        <f t="shared" si="4"/>
        <v>184</v>
      </c>
      <c r="W12" s="17">
        <f t="shared" si="4"/>
        <v>8</v>
      </c>
      <c r="X12" s="17">
        <f t="shared" si="4"/>
        <v>0</v>
      </c>
      <c r="Y12" s="17">
        <f t="shared" si="4"/>
        <v>33</v>
      </c>
      <c r="Z12" s="17">
        <f t="shared" si="4"/>
        <v>28</v>
      </c>
      <c r="AA12" s="17">
        <f t="shared" si="4"/>
        <v>8</v>
      </c>
      <c r="AB12" s="17">
        <f t="shared" si="4"/>
        <v>8</v>
      </c>
      <c r="AC12" s="17">
        <f t="shared" si="4"/>
        <v>829</v>
      </c>
      <c r="AD12" s="17">
        <f t="shared" si="4"/>
        <v>0</v>
      </c>
      <c r="AE12" s="31">
        <f t="shared" si="4"/>
        <v>489</v>
      </c>
      <c r="AF12" s="31">
        <f t="shared" si="4"/>
        <v>1318</v>
      </c>
    </row>
    <row r="13" spans="2:32" ht="23.1" customHeight="1" x14ac:dyDescent="0.25">
      <c r="B13" s="45" t="s">
        <v>40</v>
      </c>
      <c r="C13" s="50">
        <v>59</v>
      </c>
      <c r="D13" s="50">
        <v>9</v>
      </c>
      <c r="E13" s="50">
        <v>9</v>
      </c>
      <c r="F13" s="50">
        <v>60</v>
      </c>
      <c r="G13" s="50">
        <v>5</v>
      </c>
      <c r="H13" s="50">
        <v>2</v>
      </c>
      <c r="I13" s="50">
        <v>8</v>
      </c>
      <c r="J13" s="50">
        <v>4</v>
      </c>
      <c r="K13" s="50">
        <v>2</v>
      </c>
      <c r="L13" s="50">
        <v>2</v>
      </c>
      <c r="M13" s="50">
        <v>320</v>
      </c>
      <c r="N13" s="50">
        <v>0</v>
      </c>
      <c r="O13" s="15">
        <f t="shared" si="0"/>
        <v>160</v>
      </c>
      <c r="P13" s="15">
        <f t="shared" si="1"/>
        <v>480</v>
      </c>
      <c r="R13" s="1" t="s">
        <v>9</v>
      </c>
      <c r="S13" s="17">
        <f t="shared" ref="S13:AF13" si="5">SUM(C22:C25)</f>
        <v>181</v>
      </c>
      <c r="T13" s="17">
        <f t="shared" si="5"/>
        <v>42</v>
      </c>
      <c r="U13" s="17">
        <f t="shared" si="5"/>
        <v>22</v>
      </c>
      <c r="V13" s="17">
        <f t="shared" si="5"/>
        <v>175</v>
      </c>
      <c r="W13" s="17">
        <f t="shared" si="5"/>
        <v>6</v>
      </c>
      <c r="X13" s="17">
        <f t="shared" si="5"/>
        <v>1</v>
      </c>
      <c r="Y13" s="17">
        <f t="shared" si="5"/>
        <v>32</v>
      </c>
      <c r="Z13" s="17">
        <f t="shared" si="5"/>
        <v>35</v>
      </c>
      <c r="AA13" s="17">
        <f t="shared" si="5"/>
        <v>7</v>
      </c>
      <c r="AB13" s="17">
        <f t="shared" si="5"/>
        <v>6</v>
      </c>
      <c r="AC13" s="17">
        <f t="shared" si="5"/>
        <v>766</v>
      </c>
      <c r="AD13" s="17">
        <f t="shared" si="5"/>
        <v>0</v>
      </c>
      <c r="AE13" s="31">
        <f t="shared" si="5"/>
        <v>507</v>
      </c>
      <c r="AF13" s="31">
        <f t="shared" si="5"/>
        <v>1273</v>
      </c>
    </row>
    <row r="14" spans="2:32" ht="23.1" customHeight="1" x14ac:dyDescent="0.25">
      <c r="B14" s="45" t="s">
        <v>41</v>
      </c>
      <c r="C14" s="50">
        <v>43</v>
      </c>
      <c r="D14" s="50">
        <v>7</v>
      </c>
      <c r="E14" s="50">
        <v>5</v>
      </c>
      <c r="F14" s="50">
        <v>55</v>
      </c>
      <c r="G14" s="50">
        <v>3</v>
      </c>
      <c r="H14" s="50">
        <v>1</v>
      </c>
      <c r="I14" s="50">
        <v>6</v>
      </c>
      <c r="J14" s="50">
        <v>2</v>
      </c>
      <c r="K14" s="50">
        <v>4</v>
      </c>
      <c r="L14" s="50">
        <v>2</v>
      </c>
      <c r="M14" s="50">
        <v>288</v>
      </c>
      <c r="N14" s="50">
        <v>0</v>
      </c>
      <c r="O14" s="15">
        <f t="shared" si="0"/>
        <v>128</v>
      </c>
      <c r="P14" s="15">
        <f t="shared" si="1"/>
        <v>416</v>
      </c>
      <c r="R14" s="1" t="s">
        <v>10</v>
      </c>
      <c r="S14" s="17">
        <f t="shared" ref="S14:AF14" si="6">SUM(C26:C29)</f>
        <v>168</v>
      </c>
      <c r="T14" s="17">
        <f t="shared" si="6"/>
        <v>44</v>
      </c>
      <c r="U14" s="17">
        <f t="shared" si="6"/>
        <v>36</v>
      </c>
      <c r="V14" s="17">
        <f t="shared" si="6"/>
        <v>171</v>
      </c>
      <c r="W14" s="17">
        <f t="shared" si="6"/>
        <v>20</v>
      </c>
      <c r="X14" s="17">
        <f t="shared" si="6"/>
        <v>13</v>
      </c>
      <c r="Y14" s="17">
        <f t="shared" si="6"/>
        <v>19</v>
      </c>
      <c r="Z14" s="17">
        <f t="shared" si="6"/>
        <v>44</v>
      </c>
      <c r="AA14" s="17">
        <f t="shared" si="6"/>
        <v>15</v>
      </c>
      <c r="AB14" s="17">
        <f t="shared" si="6"/>
        <v>6</v>
      </c>
      <c r="AC14" s="17">
        <f t="shared" si="6"/>
        <v>326</v>
      </c>
      <c r="AD14" s="17">
        <f t="shared" si="6"/>
        <v>0</v>
      </c>
      <c r="AE14" s="31">
        <f t="shared" si="6"/>
        <v>536</v>
      </c>
      <c r="AF14" s="31">
        <f t="shared" si="6"/>
        <v>862</v>
      </c>
    </row>
    <row r="15" spans="2:32" ht="23.1" customHeight="1" x14ac:dyDescent="0.25">
      <c r="B15" s="45" t="s">
        <v>42</v>
      </c>
      <c r="C15" s="50">
        <v>46</v>
      </c>
      <c r="D15" s="50">
        <v>11</v>
      </c>
      <c r="E15" s="50">
        <v>4</v>
      </c>
      <c r="F15" s="50">
        <v>42</v>
      </c>
      <c r="G15" s="50">
        <v>2</v>
      </c>
      <c r="H15" s="50">
        <v>1</v>
      </c>
      <c r="I15" s="50">
        <v>11</v>
      </c>
      <c r="J15" s="50">
        <v>6</v>
      </c>
      <c r="K15" s="50">
        <v>0</v>
      </c>
      <c r="L15" s="50">
        <v>2</v>
      </c>
      <c r="M15" s="50">
        <v>250</v>
      </c>
      <c r="N15" s="50">
        <v>0</v>
      </c>
      <c r="O15" s="15">
        <f t="shared" si="0"/>
        <v>125</v>
      </c>
      <c r="P15" s="15">
        <f t="shared" si="1"/>
        <v>375</v>
      </c>
      <c r="R15" s="1" t="s">
        <v>11</v>
      </c>
      <c r="S15" s="17">
        <f t="shared" ref="S15:AF15" si="7">SUM(C30:C33)</f>
        <v>172</v>
      </c>
      <c r="T15" s="17">
        <f t="shared" si="7"/>
        <v>32</v>
      </c>
      <c r="U15" s="17">
        <f t="shared" si="7"/>
        <v>19</v>
      </c>
      <c r="V15" s="17">
        <f t="shared" si="7"/>
        <v>151</v>
      </c>
      <c r="W15" s="17">
        <f t="shared" si="7"/>
        <v>12</v>
      </c>
      <c r="X15" s="17">
        <f t="shared" si="7"/>
        <v>3</v>
      </c>
      <c r="Y15" s="17">
        <f t="shared" si="7"/>
        <v>19</v>
      </c>
      <c r="Z15" s="17">
        <f t="shared" si="7"/>
        <v>22</v>
      </c>
      <c r="AA15" s="17">
        <f t="shared" si="7"/>
        <v>17</v>
      </c>
      <c r="AB15" s="17">
        <f t="shared" si="7"/>
        <v>8</v>
      </c>
      <c r="AC15" s="17">
        <f t="shared" si="7"/>
        <v>579</v>
      </c>
      <c r="AD15" s="17">
        <f t="shared" si="7"/>
        <v>0</v>
      </c>
      <c r="AE15" s="31">
        <f t="shared" si="7"/>
        <v>455</v>
      </c>
      <c r="AF15" s="31">
        <f t="shared" si="7"/>
        <v>1034</v>
      </c>
    </row>
    <row r="16" spans="2:32" ht="23.1" customHeight="1" x14ac:dyDescent="0.25">
      <c r="B16" s="45" t="s">
        <v>43</v>
      </c>
      <c r="C16" s="50">
        <v>58</v>
      </c>
      <c r="D16" s="50">
        <v>8</v>
      </c>
      <c r="E16" s="50">
        <v>1</v>
      </c>
      <c r="F16" s="50">
        <v>45</v>
      </c>
      <c r="G16" s="50">
        <v>2</v>
      </c>
      <c r="H16" s="50">
        <v>0</v>
      </c>
      <c r="I16" s="50">
        <v>8</v>
      </c>
      <c r="J16" s="50">
        <v>6</v>
      </c>
      <c r="K16" s="50">
        <v>5</v>
      </c>
      <c r="L16" s="50">
        <v>1</v>
      </c>
      <c r="M16" s="50">
        <v>290</v>
      </c>
      <c r="N16" s="50">
        <v>0</v>
      </c>
      <c r="O16" s="15">
        <f t="shared" si="0"/>
        <v>134</v>
      </c>
      <c r="P16" s="15">
        <f t="shared" si="1"/>
        <v>424</v>
      </c>
      <c r="R16" s="1" t="s">
        <v>12</v>
      </c>
      <c r="S16" s="17">
        <f t="shared" ref="S16:AF16" si="8">SUM(C34:C37)</f>
        <v>154</v>
      </c>
      <c r="T16" s="17">
        <f t="shared" si="8"/>
        <v>48</v>
      </c>
      <c r="U16" s="17">
        <f t="shared" si="8"/>
        <v>20</v>
      </c>
      <c r="V16" s="17">
        <f t="shared" si="8"/>
        <v>154</v>
      </c>
      <c r="W16" s="17">
        <f t="shared" si="8"/>
        <v>6</v>
      </c>
      <c r="X16" s="17">
        <f t="shared" si="8"/>
        <v>5</v>
      </c>
      <c r="Y16" s="17">
        <f t="shared" si="8"/>
        <v>29</v>
      </c>
      <c r="Z16" s="17">
        <f t="shared" si="8"/>
        <v>17</v>
      </c>
      <c r="AA16" s="17">
        <f t="shared" si="8"/>
        <v>11</v>
      </c>
      <c r="AB16" s="17">
        <f t="shared" si="8"/>
        <v>6</v>
      </c>
      <c r="AC16" s="17">
        <f t="shared" si="8"/>
        <v>663</v>
      </c>
      <c r="AD16" s="17">
        <f t="shared" si="8"/>
        <v>0</v>
      </c>
      <c r="AE16" s="31">
        <f t="shared" si="8"/>
        <v>450</v>
      </c>
      <c r="AF16" s="31">
        <f t="shared" si="8"/>
        <v>1113</v>
      </c>
    </row>
    <row r="17" spans="2:32" ht="23.1" customHeight="1" x14ac:dyDescent="0.25">
      <c r="B17" s="45" t="s">
        <v>44</v>
      </c>
      <c r="C17" s="50">
        <v>12</v>
      </c>
      <c r="D17" s="50">
        <v>5</v>
      </c>
      <c r="E17" s="50">
        <v>2</v>
      </c>
      <c r="F17" s="50">
        <v>16</v>
      </c>
      <c r="G17" s="50">
        <v>0</v>
      </c>
      <c r="H17" s="50">
        <v>0</v>
      </c>
      <c r="I17" s="50">
        <v>2</v>
      </c>
      <c r="J17" s="50">
        <v>6</v>
      </c>
      <c r="K17" s="50">
        <v>1</v>
      </c>
      <c r="L17" s="50">
        <v>1</v>
      </c>
      <c r="M17" s="50">
        <v>245</v>
      </c>
      <c r="N17" s="50">
        <v>0</v>
      </c>
      <c r="O17" s="15">
        <f t="shared" si="0"/>
        <v>45</v>
      </c>
      <c r="P17" s="15">
        <f t="shared" si="1"/>
        <v>290</v>
      </c>
      <c r="R17" s="1" t="s">
        <v>13</v>
      </c>
      <c r="S17" s="17">
        <f t="shared" ref="S17:AF17" si="9">SUM(C38:C41)</f>
        <v>146</v>
      </c>
      <c r="T17" s="17">
        <f t="shared" si="9"/>
        <v>49</v>
      </c>
      <c r="U17" s="17">
        <f t="shared" si="9"/>
        <v>16</v>
      </c>
      <c r="V17" s="17">
        <f t="shared" si="9"/>
        <v>135</v>
      </c>
      <c r="W17" s="17">
        <f t="shared" si="9"/>
        <v>5</v>
      </c>
      <c r="X17" s="17">
        <f t="shared" si="9"/>
        <v>6</v>
      </c>
      <c r="Y17" s="17">
        <f t="shared" si="9"/>
        <v>37</v>
      </c>
      <c r="Z17" s="17">
        <f t="shared" si="9"/>
        <v>20</v>
      </c>
      <c r="AA17" s="17">
        <f t="shared" si="9"/>
        <v>6</v>
      </c>
      <c r="AB17" s="17">
        <f t="shared" si="9"/>
        <v>11</v>
      </c>
      <c r="AC17" s="17">
        <f t="shared" si="9"/>
        <v>553</v>
      </c>
      <c r="AD17" s="17">
        <f t="shared" si="9"/>
        <v>0</v>
      </c>
      <c r="AE17" s="31">
        <f t="shared" si="9"/>
        <v>431</v>
      </c>
      <c r="AF17" s="31">
        <f t="shared" si="9"/>
        <v>984</v>
      </c>
    </row>
    <row r="18" spans="2:32" ht="23.1" customHeight="1" x14ac:dyDescent="0.25">
      <c r="B18" s="45" t="s">
        <v>45</v>
      </c>
      <c r="C18" s="50">
        <v>52</v>
      </c>
      <c r="D18" s="50">
        <v>7</v>
      </c>
      <c r="E18" s="50">
        <v>3</v>
      </c>
      <c r="F18" s="50">
        <v>58</v>
      </c>
      <c r="G18" s="50">
        <v>1</v>
      </c>
      <c r="H18" s="50">
        <v>0</v>
      </c>
      <c r="I18" s="50">
        <v>8</v>
      </c>
      <c r="J18" s="50">
        <v>6</v>
      </c>
      <c r="K18" s="50">
        <v>2</v>
      </c>
      <c r="L18" s="50">
        <v>5</v>
      </c>
      <c r="M18" s="50">
        <v>304</v>
      </c>
      <c r="N18" s="50">
        <v>0</v>
      </c>
      <c r="O18" s="15">
        <f t="shared" si="0"/>
        <v>142</v>
      </c>
      <c r="P18" s="15">
        <f t="shared" si="1"/>
        <v>446</v>
      </c>
      <c r="R18" s="1" t="s">
        <v>14</v>
      </c>
      <c r="S18" s="17">
        <f t="shared" ref="S18:AF18" si="10">SUM(C42:C45)</f>
        <v>157</v>
      </c>
      <c r="T18" s="17">
        <f t="shared" si="10"/>
        <v>54</v>
      </c>
      <c r="U18" s="17">
        <f t="shared" si="10"/>
        <v>17</v>
      </c>
      <c r="V18" s="17">
        <f t="shared" si="10"/>
        <v>146</v>
      </c>
      <c r="W18" s="17">
        <f t="shared" si="10"/>
        <v>5</v>
      </c>
      <c r="X18" s="17">
        <f t="shared" si="10"/>
        <v>5</v>
      </c>
      <c r="Y18" s="17">
        <f t="shared" si="10"/>
        <v>29</v>
      </c>
      <c r="Z18" s="17">
        <f t="shared" si="10"/>
        <v>26</v>
      </c>
      <c r="AA18" s="17">
        <f t="shared" si="10"/>
        <v>5</v>
      </c>
      <c r="AB18" s="17">
        <f t="shared" si="10"/>
        <v>11</v>
      </c>
      <c r="AC18" s="17">
        <f t="shared" si="10"/>
        <v>515</v>
      </c>
      <c r="AD18" s="17">
        <f t="shared" si="10"/>
        <v>0</v>
      </c>
      <c r="AE18" s="31">
        <f t="shared" si="10"/>
        <v>455</v>
      </c>
      <c r="AF18" s="31">
        <f t="shared" si="10"/>
        <v>970</v>
      </c>
    </row>
    <row r="19" spans="2:32" ht="23.1" customHeight="1" x14ac:dyDescent="0.25">
      <c r="B19" s="45" t="s">
        <v>46</v>
      </c>
      <c r="C19" s="50">
        <v>54</v>
      </c>
      <c r="D19" s="50">
        <v>12</v>
      </c>
      <c r="E19" s="50">
        <v>5</v>
      </c>
      <c r="F19" s="50">
        <v>53</v>
      </c>
      <c r="G19" s="50">
        <v>3</v>
      </c>
      <c r="H19" s="50">
        <v>0</v>
      </c>
      <c r="I19" s="50">
        <v>12</v>
      </c>
      <c r="J19" s="50">
        <v>11</v>
      </c>
      <c r="K19" s="50">
        <v>3</v>
      </c>
      <c r="L19" s="50">
        <v>2</v>
      </c>
      <c r="M19" s="50">
        <v>195</v>
      </c>
      <c r="N19" s="50">
        <v>0</v>
      </c>
      <c r="O19" s="15">
        <f t="shared" si="0"/>
        <v>155</v>
      </c>
      <c r="P19" s="15">
        <f t="shared" si="1"/>
        <v>350</v>
      </c>
      <c r="R19" s="1" t="s">
        <v>15</v>
      </c>
      <c r="S19" s="17">
        <f t="shared" ref="S19:AF19" si="11">SUM(C46:C49)</f>
        <v>136</v>
      </c>
      <c r="T19" s="17">
        <f t="shared" si="11"/>
        <v>38</v>
      </c>
      <c r="U19" s="17">
        <f t="shared" si="11"/>
        <v>22</v>
      </c>
      <c r="V19" s="17">
        <f t="shared" si="11"/>
        <v>150</v>
      </c>
      <c r="W19" s="17">
        <f t="shared" si="11"/>
        <v>7</v>
      </c>
      <c r="X19" s="17">
        <f t="shared" si="11"/>
        <v>5</v>
      </c>
      <c r="Y19" s="17">
        <f t="shared" si="11"/>
        <v>37</v>
      </c>
      <c r="Z19" s="17">
        <f t="shared" si="11"/>
        <v>24</v>
      </c>
      <c r="AA19" s="17">
        <f t="shared" si="11"/>
        <v>11</v>
      </c>
      <c r="AB19" s="17">
        <f t="shared" si="11"/>
        <v>6</v>
      </c>
      <c r="AC19" s="17">
        <f t="shared" si="11"/>
        <v>460</v>
      </c>
      <c r="AD19" s="17">
        <f t="shared" si="11"/>
        <v>0</v>
      </c>
      <c r="AE19" s="31">
        <f t="shared" si="11"/>
        <v>436</v>
      </c>
      <c r="AF19" s="31">
        <f t="shared" si="11"/>
        <v>896</v>
      </c>
    </row>
    <row r="20" spans="2:32" ht="23.1" customHeight="1" x14ac:dyDescent="0.25">
      <c r="B20" s="45" t="s">
        <v>47</v>
      </c>
      <c r="C20" s="50">
        <v>46</v>
      </c>
      <c r="D20" s="50">
        <v>12</v>
      </c>
      <c r="E20" s="50">
        <v>0</v>
      </c>
      <c r="F20" s="50">
        <v>48</v>
      </c>
      <c r="G20" s="50">
        <v>2</v>
      </c>
      <c r="H20" s="50">
        <v>0</v>
      </c>
      <c r="I20" s="50">
        <v>8</v>
      </c>
      <c r="J20" s="50">
        <v>5</v>
      </c>
      <c r="K20" s="50">
        <v>0</v>
      </c>
      <c r="L20" s="50">
        <v>1</v>
      </c>
      <c r="M20" s="50">
        <v>160</v>
      </c>
      <c r="N20" s="50">
        <v>0</v>
      </c>
      <c r="O20" s="15">
        <f t="shared" si="0"/>
        <v>122</v>
      </c>
      <c r="P20" s="15">
        <f t="shared" si="1"/>
        <v>282</v>
      </c>
      <c r="R20" s="1" t="s">
        <v>16</v>
      </c>
      <c r="S20" s="17">
        <f t="shared" ref="S20:AF20" si="12">SUM(C50:C53)</f>
        <v>146</v>
      </c>
      <c r="T20" s="17">
        <f t="shared" si="12"/>
        <v>51</v>
      </c>
      <c r="U20" s="17">
        <f t="shared" si="12"/>
        <v>24</v>
      </c>
      <c r="V20" s="17">
        <f t="shared" si="12"/>
        <v>193</v>
      </c>
      <c r="W20" s="17">
        <f t="shared" si="12"/>
        <v>6</v>
      </c>
      <c r="X20" s="17">
        <f t="shared" si="12"/>
        <v>4</v>
      </c>
      <c r="Y20" s="17">
        <f t="shared" si="12"/>
        <v>40</v>
      </c>
      <c r="Z20" s="17">
        <f t="shared" si="12"/>
        <v>20</v>
      </c>
      <c r="AA20" s="17">
        <f t="shared" si="12"/>
        <v>11</v>
      </c>
      <c r="AB20" s="17">
        <f t="shared" si="12"/>
        <v>16</v>
      </c>
      <c r="AC20" s="17">
        <f t="shared" si="12"/>
        <v>604</v>
      </c>
      <c r="AD20" s="17">
        <f t="shared" si="12"/>
        <v>0</v>
      </c>
      <c r="AE20" s="31">
        <f t="shared" si="12"/>
        <v>511</v>
      </c>
      <c r="AF20" s="31">
        <f t="shared" si="12"/>
        <v>1115</v>
      </c>
    </row>
    <row r="21" spans="2:32" ht="23.1" customHeight="1" x14ac:dyDescent="0.25">
      <c r="B21" s="45" t="s">
        <v>48</v>
      </c>
      <c r="C21" s="50">
        <v>24</v>
      </c>
      <c r="D21" s="50">
        <v>5</v>
      </c>
      <c r="E21" s="50">
        <v>0</v>
      </c>
      <c r="F21" s="50">
        <v>25</v>
      </c>
      <c r="G21" s="50">
        <v>2</v>
      </c>
      <c r="H21" s="50">
        <v>0</v>
      </c>
      <c r="I21" s="50">
        <v>5</v>
      </c>
      <c r="J21" s="50">
        <v>6</v>
      </c>
      <c r="K21" s="50">
        <v>3</v>
      </c>
      <c r="L21" s="50">
        <v>0</v>
      </c>
      <c r="M21" s="50">
        <v>170</v>
      </c>
      <c r="N21" s="50">
        <v>0</v>
      </c>
      <c r="O21" s="15">
        <f t="shared" si="0"/>
        <v>70</v>
      </c>
      <c r="P21" s="15">
        <f t="shared" si="1"/>
        <v>240</v>
      </c>
      <c r="R21" s="36" t="s">
        <v>20</v>
      </c>
      <c r="S21" s="34">
        <f t="shared" ref="S21:AF21" si="13">SUM(C54:C57)</f>
        <v>103</v>
      </c>
      <c r="T21" s="17">
        <f t="shared" si="13"/>
        <v>38</v>
      </c>
      <c r="U21" s="17">
        <f t="shared" si="13"/>
        <v>20</v>
      </c>
      <c r="V21" s="17">
        <f t="shared" si="13"/>
        <v>132</v>
      </c>
      <c r="W21" s="17">
        <f t="shared" si="13"/>
        <v>9</v>
      </c>
      <c r="X21" s="17">
        <f t="shared" si="13"/>
        <v>7</v>
      </c>
      <c r="Y21" s="17">
        <f t="shared" si="13"/>
        <v>23</v>
      </c>
      <c r="Z21" s="17">
        <f t="shared" si="13"/>
        <v>17</v>
      </c>
      <c r="AA21" s="17">
        <f t="shared" si="13"/>
        <v>14</v>
      </c>
      <c r="AB21" s="17">
        <f t="shared" si="13"/>
        <v>5</v>
      </c>
      <c r="AC21" s="17">
        <f t="shared" si="13"/>
        <v>503</v>
      </c>
      <c r="AD21" s="17">
        <f t="shared" si="13"/>
        <v>0</v>
      </c>
      <c r="AE21" s="31">
        <f t="shared" si="13"/>
        <v>368</v>
      </c>
      <c r="AF21" s="31">
        <f t="shared" si="13"/>
        <v>871</v>
      </c>
    </row>
    <row r="22" spans="2:32" ht="23.1" customHeight="1" x14ac:dyDescent="0.25">
      <c r="B22" s="45" t="s">
        <v>49</v>
      </c>
      <c r="C22" s="50">
        <v>42</v>
      </c>
      <c r="D22" s="50">
        <v>9</v>
      </c>
      <c r="E22" s="50">
        <v>8</v>
      </c>
      <c r="F22" s="50">
        <v>55</v>
      </c>
      <c r="G22" s="50">
        <v>1</v>
      </c>
      <c r="H22" s="50">
        <v>0</v>
      </c>
      <c r="I22" s="50">
        <v>12</v>
      </c>
      <c r="J22" s="50">
        <v>10</v>
      </c>
      <c r="K22" s="50">
        <v>2</v>
      </c>
      <c r="L22" s="50">
        <v>3</v>
      </c>
      <c r="M22" s="50">
        <v>200</v>
      </c>
      <c r="N22" s="50">
        <v>0</v>
      </c>
      <c r="O22" s="15">
        <f t="shared" si="0"/>
        <v>142</v>
      </c>
      <c r="P22" s="15">
        <f t="shared" si="1"/>
        <v>342</v>
      </c>
      <c r="R22" s="36" t="s">
        <v>146</v>
      </c>
      <c r="S22" s="34">
        <f>SUM(C58:C61)</f>
        <v>183</v>
      </c>
      <c r="T22" s="34">
        <f t="shared" ref="T22:AF22" si="14">SUM(D58:D61)</f>
        <v>5</v>
      </c>
      <c r="U22" s="34">
        <f t="shared" si="14"/>
        <v>15</v>
      </c>
      <c r="V22" s="34">
        <f t="shared" si="14"/>
        <v>167</v>
      </c>
      <c r="W22" s="34">
        <f t="shared" si="14"/>
        <v>4</v>
      </c>
      <c r="X22" s="34">
        <f t="shared" si="14"/>
        <v>9</v>
      </c>
      <c r="Y22" s="34">
        <f t="shared" si="14"/>
        <v>23</v>
      </c>
      <c r="Z22" s="34">
        <f t="shared" si="14"/>
        <v>22</v>
      </c>
      <c r="AA22" s="34">
        <f t="shared" si="14"/>
        <v>4</v>
      </c>
      <c r="AB22" s="34">
        <f t="shared" si="14"/>
        <v>12</v>
      </c>
      <c r="AC22" s="34">
        <f t="shared" si="14"/>
        <v>1095</v>
      </c>
      <c r="AD22" s="34">
        <f t="shared" si="14"/>
        <v>0</v>
      </c>
      <c r="AE22" s="31">
        <f t="shared" si="14"/>
        <v>444</v>
      </c>
      <c r="AF22" s="31">
        <f t="shared" si="14"/>
        <v>1539</v>
      </c>
    </row>
    <row r="23" spans="2:32" ht="23.1" customHeight="1" x14ac:dyDescent="0.25">
      <c r="B23" s="45" t="s">
        <v>50</v>
      </c>
      <c r="C23" s="50">
        <v>62</v>
      </c>
      <c r="D23" s="50">
        <v>7</v>
      </c>
      <c r="E23" s="50">
        <v>7</v>
      </c>
      <c r="F23" s="50">
        <v>33</v>
      </c>
      <c r="G23" s="50">
        <v>2</v>
      </c>
      <c r="H23" s="50">
        <v>1</v>
      </c>
      <c r="I23" s="50">
        <v>9</v>
      </c>
      <c r="J23" s="50">
        <v>7</v>
      </c>
      <c r="K23" s="50">
        <v>0</v>
      </c>
      <c r="L23" s="50">
        <v>1</v>
      </c>
      <c r="M23" s="50">
        <v>177</v>
      </c>
      <c r="N23" s="50">
        <v>0</v>
      </c>
      <c r="O23" s="15">
        <f t="shared" si="0"/>
        <v>129</v>
      </c>
      <c r="P23" s="15">
        <f t="shared" si="1"/>
        <v>306</v>
      </c>
      <c r="R23" s="36" t="s">
        <v>147</v>
      </c>
      <c r="S23" s="34">
        <f>SUM(C62:C65)</f>
        <v>174</v>
      </c>
      <c r="T23" s="34">
        <f t="shared" ref="T23:AF23" si="15">SUM(D62:D65)</f>
        <v>6</v>
      </c>
      <c r="U23" s="34">
        <f t="shared" si="15"/>
        <v>9</v>
      </c>
      <c r="V23" s="34">
        <f t="shared" si="15"/>
        <v>137</v>
      </c>
      <c r="W23" s="34">
        <f t="shared" si="15"/>
        <v>5</v>
      </c>
      <c r="X23" s="34">
        <f t="shared" si="15"/>
        <v>3</v>
      </c>
      <c r="Y23" s="34">
        <f t="shared" si="15"/>
        <v>22</v>
      </c>
      <c r="Z23" s="34">
        <f t="shared" si="15"/>
        <v>12</v>
      </c>
      <c r="AA23" s="34">
        <f t="shared" si="15"/>
        <v>16</v>
      </c>
      <c r="AB23" s="34">
        <f t="shared" si="15"/>
        <v>6</v>
      </c>
      <c r="AC23" s="34">
        <f t="shared" si="15"/>
        <v>1118</v>
      </c>
      <c r="AD23" s="34">
        <f t="shared" si="15"/>
        <v>0</v>
      </c>
      <c r="AE23" s="31">
        <f t="shared" si="15"/>
        <v>390</v>
      </c>
      <c r="AF23" s="31">
        <f t="shared" si="15"/>
        <v>1508</v>
      </c>
    </row>
    <row r="24" spans="2:32" ht="23.1" customHeight="1" x14ac:dyDescent="0.25">
      <c r="B24" s="45" t="s">
        <v>51</v>
      </c>
      <c r="C24" s="50">
        <v>36</v>
      </c>
      <c r="D24" s="50">
        <v>15</v>
      </c>
      <c r="E24" s="50">
        <v>5</v>
      </c>
      <c r="F24" s="50">
        <v>44</v>
      </c>
      <c r="G24" s="50">
        <v>1</v>
      </c>
      <c r="H24" s="50">
        <v>0</v>
      </c>
      <c r="I24" s="50">
        <v>5</v>
      </c>
      <c r="J24" s="50">
        <v>8</v>
      </c>
      <c r="K24" s="50">
        <v>1</v>
      </c>
      <c r="L24" s="50">
        <v>2</v>
      </c>
      <c r="M24" s="50">
        <v>220</v>
      </c>
      <c r="N24" s="50">
        <v>0</v>
      </c>
      <c r="O24" s="15">
        <f t="shared" si="0"/>
        <v>117</v>
      </c>
      <c r="P24" s="15">
        <f t="shared" si="1"/>
        <v>337</v>
      </c>
      <c r="R24" s="36" t="s">
        <v>148</v>
      </c>
      <c r="S24" s="34">
        <f>SUM(C66:C69)</f>
        <v>177</v>
      </c>
      <c r="T24" s="34">
        <f t="shared" ref="T24:AF24" si="16">SUM(D66:D69)</f>
        <v>2</v>
      </c>
      <c r="U24" s="34">
        <f t="shared" si="16"/>
        <v>18</v>
      </c>
      <c r="V24" s="34">
        <f t="shared" si="16"/>
        <v>120</v>
      </c>
      <c r="W24" s="34">
        <f t="shared" si="16"/>
        <v>10</v>
      </c>
      <c r="X24" s="34">
        <f t="shared" si="16"/>
        <v>7</v>
      </c>
      <c r="Y24" s="34">
        <f t="shared" si="16"/>
        <v>24</v>
      </c>
      <c r="Z24" s="34">
        <f t="shared" si="16"/>
        <v>25</v>
      </c>
      <c r="AA24" s="34">
        <f t="shared" si="16"/>
        <v>11</v>
      </c>
      <c r="AB24" s="34">
        <f t="shared" si="16"/>
        <v>8</v>
      </c>
      <c r="AC24" s="34">
        <f t="shared" si="16"/>
        <v>733</v>
      </c>
      <c r="AD24" s="34">
        <f t="shared" si="16"/>
        <v>0</v>
      </c>
      <c r="AE24" s="31">
        <f t="shared" si="16"/>
        <v>402</v>
      </c>
      <c r="AF24" s="31">
        <f t="shared" si="16"/>
        <v>1135</v>
      </c>
    </row>
    <row r="25" spans="2:32" ht="23.1" customHeight="1" x14ac:dyDescent="0.25">
      <c r="B25" s="45" t="s">
        <v>52</v>
      </c>
      <c r="C25" s="50">
        <v>41</v>
      </c>
      <c r="D25" s="50">
        <v>11</v>
      </c>
      <c r="E25" s="50">
        <v>2</v>
      </c>
      <c r="F25" s="50">
        <v>43</v>
      </c>
      <c r="G25" s="50">
        <v>2</v>
      </c>
      <c r="H25" s="50">
        <v>0</v>
      </c>
      <c r="I25" s="50">
        <v>6</v>
      </c>
      <c r="J25" s="50">
        <v>10</v>
      </c>
      <c r="K25" s="50">
        <v>4</v>
      </c>
      <c r="L25" s="50">
        <v>0</v>
      </c>
      <c r="M25" s="50">
        <v>169</v>
      </c>
      <c r="N25" s="50">
        <v>0</v>
      </c>
      <c r="O25" s="15">
        <f t="shared" si="0"/>
        <v>119</v>
      </c>
      <c r="P25" s="15">
        <f t="shared" si="1"/>
        <v>288</v>
      </c>
      <c r="R25" s="36" t="s">
        <v>149</v>
      </c>
      <c r="S25" s="34">
        <f>SUM(C70:C73)</f>
        <v>155</v>
      </c>
      <c r="T25" s="34">
        <f t="shared" ref="T25:AF25" si="17">SUM(D70:D73)</f>
        <v>4</v>
      </c>
      <c r="U25" s="34">
        <f t="shared" si="17"/>
        <v>17</v>
      </c>
      <c r="V25" s="34">
        <f t="shared" si="17"/>
        <v>71</v>
      </c>
      <c r="W25" s="34">
        <f t="shared" si="17"/>
        <v>5</v>
      </c>
      <c r="X25" s="34">
        <f t="shared" si="17"/>
        <v>10</v>
      </c>
      <c r="Y25" s="34">
        <f t="shared" si="17"/>
        <v>29</v>
      </c>
      <c r="Z25" s="34">
        <f t="shared" si="17"/>
        <v>23</v>
      </c>
      <c r="AA25" s="34">
        <f t="shared" si="17"/>
        <v>6</v>
      </c>
      <c r="AB25" s="34">
        <f t="shared" si="17"/>
        <v>3</v>
      </c>
      <c r="AC25" s="34">
        <f t="shared" si="17"/>
        <v>702</v>
      </c>
      <c r="AD25" s="34">
        <f t="shared" si="17"/>
        <v>0</v>
      </c>
      <c r="AE25" s="31">
        <f t="shared" si="17"/>
        <v>323</v>
      </c>
      <c r="AF25" s="31">
        <f t="shared" si="17"/>
        <v>1025</v>
      </c>
    </row>
    <row r="26" spans="2:32" ht="23.1" customHeight="1" x14ac:dyDescent="0.25">
      <c r="B26" s="45" t="s">
        <v>53</v>
      </c>
      <c r="C26" s="50">
        <v>37</v>
      </c>
      <c r="D26" s="50">
        <v>10</v>
      </c>
      <c r="E26" s="50">
        <v>17</v>
      </c>
      <c r="F26" s="50">
        <v>45</v>
      </c>
      <c r="G26" s="50">
        <v>1</v>
      </c>
      <c r="H26" s="50">
        <v>5</v>
      </c>
      <c r="I26" s="50">
        <v>5</v>
      </c>
      <c r="J26" s="50">
        <v>6</v>
      </c>
      <c r="K26" s="50">
        <v>1</v>
      </c>
      <c r="L26" s="50">
        <v>0</v>
      </c>
      <c r="M26" s="50" t="s">
        <v>184</v>
      </c>
      <c r="N26" s="50">
        <v>0</v>
      </c>
      <c r="O26" s="15">
        <f t="shared" si="0"/>
        <v>127</v>
      </c>
      <c r="P26" s="15">
        <f t="shared" si="1"/>
        <v>127</v>
      </c>
      <c r="R26" s="36" t="s">
        <v>150</v>
      </c>
      <c r="S26" s="34">
        <f>SUM(C74:C77)</f>
        <v>156</v>
      </c>
      <c r="T26" s="34">
        <f t="shared" ref="T26:AF26" si="18">SUM(D74:D77)</f>
        <v>4</v>
      </c>
      <c r="U26" s="34">
        <f t="shared" si="18"/>
        <v>9</v>
      </c>
      <c r="V26" s="34">
        <f t="shared" si="18"/>
        <v>59</v>
      </c>
      <c r="W26" s="34">
        <f t="shared" si="18"/>
        <v>5</v>
      </c>
      <c r="X26" s="34">
        <f t="shared" si="18"/>
        <v>3</v>
      </c>
      <c r="Y26" s="34">
        <f t="shared" si="18"/>
        <v>29</v>
      </c>
      <c r="Z26" s="34">
        <f t="shared" si="18"/>
        <v>19</v>
      </c>
      <c r="AA26" s="34">
        <f t="shared" si="18"/>
        <v>9</v>
      </c>
      <c r="AB26" s="34">
        <f t="shared" si="18"/>
        <v>2</v>
      </c>
      <c r="AC26" s="34">
        <f t="shared" si="18"/>
        <v>490</v>
      </c>
      <c r="AD26" s="34">
        <f t="shared" si="18"/>
        <v>0</v>
      </c>
      <c r="AE26" s="31">
        <f t="shared" si="18"/>
        <v>295</v>
      </c>
      <c r="AF26" s="31">
        <f t="shared" si="18"/>
        <v>785</v>
      </c>
    </row>
    <row r="27" spans="2:32" ht="23.1" customHeight="1" x14ac:dyDescent="0.25">
      <c r="B27" s="45" t="s">
        <v>54</v>
      </c>
      <c r="C27" s="50">
        <v>36</v>
      </c>
      <c r="D27" s="50">
        <v>11</v>
      </c>
      <c r="E27" s="50">
        <v>1</v>
      </c>
      <c r="F27" s="50">
        <v>36</v>
      </c>
      <c r="G27" s="50">
        <v>7</v>
      </c>
      <c r="H27" s="50">
        <v>8</v>
      </c>
      <c r="I27" s="50">
        <v>0</v>
      </c>
      <c r="J27" s="50">
        <v>13</v>
      </c>
      <c r="K27" s="50">
        <v>3</v>
      </c>
      <c r="L27" s="50">
        <v>1</v>
      </c>
      <c r="M27" s="50">
        <v>110</v>
      </c>
      <c r="N27" s="50">
        <v>0</v>
      </c>
      <c r="O27" s="15">
        <f t="shared" si="0"/>
        <v>116</v>
      </c>
      <c r="P27" s="15">
        <f t="shared" si="1"/>
        <v>226</v>
      </c>
      <c r="R27" s="36" t="s">
        <v>151</v>
      </c>
      <c r="S27" s="34">
        <f>SUM(C78:C81)</f>
        <v>53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7</v>
      </c>
      <c r="W27" s="34">
        <f t="shared" si="19"/>
        <v>1</v>
      </c>
      <c r="X27" s="34">
        <f t="shared" si="19"/>
        <v>2</v>
      </c>
      <c r="Y27" s="34">
        <f t="shared" si="19"/>
        <v>5</v>
      </c>
      <c r="Z27" s="34">
        <f t="shared" si="19"/>
        <v>9</v>
      </c>
      <c r="AA27" s="34">
        <f t="shared" si="19"/>
        <v>6</v>
      </c>
      <c r="AB27" s="34">
        <f t="shared" si="19"/>
        <v>4</v>
      </c>
      <c r="AC27" s="34">
        <f t="shared" si="19"/>
        <v>104</v>
      </c>
      <c r="AD27" s="34">
        <f t="shared" si="19"/>
        <v>0</v>
      </c>
      <c r="AE27" s="31">
        <f t="shared" si="19"/>
        <v>88</v>
      </c>
      <c r="AF27" s="31">
        <f t="shared" si="19"/>
        <v>192</v>
      </c>
    </row>
    <row r="28" spans="2:32" ht="23.1" customHeight="1" x14ac:dyDescent="0.25">
      <c r="B28" s="45" t="s">
        <v>55</v>
      </c>
      <c r="C28" s="50">
        <v>56</v>
      </c>
      <c r="D28" s="50">
        <v>11</v>
      </c>
      <c r="E28" s="50">
        <v>11</v>
      </c>
      <c r="F28" s="50">
        <v>52</v>
      </c>
      <c r="G28" s="50">
        <v>11</v>
      </c>
      <c r="H28" s="50">
        <v>0</v>
      </c>
      <c r="I28" s="50">
        <v>11</v>
      </c>
      <c r="J28" s="50">
        <v>11</v>
      </c>
      <c r="K28" s="50">
        <v>9</v>
      </c>
      <c r="L28" s="50">
        <v>1</v>
      </c>
      <c r="M28" s="50">
        <v>115</v>
      </c>
      <c r="N28" s="50">
        <v>0</v>
      </c>
      <c r="O28" s="15">
        <f t="shared" si="0"/>
        <v>173</v>
      </c>
      <c r="P28" s="15">
        <f t="shared" si="1"/>
        <v>288</v>
      </c>
      <c r="R28" s="36" t="s">
        <v>152</v>
      </c>
      <c r="S28" s="34">
        <f>SUM(C82:C85)</f>
        <v>53</v>
      </c>
      <c r="T28" s="34">
        <f t="shared" ref="T28:AF28" si="20">SUM(D82:D85)</f>
        <v>0</v>
      </c>
      <c r="U28" s="34">
        <f t="shared" si="20"/>
        <v>10</v>
      </c>
      <c r="V28" s="34">
        <f t="shared" si="20"/>
        <v>8</v>
      </c>
      <c r="W28" s="34">
        <f t="shared" si="20"/>
        <v>1</v>
      </c>
      <c r="X28" s="34">
        <f t="shared" si="20"/>
        <v>0</v>
      </c>
      <c r="Y28" s="34">
        <f t="shared" si="20"/>
        <v>5</v>
      </c>
      <c r="Z28" s="34">
        <f t="shared" si="20"/>
        <v>26</v>
      </c>
      <c r="AA28" s="34">
        <f t="shared" si="20"/>
        <v>9</v>
      </c>
      <c r="AB28" s="34">
        <f t="shared" si="20"/>
        <v>8</v>
      </c>
      <c r="AC28" s="34">
        <f t="shared" si="20"/>
        <v>120</v>
      </c>
      <c r="AD28" s="34">
        <f t="shared" si="20"/>
        <v>0</v>
      </c>
      <c r="AE28" s="31">
        <f t="shared" si="20"/>
        <v>120</v>
      </c>
      <c r="AF28" s="31">
        <f t="shared" si="20"/>
        <v>240</v>
      </c>
    </row>
    <row r="29" spans="2:32" ht="23.1" customHeight="1" x14ac:dyDescent="0.25">
      <c r="B29" s="45" t="s">
        <v>56</v>
      </c>
      <c r="C29" s="50">
        <v>39</v>
      </c>
      <c r="D29" s="50">
        <v>12</v>
      </c>
      <c r="E29" s="50">
        <v>7</v>
      </c>
      <c r="F29" s="50">
        <v>38</v>
      </c>
      <c r="G29" s="50">
        <v>1</v>
      </c>
      <c r="H29" s="50">
        <v>0</v>
      </c>
      <c r="I29" s="50">
        <v>3</v>
      </c>
      <c r="J29" s="50">
        <v>14</v>
      </c>
      <c r="K29" s="50">
        <v>2</v>
      </c>
      <c r="L29" s="50">
        <v>4</v>
      </c>
      <c r="M29" s="50">
        <v>101</v>
      </c>
      <c r="N29" s="50">
        <v>0</v>
      </c>
      <c r="O29" s="15">
        <f t="shared" si="0"/>
        <v>120</v>
      </c>
      <c r="P29" s="15">
        <f t="shared" si="1"/>
        <v>221</v>
      </c>
      <c r="R29" s="36" t="s">
        <v>153</v>
      </c>
      <c r="S29" s="34">
        <f>SUM(C86:C89)</f>
        <v>39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4</v>
      </c>
      <c r="W29" s="34">
        <f t="shared" si="21"/>
        <v>0</v>
      </c>
      <c r="X29" s="34">
        <f t="shared" si="21"/>
        <v>2</v>
      </c>
      <c r="Y29" s="34">
        <f t="shared" si="21"/>
        <v>1</v>
      </c>
      <c r="Z29" s="34">
        <f t="shared" si="21"/>
        <v>2</v>
      </c>
      <c r="AA29" s="34">
        <f t="shared" si="21"/>
        <v>11</v>
      </c>
      <c r="AB29" s="34">
        <f t="shared" si="21"/>
        <v>2</v>
      </c>
      <c r="AC29" s="34">
        <f t="shared" si="21"/>
        <v>117</v>
      </c>
      <c r="AD29" s="34">
        <f t="shared" si="21"/>
        <v>0</v>
      </c>
      <c r="AE29" s="31">
        <f t="shared" si="21"/>
        <v>62</v>
      </c>
      <c r="AF29" s="31">
        <f t="shared" si="21"/>
        <v>179</v>
      </c>
    </row>
    <row r="30" spans="2:32" ht="23.1" customHeight="1" x14ac:dyDescent="0.25">
      <c r="B30" s="45" t="s">
        <v>57</v>
      </c>
      <c r="C30" s="50">
        <v>56</v>
      </c>
      <c r="D30" s="50">
        <v>10</v>
      </c>
      <c r="E30" s="50">
        <v>7</v>
      </c>
      <c r="F30" s="50">
        <v>38</v>
      </c>
      <c r="G30" s="50">
        <v>4</v>
      </c>
      <c r="H30" s="50">
        <v>0</v>
      </c>
      <c r="I30" s="50">
        <v>2</v>
      </c>
      <c r="J30" s="50">
        <v>4</v>
      </c>
      <c r="K30" s="50">
        <v>11</v>
      </c>
      <c r="L30" s="50">
        <v>3</v>
      </c>
      <c r="M30" s="50">
        <v>76</v>
      </c>
      <c r="N30" s="50">
        <v>0</v>
      </c>
      <c r="O30" s="15">
        <f t="shared" si="0"/>
        <v>135</v>
      </c>
      <c r="P30" s="15">
        <f t="shared" si="1"/>
        <v>211</v>
      </c>
      <c r="R30" s="36" t="s">
        <v>154</v>
      </c>
      <c r="S30" s="34">
        <f>SUM(C90:C93)</f>
        <v>30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8</v>
      </c>
      <c r="W30" s="34">
        <f t="shared" si="22"/>
        <v>0</v>
      </c>
      <c r="X30" s="34">
        <f t="shared" si="22"/>
        <v>7</v>
      </c>
      <c r="Y30" s="34">
        <f t="shared" si="22"/>
        <v>6</v>
      </c>
      <c r="Z30" s="34">
        <f t="shared" si="22"/>
        <v>12</v>
      </c>
      <c r="AA30" s="34">
        <f t="shared" si="22"/>
        <v>8</v>
      </c>
      <c r="AB30" s="34">
        <f t="shared" si="22"/>
        <v>0</v>
      </c>
      <c r="AC30" s="34">
        <f t="shared" si="22"/>
        <v>96</v>
      </c>
      <c r="AD30" s="34">
        <f t="shared" si="22"/>
        <v>0</v>
      </c>
      <c r="AE30" s="31">
        <f t="shared" si="22"/>
        <v>72</v>
      </c>
      <c r="AF30" s="31">
        <f t="shared" si="22"/>
        <v>168</v>
      </c>
    </row>
    <row r="31" spans="2:32" ht="23.1" customHeight="1" x14ac:dyDescent="0.25">
      <c r="B31" s="46" t="s">
        <v>58</v>
      </c>
      <c r="C31" s="50">
        <v>40</v>
      </c>
      <c r="D31" s="50">
        <v>8</v>
      </c>
      <c r="E31" s="50">
        <v>9</v>
      </c>
      <c r="F31" s="50">
        <v>38</v>
      </c>
      <c r="G31" s="50">
        <v>2</v>
      </c>
      <c r="H31" s="50">
        <v>0</v>
      </c>
      <c r="I31" s="50">
        <v>6</v>
      </c>
      <c r="J31" s="50">
        <v>8</v>
      </c>
      <c r="K31" s="50">
        <v>3</v>
      </c>
      <c r="L31" s="50">
        <v>0</v>
      </c>
      <c r="M31" s="50">
        <v>150</v>
      </c>
      <c r="N31" s="50">
        <v>0</v>
      </c>
      <c r="O31" s="15">
        <f t="shared" si="0"/>
        <v>114</v>
      </c>
      <c r="P31" s="15">
        <f t="shared" si="1"/>
        <v>264</v>
      </c>
      <c r="R31" s="36" t="s">
        <v>155</v>
      </c>
      <c r="S31" s="34">
        <f>SUM(C94:C97)</f>
        <v>28</v>
      </c>
      <c r="T31" s="34">
        <f t="shared" ref="T31:AF31" si="23">SUM(D94:D97)</f>
        <v>1</v>
      </c>
      <c r="U31" s="34">
        <f t="shared" si="23"/>
        <v>3</v>
      </c>
      <c r="V31" s="34">
        <f t="shared" si="23"/>
        <v>18</v>
      </c>
      <c r="W31" s="34">
        <f t="shared" si="23"/>
        <v>3</v>
      </c>
      <c r="X31" s="34">
        <f t="shared" si="23"/>
        <v>15</v>
      </c>
      <c r="Y31" s="34">
        <f t="shared" si="23"/>
        <v>5</v>
      </c>
      <c r="Z31" s="34">
        <f t="shared" si="23"/>
        <v>11</v>
      </c>
      <c r="AA31" s="34">
        <f t="shared" si="23"/>
        <v>6</v>
      </c>
      <c r="AB31" s="34">
        <f t="shared" si="23"/>
        <v>2</v>
      </c>
      <c r="AC31" s="34">
        <f t="shared" si="23"/>
        <v>67</v>
      </c>
      <c r="AD31" s="34">
        <f t="shared" si="23"/>
        <v>0</v>
      </c>
      <c r="AE31" s="31">
        <f t="shared" si="23"/>
        <v>92</v>
      </c>
      <c r="AF31" s="31">
        <f t="shared" si="23"/>
        <v>159</v>
      </c>
    </row>
    <row r="32" spans="2:32" ht="23.1" customHeight="1" x14ac:dyDescent="0.25">
      <c r="B32" s="46" t="s">
        <v>59</v>
      </c>
      <c r="C32" s="50">
        <v>46</v>
      </c>
      <c r="D32" s="50">
        <v>5</v>
      </c>
      <c r="E32" s="50">
        <v>2</v>
      </c>
      <c r="F32" s="50">
        <v>46</v>
      </c>
      <c r="G32" s="50">
        <v>2</v>
      </c>
      <c r="H32" s="50">
        <v>2</v>
      </c>
      <c r="I32" s="50">
        <v>7</v>
      </c>
      <c r="J32" s="50">
        <v>5</v>
      </c>
      <c r="K32" s="50">
        <v>1</v>
      </c>
      <c r="L32" s="50">
        <v>4</v>
      </c>
      <c r="M32" s="50">
        <v>161</v>
      </c>
      <c r="N32" s="50">
        <v>0</v>
      </c>
      <c r="O32" s="15">
        <f t="shared" si="0"/>
        <v>120</v>
      </c>
      <c r="P32" s="15">
        <f t="shared" si="1"/>
        <v>281</v>
      </c>
      <c r="R32" s="33" t="s">
        <v>156</v>
      </c>
      <c r="S32" s="34">
        <f>SUM(C98:C101)</f>
        <v>61</v>
      </c>
      <c r="T32" s="34">
        <f t="shared" ref="T32:AF32" si="24">SUM(D98:D101)</f>
        <v>0</v>
      </c>
      <c r="U32" s="34">
        <f t="shared" si="24"/>
        <v>4</v>
      </c>
      <c r="V32" s="34">
        <f t="shared" si="24"/>
        <v>47</v>
      </c>
      <c r="W32" s="34">
        <f t="shared" si="24"/>
        <v>0</v>
      </c>
      <c r="X32" s="34">
        <f t="shared" si="24"/>
        <v>5</v>
      </c>
      <c r="Y32" s="34">
        <f t="shared" si="24"/>
        <v>41</v>
      </c>
      <c r="Z32" s="34">
        <f t="shared" si="24"/>
        <v>9</v>
      </c>
      <c r="AA32" s="34">
        <f t="shared" si="24"/>
        <v>6</v>
      </c>
      <c r="AB32" s="34">
        <f t="shared" si="24"/>
        <v>3</v>
      </c>
      <c r="AC32" s="34">
        <f t="shared" si="24"/>
        <v>115</v>
      </c>
      <c r="AD32" s="34">
        <f t="shared" si="24"/>
        <v>0</v>
      </c>
      <c r="AE32" s="31">
        <f t="shared" si="24"/>
        <v>176</v>
      </c>
      <c r="AF32" s="31">
        <f t="shared" si="24"/>
        <v>291</v>
      </c>
    </row>
    <row r="33" spans="2:32" ht="23.1" customHeight="1" x14ac:dyDescent="0.25">
      <c r="B33" s="45" t="s">
        <v>60</v>
      </c>
      <c r="C33" s="50">
        <v>30</v>
      </c>
      <c r="D33" s="50">
        <v>9</v>
      </c>
      <c r="E33" s="50">
        <v>1</v>
      </c>
      <c r="F33" s="50">
        <v>29</v>
      </c>
      <c r="G33" s="50">
        <v>4</v>
      </c>
      <c r="H33" s="50">
        <v>1</v>
      </c>
      <c r="I33" s="50">
        <v>4</v>
      </c>
      <c r="J33" s="50">
        <v>5</v>
      </c>
      <c r="K33" s="50">
        <v>2</v>
      </c>
      <c r="L33" s="50">
        <v>1</v>
      </c>
      <c r="M33" s="50">
        <v>192</v>
      </c>
      <c r="N33" s="50">
        <v>0</v>
      </c>
      <c r="O33" s="15">
        <f t="shared" si="0"/>
        <v>86</v>
      </c>
      <c r="P33" s="15">
        <f t="shared" si="1"/>
        <v>278</v>
      </c>
      <c r="R33" s="33" t="s">
        <v>157</v>
      </c>
      <c r="S33" s="34">
        <f>SUM(C102:C105)</f>
        <v>94</v>
      </c>
      <c r="T33" s="34">
        <f t="shared" ref="T33:AF33" si="25">SUM(D102:D105)</f>
        <v>2</v>
      </c>
      <c r="U33" s="34">
        <f t="shared" si="25"/>
        <v>10</v>
      </c>
      <c r="V33" s="34">
        <f t="shared" si="25"/>
        <v>105</v>
      </c>
      <c r="W33" s="34">
        <f t="shared" si="25"/>
        <v>2</v>
      </c>
      <c r="X33" s="34">
        <f t="shared" si="25"/>
        <v>5</v>
      </c>
      <c r="Y33" s="34">
        <f t="shared" si="25"/>
        <v>27</v>
      </c>
      <c r="Z33" s="34">
        <f t="shared" si="25"/>
        <v>10</v>
      </c>
      <c r="AA33" s="34">
        <f t="shared" si="25"/>
        <v>16</v>
      </c>
      <c r="AB33" s="34">
        <f t="shared" si="25"/>
        <v>6</v>
      </c>
      <c r="AC33" s="34">
        <f t="shared" si="25"/>
        <v>285</v>
      </c>
      <c r="AD33" s="34">
        <f t="shared" si="25"/>
        <v>0</v>
      </c>
      <c r="AE33" s="31">
        <f t="shared" si="25"/>
        <v>277</v>
      </c>
      <c r="AF33" s="31">
        <f t="shared" si="25"/>
        <v>562</v>
      </c>
    </row>
    <row r="34" spans="2:32" ht="23.1" customHeight="1" x14ac:dyDescent="0.25">
      <c r="B34" s="46" t="s">
        <v>61</v>
      </c>
      <c r="C34" s="50">
        <v>34</v>
      </c>
      <c r="D34" s="50">
        <v>14</v>
      </c>
      <c r="E34" s="50">
        <v>6</v>
      </c>
      <c r="F34" s="50">
        <v>35</v>
      </c>
      <c r="G34" s="50">
        <v>1</v>
      </c>
      <c r="H34" s="50">
        <v>0</v>
      </c>
      <c r="I34" s="50">
        <v>9</v>
      </c>
      <c r="J34" s="50">
        <v>4</v>
      </c>
      <c r="K34" s="50">
        <v>1</v>
      </c>
      <c r="L34" s="50">
        <v>1</v>
      </c>
      <c r="M34" s="50">
        <v>180</v>
      </c>
      <c r="N34" s="50">
        <v>0</v>
      </c>
      <c r="O34" s="15">
        <f t="shared" si="0"/>
        <v>105</v>
      </c>
      <c r="P34" s="15">
        <f t="shared" si="1"/>
        <v>285</v>
      </c>
      <c r="R34" s="38" t="s">
        <v>90</v>
      </c>
      <c r="S34" s="39">
        <f t="shared" ref="S34:AF34" si="26">MAX(S10:S12)</f>
        <v>226</v>
      </c>
      <c r="T34" s="39">
        <f t="shared" si="26"/>
        <v>36</v>
      </c>
      <c r="U34" s="39">
        <f t="shared" si="26"/>
        <v>19</v>
      </c>
      <c r="V34" s="39">
        <f t="shared" si="26"/>
        <v>184</v>
      </c>
      <c r="W34" s="39">
        <f t="shared" si="26"/>
        <v>15</v>
      </c>
      <c r="X34" s="39">
        <f t="shared" si="26"/>
        <v>3</v>
      </c>
      <c r="Y34" s="39">
        <f t="shared" si="26"/>
        <v>33</v>
      </c>
      <c r="Z34" s="39">
        <f t="shared" si="26"/>
        <v>28</v>
      </c>
      <c r="AA34" s="39">
        <f t="shared" si="26"/>
        <v>14</v>
      </c>
      <c r="AB34" s="39">
        <f t="shared" si="26"/>
        <v>8</v>
      </c>
      <c r="AC34" s="39">
        <f t="shared" si="26"/>
        <v>1073</v>
      </c>
      <c r="AD34" s="39">
        <f t="shared" si="26"/>
        <v>0</v>
      </c>
      <c r="AE34" s="40">
        <f t="shared" si="26"/>
        <v>521</v>
      </c>
      <c r="AF34" s="40">
        <f t="shared" si="26"/>
        <v>1505</v>
      </c>
    </row>
    <row r="35" spans="2:32" ht="23.1" customHeight="1" x14ac:dyDescent="0.25">
      <c r="B35" s="46" t="s">
        <v>62</v>
      </c>
      <c r="C35" s="50">
        <v>38</v>
      </c>
      <c r="D35" s="50">
        <v>6</v>
      </c>
      <c r="E35" s="50">
        <v>2</v>
      </c>
      <c r="F35" s="50">
        <v>37</v>
      </c>
      <c r="G35" s="50">
        <v>3</v>
      </c>
      <c r="H35" s="50">
        <v>1</v>
      </c>
      <c r="I35" s="50">
        <v>2</v>
      </c>
      <c r="J35" s="50">
        <v>3</v>
      </c>
      <c r="K35" s="50">
        <v>4</v>
      </c>
      <c r="L35" s="50">
        <v>1</v>
      </c>
      <c r="M35" s="50">
        <v>150</v>
      </c>
      <c r="N35" s="50">
        <v>0</v>
      </c>
      <c r="O35" s="15">
        <f t="shared" si="0"/>
        <v>97</v>
      </c>
      <c r="P35" s="15">
        <f t="shared" si="1"/>
        <v>247</v>
      </c>
      <c r="R35" s="38" t="s">
        <v>91</v>
      </c>
      <c r="S35" s="39">
        <f t="shared" ref="S35:AF35" si="27">MAX(S13:S18)</f>
        <v>181</v>
      </c>
      <c r="T35" s="39">
        <f t="shared" si="27"/>
        <v>54</v>
      </c>
      <c r="U35" s="39">
        <f t="shared" si="27"/>
        <v>36</v>
      </c>
      <c r="V35" s="39">
        <f t="shared" si="27"/>
        <v>175</v>
      </c>
      <c r="W35" s="39">
        <f t="shared" si="27"/>
        <v>20</v>
      </c>
      <c r="X35" s="39">
        <f t="shared" si="27"/>
        <v>13</v>
      </c>
      <c r="Y35" s="39">
        <f t="shared" si="27"/>
        <v>37</v>
      </c>
      <c r="Z35" s="39">
        <f t="shared" si="27"/>
        <v>44</v>
      </c>
      <c r="AA35" s="39">
        <f t="shared" si="27"/>
        <v>17</v>
      </c>
      <c r="AB35" s="39">
        <f t="shared" si="27"/>
        <v>11</v>
      </c>
      <c r="AC35" s="39">
        <f t="shared" si="27"/>
        <v>766</v>
      </c>
      <c r="AD35" s="39">
        <f t="shared" si="27"/>
        <v>0</v>
      </c>
      <c r="AE35" s="40">
        <f t="shared" si="27"/>
        <v>536</v>
      </c>
      <c r="AF35" s="40">
        <f t="shared" si="27"/>
        <v>1273</v>
      </c>
    </row>
    <row r="36" spans="2:32" ht="23.1" customHeight="1" x14ac:dyDescent="0.25">
      <c r="B36" s="46" t="s">
        <v>63</v>
      </c>
      <c r="C36" s="50">
        <v>47</v>
      </c>
      <c r="D36" s="50">
        <v>15</v>
      </c>
      <c r="E36" s="50">
        <v>6</v>
      </c>
      <c r="F36" s="50">
        <v>41</v>
      </c>
      <c r="G36" s="50">
        <v>1</v>
      </c>
      <c r="H36" s="50">
        <v>1</v>
      </c>
      <c r="I36" s="50">
        <v>6</v>
      </c>
      <c r="J36" s="50">
        <v>5</v>
      </c>
      <c r="K36" s="50">
        <v>4</v>
      </c>
      <c r="L36" s="50">
        <v>1</v>
      </c>
      <c r="M36" s="50">
        <v>183</v>
      </c>
      <c r="N36" s="50">
        <v>0</v>
      </c>
      <c r="O36" s="15">
        <f t="shared" si="0"/>
        <v>127</v>
      </c>
      <c r="P36" s="15">
        <f t="shared" si="1"/>
        <v>310</v>
      </c>
      <c r="R36" s="38" t="s">
        <v>92</v>
      </c>
      <c r="S36" s="39">
        <f t="shared" ref="S36:AF36" si="28">MAX(S19:S21)</f>
        <v>146</v>
      </c>
      <c r="T36" s="39">
        <f t="shared" si="28"/>
        <v>51</v>
      </c>
      <c r="U36" s="39">
        <f t="shared" si="28"/>
        <v>24</v>
      </c>
      <c r="V36" s="39">
        <f t="shared" si="28"/>
        <v>193</v>
      </c>
      <c r="W36" s="39">
        <f t="shared" si="28"/>
        <v>9</v>
      </c>
      <c r="X36" s="39">
        <f t="shared" si="28"/>
        <v>7</v>
      </c>
      <c r="Y36" s="39">
        <f t="shared" si="28"/>
        <v>40</v>
      </c>
      <c r="Z36" s="39">
        <f t="shared" si="28"/>
        <v>24</v>
      </c>
      <c r="AA36" s="39">
        <f t="shared" si="28"/>
        <v>14</v>
      </c>
      <c r="AB36" s="39">
        <f t="shared" si="28"/>
        <v>16</v>
      </c>
      <c r="AC36" s="39">
        <f t="shared" si="28"/>
        <v>604</v>
      </c>
      <c r="AD36" s="39">
        <f t="shared" si="28"/>
        <v>0</v>
      </c>
      <c r="AE36" s="40">
        <f t="shared" si="28"/>
        <v>511</v>
      </c>
      <c r="AF36" s="40">
        <f t="shared" si="28"/>
        <v>1115</v>
      </c>
    </row>
    <row r="37" spans="2:32" ht="23.1" customHeight="1" x14ac:dyDescent="0.25">
      <c r="B37" s="45" t="s">
        <v>64</v>
      </c>
      <c r="C37" s="50">
        <v>35</v>
      </c>
      <c r="D37" s="50">
        <v>13</v>
      </c>
      <c r="E37" s="50">
        <v>6</v>
      </c>
      <c r="F37" s="50">
        <v>41</v>
      </c>
      <c r="G37" s="50">
        <v>1</v>
      </c>
      <c r="H37" s="50">
        <v>3</v>
      </c>
      <c r="I37" s="50">
        <v>12</v>
      </c>
      <c r="J37" s="50">
        <v>5</v>
      </c>
      <c r="K37" s="50">
        <v>2</v>
      </c>
      <c r="L37" s="50">
        <v>3</v>
      </c>
      <c r="M37" s="50">
        <v>150</v>
      </c>
      <c r="N37" s="50">
        <v>0</v>
      </c>
      <c r="O37" s="15">
        <f t="shared" si="0"/>
        <v>121</v>
      </c>
      <c r="P37" s="15">
        <f t="shared" si="1"/>
        <v>271</v>
      </c>
      <c r="R37" s="37" t="s">
        <v>85</v>
      </c>
      <c r="S37" s="35">
        <f t="shared" ref="S37:AF37" si="29">SUM(S10:S12)</f>
        <v>561</v>
      </c>
      <c r="T37" s="16">
        <f t="shared" si="29"/>
        <v>103</v>
      </c>
      <c r="U37" s="16">
        <f t="shared" si="29"/>
        <v>39</v>
      </c>
      <c r="V37" s="16">
        <f t="shared" si="29"/>
        <v>494</v>
      </c>
      <c r="W37" s="16">
        <f t="shared" si="29"/>
        <v>30</v>
      </c>
      <c r="X37" s="16">
        <f t="shared" si="29"/>
        <v>5</v>
      </c>
      <c r="Y37" s="16">
        <f t="shared" si="29"/>
        <v>86</v>
      </c>
      <c r="Z37" s="16">
        <f t="shared" si="29"/>
        <v>74</v>
      </c>
      <c r="AA37" s="16">
        <f t="shared" si="29"/>
        <v>32</v>
      </c>
      <c r="AB37" s="16">
        <f t="shared" si="29"/>
        <v>18</v>
      </c>
      <c r="AC37" s="16">
        <f t="shared" si="29"/>
        <v>2502</v>
      </c>
      <c r="AD37" s="16">
        <f t="shared" si="29"/>
        <v>0</v>
      </c>
      <c r="AE37" s="32">
        <f t="shared" si="29"/>
        <v>1442</v>
      </c>
      <c r="AF37" s="32">
        <f t="shared" si="29"/>
        <v>3944</v>
      </c>
    </row>
    <row r="38" spans="2:32" ht="23.1" customHeight="1" x14ac:dyDescent="0.25">
      <c r="B38" s="46" t="s">
        <v>65</v>
      </c>
      <c r="C38" s="50">
        <v>58</v>
      </c>
      <c r="D38" s="50">
        <v>20</v>
      </c>
      <c r="E38" s="50">
        <v>6</v>
      </c>
      <c r="F38" s="50">
        <v>54</v>
      </c>
      <c r="G38" s="50">
        <v>2</v>
      </c>
      <c r="H38" s="50">
        <v>1</v>
      </c>
      <c r="I38" s="50">
        <v>11</v>
      </c>
      <c r="J38" s="50">
        <v>6</v>
      </c>
      <c r="K38" s="50">
        <v>1</v>
      </c>
      <c r="L38" s="50">
        <v>2</v>
      </c>
      <c r="M38" s="50">
        <v>163</v>
      </c>
      <c r="N38" s="50">
        <v>0</v>
      </c>
      <c r="O38" s="15">
        <f t="shared" si="0"/>
        <v>161</v>
      </c>
      <c r="P38" s="15">
        <f t="shared" si="1"/>
        <v>324</v>
      </c>
      <c r="R38" s="28" t="s">
        <v>86</v>
      </c>
      <c r="S38" s="16">
        <f t="shared" ref="S38:AF38" si="30">SUM(S13:S18)</f>
        <v>978</v>
      </c>
      <c r="T38" s="16">
        <f t="shared" si="30"/>
        <v>269</v>
      </c>
      <c r="U38" s="16">
        <f t="shared" si="30"/>
        <v>130</v>
      </c>
      <c r="V38" s="16">
        <f t="shared" si="30"/>
        <v>932</v>
      </c>
      <c r="W38" s="16">
        <f t="shared" si="30"/>
        <v>54</v>
      </c>
      <c r="X38" s="16">
        <f t="shared" si="30"/>
        <v>33</v>
      </c>
      <c r="Y38" s="16">
        <f t="shared" si="30"/>
        <v>165</v>
      </c>
      <c r="Z38" s="16">
        <f t="shared" si="30"/>
        <v>164</v>
      </c>
      <c r="AA38" s="16">
        <f t="shared" si="30"/>
        <v>61</v>
      </c>
      <c r="AB38" s="16">
        <f t="shared" si="30"/>
        <v>48</v>
      </c>
      <c r="AC38" s="16">
        <f t="shared" si="30"/>
        <v>3402</v>
      </c>
      <c r="AD38" s="16">
        <f t="shared" si="30"/>
        <v>0</v>
      </c>
      <c r="AE38" s="32">
        <f t="shared" si="30"/>
        <v>2834</v>
      </c>
      <c r="AF38" s="32">
        <f t="shared" si="30"/>
        <v>6236</v>
      </c>
    </row>
    <row r="39" spans="2:32" ht="23.1" customHeight="1" x14ac:dyDescent="0.25">
      <c r="B39" s="46" t="s">
        <v>66</v>
      </c>
      <c r="C39" s="50">
        <v>28</v>
      </c>
      <c r="D39" s="50">
        <v>10</v>
      </c>
      <c r="E39" s="50">
        <v>3</v>
      </c>
      <c r="F39" s="50">
        <v>27</v>
      </c>
      <c r="G39" s="50">
        <v>1</v>
      </c>
      <c r="H39" s="50">
        <v>1</v>
      </c>
      <c r="I39" s="50">
        <v>12</v>
      </c>
      <c r="J39" s="50">
        <v>5</v>
      </c>
      <c r="K39" s="50">
        <v>3</v>
      </c>
      <c r="L39" s="50">
        <v>3</v>
      </c>
      <c r="M39" s="50">
        <v>140</v>
      </c>
      <c r="N39" s="50">
        <v>0</v>
      </c>
      <c r="O39" s="15">
        <f t="shared" si="0"/>
        <v>93</v>
      </c>
      <c r="P39" s="15">
        <f t="shared" si="1"/>
        <v>233</v>
      </c>
      <c r="R39" s="29" t="s">
        <v>87</v>
      </c>
      <c r="S39" s="16">
        <f t="shared" ref="S39:AF39" si="31">SUM(S19:S21)</f>
        <v>385</v>
      </c>
      <c r="T39" s="16">
        <f t="shared" si="31"/>
        <v>127</v>
      </c>
      <c r="U39" s="16">
        <f t="shared" si="31"/>
        <v>66</v>
      </c>
      <c r="V39" s="16">
        <f t="shared" si="31"/>
        <v>475</v>
      </c>
      <c r="W39" s="16">
        <f t="shared" si="31"/>
        <v>22</v>
      </c>
      <c r="X39" s="16">
        <f t="shared" si="31"/>
        <v>16</v>
      </c>
      <c r="Y39" s="16">
        <f t="shared" si="31"/>
        <v>100</v>
      </c>
      <c r="Z39" s="16">
        <f t="shared" si="31"/>
        <v>61</v>
      </c>
      <c r="AA39" s="16">
        <f t="shared" si="31"/>
        <v>36</v>
      </c>
      <c r="AB39" s="16">
        <f t="shared" si="31"/>
        <v>27</v>
      </c>
      <c r="AC39" s="16">
        <f t="shared" si="31"/>
        <v>1567</v>
      </c>
      <c r="AD39" s="16">
        <f t="shared" si="31"/>
        <v>0</v>
      </c>
      <c r="AE39" s="32">
        <f t="shared" si="31"/>
        <v>1315</v>
      </c>
      <c r="AF39" s="32">
        <f t="shared" si="31"/>
        <v>2882</v>
      </c>
    </row>
    <row r="40" spans="2:32" ht="23.1" customHeight="1" x14ac:dyDescent="0.25">
      <c r="B40" s="46" t="s">
        <v>67</v>
      </c>
      <c r="C40" s="50">
        <v>53</v>
      </c>
      <c r="D40" s="50">
        <v>15</v>
      </c>
      <c r="E40" s="50">
        <v>6</v>
      </c>
      <c r="F40" s="50">
        <v>39</v>
      </c>
      <c r="G40" s="50">
        <v>2</v>
      </c>
      <c r="H40" s="50">
        <v>2</v>
      </c>
      <c r="I40" s="50">
        <v>13</v>
      </c>
      <c r="J40" s="50">
        <v>7</v>
      </c>
      <c r="K40" s="50">
        <v>2</v>
      </c>
      <c r="L40" s="50">
        <v>6</v>
      </c>
      <c r="M40" s="50">
        <v>88</v>
      </c>
      <c r="N40" s="50">
        <v>0</v>
      </c>
      <c r="O40" s="15">
        <f t="shared" si="0"/>
        <v>145</v>
      </c>
      <c r="P40" s="15">
        <f t="shared" si="1"/>
        <v>233</v>
      </c>
      <c r="R40" s="5" t="s">
        <v>17</v>
      </c>
      <c r="S40" s="16">
        <f t="shared" ref="S40:AF40" si="32">SUM(S10:S21)</f>
        <v>1924</v>
      </c>
      <c r="T40" s="16">
        <f t="shared" si="32"/>
        <v>499</v>
      </c>
      <c r="U40" s="16">
        <f t="shared" si="32"/>
        <v>235</v>
      </c>
      <c r="V40" s="16">
        <f t="shared" si="32"/>
        <v>1901</v>
      </c>
      <c r="W40" s="16">
        <f t="shared" si="32"/>
        <v>106</v>
      </c>
      <c r="X40" s="16">
        <f t="shared" si="32"/>
        <v>54</v>
      </c>
      <c r="Y40" s="16">
        <f t="shared" si="32"/>
        <v>351</v>
      </c>
      <c r="Z40" s="16">
        <f t="shared" si="32"/>
        <v>299</v>
      </c>
      <c r="AA40" s="16">
        <f t="shared" si="32"/>
        <v>129</v>
      </c>
      <c r="AB40" s="16">
        <f t="shared" si="32"/>
        <v>93</v>
      </c>
      <c r="AC40" s="16">
        <f t="shared" si="32"/>
        <v>7471</v>
      </c>
      <c r="AD40" s="16">
        <f t="shared" si="32"/>
        <v>0</v>
      </c>
      <c r="AE40" s="32">
        <f t="shared" si="32"/>
        <v>5591</v>
      </c>
      <c r="AF40" s="32">
        <f t="shared" si="32"/>
        <v>13062</v>
      </c>
    </row>
    <row r="41" spans="2:32" ht="23.1" customHeight="1" x14ac:dyDescent="0.25">
      <c r="B41" s="45" t="s">
        <v>68</v>
      </c>
      <c r="C41" s="50">
        <v>7</v>
      </c>
      <c r="D41" s="50">
        <v>4</v>
      </c>
      <c r="E41" s="50">
        <v>1</v>
      </c>
      <c r="F41" s="50">
        <v>15</v>
      </c>
      <c r="G41" s="50">
        <v>0</v>
      </c>
      <c r="H41" s="50">
        <v>2</v>
      </c>
      <c r="I41" s="50">
        <v>1</v>
      </c>
      <c r="J41" s="50">
        <v>2</v>
      </c>
      <c r="K41" s="50">
        <v>0</v>
      </c>
      <c r="L41" s="50">
        <v>0</v>
      </c>
      <c r="M41" s="50">
        <v>162</v>
      </c>
      <c r="N41" s="50">
        <v>0</v>
      </c>
      <c r="O41" s="15">
        <f t="shared" si="0"/>
        <v>32</v>
      </c>
      <c r="P41" s="15">
        <f t="shared" si="1"/>
        <v>194</v>
      </c>
      <c r="R41" s="5" t="s">
        <v>159</v>
      </c>
      <c r="S41" s="16">
        <f>SUM(S10:S33)</f>
        <v>3127</v>
      </c>
      <c r="T41" s="16">
        <f t="shared" ref="T41:AF41" si="33">SUM(T10:T33)</f>
        <v>523</v>
      </c>
      <c r="U41" s="16">
        <f t="shared" si="33"/>
        <v>333</v>
      </c>
      <c r="V41" s="16">
        <f t="shared" si="33"/>
        <v>2652</v>
      </c>
      <c r="W41" s="16">
        <f t="shared" si="33"/>
        <v>142</v>
      </c>
      <c r="X41" s="16">
        <f t="shared" si="33"/>
        <v>122</v>
      </c>
      <c r="Y41" s="16">
        <f t="shared" si="33"/>
        <v>568</v>
      </c>
      <c r="Z41" s="16">
        <f t="shared" si="33"/>
        <v>479</v>
      </c>
      <c r="AA41" s="16">
        <f t="shared" si="33"/>
        <v>237</v>
      </c>
      <c r="AB41" s="16">
        <f t="shared" si="33"/>
        <v>149</v>
      </c>
      <c r="AC41" s="16">
        <f t="shared" si="33"/>
        <v>12513</v>
      </c>
      <c r="AD41" s="16">
        <f t="shared" si="33"/>
        <v>0</v>
      </c>
      <c r="AE41" s="32">
        <f t="shared" si="33"/>
        <v>8332</v>
      </c>
      <c r="AF41" s="32">
        <f t="shared" si="33"/>
        <v>20845</v>
      </c>
    </row>
    <row r="42" spans="2:32" ht="23.1" customHeight="1" x14ac:dyDescent="0.25">
      <c r="B42" s="46" t="s">
        <v>69</v>
      </c>
      <c r="C42" s="50">
        <v>46</v>
      </c>
      <c r="D42" s="50">
        <v>23</v>
      </c>
      <c r="E42" s="50">
        <v>5</v>
      </c>
      <c r="F42" s="50">
        <v>24</v>
      </c>
      <c r="G42" s="50">
        <v>4</v>
      </c>
      <c r="H42" s="50">
        <v>1</v>
      </c>
      <c r="I42" s="50">
        <v>6</v>
      </c>
      <c r="J42" s="50">
        <v>8</v>
      </c>
      <c r="K42" s="50">
        <v>0</v>
      </c>
      <c r="L42" s="50">
        <v>6</v>
      </c>
      <c r="M42" s="50">
        <v>150</v>
      </c>
      <c r="N42" s="50">
        <v>0</v>
      </c>
      <c r="O42" s="15">
        <f t="shared" si="0"/>
        <v>123</v>
      </c>
      <c r="P42" s="15">
        <f t="shared" si="1"/>
        <v>273</v>
      </c>
      <c r="R42" s="5" t="s">
        <v>160</v>
      </c>
      <c r="S42" s="48">
        <f>S41/S40</f>
        <v>1.6252598752598753</v>
      </c>
      <c r="T42" s="48">
        <f t="shared" ref="T42:AF42" si="34">T41/T40</f>
        <v>1.0480961923847696</v>
      </c>
      <c r="U42" s="48">
        <f t="shared" si="34"/>
        <v>1.4170212765957446</v>
      </c>
      <c r="V42" s="48">
        <f t="shared" si="34"/>
        <v>1.3950552340873226</v>
      </c>
      <c r="W42" s="48">
        <f t="shared" si="34"/>
        <v>1.3396226415094339</v>
      </c>
      <c r="X42" s="48">
        <f t="shared" si="34"/>
        <v>2.2592592592592591</v>
      </c>
      <c r="Y42" s="48">
        <f t="shared" si="34"/>
        <v>1.6182336182336183</v>
      </c>
      <c r="Z42" s="48">
        <f t="shared" si="34"/>
        <v>1.6020066889632107</v>
      </c>
      <c r="AA42" s="48">
        <f t="shared" si="34"/>
        <v>1.8372093023255813</v>
      </c>
      <c r="AB42" s="48">
        <f t="shared" si="34"/>
        <v>1.6021505376344085</v>
      </c>
      <c r="AC42" s="48">
        <f t="shared" si="34"/>
        <v>1.6748761879266496</v>
      </c>
      <c r="AD42" s="48" t="e">
        <f t="shared" si="34"/>
        <v>#DIV/0!</v>
      </c>
      <c r="AE42" s="48">
        <f t="shared" si="34"/>
        <v>1.4902521910212843</v>
      </c>
      <c r="AF42" s="48">
        <f t="shared" si="34"/>
        <v>1.5958505588730669</v>
      </c>
    </row>
    <row r="43" spans="2:32" ht="23.1" customHeight="1" x14ac:dyDescent="0.25">
      <c r="B43" s="45" t="s">
        <v>70</v>
      </c>
      <c r="C43" s="50">
        <v>44</v>
      </c>
      <c r="D43" s="50">
        <v>15</v>
      </c>
      <c r="E43" s="50">
        <v>4</v>
      </c>
      <c r="F43" s="50">
        <v>43</v>
      </c>
      <c r="G43" s="50">
        <v>0</v>
      </c>
      <c r="H43" s="50">
        <v>1</v>
      </c>
      <c r="I43" s="50">
        <v>3</v>
      </c>
      <c r="J43" s="50">
        <v>9</v>
      </c>
      <c r="K43" s="50">
        <v>2</v>
      </c>
      <c r="L43" s="50">
        <v>2</v>
      </c>
      <c r="M43" s="50">
        <v>115</v>
      </c>
      <c r="N43" s="50">
        <v>0</v>
      </c>
      <c r="O43" s="15">
        <f t="shared" si="0"/>
        <v>123</v>
      </c>
      <c r="P43" s="15">
        <f t="shared" si="1"/>
        <v>238</v>
      </c>
    </row>
    <row r="44" spans="2:32" ht="23.1" customHeight="1" x14ac:dyDescent="0.25">
      <c r="B44" s="47" t="s">
        <v>71</v>
      </c>
      <c r="C44" s="50">
        <v>33</v>
      </c>
      <c r="D44" s="50">
        <v>9</v>
      </c>
      <c r="E44" s="50">
        <v>2</v>
      </c>
      <c r="F44" s="50">
        <v>42</v>
      </c>
      <c r="G44" s="50">
        <v>1</v>
      </c>
      <c r="H44" s="50">
        <v>2</v>
      </c>
      <c r="I44" s="50">
        <v>9</v>
      </c>
      <c r="J44" s="50">
        <v>3</v>
      </c>
      <c r="K44" s="50">
        <v>0</v>
      </c>
      <c r="L44" s="50">
        <v>1</v>
      </c>
      <c r="M44" s="50">
        <v>113</v>
      </c>
      <c r="N44" s="50">
        <v>0</v>
      </c>
      <c r="O44" s="15">
        <f t="shared" si="0"/>
        <v>102</v>
      </c>
      <c r="P44" s="15">
        <f t="shared" si="1"/>
        <v>215</v>
      </c>
    </row>
    <row r="45" spans="2:32" ht="23.1" customHeight="1" x14ac:dyDescent="0.25">
      <c r="B45" s="45" t="s">
        <v>72</v>
      </c>
      <c r="C45" s="50">
        <v>34</v>
      </c>
      <c r="D45" s="50">
        <v>7</v>
      </c>
      <c r="E45" s="50">
        <v>6</v>
      </c>
      <c r="F45" s="50">
        <v>37</v>
      </c>
      <c r="G45" s="50">
        <v>0</v>
      </c>
      <c r="H45" s="50">
        <v>1</v>
      </c>
      <c r="I45" s="50">
        <v>11</v>
      </c>
      <c r="J45" s="50">
        <v>6</v>
      </c>
      <c r="K45" s="50">
        <v>3</v>
      </c>
      <c r="L45" s="50">
        <v>2</v>
      </c>
      <c r="M45" s="50">
        <v>137</v>
      </c>
      <c r="N45" s="50">
        <v>0</v>
      </c>
      <c r="O45" s="15">
        <f t="shared" si="0"/>
        <v>107</v>
      </c>
      <c r="P45" s="15">
        <f t="shared" si="1"/>
        <v>244</v>
      </c>
    </row>
    <row r="46" spans="2:32" ht="23.1" customHeight="1" x14ac:dyDescent="0.25">
      <c r="B46" s="46" t="s">
        <v>73</v>
      </c>
      <c r="C46" s="50">
        <v>43</v>
      </c>
      <c r="D46" s="50">
        <v>17</v>
      </c>
      <c r="E46" s="50">
        <v>6</v>
      </c>
      <c r="F46" s="50">
        <v>47</v>
      </c>
      <c r="G46" s="50">
        <v>2</v>
      </c>
      <c r="H46" s="50">
        <v>1</v>
      </c>
      <c r="I46" s="50">
        <v>10</v>
      </c>
      <c r="J46" s="50">
        <v>6</v>
      </c>
      <c r="K46" s="50">
        <v>2</v>
      </c>
      <c r="L46" s="50">
        <v>3</v>
      </c>
      <c r="M46" s="50">
        <v>145</v>
      </c>
      <c r="N46" s="50">
        <v>0</v>
      </c>
      <c r="O46" s="15">
        <f t="shared" si="0"/>
        <v>137</v>
      </c>
      <c r="P46" s="15">
        <f t="shared" si="1"/>
        <v>282</v>
      </c>
      <c r="R46" s="8"/>
      <c r="T46"/>
    </row>
    <row r="47" spans="2:32" ht="23.1" customHeight="1" x14ac:dyDescent="0.25">
      <c r="B47" s="46" t="s">
        <v>74</v>
      </c>
      <c r="C47" s="50">
        <v>31</v>
      </c>
      <c r="D47" s="50">
        <v>12</v>
      </c>
      <c r="E47" s="50">
        <v>2</v>
      </c>
      <c r="F47" s="50">
        <v>30</v>
      </c>
      <c r="G47" s="50">
        <v>3</v>
      </c>
      <c r="H47" s="50">
        <v>1</v>
      </c>
      <c r="I47" s="50">
        <v>5</v>
      </c>
      <c r="J47" s="50">
        <v>9</v>
      </c>
      <c r="K47" s="50">
        <v>3</v>
      </c>
      <c r="L47" s="50">
        <v>1</v>
      </c>
      <c r="M47" s="50">
        <v>105</v>
      </c>
      <c r="N47" s="50">
        <v>0</v>
      </c>
      <c r="O47" s="15">
        <f t="shared" si="0"/>
        <v>97</v>
      </c>
      <c r="P47" s="15">
        <f t="shared" si="1"/>
        <v>202</v>
      </c>
      <c r="R47" s="8"/>
      <c r="T47"/>
    </row>
    <row r="48" spans="2:32" ht="23.1" customHeight="1" x14ac:dyDescent="0.25">
      <c r="B48" s="46" t="s">
        <v>75</v>
      </c>
      <c r="C48" s="50">
        <v>25</v>
      </c>
      <c r="D48" s="50">
        <v>3</v>
      </c>
      <c r="E48" s="50">
        <v>7</v>
      </c>
      <c r="F48" s="50">
        <v>40</v>
      </c>
      <c r="G48" s="50">
        <v>0</v>
      </c>
      <c r="H48" s="50">
        <v>1</v>
      </c>
      <c r="I48" s="50">
        <v>12</v>
      </c>
      <c r="J48" s="50">
        <v>4</v>
      </c>
      <c r="K48" s="50">
        <v>1</v>
      </c>
      <c r="L48" s="50">
        <v>1</v>
      </c>
      <c r="M48" s="50">
        <v>102</v>
      </c>
      <c r="N48" s="50">
        <v>0</v>
      </c>
      <c r="O48" s="15">
        <f t="shared" si="0"/>
        <v>94</v>
      </c>
      <c r="P48" s="15">
        <f t="shared" si="1"/>
        <v>196</v>
      </c>
      <c r="R48" s="8"/>
      <c r="T48"/>
    </row>
    <row r="49" spans="2:20" ht="23.1" customHeight="1" x14ac:dyDescent="0.25">
      <c r="B49" s="45" t="s">
        <v>76</v>
      </c>
      <c r="C49" s="50">
        <v>37</v>
      </c>
      <c r="D49" s="50">
        <v>6</v>
      </c>
      <c r="E49" s="50">
        <v>7</v>
      </c>
      <c r="F49" s="50">
        <v>33</v>
      </c>
      <c r="G49" s="50">
        <v>2</v>
      </c>
      <c r="H49" s="50">
        <v>2</v>
      </c>
      <c r="I49" s="50">
        <v>10</v>
      </c>
      <c r="J49" s="50">
        <v>5</v>
      </c>
      <c r="K49" s="50">
        <v>5</v>
      </c>
      <c r="L49" s="50">
        <v>1</v>
      </c>
      <c r="M49" s="50">
        <v>108</v>
      </c>
      <c r="N49" s="50">
        <v>0</v>
      </c>
      <c r="O49" s="15">
        <f t="shared" si="0"/>
        <v>108</v>
      </c>
      <c r="P49" s="15">
        <f t="shared" si="1"/>
        <v>216</v>
      </c>
      <c r="R49" s="8"/>
      <c r="T49"/>
    </row>
    <row r="50" spans="2:20" ht="23.1" customHeight="1" x14ac:dyDescent="0.25">
      <c r="B50" s="46" t="s">
        <v>77</v>
      </c>
      <c r="C50" s="50">
        <v>45</v>
      </c>
      <c r="D50" s="50">
        <v>17</v>
      </c>
      <c r="E50" s="50">
        <v>8</v>
      </c>
      <c r="F50" s="50">
        <v>55</v>
      </c>
      <c r="G50" s="50">
        <v>2</v>
      </c>
      <c r="H50" s="50">
        <v>2</v>
      </c>
      <c r="I50" s="50">
        <v>12</v>
      </c>
      <c r="J50" s="50">
        <v>4</v>
      </c>
      <c r="K50" s="50">
        <v>2</v>
      </c>
      <c r="L50" s="50">
        <v>2</v>
      </c>
      <c r="M50" s="50">
        <v>153</v>
      </c>
      <c r="N50" s="50">
        <v>0</v>
      </c>
      <c r="O50" s="15">
        <f t="shared" si="0"/>
        <v>149</v>
      </c>
      <c r="P50" s="15">
        <f t="shared" si="1"/>
        <v>302</v>
      </c>
      <c r="R50" s="8"/>
      <c r="T50"/>
    </row>
    <row r="51" spans="2:20" ht="23.1" customHeight="1" x14ac:dyDescent="0.25">
      <c r="B51" s="46" t="s">
        <v>78</v>
      </c>
      <c r="C51" s="50">
        <v>39</v>
      </c>
      <c r="D51" s="50">
        <v>5</v>
      </c>
      <c r="E51" s="50">
        <v>2</v>
      </c>
      <c r="F51" s="50">
        <v>36</v>
      </c>
      <c r="G51" s="50">
        <v>0</v>
      </c>
      <c r="H51" s="50">
        <v>0</v>
      </c>
      <c r="I51" s="50">
        <v>9</v>
      </c>
      <c r="J51" s="50">
        <v>3</v>
      </c>
      <c r="K51" s="50">
        <v>1</v>
      </c>
      <c r="L51" s="50">
        <v>5</v>
      </c>
      <c r="M51" s="50">
        <v>102</v>
      </c>
      <c r="N51" s="50">
        <v>0</v>
      </c>
      <c r="O51" s="15">
        <f t="shared" si="0"/>
        <v>100</v>
      </c>
      <c r="P51" s="15">
        <f t="shared" si="1"/>
        <v>202</v>
      </c>
      <c r="R51" s="8"/>
      <c r="T51"/>
    </row>
    <row r="52" spans="2:20" ht="23.1" customHeight="1" x14ac:dyDescent="0.25">
      <c r="B52" s="46" t="s">
        <v>79</v>
      </c>
      <c r="C52" s="50">
        <v>39</v>
      </c>
      <c r="D52" s="50">
        <v>15</v>
      </c>
      <c r="E52" s="50">
        <v>6</v>
      </c>
      <c r="F52" s="50">
        <v>61</v>
      </c>
      <c r="G52" s="50">
        <v>1</v>
      </c>
      <c r="H52" s="50">
        <v>0</v>
      </c>
      <c r="I52" s="50">
        <v>9</v>
      </c>
      <c r="J52" s="50">
        <v>8</v>
      </c>
      <c r="K52" s="50">
        <v>8</v>
      </c>
      <c r="L52" s="50">
        <v>8</v>
      </c>
      <c r="M52" s="50">
        <v>174</v>
      </c>
      <c r="N52" s="50">
        <v>0</v>
      </c>
      <c r="O52" s="15">
        <f t="shared" si="0"/>
        <v>155</v>
      </c>
      <c r="P52" s="15">
        <f t="shared" si="1"/>
        <v>329</v>
      </c>
      <c r="R52" s="8"/>
      <c r="T52"/>
    </row>
    <row r="53" spans="2:20" ht="23.1" customHeight="1" x14ac:dyDescent="0.25">
      <c r="B53" s="45" t="s">
        <v>80</v>
      </c>
      <c r="C53" s="50">
        <v>23</v>
      </c>
      <c r="D53" s="50">
        <v>14</v>
      </c>
      <c r="E53" s="50">
        <v>8</v>
      </c>
      <c r="F53" s="50">
        <v>41</v>
      </c>
      <c r="G53" s="50">
        <v>3</v>
      </c>
      <c r="H53" s="50">
        <v>2</v>
      </c>
      <c r="I53" s="50">
        <v>10</v>
      </c>
      <c r="J53" s="50">
        <v>5</v>
      </c>
      <c r="K53" s="50">
        <v>0</v>
      </c>
      <c r="L53" s="50">
        <v>1</v>
      </c>
      <c r="M53" s="50">
        <v>175</v>
      </c>
      <c r="N53" s="50">
        <v>0</v>
      </c>
      <c r="O53" s="15">
        <f t="shared" si="0"/>
        <v>107</v>
      </c>
      <c r="P53" s="15">
        <f t="shared" si="1"/>
        <v>282</v>
      </c>
      <c r="R53" s="8"/>
      <c r="T53"/>
    </row>
    <row r="54" spans="2:20" ht="23.1" customHeight="1" x14ac:dyDescent="0.25">
      <c r="B54" s="45" t="s">
        <v>81</v>
      </c>
      <c r="C54" s="50">
        <v>25</v>
      </c>
      <c r="D54" s="50">
        <v>15</v>
      </c>
      <c r="E54" s="50">
        <v>3</v>
      </c>
      <c r="F54" s="50">
        <v>40</v>
      </c>
      <c r="G54" s="50">
        <v>1</v>
      </c>
      <c r="H54" s="50">
        <v>2</v>
      </c>
      <c r="I54" s="50">
        <v>16</v>
      </c>
      <c r="J54" s="50">
        <v>7</v>
      </c>
      <c r="K54" s="50">
        <v>5</v>
      </c>
      <c r="L54" s="50">
        <v>1</v>
      </c>
      <c r="M54" s="50">
        <v>150</v>
      </c>
      <c r="N54" s="50">
        <v>0</v>
      </c>
      <c r="O54" s="15">
        <f t="shared" si="0"/>
        <v>115</v>
      </c>
      <c r="P54" s="15">
        <f t="shared" si="1"/>
        <v>265</v>
      </c>
      <c r="R54" s="8"/>
      <c r="T54"/>
    </row>
    <row r="55" spans="2:20" ht="23.1" customHeight="1" x14ac:dyDescent="0.25">
      <c r="B55" s="45" t="s">
        <v>82</v>
      </c>
      <c r="C55" s="50">
        <v>33</v>
      </c>
      <c r="D55" s="50">
        <v>8</v>
      </c>
      <c r="E55" s="50">
        <v>8</v>
      </c>
      <c r="F55" s="50">
        <v>33</v>
      </c>
      <c r="G55" s="50">
        <v>1</v>
      </c>
      <c r="H55" s="50">
        <v>1</v>
      </c>
      <c r="I55" s="50">
        <v>4</v>
      </c>
      <c r="J55" s="50">
        <v>4</v>
      </c>
      <c r="K55" s="50">
        <v>3</v>
      </c>
      <c r="L55" s="50">
        <v>1</v>
      </c>
      <c r="M55" s="50">
        <v>96</v>
      </c>
      <c r="N55" s="50">
        <v>0</v>
      </c>
      <c r="O55" s="15">
        <f t="shared" si="0"/>
        <v>96</v>
      </c>
      <c r="P55" s="15">
        <f t="shared" si="1"/>
        <v>192</v>
      </c>
      <c r="R55" s="8"/>
      <c r="T55"/>
    </row>
    <row r="56" spans="2:20" ht="23.1" customHeight="1" x14ac:dyDescent="0.25">
      <c r="B56" s="45" t="s">
        <v>83</v>
      </c>
      <c r="C56" s="50">
        <v>31</v>
      </c>
      <c r="D56" s="50">
        <v>8</v>
      </c>
      <c r="E56" s="50">
        <v>5</v>
      </c>
      <c r="F56" s="50">
        <v>33</v>
      </c>
      <c r="G56" s="50">
        <v>6</v>
      </c>
      <c r="H56" s="50">
        <v>2</v>
      </c>
      <c r="I56" s="50">
        <v>3</v>
      </c>
      <c r="J56" s="50">
        <v>6</v>
      </c>
      <c r="K56" s="50">
        <v>4</v>
      </c>
      <c r="L56" s="50">
        <v>2</v>
      </c>
      <c r="M56" s="50">
        <v>186</v>
      </c>
      <c r="N56" s="50">
        <v>0</v>
      </c>
      <c r="O56" s="15">
        <f t="shared" si="0"/>
        <v>100</v>
      </c>
      <c r="P56" s="15">
        <f t="shared" si="1"/>
        <v>286</v>
      </c>
      <c r="R56" s="8"/>
      <c r="T56"/>
    </row>
    <row r="57" spans="2:20" ht="23.1" customHeight="1" x14ac:dyDescent="0.25">
      <c r="B57" s="45" t="s">
        <v>84</v>
      </c>
      <c r="C57" s="50">
        <v>14</v>
      </c>
      <c r="D57" s="50">
        <v>7</v>
      </c>
      <c r="E57" s="50">
        <v>4</v>
      </c>
      <c r="F57" s="50">
        <v>26</v>
      </c>
      <c r="G57" s="50">
        <v>1</v>
      </c>
      <c r="H57" s="50">
        <v>2</v>
      </c>
      <c r="I57" s="50">
        <v>0</v>
      </c>
      <c r="J57" s="50">
        <v>0</v>
      </c>
      <c r="K57" s="50">
        <v>2</v>
      </c>
      <c r="L57" s="50">
        <v>1</v>
      </c>
      <c r="M57" s="50">
        <v>71</v>
      </c>
      <c r="N57" s="50">
        <v>0</v>
      </c>
      <c r="O57" s="15">
        <f t="shared" si="0"/>
        <v>57</v>
      </c>
      <c r="P57" s="15">
        <f t="shared" si="1"/>
        <v>128</v>
      </c>
      <c r="R57" s="8"/>
      <c r="T57"/>
    </row>
    <row r="58" spans="2:20" ht="23.1" customHeight="1" x14ac:dyDescent="0.25">
      <c r="B58" s="45" t="s">
        <v>99</v>
      </c>
      <c r="C58" s="50">
        <v>54</v>
      </c>
      <c r="D58" s="50">
        <v>4</v>
      </c>
      <c r="E58" s="50">
        <v>4</v>
      </c>
      <c r="F58" s="50">
        <v>47</v>
      </c>
      <c r="G58" s="50">
        <v>2</v>
      </c>
      <c r="H58" s="50">
        <v>3</v>
      </c>
      <c r="I58" s="50">
        <v>3</v>
      </c>
      <c r="J58" s="50">
        <v>3</v>
      </c>
      <c r="K58" s="50">
        <v>0</v>
      </c>
      <c r="L58" s="50">
        <v>3</v>
      </c>
      <c r="M58" s="50">
        <v>225</v>
      </c>
      <c r="N58" s="50">
        <v>0</v>
      </c>
      <c r="O58" s="15">
        <f t="shared" si="0"/>
        <v>123</v>
      </c>
      <c r="P58" s="15">
        <f t="shared" si="1"/>
        <v>348</v>
      </c>
      <c r="R58" s="8"/>
      <c r="T58"/>
    </row>
    <row r="59" spans="2:20" ht="23.1" customHeight="1" x14ac:dyDescent="0.25">
      <c r="B59" s="45" t="s">
        <v>100</v>
      </c>
      <c r="C59" s="50">
        <v>50</v>
      </c>
      <c r="D59" s="50">
        <v>1</v>
      </c>
      <c r="E59" s="50">
        <v>6</v>
      </c>
      <c r="F59" s="50">
        <v>38</v>
      </c>
      <c r="G59" s="50">
        <v>0</v>
      </c>
      <c r="H59" s="50">
        <v>2</v>
      </c>
      <c r="I59" s="50">
        <v>4</v>
      </c>
      <c r="J59" s="50">
        <v>6</v>
      </c>
      <c r="K59" s="50">
        <v>1</v>
      </c>
      <c r="L59" s="50">
        <v>4</v>
      </c>
      <c r="M59" s="50">
        <v>280</v>
      </c>
      <c r="N59" s="50">
        <v>0</v>
      </c>
      <c r="O59" s="15">
        <f t="shared" si="0"/>
        <v>112</v>
      </c>
      <c r="P59" s="15">
        <f t="shared" si="1"/>
        <v>392</v>
      </c>
      <c r="R59" s="8"/>
      <c r="T59"/>
    </row>
    <row r="60" spans="2:20" ht="23.1" customHeight="1" x14ac:dyDescent="0.25">
      <c r="B60" s="45" t="s">
        <v>101</v>
      </c>
      <c r="C60" s="50">
        <v>40</v>
      </c>
      <c r="D60" s="50">
        <v>0</v>
      </c>
      <c r="E60" s="50">
        <v>3</v>
      </c>
      <c r="F60" s="50">
        <v>44</v>
      </c>
      <c r="G60" s="50">
        <v>1</v>
      </c>
      <c r="H60" s="50">
        <v>2</v>
      </c>
      <c r="I60" s="50">
        <v>8</v>
      </c>
      <c r="J60" s="50">
        <v>9</v>
      </c>
      <c r="K60" s="50">
        <v>1</v>
      </c>
      <c r="L60" s="50">
        <v>3</v>
      </c>
      <c r="M60" s="50">
        <v>285</v>
      </c>
      <c r="N60" s="50">
        <v>0</v>
      </c>
      <c r="O60" s="15">
        <f t="shared" si="0"/>
        <v>111</v>
      </c>
      <c r="P60" s="15">
        <f t="shared" si="1"/>
        <v>396</v>
      </c>
      <c r="R60" s="8"/>
      <c r="T60"/>
    </row>
    <row r="61" spans="2:20" ht="23.1" customHeight="1" x14ac:dyDescent="0.25">
      <c r="B61" s="45" t="s">
        <v>102</v>
      </c>
      <c r="C61" s="50">
        <v>39</v>
      </c>
      <c r="D61" s="50">
        <v>0</v>
      </c>
      <c r="E61" s="50">
        <v>2</v>
      </c>
      <c r="F61" s="50">
        <v>38</v>
      </c>
      <c r="G61" s="50">
        <v>1</v>
      </c>
      <c r="H61" s="50">
        <v>2</v>
      </c>
      <c r="I61" s="50">
        <v>8</v>
      </c>
      <c r="J61" s="50">
        <v>4</v>
      </c>
      <c r="K61" s="50">
        <v>2</v>
      </c>
      <c r="L61" s="50">
        <v>2</v>
      </c>
      <c r="M61" s="50">
        <v>305</v>
      </c>
      <c r="N61" s="50">
        <v>0</v>
      </c>
      <c r="O61" s="15">
        <f t="shared" si="0"/>
        <v>98</v>
      </c>
      <c r="P61" s="15">
        <f t="shared" si="1"/>
        <v>403</v>
      </c>
      <c r="R61" s="8"/>
      <c r="T61"/>
    </row>
    <row r="62" spans="2:20" ht="23.1" customHeight="1" x14ac:dyDescent="0.25">
      <c r="B62" s="45" t="s">
        <v>107</v>
      </c>
      <c r="C62" s="50">
        <v>43</v>
      </c>
      <c r="D62" s="50">
        <v>2</v>
      </c>
      <c r="E62" s="50">
        <v>1</v>
      </c>
      <c r="F62" s="50">
        <v>50</v>
      </c>
      <c r="G62" s="50">
        <v>2</v>
      </c>
      <c r="H62" s="50">
        <v>2</v>
      </c>
      <c r="I62" s="50">
        <v>3</v>
      </c>
      <c r="J62" s="50">
        <v>4</v>
      </c>
      <c r="K62" s="50">
        <v>3</v>
      </c>
      <c r="L62" s="50">
        <v>1</v>
      </c>
      <c r="M62" s="50">
        <v>280</v>
      </c>
      <c r="N62" s="50">
        <v>0</v>
      </c>
      <c r="O62" s="15">
        <f t="shared" si="0"/>
        <v>111</v>
      </c>
      <c r="P62" s="15">
        <f t="shared" si="1"/>
        <v>391</v>
      </c>
      <c r="R62" s="8"/>
      <c r="T62"/>
    </row>
    <row r="63" spans="2:20" ht="23.1" customHeight="1" x14ac:dyDescent="0.25">
      <c r="B63" s="45" t="s">
        <v>108</v>
      </c>
      <c r="C63" s="50">
        <v>38</v>
      </c>
      <c r="D63" s="50">
        <v>3</v>
      </c>
      <c r="E63" s="50">
        <v>3</v>
      </c>
      <c r="F63" s="50">
        <v>35</v>
      </c>
      <c r="G63" s="50">
        <v>2</v>
      </c>
      <c r="H63" s="50">
        <v>0</v>
      </c>
      <c r="I63" s="50">
        <v>8</v>
      </c>
      <c r="J63" s="50">
        <v>3</v>
      </c>
      <c r="K63" s="50">
        <v>7</v>
      </c>
      <c r="L63" s="50">
        <v>0</v>
      </c>
      <c r="M63" s="50">
        <v>285</v>
      </c>
      <c r="N63" s="50">
        <v>0</v>
      </c>
      <c r="O63" s="15">
        <f t="shared" si="0"/>
        <v>99</v>
      </c>
      <c r="P63" s="15">
        <f t="shared" si="1"/>
        <v>384</v>
      </c>
      <c r="R63" s="8"/>
      <c r="T63"/>
    </row>
    <row r="64" spans="2:20" ht="23.1" customHeight="1" x14ac:dyDescent="0.25">
      <c r="B64" s="45" t="s">
        <v>109</v>
      </c>
      <c r="C64" s="50">
        <v>48</v>
      </c>
      <c r="D64" s="50">
        <v>1</v>
      </c>
      <c r="E64" s="50">
        <v>3</v>
      </c>
      <c r="F64" s="50">
        <v>28</v>
      </c>
      <c r="G64" s="50">
        <v>0</v>
      </c>
      <c r="H64" s="50">
        <v>0</v>
      </c>
      <c r="I64" s="50">
        <v>4</v>
      </c>
      <c r="J64" s="50">
        <v>2</v>
      </c>
      <c r="K64" s="50">
        <v>5</v>
      </c>
      <c r="L64" s="50">
        <v>2</v>
      </c>
      <c r="M64" s="50">
        <v>271</v>
      </c>
      <c r="N64" s="50">
        <v>0</v>
      </c>
      <c r="O64" s="15">
        <f t="shared" si="0"/>
        <v>93</v>
      </c>
      <c r="P64" s="15">
        <f t="shared" si="1"/>
        <v>364</v>
      </c>
      <c r="R64" s="8"/>
      <c r="T64"/>
    </row>
    <row r="65" spans="2:20" ht="23.1" customHeight="1" x14ac:dyDescent="0.25">
      <c r="B65" s="45" t="s">
        <v>158</v>
      </c>
      <c r="C65" s="50">
        <v>45</v>
      </c>
      <c r="D65" s="50">
        <v>0</v>
      </c>
      <c r="E65" s="50">
        <v>2</v>
      </c>
      <c r="F65" s="50">
        <v>24</v>
      </c>
      <c r="G65" s="50">
        <v>1</v>
      </c>
      <c r="H65" s="50">
        <v>1</v>
      </c>
      <c r="I65" s="50">
        <v>7</v>
      </c>
      <c r="J65" s="50">
        <v>3</v>
      </c>
      <c r="K65" s="50">
        <v>1</v>
      </c>
      <c r="L65" s="50">
        <v>3</v>
      </c>
      <c r="M65" s="50">
        <v>282</v>
      </c>
      <c r="N65" s="50">
        <v>0</v>
      </c>
      <c r="O65" s="15">
        <f t="shared" si="0"/>
        <v>87</v>
      </c>
      <c r="P65" s="15">
        <f t="shared" si="1"/>
        <v>369</v>
      </c>
      <c r="R65" s="8"/>
      <c r="T65"/>
    </row>
    <row r="66" spans="2:20" ht="23.1" customHeight="1" x14ac:dyDescent="0.25">
      <c r="B66" s="45" t="s">
        <v>103</v>
      </c>
      <c r="C66" s="50">
        <v>55</v>
      </c>
      <c r="D66" s="50">
        <v>0</v>
      </c>
      <c r="E66" s="50">
        <v>4</v>
      </c>
      <c r="F66" s="50">
        <v>36</v>
      </c>
      <c r="G66" s="50">
        <v>1</v>
      </c>
      <c r="H66" s="50">
        <v>2</v>
      </c>
      <c r="I66" s="50">
        <v>4</v>
      </c>
      <c r="J66" s="50">
        <v>5</v>
      </c>
      <c r="K66" s="50">
        <v>2</v>
      </c>
      <c r="L66" s="50">
        <v>2</v>
      </c>
      <c r="M66" s="50">
        <v>228</v>
      </c>
      <c r="N66" s="50">
        <v>0</v>
      </c>
      <c r="O66" s="15">
        <f t="shared" si="0"/>
        <v>111</v>
      </c>
      <c r="P66" s="15">
        <f t="shared" si="1"/>
        <v>339</v>
      </c>
      <c r="R66" s="8"/>
      <c r="T66"/>
    </row>
    <row r="67" spans="2:20" ht="23.1" customHeight="1" x14ac:dyDescent="0.25">
      <c r="B67" s="45" t="s">
        <v>104</v>
      </c>
      <c r="C67" s="50">
        <v>41</v>
      </c>
      <c r="D67" s="50">
        <v>2</v>
      </c>
      <c r="E67" s="50">
        <v>5</v>
      </c>
      <c r="F67" s="50">
        <v>40</v>
      </c>
      <c r="G67" s="50">
        <v>4</v>
      </c>
      <c r="H67" s="50">
        <v>2</v>
      </c>
      <c r="I67" s="50">
        <v>10</v>
      </c>
      <c r="J67" s="50">
        <v>8</v>
      </c>
      <c r="K67" s="50">
        <v>3</v>
      </c>
      <c r="L67" s="50">
        <v>2</v>
      </c>
      <c r="M67" s="50">
        <v>225</v>
      </c>
      <c r="N67" s="50">
        <v>0</v>
      </c>
      <c r="O67" s="15">
        <f t="shared" si="0"/>
        <v>117</v>
      </c>
      <c r="P67" s="15">
        <f t="shared" si="1"/>
        <v>342</v>
      </c>
      <c r="R67" s="8"/>
      <c r="T67"/>
    </row>
    <row r="68" spans="2:20" ht="23.1" customHeight="1" x14ac:dyDescent="0.25">
      <c r="B68" s="45" t="s">
        <v>105</v>
      </c>
      <c r="C68" s="50">
        <v>42</v>
      </c>
      <c r="D68" s="50">
        <v>0</v>
      </c>
      <c r="E68" s="50">
        <v>4</v>
      </c>
      <c r="F68" s="50">
        <v>21</v>
      </c>
      <c r="G68" s="50">
        <v>1</v>
      </c>
      <c r="H68" s="50">
        <v>1</v>
      </c>
      <c r="I68" s="50">
        <v>6</v>
      </c>
      <c r="J68" s="50">
        <v>6</v>
      </c>
      <c r="K68" s="50">
        <v>2</v>
      </c>
      <c r="L68" s="50">
        <v>3</v>
      </c>
      <c r="M68" s="50">
        <v>160</v>
      </c>
      <c r="N68" s="50">
        <v>0</v>
      </c>
      <c r="O68" s="15">
        <f t="shared" si="0"/>
        <v>86</v>
      </c>
      <c r="P68" s="15">
        <f t="shared" si="1"/>
        <v>246</v>
      </c>
      <c r="R68" s="8"/>
      <c r="T68"/>
    </row>
    <row r="69" spans="2:20" ht="23.1" customHeight="1" x14ac:dyDescent="0.25">
      <c r="B69" s="45" t="s">
        <v>106</v>
      </c>
      <c r="C69" s="50">
        <v>39</v>
      </c>
      <c r="D69" s="50">
        <v>0</v>
      </c>
      <c r="E69" s="50">
        <v>5</v>
      </c>
      <c r="F69" s="50">
        <v>23</v>
      </c>
      <c r="G69" s="50">
        <v>4</v>
      </c>
      <c r="H69" s="50">
        <v>2</v>
      </c>
      <c r="I69" s="50">
        <v>4</v>
      </c>
      <c r="J69" s="50">
        <v>6</v>
      </c>
      <c r="K69" s="50">
        <v>4</v>
      </c>
      <c r="L69" s="50">
        <v>1</v>
      </c>
      <c r="M69" s="50">
        <v>120</v>
      </c>
      <c r="N69" s="50">
        <v>0</v>
      </c>
      <c r="O69" s="15">
        <f t="shared" si="0"/>
        <v>88</v>
      </c>
      <c r="P69" s="15">
        <f t="shared" si="1"/>
        <v>208</v>
      </c>
      <c r="R69" s="8"/>
      <c r="T69"/>
    </row>
    <row r="70" spans="2:20" ht="23.1" customHeight="1" x14ac:dyDescent="0.25">
      <c r="B70" s="45" t="s">
        <v>110</v>
      </c>
      <c r="C70" s="50">
        <v>33</v>
      </c>
      <c r="D70" s="50">
        <v>1</v>
      </c>
      <c r="E70" s="50">
        <v>1</v>
      </c>
      <c r="F70" s="50">
        <v>15</v>
      </c>
      <c r="G70" s="50">
        <v>2</v>
      </c>
      <c r="H70" s="50">
        <v>4</v>
      </c>
      <c r="I70" s="50">
        <v>2</v>
      </c>
      <c r="J70" s="50">
        <v>5</v>
      </c>
      <c r="K70" s="50">
        <v>1</v>
      </c>
      <c r="L70" s="50">
        <v>2</v>
      </c>
      <c r="M70" s="50">
        <v>133</v>
      </c>
      <c r="N70" s="50">
        <v>0</v>
      </c>
      <c r="O70" s="15">
        <f t="shared" si="0"/>
        <v>66</v>
      </c>
      <c r="P70" s="15">
        <f t="shared" si="1"/>
        <v>199</v>
      </c>
      <c r="R70" s="8"/>
      <c r="T70"/>
    </row>
    <row r="71" spans="2:20" ht="23.1" customHeight="1" x14ac:dyDescent="0.25">
      <c r="B71" s="45" t="s">
        <v>111</v>
      </c>
      <c r="C71" s="50">
        <v>44</v>
      </c>
      <c r="D71" s="50">
        <v>0</v>
      </c>
      <c r="E71" s="50">
        <v>4</v>
      </c>
      <c r="F71" s="50">
        <v>17</v>
      </c>
      <c r="G71" s="50">
        <v>1</v>
      </c>
      <c r="H71" s="50">
        <v>0</v>
      </c>
      <c r="I71" s="50">
        <v>8</v>
      </c>
      <c r="J71" s="50">
        <v>5</v>
      </c>
      <c r="K71" s="50">
        <v>0</v>
      </c>
      <c r="L71" s="50">
        <v>0</v>
      </c>
      <c r="M71" s="50">
        <v>209</v>
      </c>
      <c r="N71" s="50">
        <v>0</v>
      </c>
      <c r="O71" s="15">
        <f t="shared" si="0"/>
        <v>79</v>
      </c>
      <c r="P71" s="15">
        <f t="shared" si="1"/>
        <v>288</v>
      </c>
      <c r="R71" s="8"/>
      <c r="T71"/>
    </row>
    <row r="72" spans="2:20" ht="23.1" customHeight="1" x14ac:dyDescent="0.25">
      <c r="B72" s="45" t="s">
        <v>112</v>
      </c>
      <c r="C72" s="50">
        <v>35</v>
      </c>
      <c r="D72" s="50">
        <v>1</v>
      </c>
      <c r="E72" s="50">
        <v>5</v>
      </c>
      <c r="F72" s="50">
        <v>19</v>
      </c>
      <c r="G72" s="50">
        <v>2</v>
      </c>
      <c r="H72" s="50">
        <v>4</v>
      </c>
      <c r="I72" s="50">
        <v>13</v>
      </c>
      <c r="J72" s="50">
        <v>7</v>
      </c>
      <c r="K72" s="50">
        <v>4</v>
      </c>
      <c r="L72" s="50">
        <v>1</v>
      </c>
      <c r="M72" s="50">
        <v>193</v>
      </c>
      <c r="N72" s="50">
        <v>0</v>
      </c>
      <c r="O72" s="15">
        <f t="shared" si="0"/>
        <v>91</v>
      </c>
      <c r="P72" s="15">
        <f t="shared" si="1"/>
        <v>284</v>
      </c>
      <c r="R72" s="8"/>
      <c r="T72"/>
    </row>
    <row r="73" spans="2:20" ht="23.1" customHeight="1" x14ac:dyDescent="0.25">
      <c r="B73" s="45" t="s">
        <v>113</v>
      </c>
      <c r="C73" s="50">
        <v>43</v>
      </c>
      <c r="D73" s="50">
        <v>2</v>
      </c>
      <c r="E73" s="50">
        <v>7</v>
      </c>
      <c r="F73" s="50">
        <v>20</v>
      </c>
      <c r="G73" s="50">
        <v>0</v>
      </c>
      <c r="H73" s="50">
        <v>2</v>
      </c>
      <c r="I73" s="50">
        <v>6</v>
      </c>
      <c r="J73" s="50">
        <v>6</v>
      </c>
      <c r="K73" s="50">
        <v>1</v>
      </c>
      <c r="L73" s="50">
        <v>0</v>
      </c>
      <c r="M73" s="50">
        <v>167</v>
      </c>
      <c r="N73" s="50">
        <v>0</v>
      </c>
      <c r="O73" s="15">
        <f t="shared" si="0"/>
        <v>87</v>
      </c>
      <c r="P73" s="15">
        <f t="shared" si="1"/>
        <v>254</v>
      </c>
      <c r="R73" s="8"/>
      <c r="T73"/>
    </row>
    <row r="74" spans="2:20" ht="23.1" customHeight="1" x14ac:dyDescent="0.25">
      <c r="B74" s="45" t="s">
        <v>114</v>
      </c>
      <c r="C74" s="50">
        <v>63</v>
      </c>
      <c r="D74" s="50">
        <v>1</v>
      </c>
      <c r="E74" s="50">
        <v>4</v>
      </c>
      <c r="F74" s="50">
        <v>22</v>
      </c>
      <c r="G74" s="50">
        <v>2</v>
      </c>
      <c r="H74" s="50">
        <v>2</v>
      </c>
      <c r="I74" s="50">
        <v>10</v>
      </c>
      <c r="J74" s="50">
        <v>8</v>
      </c>
      <c r="K74" s="50">
        <v>6</v>
      </c>
      <c r="L74" s="50">
        <v>1</v>
      </c>
      <c r="M74" s="50">
        <v>142</v>
      </c>
      <c r="N74" s="50">
        <v>0</v>
      </c>
      <c r="O74" s="15">
        <f t="shared" ref="O74:O105" si="35">SUM(C74:L74,N74)</f>
        <v>119</v>
      </c>
      <c r="P74" s="15">
        <f t="shared" ref="P74:P105" si="36">SUM(C74:N74)</f>
        <v>261</v>
      </c>
      <c r="R74" s="8"/>
      <c r="T74"/>
    </row>
    <row r="75" spans="2:20" ht="23.1" customHeight="1" x14ac:dyDescent="0.25">
      <c r="B75" s="45" t="s">
        <v>115</v>
      </c>
      <c r="C75" s="50">
        <v>48</v>
      </c>
      <c r="D75" s="50">
        <v>2</v>
      </c>
      <c r="E75" s="50">
        <v>4</v>
      </c>
      <c r="F75" s="50">
        <v>13</v>
      </c>
      <c r="G75" s="50">
        <v>1</v>
      </c>
      <c r="H75" s="50">
        <v>1</v>
      </c>
      <c r="I75" s="50">
        <v>6</v>
      </c>
      <c r="J75" s="50">
        <v>5</v>
      </c>
      <c r="K75" s="50">
        <v>2</v>
      </c>
      <c r="L75" s="50">
        <v>0</v>
      </c>
      <c r="M75" s="50">
        <v>145</v>
      </c>
      <c r="N75" s="50">
        <v>0</v>
      </c>
      <c r="O75" s="15">
        <f t="shared" si="35"/>
        <v>82</v>
      </c>
      <c r="P75" s="15">
        <f t="shared" si="36"/>
        <v>227</v>
      </c>
      <c r="R75" s="8"/>
      <c r="T75"/>
    </row>
    <row r="76" spans="2:20" ht="23.1" customHeight="1" x14ac:dyDescent="0.25">
      <c r="B76" s="45" t="s">
        <v>116</v>
      </c>
      <c r="C76" s="50">
        <v>26</v>
      </c>
      <c r="D76" s="50">
        <v>1</v>
      </c>
      <c r="E76" s="50">
        <v>1</v>
      </c>
      <c r="F76" s="50">
        <v>16</v>
      </c>
      <c r="G76" s="50">
        <v>1</v>
      </c>
      <c r="H76" s="50">
        <v>0</v>
      </c>
      <c r="I76" s="50">
        <v>12</v>
      </c>
      <c r="J76" s="50">
        <v>3</v>
      </c>
      <c r="K76" s="50">
        <v>0</v>
      </c>
      <c r="L76" s="50">
        <v>0</v>
      </c>
      <c r="M76" s="50">
        <v>118</v>
      </c>
      <c r="N76" s="50">
        <v>0</v>
      </c>
      <c r="O76" s="15">
        <f t="shared" si="35"/>
        <v>60</v>
      </c>
      <c r="P76" s="15">
        <f t="shared" si="36"/>
        <v>178</v>
      </c>
      <c r="R76" s="8"/>
      <c r="T76"/>
    </row>
    <row r="77" spans="2:20" ht="23.1" customHeight="1" x14ac:dyDescent="0.25">
      <c r="B77" s="45" t="s">
        <v>117</v>
      </c>
      <c r="C77" s="50">
        <v>19</v>
      </c>
      <c r="D77" s="50">
        <v>0</v>
      </c>
      <c r="E77" s="50">
        <v>0</v>
      </c>
      <c r="F77" s="50">
        <v>8</v>
      </c>
      <c r="G77" s="50">
        <v>1</v>
      </c>
      <c r="H77" s="50">
        <v>0</v>
      </c>
      <c r="I77" s="50">
        <v>1</v>
      </c>
      <c r="J77" s="50">
        <v>3</v>
      </c>
      <c r="K77" s="50">
        <v>1</v>
      </c>
      <c r="L77" s="50">
        <v>1</v>
      </c>
      <c r="M77" s="50">
        <v>85</v>
      </c>
      <c r="N77" s="50">
        <v>0</v>
      </c>
      <c r="O77" s="15">
        <f t="shared" si="35"/>
        <v>34</v>
      </c>
      <c r="P77" s="15">
        <f t="shared" si="36"/>
        <v>119</v>
      </c>
      <c r="R77" s="8"/>
      <c r="T77"/>
    </row>
    <row r="78" spans="2:20" ht="23.1" customHeight="1" x14ac:dyDescent="0.25">
      <c r="B78" s="46" t="s">
        <v>118</v>
      </c>
      <c r="C78" s="50">
        <v>11</v>
      </c>
      <c r="D78" s="50">
        <v>0</v>
      </c>
      <c r="E78" s="50">
        <v>0</v>
      </c>
      <c r="F78" s="50">
        <v>2</v>
      </c>
      <c r="G78" s="50">
        <v>1</v>
      </c>
      <c r="H78" s="50">
        <v>0</v>
      </c>
      <c r="I78" s="50">
        <v>2</v>
      </c>
      <c r="J78" s="50">
        <v>4</v>
      </c>
      <c r="K78" s="50">
        <v>3</v>
      </c>
      <c r="L78" s="50">
        <v>2</v>
      </c>
      <c r="M78" s="50">
        <v>47</v>
      </c>
      <c r="N78" s="50">
        <v>0</v>
      </c>
      <c r="O78" s="15">
        <f t="shared" si="35"/>
        <v>25</v>
      </c>
      <c r="P78" s="15">
        <f t="shared" si="36"/>
        <v>72</v>
      </c>
      <c r="R78" s="8"/>
      <c r="T78"/>
    </row>
    <row r="79" spans="2:20" ht="23.1" customHeight="1" x14ac:dyDescent="0.25">
      <c r="B79" s="45" t="s">
        <v>119</v>
      </c>
      <c r="C79" s="50">
        <v>10</v>
      </c>
      <c r="D79" s="50">
        <v>0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1</v>
      </c>
      <c r="K79" s="50">
        <v>3</v>
      </c>
      <c r="L79" s="50">
        <v>1</v>
      </c>
      <c r="M79" s="50">
        <v>13</v>
      </c>
      <c r="N79" s="50">
        <v>0</v>
      </c>
      <c r="O79" s="15">
        <f t="shared" si="35"/>
        <v>16</v>
      </c>
      <c r="P79" s="15">
        <f t="shared" si="36"/>
        <v>29</v>
      </c>
      <c r="R79" s="8"/>
      <c r="T79"/>
    </row>
    <row r="80" spans="2:20" ht="23.1" customHeight="1" x14ac:dyDescent="0.25">
      <c r="B80" s="47" t="s">
        <v>120</v>
      </c>
      <c r="C80" s="50">
        <v>6</v>
      </c>
      <c r="D80" s="50">
        <v>0</v>
      </c>
      <c r="E80" s="50">
        <v>0</v>
      </c>
      <c r="F80" s="50">
        <v>2</v>
      </c>
      <c r="G80" s="50">
        <v>0</v>
      </c>
      <c r="H80" s="50">
        <v>1</v>
      </c>
      <c r="I80" s="50">
        <v>0</v>
      </c>
      <c r="J80" s="50">
        <v>0</v>
      </c>
      <c r="K80" s="50">
        <v>0</v>
      </c>
      <c r="L80" s="50">
        <v>0</v>
      </c>
      <c r="M80" s="50">
        <v>13</v>
      </c>
      <c r="N80" s="50">
        <v>0</v>
      </c>
      <c r="O80" s="15">
        <f t="shared" si="35"/>
        <v>9</v>
      </c>
      <c r="P80" s="15">
        <f t="shared" si="36"/>
        <v>22</v>
      </c>
      <c r="R80" s="8"/>
      <c r="T80"/>
    </row>
    <row r="81" spans="2:20" ht="23.1" customHeight="1" x14ac:dyDescent="0.25">
      <c r="B81" s="45" t="s">
        <v>121</v>
      </c>
      <c r="C81" s="50">
        <v>26</v>
      </c>
      <c r="D81" s="50">
        <v>0</v>
      </c>
      <c r="E81" s="50">
        <v>0</v>
      </c>
      <c r="F81" s="50">
        <v>3</v>
      </c>
      <c r="G81" s="50">
        <v>0</v>
      </c>
      <c r="H81" s="50">
        <v>1</v>
      </c>
      <c r="I81" s="50">
        <v>3</v>
      </c>
      <c r="J81" s="50">
        <v>4</v>
      </c>
      <c r="K81" s="50">
        <v>0</v>
      </c>
      <c r="L81" s="50">
        <v>1</v>
      </c>
      <c r="M81" s="50">
        <v>31</v>
      </c>
      <c r="N81" s="50">
        <v>0</v>
      </c>
      <c r="O81" s="15">
        <f t="shared" si="35"/>
        <v>38</v>
      </c>
      <c r="P81" s="15">
        <f t="shared" si="36"/>
        <v>69</v>
      </c>
      <c r="R81" s="8"/>
      <c r="T81"/>
    </row>
    <row r="82" spans="2:20" ht="23.1" customHeight="1" x14ac:dyDescent="0.25">
      <c r="B82" s="46" t="s">
        <v>122</v>
      </c>
      <c r="C82" s="50">
        <v>18</v>
      </c>
      <c r="D82" s="50">
        <v>0</v>
      </c>
      <c r="E82" s="50">
        <v>3</v>
      </c>
      <c r="F82" s="50">
        <v>2</v>
      </c>
      <c r="G82" s="50">
        <v>0</v>
      </c>
      <c r="H82" s="50">
        <v>0</v>
      </c>
      <c r="I82" s="50">
        <v>2</v>
      </c>
      <c r="J82" s="50">
        <v>4</v>
      </c>
      <c r="K82" s="50">
        <v>1</v>
      </c>
      <c r="L82" s="50">
        <v>2</v>
      </c>
      <c r="M82" s="50">
        <v>38</v>
      </c>
      <c r="N82" s="50">
        <v>0</v>
      </c>
      <c r="O82" s="15">
        <f t="shared" si="35"/>
        <v>32</v>
      </c>
      <c r="P82" s="15">
        <f t="shared" si="36"/>
        <v>70</v>
      </c>
      <c r="R82" s="8"/>
      <c r="T82"/>
    </row>
    <row r="83" spans="2:20" ht="23.1" customHeight="1" x14ac:dyDescent="0.25">
      <c r="B83" s="45" t="s">
        <v>123</v>
      </c>
      <c r="C83" s="50">
        <v>12</v>
      </c>
      <c r="D83" s="50">
        <v>0</v>
      </c>
      <c r="E83" s="50">
        <v>0</v>
      </c>
      <c r="F83" s="50">
        <v>5</v>
      </c>
      <c r="G83" s="50">
        <v>1</v>
      </c>
      <c r="H83" s="50">
        <v>0</v>
      </c>
      <c r="I83" s="50">
        <v>0</v>
      </c>
      <c r="J83" s="50">
        <v>10</v>
      </c>
      <c r="K83" s="50">
        <v>3</v>
      </c>
      <c r="L83" s="50">
        <v>1</v>
      </c>
      <c r="M83" s="50">
        <v>21</v>
      </c>
      <c r="N83" s="50">
        <v>0</v>
      </c>
      <c r="O83" s="15">
        <f t="shared" si="35"/>
        <v>32</v>
      </c>
      <c r="P83" s="15">
        <f t="shared" si="36"/>
        <v>53</v>
      </c>
      <c r="R83" s="8"/>
      <c r="T83"/>
    </row>
    <row r="84" spans="2:20" ht="23.1" customHeight="1" x14ac:dyDescent="0.25">
      <c r="B84" s="47" t="s">
        <v>124</v>
      </c>
      <c r="C84" s="50">
        <v>8</v>
      </c>
      <c r="D84" s="50">
        <v>0</v>
      </c>
      <c r="E84" s="50">
        <v>4</v>
      </c>
      <c r="F84" s="50">
        <v>0</v>
      </c>
      <c r="G84" s="50">
        <v>0</v>
      </c>
      <c r="H84" s="50">
        <v>0</v>
      </c>
      <c r="I84" s="50">
        <v>2</v>
      </c>
      <c r="J84" s="50">
        <v>1</v>
      </c>
      <c r="K84" s="50">
        <v>2</v>
      </c>
      <c r="L84" s="50">
        <v>0</v>
      </c>
      <c r="M84" s="50">
        <v>28</v>
      </c>
      <c r="N84" s="50">
        <v>0</v>
      </c>
      <c r="O84" s="15">
        <f t="shared" si="35"/>
        <v>17</v>
      </c>
      <c r="P84" s="15">
        <f t="shared" si="36"/>
        <v>45</v>
      </c>
      <c r="R84" s="8"/>
      <c r="T84"/>
    </row>
    <row r="85" spans="2:20" ht="23.1" customHeight="1" x14ac:dyDescent="0.25">
      <c r="B85" s="45" t="s">
        <v>125</v>
      </c>
      <c r="C85" s="50">
        <v>15</v>
      </c>
      <c r="D85" s="50">
        <v>0</v>
      </c>
      <c r="E85" s="50">
        <v>3</v>
      </c>
      <c r="F85" s="50">
        <v>1</v>
      </c>
      <c r="G85" s="50">
        <v>0</v>
      </c>
      <c r="H85" s="50">
        <v>0</v>
      </c>
      <c r="I85" s="50">
        <v>1</v>
      </c>
      <c r="J85" s="50">
        <v>11</v>
      </c>
      <c r="K85" s="50">
        <v>3</v>
      </c>
      <c r="L85" s="50">
        <v>5</v>
      </c>
      <c r="M85" s="50">
        <v>33</v>
      </c>
      <c r="N85" s="50">
        <v>0</v>
      </c>
      <c r="O85" s="15">
        <f t="shared" si="35"/>
        <v>39</v>
      </c>
      <c r="P85" s="15">
        <f t="shared" si="36"/>
        <v>72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2</v>
      </c>
      <c r="L86" s="50">
        <v>1</v>
      </c>
      <c r="M86" s="50">
        <v>24</v>
      </c>
      <c r="N86" s="50">
        <v>0</v>
      </c>
      <c r="O86" s="15">
        <f t="shared" si="35"/>
        <v>8</v>
      </c>
      <c r="P86" s="15">
        <f t="shared" si="36"/>
        <v>32</v>
      </c>
      <c r="R86" s="8"/>
      <c r="T86"/>
    </row>
    <row r="87" spans="2:20" ht="23.1" customHeight="1" x14ac:dyDescent="0.25">
      <c r="B87" s="45" t="s">
        <v>127</v>
      </c>
      <c r="C87" s="50">
        <v>8</v>
      </c>
      <c r="D87" s="50">
        <v>0</v>
      </c>
      <c r="E87" s="50">
        <v>1</v>
      </c>
      <c r="F87" s="50">
        <v>1</v>
      </c>
      <c r="G87" s="50">
        <v>0</v>
      </c>
      <c r="H87" s="50">
        <v>0</v>
      </c>
      <c r="I87" s="50">
        <v>0</v>
      </c>
      <c r="J87" s="50">
        <v>0</v>
      </c>
      <c r="K87" s="50">
        <v>4</v>
      </c>
      <c r="L87" s="50">
        <v>0</v>
      </c>
      <c r="M87" s="50">
        <v>23</v>
      </c>
      <c r="N87" s="50">
        <v>0</v>
      </c>
      <c r="O87" s="15">
        <f t="shared" si="35"/>
        <v>14</v>
      </c>
      <c r="P87" s="15">
        <f t="shared" si="36"/>
        <v>37</v>
      </c>
      <c r="R87" s="8"/>
      <c r="T87"/>
    </row>
    <row r="88" spans="2:20" ht="23.1" customHeight="1" x14ac:dyDescent="0.25">
      <c r="B88" s="47" t="s">
        <v>128</v>
      </c>
      <c r="C88" s="50">
        <v>6</v>
      </c>
      <c r="D88" s="50">
        <v>0</v>
      </c>
      <c r="E88" s="50">
        <v>0</v>
      </c>
      <c r="F88" s="50">
        <v>1</v>
      </c>
      <c r="G88" s="50">
        <v>0</v>
      </c>
      <c r="H88" s="50">
        <v>1</v>
      </c>
      <c r="I88" s="50">
        <v>0</v>
      </c>
      <c r="J88" s="50">
        <v>1</v>
      </c>
      <c r="K88" s="50">
        <v>4</v>
      </c>
      <c r="L88" s="50">
        <v>1</v>
      </c>
      <c r="M88" s="50">
        <v>34</v>
      </c>
      <c r="N88" s="50">
        <v>0</v>
      </c>
      <c r="O88" s="15">
        <f t="shared" si="35"/>
        <v>14</v>
      </c>
      <c r="P88" s="15">
        <f t="shared" si="36"/>
        <v>48</v>
      </c>
      <c r="R88" s="8"/>
      <c r="T88"/>
    </row>
    <row r="89" spans="2:20" ht="23.1" customHeight="1" x14ac:dyDescent="0.25">
      <c r="B89" s="45" t="s">
        <v>129</v>
      </c>
      <c r="C89" s="50">
        <v>21</v>
      </c>
      <c r="D89" s="50">
        <v>0</v>
      </c>
      <c r="E89" s="50">
        <v>0</v>
      </c>
      <c r="F89" s="50">
        <v>1</v>
      </c>
      <c r="G89" s="50">
        <v>0</v>
      </c>
      <c r="H89" s="50">
        <v>1</v>
      </c>
      <c r="I89" s="50">
        <v>1</v>
      </c>
      <c r="J89" s="50">
        <v>1</v>
      </c>
      <c r="K89" s="50">
        <v>1</v>
      </c>
      <c r="L89" s="50">
        <v>0</v>
      </c>
      <c r="M89" s="50">
        <v>36</v>
      </c>
      <c r="N89" s="50">
        <v>0</v>
      </c>
      <c r="O89" s="15">
        <f t="shared" si="35"/>
        <v>26</v>
      </c>
      <c r="P89" s="15">
        <f t="shared" si="36"/>
        <v>62</v>
      </c>
      <c r="R89" s="8"/>
      <c r="T89"/>
    </row>
    <row r="90" spans="2:20" ht="23.1" customHeight="1" x14ac:dyDescent="0.25">
      <c r="B90" s="46" t="s">
        <v>130</v>
      </c>
      <c r="C90" s="50">
        <v>4</v>
      </c>
      <c r="D90" s="50">
        <v>0</v>
      </c>
      <c r="E90" s="50">
        <v>0</v>
      </c>
      <c r="F90" s="50">
        <v>0</v>
      </c>
      <c r="G90" s="50">
        <v>0</v>
      </c>
      <c r="H90" s="50">
        <v>1</v>
      </c>
      <c r="I90" s="50">
        <v>1</v>
      </c>
      <c r="J90" s="50">
        <v>3</v>
      </c>
      <c r="K90" s="50">
        <v>6</v>
      </c>
      <c r="L90" s="50">
        <v>0</v>
      </c>
      <c r="M90" s="50">
        <v>22</v>
      </c>
      <c r="N90" s="50">
        <v>0</v>
      </c>
      <c r="O90" s="15">
        <f t="shared" si="35"/>
        <v>15</v>
      </c>
      <c r="P90" s="15">
        <f t="shared" si="36"/>
        <v>37</v>
      </c>
      <c r="R90" s="8"/>
      <c r="T90"/>
    </row>
    <row r="91" spans="2:20" ht="23.1" customHeight="1" x14ac:dyDescent="0.25">
      <c r="B91" s="45" t="s">
        <v>131</v>
      </c>
      <c r="C91" s="50">
        <v>10</v>
      </c>
      <c r="D91" s="50">
        <v>0</v>
      </c>
      <c r="E91" s="50">
        <v>1</v>
      </c>
      <c r="F91" s="50">
        <v>4</v>
      </c>
      <c r="G91" s="50">
        <v>0</v>
      </c>
      <c r="H91" s="50">
        <v>2</v>
      </c>
      <c r="I91" s="50">
        <v>3</v>
      </c>
      <c r="J91" s="50">
        <v>2</v>
      </c>
      <c r="K91" s="50">
        <v>0</v>
      </c>
      <c r="L91" s="50">
        <v>0</v>
      </c>
      <c r="M91" s="50">
        <v>28</v>
      </c>
      <c r="N91" s="50">
        <v>0</v>
      </c>
      <c r="O91" s="15">
        <f t="shared" si="35"/>
        <v>22</v>
      </c>
      <c r="P91" s="15">
        <f t="shared" si="36"/>
        <v>50</v>
      </c>
      <c r="R91" s="8"/>
      <c r="T91"/>
    </row>
    <row r="92" spans="2:20" ht="23.1" customHeight="1" x14ac:dyDescent="0.25">
      <c r="B92" s="47" t="s">
        <v>132</v>
      </c>
      <c r="C92" s="50">
        <v>7</v>
      </c>
      <c r="D92" s="50">
        <v>0</v>
      </c>
      <c r="E92" s="50">
        <v>0</v>
      </c>
      <c r="F92" s="50">
        <v>0</v>
      </c>
      <c r="G92" s="50">
        <v>0</v>
      </c>
      <c r="H92" s="50">
        <v>3</v>
      </c>
      <c r="I92" s="50">
        <v>0</v>
      </c>
      <c r="J92" s="50">
        <v>3</v>
      </c>
      <c r="K92" s="50">
        <v>2</v>
      </c>
      <c r="L92" s="50">
        <v>0</v>
      </c>
      <c r="M92" s="50">
        <v>23</v>
      </c>
      <c r="N92" s="50">
        <v>0</v>
      </c>
      <c r="O92" s="15">
        <f t="shared" si="35"/>
        <v>15</v>
      </c>
      <c r="P92" s="15">
        <f t="shared" si="36"/>
        <v>38</v>
      </c>
      <c r="R92" s="8"/>
      <c r="T92"/>
    </row>
    <row r="93" spans="2:20" ht="23.1" customHeight="1" x14ac:dyDescent="0.25">
      <c r="B93" s="45" t="s">
        <v>133</v>
      </c>
      <c r="C93" s="50">
        <v>9</v>
      </c>
      <c r="D93" s="50">
        <v>0</v>
      </c>
      <c r="E93" s="50">
        <v>0</v>
      </c>
      <c r="F93" s="50">
        <v>4</v>
      </c>
      <c r="G93" s="50">
        <v>0</v>
      </c>
      <c r="H93" s="50">
        <v>1</v>
      </c>
      <c r="I93" s="50">
        <v>2</v>
      </c>
      <c r="J93" s="50">
        <v>4</v>
      </c>
      <c r="K93" s="50">
        <v>0</v>
      </c>
      <c r="L93" s="50">
        <v>0</v>
      </c>
      <c r="M93" s="50">
        <v>23</v>
      </c>
      <c r="N93" s="50">
        <v>0</v>
      </c>
      <c r="O93" s="15">
        <f t="shared" si="35"/>
        <v>20</v>
      </c>
      <c r="P93" s="15">
        <f t="shared" si="36"/>
        <v>43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1</v>
      </c>
      <c r="E94" s="50">
        <v>1</v>
      </c>
      <c r="F94" s="50">
        <v>5</v>
      </c>
      <c r="G94" s="50">
        <v>1</v>
      </c>
      <c r="H94" s="50">
        <v>2</v>
      </c>
      <c r="I94" s="50">
        <v>3</v>
      </c>
      <c r="J94" s="50">
        <v>3</v>
      </c>
      <c r="K94" s="50">
        <v>2</v>
      </c>
      <c r="L94" s="50">
        <v>1</v>
      </c>
      <c r="M94" s="50" t="s">
        <v>185</v>
      </c>
      <c r="N94" s="50">
        <v>0</v>
      </c>
      <c r="O94" s="15">
        <f t="shared" si="35"/>
        <v>23</v>
      </c>
      <c r="P94" s="15">
        <f t="shared" si="36"/>
        <v>23</v>
      </c>
      <c r="R94" s="8"/>
      <c r="T94"/>
    </row>
    <row r="95" spans="2:20" ht="23.1" customHeight="1" x14ac:dyDescent="0.25">
      <c r="B95" s="45" t="s">
        <v>135</v>
      </c>
      <c r="C95" s="50">
        <v>10</v>
      </c>
      <c r="D95" s="50">
        <v>0</v>
      </c>
      <c r="E95" s="50">
        <v>1</v>
      </c>
      <c r="F95" s="50">
        <v>2</v>
      </c>
      <c r="G95" s="50">
        <v>1</v>
      </c>
      <c r="H95" s="50">
        <v>3</v>
      </c>
      <c r="I95" s="50">
        <v>2</v>
      </c>
      <c r="J95" s="50">
        <v>0</v>
      </c>
      <c r="K95" s="50">
        <v>0</v>
      </c>
      <c r="L95" s="50">
        <v>0</v>
      </c>
      <c r="M95" s="50">
        <v>27</v>
      </c>
      <c r="N95" s="50">
        <v>0</v>
      </c>
      <c r="O95" s="15">
        <f t="shared" si="35"/>
        <v>19</v>
      </c>
      <c r="P95" s="15">
        <f t="shared" si="36"/>
        <v>46</v>
      </c>
      <c r="R95" s="8"/>
      <c r="T95"/>
    </row>
    <row r="96" spans="2:20" ht="23.1" customHeight="1" x14ac:dyDescent="0.25">
      <c r="B96" s="47" t="s">
        <v>136</v>
      </c>
      <c r="C96" s="50">
        <v>10</v>
      </c>
      <c r="D96" s="50">
        <v>0</v>
      </c>
      <c r="E96" s="50">
        <v>1</v>
      </c>
      <c r="F96" s="50">
        <v>11</v>
      </c>
      <c r="G96" s="50">
        <v>0</v>
      </c>
      <c r="H96" s="50">
        <v>4</v>
      </c>
      <c r="I96" s="50">
        <v>0</v>
      </c>
      <c r="J96" s="50">
        <v>5</v>
      </c>
      <c r="K96" s="50">
        <v>3</v>
      </c>
      <c r="L96" s="50">
        <v>1</v>
      </c>
      <c r="M96" s="50">
        <v>28</v>
      </c>
      <c r="N96" s="50">
        <v>0</v>
      </c>
      <c r="O96" s="15">
        <f t="shared" si="35"/>
        <v>35</v>
      </c>
      <c r="P96" s="15">
        <f t="shared" si="36"/>
        <v>63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0</v>
      </c>
      <c r="F97" s="50">
        <v>0</v>
      </c>
      <c r="G97" s="50">
        <v>1</v>
      </c>
      <c r="H97" s="50">
        <v>6</v>
      </c>
      <c r="I97" s="50">
        <v>0</v>
      </c>
      <c r="J97" s="50">
        <v>3</v>
      </c>
      <c r="K97" s="50">
        <v>1</v>
      </c>
      <c r="L97" s="50">
        <v>0</v>
      </c>
      <c r="M97" s="50">
        <v>12</v>
      </c>
      <c r="N97" s="50">
        <v>0</v>
      </c>
      <c r="O97" s="15">
        <f t="shared" si="35"/>
        <v>15</v>
      </c>
      <c r="P97" s="15">
        <f t="shared" si="36"/>
        <v>27</v>
      </c>
      <c r="R97" s="8"/>
      <c r="T97"/>
    </row>
    <row r="98" spans="2:20" ht="23.1" customHeight="1" x14ac:dyDescent="0.25">
      <c r="B98" s="46" t="s">
        <v>138</v>
      </c>
      <c r="C98" s="50">
        <v>12</v>
      </c>
      <c r="D98" s="50">
        <v>0</v>
      </c>
      <c r="E98" s="50">
        <v>0</v>
      </c>
      <c r="F98" s="50">
        <v>9</v>
      </c>
      <c r="G98" s="50">
        <v>0</v>
      </c>
      <c r="H98" s="50">
        <v>2</v>
      </c>
      <c r="I98" s="50">
        <v>30</v>
      </c>
      <c r="J98" s="50">
        <v>0</v>
      </c>
      <c r="K98" s="50">
        <v>1</v>
      </c>
      <c r="L98" s="50">
        <v>1</v>
      </c>
      <c r="M98" s="50">
        <v>20</v>
      </c>
      <c r="N98" s="50">
        <v>0</v>
      </c>
      <c r="O98" s="15">
        <f t="shared" si="35"/>
        <v>55</v>
      </c>
      <c r="P98" s="15">
        <f t="shared" si="36"/>
        <v>75</v>
      </c>
      <c r="R98" s="8"/>
      <c r="T98"/>
    </row>
    <row r="99" spans="2:20" ht="23.1" customHeight="1" x14ac:dyDescent="0.25">
      <c r="B99" s="45" t="s">
        <v>139</v>
      </c>
      <c r="C99" s="50">
        <v>8</v>
      </c>
      <c r="D99" s="50">
        <v>0</v>
      </c>
      <c r="E99" s="50">
        <v>0</v>
      </c>
      <c r="F99" s="50">
        <v>1</v>
      </c>
      <c r="G99" s="50">
        <v>0</v>
      </c>
      <c r="H99" s="50">
        <v>2</v>
      </c>
      <c r="I99" s="50">
        <v>2</v>
      </c>
      <c r="J99" s="50">
        <v>0</v>
      </c>
      <c r="K99" s="50">
        <v>0</v>
      </c>
      <c r="L99" s="50">
        <v>0</v>
      </c>
      <c r="M99" s="50">
        <v>27</v>
      </c>
      <c r="N99" s="50">
        <v>0</v>
      </c>
      <c r="O99" s="15">
        <f t="shared" si="35"/>
        <v>13</v>
      </c>
      <c r="P99" s="15">
        <f t="shared" si="36"/>
        <v>40</v>
      </c>
      <c r="R99" s="8"/>
      <c r="T99"/>
    </row>
    <row r="100" spans="2:20" ht="23.1" customHeight="1" x14ac:dyDescent="0.25">
      <c r="B100" s="47" t="s">
        <v>140</v>
      </c>
      <c r="C100" s="50">
        <v>28</v>
      </c>
      <c r="D100" s="50">
        <v>0</v>
      </c>
      <c r="E100" s="50">
        <v>1</v>
      </c>
      <c r="F100" s="50">
        <v>22</v>
      </c>
      <c r="G100" s="50">
        <v>0</v>
      </c>
      <c r="H100" s="50">
        <v>0</v>
      </c>
      <c r="I100" s="50">
        <v>5</v>
      </c>
      <c r="J100" s="50">
        <v>6</v>
      </c>
      <c r="K100" s="50">
        <v>2</v>
      </c>
      <c r="L100" s="50">
        <v>2</v>
      </c>
      <c r="M100" s="50">
        <v>35</v>
      </c>
      <c r="N100" s="50">
        <v>0</v>
      </c>
      <c r="O100" s="15">
        <f t="shared" si="35"/>
        <v>66</v>
      </c>
      <c r="P100" s="15">
        <f t="shared" si="36"/>
        <v>101</v>
      </c>
      <c r="R100" s="8"/>
      <c r="T100"/>
    </row>
    <row r="101" spans="2:20" ht="23.1" customHeight="1" x14ac:dyDescent="0.25">
      <c r="B101" s="45" t="s">
        <v>141</v>
      </c>
      <c r="C101" s="50">
        <v>13</v>
      </c>
      <c r="D101" s="50">
        <v>0</v>
      </c>
      <c r="E101" s="50">
        <v>3</v>
      </c>
      <c r="F101" s="50">
        <v>15</v>
      </c>
      <c r="G101" s="50">
        <v>0</v>
      </c>
      <c r="H101" s="50">
        <v>1</v>
      </c>
      <c r="I101" s="50">
        <v>4</v>
      </c>
      <c r="J101" s="50">
        <v>3</v>
      </c>
      <c r="K101" s="50">
        <v>3</v>
      </c>
      <c r="L101" s="50">
        <v>0</v>
      </c>
      <c r="M101" s="50">
        <v>33</v>
      </c>
      <c r="N101" s="50">
        <v>0</v>
      </c>
      <c r="O101" s="15">
        <f t="shared" si="35"/>
        <v>42</v>
      </c>
      <c r="P101" s="15">
        <f t="shared" si="36"/>
        <v>75</v>
      </c>
      <c r="R101" s="8"/>
      <c r="T101"/>
    </row>
    <row r="102" spans="2:20" ht="23.1" customHeight="1" x14ac:dyDescent="0.25">
      <c r="B102" s="46" t="s">
        <v>142</v>
      </c>
      <c r="C102" s="50">
        <v>31</v>
      </c>
      <c r="D102" s="50">
        <v>1</v>
      </c>
      <c r="E102" s="50">
        <v>2</v>
      </c>
      <c r="F102" s="50">
        <v>26</v>
      </c>
      <c r="G102" s="50">
        <v>0</v>
      </c>
      <c r="H102" s="50">
        <v>1</v>
      </c>
      <c r="I102" s="50">
        <v>9</v>
      </c>
      <c r="J102" s="50">
        <v>3</v>
      </c>
      <c r="K102" s="50">
        <v>6</v>
      </c>
      <c r="L102" s="50">
        <v>1</v>
      </c>
      <c r="M102" s="50">
        <v>75</v>
      </c>
      <c r="N102" s="50">
        <v>0</v>
      </c>
      <c r="O102" s="15">
        <f t="shared" si="35"/>
        <v>80</v>
      </c>
      <c r="P102" s="15">
        <f t="shared" si="36"/>
        <v>155</v>
      </c>
      <c r="R102" s="8"/>
      <c r="T102"/>
    </row>
    <row r="103" spans="2:20" ht="23.1" customHeight="1" x14ac:dyDescent="0.25">
      <c r="B103" s="45" t="s">
        <v>143</v>
      </c>
      <c r="C103" s="50">
        <v>14</v>
      </c>
      <c r="D103" s="50">
        <v>0</v>
      </c>
      <c r="E103" s="50">
        <v>1</v>
      </c>
      <c r="F103" s="50">
        <v>28</v>
      </c>
      <c r="G103" s="50">
        <v>1</v>
      </c>
      <c r="H103" s="50">
        <v>2</v>
      </c>
      <c r="I103" s="50">
        <v>7</v>
      </c>
      <c r="J103" s="50">
        <v>5</v>
      </c>
      <c r="K103" s="50">
        <v>1</v>
      </c>
      <c r="L103" s="50">
        <v>4</v>
      </c>
      <c r="M103" s="50">
        <v>60</v>
      </c>
      <c r="N103" s="50">
        <v>0</v>
      </c>
      <c r="O103" s="15">
        <f t="shared" si="35"/>
        <v>63</v>
      </c>
      <c r="P103" s="15">
        <f t="shared" si="36"/>
        <v>123</v>
      </c>
      <c r="R103" s="8"/>
      <c r="T103"/>
    </row>
    <row r="104" spans="2:20" ht="23.1" customHeight="1" x14ac:dyDescent="0.25">
      <c r="B104" s="47" t="s">
        <v>144</v>
      </c>
      <c r="C104" s="50">
        <v>29</v>
      </c>
      <c r="D104" s="50">
        <v>1</v>
      </c>
      <c r="E104" s="50">
        <v>6</v>
      </c>
      <c r="F104" s="50">
        <v>30</v>
      </c>
      <c r="G104" s="50">
        <v>1</v>
      </c>
      <c r="H104" s="50">
        <v>1</v>
      </c>
      <c r="I104" s="50">
        <v>5</v>
      </c>
      <c r="J104" s="50">
        <v>2</v>
      </c>
      <c r="K104" s="50">
        <v>3</v>
      </c>
      <c r="L104" s="50">
        <v>0</v>
      </c>
      <c r="M104" s="50">
        <v>79</v>
      </c>
      <c r="N104" s="50">
        <v>0</v>
      </c>
      <c r="O104" s="15">
        <f t="shared" si="35"/>
        <v>78</v>
      </c>
      <c r="P104" s="15">
        <f t="shared" si="36"/>
        <v>157</v>
      </c>
      <c r="R104" s="8"/>
      <c r="T104"/>
    </row>
    <row r="105" spans="2:20" ht="23.1" customHeight="1" x14ac:dyDescent="0.25">
      <c r="B105" s="45" t="s">
        <v>145</v>
      </c>
      <c r="C105" s="50">
        <v>20</v>
      </c>
      <c r="D105" s="50">
        <v>0</v>
      </c>
      <c r="E105" s="50">
        <v>1</v>
      </c>
      <c r="F105" s="50">
        <v>21</v>
      </c>
      <c r="G105" s="50">
        <v>0</v>
      </c>
      <c r="H105" s="50">
        <v>1</v>
      </c>
      <c r="I105" s="50">
        <v>6</v>
      </c>
      <c r="J105" s="50">
        <v>0</v>
      </c>
      <c r="K105" s="50">
        <v>6</v>
      </c>
      <c r="L105" s="50">
        <v>1</v>
      </c>
      <c r="M105" s="50">
        <v>71</v>
      </c>
      <c r="N105" s="50">
        <v>0</v>
      </c>
      <c r="O105" s="15">
        <f t="shared" si="35"/>
        <v>56</v>
      </c>
      <c r="P105" s="15">
        <f t="shared" si="36"/>
        <v>127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3127</v>
      </c>
      <c r="D106" s="16">
        <f t="shared" ref="D106:P106" si="37">SUM(D10:D105)</f>
        <v>523</v>
      </c>
      <c r="E106" s="16">
        <f t="shared" si="37"/>
        <v>333</v>
      </c>
      <c r="F106" s="16">
        <f t="shared" si="37"/>
        <v>2652</v>
      </c>
      <c r="G106" s="16">
        <f t="shared" si="37"/>
        <v>142</v>
      </c>
      <c r="H106" s="16">
        <f t="shared" si="37"/>
        <v>122</v>
      </c>
      <c r="I106" s="16">
        <f t="shared" si="37"/>
        <v>568</v>
      </c>
      <c r="J106" s="16">
        <f t="shared" si="37"/>
        <v>479</v>
      </c>
      <c r="K106" s="16">
        <f t="shared" si="37"/>
        <v>237</v>
      </c>
      <c r="L106" s="16">
        <f t="shared" si="37"/>
        <v>149</v>
      </c>
      <c r="M106" s="16">
        <f t="shared" si="37"/>
        <v>12513</v>
      </c>
      <c r="N106" s="16">
        <f t="shared" si="37"/>
        <v>0</v>
      </c>
      <c r="O106" s="16">
        <f t="shared" si="37"/>
        <v>8332</v>
      </c>
      <c r="P106" s="16">
        <f t="shared" si="37"/>
        <v>20845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0.15001199328376108</v>
      </c>
      <c r="D107" s="43">
        <f t="shared" si="38"/>
        <v>2.5089949628208204E-2</v>
      </c>
      <c r="E107" s="43">
        <f t="shared" si="38"/>
        <v>1.5975053969776925E-2</v>
      </c>
      <c r="F107" s="43">
        <f t="shared" si="38"/>
        <v>0.12722475413768289</v>
      </c>
      <c r="G107" s="43">
        <f t="shared" si="38"/>
        <v>6.8121851763012714E-3</v>
      </c>
      <c r="H107" s="43">
        <f t="shared" si="38"/>
        <v>5.8527224754137686E-3</v>
      </c>
      <c r="I107" s="43">
        <f t="shared" si="38"/>
        <v>2.7248740705205086E-2</v>
      </c>
      <c r="J107" s="43">
        <f t="shared" si="38"/>
        <v>2.2979131686255698E-2</v>
      </c>
      <c r="K107" s="43">
        <f t="shared" si="38"/>
        <v>1.136963300551691E-2</v>
      </c>
      <c r="L107" s="43">
        <f t="shared" si="38"/>
        <v>7.1479971216118973E-3</v>
      </c>
      <c r="M107" s="43">
        <f t="shared" si="38"/>
        <v>0.60028783881026626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0.37530004800768124</v>
      </c>
      <c r="D108" s="44">
        <f t="shared" ref="D108:N108" si="39">D106/$O$106</f>
        <v>6.2770043206913109E-2</v>
      </c>
      <c r="E108" s="44">
        <f t="shared" si="39"/>
        <v>3.9966394623139702E-2</v>
      </c>
      <c r="F108" s="44">
        <f t="shared" si="39"/>
        <v>0.3182909265482477</v>
      </c>
      <c r="G108" s="44">
        <f t="shared" si="39"/>
        <v>1.7042726836293806E-2</v>
      </c>
      <c r="H108" s="44">
        <f t="shared" si="39"/>
        <v>1.4642342774843975E-2</v>
      </c>
      <c r="I108" s="44">
        <f t="shared" si="39"/>
        <v>6.8170907345175225E-2</v>
      </c>
      <c r="J108" s="44">
        <f t="shared" si="39"/>
        <v>5.7489198271723475E-2</v>
      </c>
      <c r="K108" s="44">
        <f t="shared" si="39"/>
        <v>2.844455112818051E-2</v>
      </c>
      <c r="L108" s="44">
        <f t="shared" si="39"/>
        <v>1.7882861257801249E-2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0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Bwaise-Kawempe'!C3:G3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3" t="str">
        <f>'27.07 Kawempe-Bwaise-24h'!G5:H5</f>
        <v>Before Steel and Tube</v>
      </c>
      <c r="H5" s="64"/>
      <c r="I5" s="14"/>
      <c r="J5" s="2" t="s">
        <v>5</v>
      </c>
      <c r="K5" s="63" t="s">
        <v>173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Bwaise-Kawempe'!D6:E6</f>
        <v>Bwaise</v>
      </c>
      <c r="E6" s="64"/>
      <c r="F6" s="2" t="s">
        <v>2</v>
      </c>
      <c r="G6" s="63" t="str">
        <f>'22.07 Bwaise-Kawempe'!G6:H6</f>
        <v>Kawempe</v>
      </c>
      <c r="H6" s="64"/>
      <c r="J6" s="2" t="s">
        <v>21</v>
      </c>
      <c r="K6" s="63" t="s">
        <v>174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21</v>
      </c>
      <c r="D10" s="50">
        <v>3</v>
      </c>
      <c r="E10" s="50">
        <v>1</v>
      </c>
      <c r="F10" s="50">
        <v>19</v>
      </c>
      <c r="G10" s="50">
        <v>0</v>
      </c>
      <c r="H10" s="50">
        <v>2</v>
      </c>
      <c r="I10" s="50">
        <v>9</v>
      </c>
      <c r="J10" s="50">
        <v>1</v>
      </c>
      <c r="K10" s="50">
        <v>2</v>
      </c>
      <c r="L10" s="50">
        <v>1</v>
      </c>
      <c r="M10" s="50">
        <v>27</v>
      </c>
      <c r="N10" s="50">
        <v>0</v>
      </c>
      <c r="O10" s="15">
        <f t="shared" ref="O10:O57" si="0">SUM(C10:L10,N10)</f>
        <v>59</v>
      </c>
      <c r="P10" s="15">
        <f t="shared" ref="P10:P57" si="1">SUM(C10:N10)</f>
        <v>86</v>
      </c>
      <c r="R10" s="1" t="s">
        <v>6</v>
      </c>
      <c r="S10" s="17">
        <f t="shared" ref="S10:AF10" si="2">SUM(C10:C13)</f>
        <v>74</v>
      </c>
      <c r="T10" s="17">
        <f t="shared" si="2"/>
        <v>14</v>
      </c>
      <c r="U10" s="17">
        <f t="shared" si="2"/>
        <v>10</v>
      </c>
      <c r="V10" s="17">
        <f t="shared" si="2"/>
        <v>98</v>
      </c>
      <c r="W10" s="17">
        <f t="shared" si="2"/>
        <v>2</v>
      </c>
      <c r="X10" s="17">
        <f t="shared" si="2"/>
        <v>3</v>
      </c>
      <c r="Y10" s="17">
        <f t="shared" si="2"/>
        <v>24</v>
      </c>
      <c r="Z10" s="17">
        <f t="shared" si="2"/>
        <v>10</v>
      </c>
      <c r="AA10" s="17">
        <f t="shared" si="2"/>
        <v>4</v>
      </c>
      <c r="AB10" s="17">
        <f t="shared" si="2"/>
        <v>8</v>
      </c>
      <c r="AC10" s="17">
        <f t="shared" si="2"/>
        <v>265</v>
      </c>
      <c r="AD10" s="17">
        <f t="shared" si="2"/>
        <v>0</v>
      </c>
      <c r="AE10" s="31">
        <f t="shared" si="2"/>
        <v>247</v>
      </c>
      <c r="AF10" s="31">
        <f t="shared" si="2"/>
        <v>512</v>
      </c>
    </row>
    <row r="11" spans="2:32" s="6" customFormat="1" ht="23.1" customHeight="1" x14ac:dyDescent="0.25">
      <c r="B11" s="23" t="s">
        <v>38</v>
      </c>
      <c r="C11" s="50">
        <v>15</v>
      </c>
      <c r="D11" s="50">
        <v>3</v>
      </c>
      <c r="E11" s="50">
        <v>1</v>
      </c>
      <c r="F11" s="50">
        <v>31</v>
      </c>
      <c r="G11" s="50">
        <v>0</v>
      </c>
      <c r="H11" s="50">
        <v>0</v>
      </c>
      <c r="I11" s="50">
        <v>8</v>
      </c>
      <c r="J11" s="50">
        <v>1</v>
      </c>
      <c r="K11" s="50">
        <v>0</v>
      </c>
      <c r="L11" s="50">
        <v>6</v>
      </c>
      <c r="M11" s="50">
        <v>85</v>
      </c>
      <c r="N11" s="50">
        <v>0</v>
      </c>
      <c r="O11" s="15">
        <f t="shared" si="0"/>
        <v>65</v>
      </c>
      <c r="P11" s="15">
        <f t="shared" si="1"/>
        <v>150</v>
      </c>
      <c r="R11" s="1" t="s">
        <v>7</v>
      </c>
      <c r="S11" s="17">
        <f t="shared" ref="S11:AF11" si="3">SUM(C14:C17)</f>
        <v>107</v>
      </c>
      <c r="T11" s="17">
        <f t="shared" si="3"/>
        <v>10</v>
      </c>
      <c r="U11" s="17">
        <f t="shared" si="3"/>
        <v>16</v>
      </c>
      <c r="V11" s="17">
        <f t="shared" si="3"/>
        <v>106</v>
      </c>
      <c r="W11" s="17">
        <f t="shared" si="3"/>
        <v>4</v>
      </c>
      <c r="X11" s="17">
        <f t="shared" si="3"/>
        <v>3</v>
      </c>
      <c r="Y11" s="17">
        <f t="shared" si="3"/>
        <v>31</v>
      </c>
      <c r="Z11" s="17">
        <f t="shared" si="3"/>
        <v>12</v>
      </c>
      <c r="AA11" s="17">
        <f t="shared" si="3"/>
        <v>4</v>
      </c>
      <c r="AB11" s="17">
        <f t="shared" si="3"/>
        <v>3</v>
      </c>
      <c r="AC11" s="17">
        <f t="shared" si="3"/>
        <v>350</v>
      </c>
      <c r="AD11" s="17">
        <f t="shared" si="3"/>
        <v>0</v>
      </c>
      <c r="AE11" s="31">
        <f t="shared" si="3"/>
        <v>296</v>
      </c>
      <c r="AF11" s="31">
        <f t="shared" si="3"/>
        <v>646</v>
      </c>
    </row>
    <row r="12" spans="2:32" ht="23.1" customHeight="1" x14ac:dyDescent="0.25">
      <c r="B12" s="23" t="s">
        <v>39</v>
      </c>
      <c r="C12" s="50">
        <v>17</v>
      </c>
      <c r="D12" s="50">
        <v>4</v>
      </c>
      <c r="E12" s="50">
        <v>4</v>
      </c>
      <c r="F12" s="50">
        <v>23</v>
      </c>
      <c r="G12" s="50">
        <v>1</v>
      </c>
      <c r="H12" s="50">
        <v>1</v>
      </c>
      <c r="I12" s="50">
        <v>5</v>
      </c>
      <c r="J12" s="50">
        <v>4</v>
      </c>
      <c r="K12" s="50">
        <v>1</v>
      </c>
      <c r="L12" s="50">
        <v>1</v>
      </c>
      <c r="M12" s="50">
        <v>68</v>
      </c>
      <c r="N12" s="50">
        <v>0</v>
      </c>
      <c r="O12" s="15">
        <f t="shared" si="0"/>
        <v>61</v>
      </c>
      <c r="P12" s="15">
        <f t="shared" si="1"/>
        <v>129</v>
      </c>
      <c r="R12" s="1" t="s">
        <v>8</v>
      </c>
      <c r="S12" s="17">
        <f t="shared" ref="S12:AF12" si="4">SUM(C18:C21)</f>
        <v>139</v>
      </c>
      <c r="T12" s="17">
        <f t="shared" si="4"/>
        <v>22</v>
      </c>
      <c r="U12" s="17">
        <f t="shared" si="4"/>
        <v>26</v>
      </c>
      <c r="V12" s="17">
        <f t="shared" si="4"/>
        <v>129</v>
      </c>
      <c r="W12" s="17">
        <f t="shared" si="4"/>
        <v>6</v>
      </c>
      <c r="X12" s="17">
        <f t="shared" si="4"/>
        <v>2</v>
      </c>
      <c r="Y12" s="17">
        <f t="shared" si="4"/>
        <v>23</v>
      </c>
      <c r="Z12" s="17">
        <f t="shared" si="4"/>
        <v>4</v>
      </c>
      <c r="AA12" s="17">
        <f t="shared" si="4"/>
        <v>5</v>
      </c>
      <c r="AB12" s="17">
        <f t="shared" si="4"/>
        <v>5</v>
      </c>
      <c r="AC12" s="17">
        <f t="shared" si="4"/>
        <v>575</v>
      </c>
      <c r="AD12" s="17">
        <f t="shared" si="4"/>
        <v>1</v>
      </c>
      <c r="AE12" s="31">
        <f t="shared" si="4"/>
        <v>362</v>
      </c>
      <c r="AF12" s="31">
        <f t="shared" si="4"/>
        <v>937</v>
      </c>
    </row>
    <row r="13" spans="2:32" ht="23.1" customHeight="1" x14ac:dyDescent="0.25">
      <c r="B13" s="23" t="s">
        <v>40</v>
      </c>
      <c r="C13" s="50">
        <v>21</v>
      </c>
      <c r="D13" s="50">
        <v>4</v>
      </c>
      <c r="E13" s="50">
        <v>4</v>
      </c>
      <c r="F13" s="50">
        <v>25</v>
      </c>
      <c r="G13" s="50">
        <v>1</v>
      </c>
      <c r="H13" s="50">
        <v>0</v>
      </c>
      <c r="I13" s="50">
        <v>2</v>
      </c>
      <c r="J13" s="50">
        <v>4</v>
      </c>
      <c r="K13" s="50">
        <v>1</v>
      </c>
      <c r="L13" s="50">
        <v>0</v>
      </c>
      <c r="M13" s="50">
        <v>85</v>
      </c>
      <c r="N13" s="50">
        <v>0</v>
      </c>
      <c r="O13" s="15">
        <f t="shared" si="0"/>
        <v>62</v>
      </c>
      <c r="P13" s="15">
        <f t="shared" si="1"/>
        <v>147</v>
      </c>
      <c r="R13" s="1" t="s">
        <v>9</v>
      </c>
      <c r="S13" s="17">
        <f t="shared" ref="S13:AF13" si="5">SUM(C22:C25)</f>
        <v>150</v>
      </c>
      <c r="T13" s="17">
        <f t="shared" si="5"/>
        <v>30</v>
      </c>
      <c r="U13" s="17">
        <f t="shared" si="5"/>
        <v>18</v>
      </c>
      <c r="V13" s="17">
        <f t="shared" si="5"/>
        <v>95</v>
      </c>
      <c r="W13" s="17">
        <f t="shared" si="5"/>
        <v>2</v>
      </c>
      <c r="X13" s="17">
        <f t="shared" si="5"/>
        <v>1</v>
      </c>
      <c r="Y13" s="17">
        <f t="shared" si="5"/>
        <v>22</v>
      </c>
      <c r="Z13" s="17">
        <f t="shared" si="5"/>
        <v>4</v>
      </c>
      <c r="AA13" s="17">
        <f t="shared" si="5"/>
        <v>4</v>
      </c>
      <c r="AB13" s="17">
        <f t="shared" si="5"/>
        <v>4</v>
      </c>
      <c r="AC13" s="17">
        <f t="shared" si="5"/>
        <v>570</v>
      </c>
      <c r="AD13" s="17">
        <f t="shared" si="5"/>
        <v>0</v>
      </c>
      <c r="AE13" s="31">
        <f t="shared" si="5"/>
        <v>330</v>
      </c>
      <c r="AF13" s="31">
        <f t="shared" si="5"/>
        <v>900</v>
      </c>
    </row>
    <row r="14" spans="2:32" ht="23.1" customHeight="1" x14ac:dyDescent="0.25">
      <c r="B14" s="23" t="s">
        <v>41</v>
      </c>
      <c r="C14" s="50">
        <v>31</v>
      </c>
      <c r="D14" s="50">
        <v>2</v>
      </c>
      <c r="E14" s="50">
        <v>3</v>
      </c>
      <c r="F14" s="50">
        <v>24</v>
      </c>
      <c r="G14" s="50">
        <v>1</v>
      </c>
      <c r="H14" s="50">
        <v>1</v>
      </c>
      <c r="I14" s="50">
        <v>5</v>
      </c>
      <c r="J14" s="50">
        <v>5</v>
      </c>
      <c r="K14" s="50">
        <v>1</v>
      </c>
      <c r="L14" s="50">
        <v>1</v>
      </c>
      <c r="M14" s="50">
        <v>95</v>
      </c>
      <c r="N14" s="50">
        <v>0</v>
      </c>
      <c r="O14" s="15">
        <f t="shared" si="0"/>
        <v>74</v>
      </c>
      <c r="P14" s="15">
        <f t="shared" si="1"/>
        <v>169</v>
      </c>
      <c r="R14" s="1" t="s">
        <v>10</v>
      </c>
      <c r="S14" s="17">
        <f t="shared" ref="S14:AF14" si="6">SUM(C26:C29)</f>
        <v>175</v>
      </c>
      <c r="T14" s="17">
        <f t="shared" si="6"/>
        <v>21</v>
      </c>
      <c r="U14" s="17">
        <f t="shared" si="6"/>
        <v>23</v>
      </c>
      <c r="V14" s="17">
        <f t="shared" si="6"/>
        <v>133</v>
      </c>
      <c r="W14" s="17">
        <f t="shared" si="6"/>
        <v>3</v>
      </c>
      <c r="X14" s="17">
        <f t="shared" si="6"/>
        <v>1</v>
      </c>
      <c r="Y14" s="17">
        <f t="shared" si="6"/>
        <v>31</v>
      </c>
      <c r="Z14" s="17">
        <f t="shared" si="6"/>
        <v>6</v>
      </c>
      <c r="AA14" s="17">
        <f t="shared" si="6"/>
        <v>2</v>
      </c>
      <c r="AB14" s="17">
        <f t="shared" si="6"/>
        <v>7</v>
      </c>
      <c r="AC14" s="17">
        <f t="shared" si="6"/>
        <v>800</v>
      </c>
      <c r="AD14" s="17">
        <f t="shared" si="6"/>
        <v>0</v>
      </c>
      <c r="AE14" s="31">
        <f t="shared" si="6"/>
        <v>402</v>
      </c>
      <c r="AF14" s="31">
        <f t="shared" si="6"/>
        <v>1202</v>
      </c>
    </row>
    <row r="15" spans="2:32" ht="23.1" customHeight="1" x14ac:dyDescent="0.25">
      <c r="B15" s="23" t="s">
        <v>42</v>
      </c>
      <c r="C15" s="50">
        <v>28</v>
      </c>
      <c r="D15" s="50">
        <v>2</v>
      </c>
      <c r="E15" s="50">
        <v>5</v>
      </c>
      <c r="F15" s="50">
        <v>36</v>
      </c>
      <c r="G15" s="50">
        <v>1</v>
      </c>
      <c r="H15" s="50">
        <v>1</v>
      </c>
      <c r="I15" s="50">
        <v>12</v>
      </c>
      <c r="J15" s="50">
        <v>4</v>
      </c>
      <c r="K15" s="50">
        <v>1</v>
      </c>
      <c r="L15" s="50">
        <v>0</v>
      </c>
      <c r="M15" s="50">
        <v>120</v>
      </c>
      <c r="N15" s="50">
        <v>0</v>
      </c>
      <c r="O15" s="15">
        <f t="shared" si="0"/>
        <v>90</v>
      </c>
      <c r="P15" s="15">
        <f t="shared" si="1"/>
        <v>210</v>
      </c>
      <c r="R15" s="1" t="s">
        <v>11</v>
      </c>
      <c r="S15" s="17">
        <f t="shared" ref="S15:AF15" si="7">SUM(C30:C33)</f>
        <v>173</v>
      </c>
      <c r="T15" s="17">
        <f t="shared" si="7"/>
        <v>25</v>
      </c>
      <c r="U15" s="17">
        <f t="shared" si="7"/>
        <v>18</v>
      </c>
      <c r="V15" s="17">
        <f t="shared" si="7"/>
        <v>136</v>
      </c>
      <c r="W15" s="17">
        <f t="shared" si="7"/>
        <v>3</v>
      </c>
      <c r="X15" s="17">
        <f t="shared" si="7"/>
        <v>4</v>
      </c>
      <c r="Y15" s="17">
        <f t="shared" si="7"/>
        <v>36</v>
      </c>
      <c r="Z15" s="17">
        <f t="shared" si="7"/>
        <v>7</v>
      </c>
      <c r="AA15" s="17">
        <f t="shared" si="7"/>
        <v>1</v>
      </c>
      <c r="AB15" s="17">
        <f t="shared" si="7"/>
        <v>3</v>
      </c>
      <c r="AC15" s="17">
        <f t="shared" si="7"/>
        <v>499</v>
      </c>
      <c r="AD15" s="17">
        <f t="shared" si="7"/>
        <v>0</v>
      </c>
      <c r="AE15" s="31">
        <f t="shared" si="7"/>
        <v>406</v>
      </c>
      <c r="AF15" s="31">
        <f t="shared" si="7"/>
        <v>905</v>
      </c>
    </row>
    <row r="16" spans="2:32" ht="23.1" customHeight="1" x14ac:dyDescent="0.25">
      <c r="B16" s="23" t="s">
        <v>43</v>
      </c>
      <c r="C16" s="50">
        <v>13</v>
      </c>
      <c r="D16" s="50">
        <v>4</v>
      </c>
      <c r="E16" s="50">
        <v>3</v>
      </c>
      <c r="F16" s="50">
        <v>22</v>
      </c>
      <c r="G16" s="50">
        <v>0</v>
      </c>
      <c r="H16" s="50">
        <v>0</v>
      </c>
      <c r="I16" s="50">
        <v>6</v>
      </c>
      <c r="J16" s="50">
        <v>2</v>
      </c>
      <c r="K16" s="50">
        <v>0</v>
      </c>
      <c r="L16" s="50">
        <v>1</v>
      </c>
      <c r="M16" s="50">
        <v>65</v>
      </c>
      <c r="N16" s="50">
        <v>0</v>
      </c>
      <c r="O16" s="15">
        <f t="shared" si="0"/>
        <v>51</v>
      </c>
      <c r="P16" s="15">
        <f t="shared" si="1"/>
        <v>116</v>
      </c>
      <c r="R16" s="1" t="s">
        <v>12</v>
      </c>
      <c r="S16" s="17">
        <f t="shared" ref="S16:AF16" si="8">SUM(C34:C37)</f>
        <v>252</v>
      </c>
      <c r="T16" s="17">
        <f t="shared" si="8"/>
        <v>31</v>
      </c>
      <c r="U16" s="17">
        <f t="shared" si="8"/>
        <v>28</v>
      </c>
      <c r="V16" s="17">
        <f t="shared" si="8"/>
        <v>93</v>
      </c>
      <c r="W16" s="17">
        <f t="shared" si="8"/>
        <v>4</v>
      </c>
      <c r="X16" s="17">
        <f t="shared" si="8"/>
        <v>2</v>
      </c>
      <c r="Y16" s="17">
        <f t="shared" si="8"/>
        <v>18</v>
      </c>
      <c r="Z16" s="17">
        <f t="shared" si="8"/>
        <v>10</v>
      </c>
      <c r="AA16" s="17">
        <f t="shared" si="8"/>
        <v>1</v>
      </c>
      <c r="AB16" s="17">
        <f t="shared" si="8"/>
        <v>7</v>
      </c>
      <c r="AC16" s="17">
        <f t="shared" si="8"/>
        <v>520</v>
      </c>
      <c r="AD16" s="17">
        <f t="shared" si="8"/>
        <v>0</v>
      </c>
      <c r="AE16" s="31">
        <f t="shared" si="8"/>
        <v>446</v>
      </c>
      <c r="AF16" s="31">
        <f t="shared" si="8"/>
        <v>966</v>
      </c>
    </row>
    <row r="17" spans="2:32" ht="23.1" customHeight="1" x14ac:dyDescent="0.25">
      <c r="B17" s="23" t="s">
        <v>44</v>
      </c>
      <c r="C17" s="50">
        <v>35</v>
      </c>
      <c r="D17" s="50">
        <v>2</v>
      </c>
      <c r="E17" s="50">
        <v>5</v>
      </c>
      <c r="F17" s="50">
        <v>24</v>
      </c>
      <c r="G17" s="50">
        <v>2</v>
      </c>
      <c r="H17" s="50">
        <v>1</v>
      </c>
      <c r="I17" s="50">
        <v>8</v>
      </c>
      <c r="J17" s="50">
        <v>1</v>
      </c>
      <c r="K17" s="50">
        <v>2</v>
      </c>
      <c r="L17" s="50">
        <v>1</v>
      </c>
      <c r="M17" s="50">
        <v>70</v>
      </c>
      <c r="N17" s="50">
        <v>0</v>
      </c>
      <c r="O17" s="15">
        <f t="shared" si="0"/>
        <v>81</v>
      </c>
      <c r="P17" s="15">
        <f t="shared" si="1"/>
        <v>151</v>
      </c>
      <c r="R17" s="1" t="s">
        <v>13</v>
      </c>
      <c r="S17" s="17">
        <f t="shared" ref="S17:AF17" si="9">SUM(C38:C41)</f>
        <v>208</v>
      </c>
      <c r="T17" s="17">
        <f t="shared" si="9"/>
        <v>24</v>
      </c>
      <c r="U17" s="17">
        <f t="shared" si="9"/>
        <v>28</v>
      </c>
      <c r="V17" s="17">
        <f t="shared" si="9"/>
        <v>103</v>
      </c>
      <c r="W17" s="17">
        <f t="shared" si="9"/>
        <v>5</v>
      </c>
      <c r="X17" s="17">
        <f t="shared" si="9"/>
        <v>1</v>
      </c>
      <c r="Y17" s="17">
        <f t="shared" si="9"/>
        <v>34</v>
      </c>
      <c r="Z17" s="17">
        <f t="shared" si="9"/>
        <v>0</v>
      </c>
      <c r="AA17" s="17">
        <f t="shared" si="9"/>
        <v>6</v>
      </c>
      <c r="AB17" s="17">
        <f t="shared" si="9"/>
        <v>6</v>
      </c>
      <c r="AC17" s="17">
        <f t="shared" si="9"/>
        <v>530</v>
      </c>
      <c r="AD17" s="17">
        <f t="shared" si="9"/>
        <v>0</v>
      </c>
      <c r="AE17" s="31">
        <f t="shared" si="9"/>
        <v>415</v>
      </c>
      <c r="AF17" s="31">
        <f t="shared" si="9"/>
        <v>945</v>
      </c>
    </row>
    <row r="18" spans="2:32" ht="23.1" customHeight="1" x14ac:dyDescent="0.25">
      <c r="B18" s="23" t="s">
        <v>45</v>
      </c>
      <c r="C18" s="50">
        <v>10</v>
      </c>
      <c r="D18" s="50">
        <v>4</v>
      </c>
      <c r="E18" s="50">
        <v>3</v>
      </c>
      <c r="F18" s="50">
        <v>21</v>
      </c>
      <c r="G18" s="50">
        <v>2</v>
      </c>
      <c r="H18" s="50">
        <v>1</v>
      </c>
      <c r="I18" s="50">
        <v>9</v>
      </c>
      <c r="J18" s="50">
        <v>1</v>
      </c>
      <c r="K18" s="50">
        <v>1</v>
      </c>
      <c r="L18" s="50">
        <v>1</v>
      </c>
      <c r="M18" s="50">
        <v>80</v>
      </c>
      <c r="N18" s="50">
        <v>0</v>
      </c>
      <c r="O18" s="15">
        <f t="shared" si="0"/>
        <v>53</v>
      </c>
      <c r="P18" s="15">
        <f t="shared" si="1"/>
        <v>133</v>
      </c>
      <c r="R18" s="1" t="s">
        <v>14</v>
      </c>
      <c r="S18" s="17">
        <f t="shared" ref="S18:AF18" si="10">SUM(C42:C45)</f>
        <v>187</v>
      </c>
      <c r="T18" s="17">
        <f t="shared" si="10"/>
        <v>28</v>
      </c>
      <c r="U18" s="17">
        <f t="shared" si="10"/>
        <v>24</v>
      </c>
      <c r="V18" s="17">
        <f t="shared" si="10"/>
        <v>122</v>
      </c>
      <c r="W18" s="17">
        <f t="shared" si="10"/>
        <v>2</v>
      </c>
      <c r="X18" s="17">
        <f t="shared" si="10"/>
        <v>1</v>
      </c>
      <c r="Y18" s="17">
        <f t="shared" si="10"/>
        <v>35</v>
      </c>
      <c r="Z18" s="17">
        <f t="shared" si="10"/>
        <v>2</v>
      </c>
      <c r="AA18" s="17">
        <f t="shared" si="10"/>
        <v>6</v>
      </c>
      <c r="AB18" s="17">
        <f t="shared" si="10"/>
        <v>4</v>
      </c>
      <c r="AC18" s="17">
        <f t="shared" si="10"/>
        <v>605</v>
      </c>
      <c r="AD18" s="17">
        <f t="shared" si="10"/>
        <v>0</v>
      </c>
      <c r="AE18" s="31">
        <f t="shared" si="10"/>
        <v>411</v>
      </c>
      <c r="AF18" s="31">
        <f t="shared" si="10"/>
        <v>1016</v>
      </c>
    </row>
    <row r="19" spans="2:32" ht="23.1" customHeight="1" x14ac:dyDescent="0.25">
      <c r="B19" s="23" t="s">
        <v>46</v>
      </c>
      <c r="C19" s="50">
        <v>44</v>
      </c>
      <c r="D19" s="50">
        <v>1</v>
      </c>
      <c r="E19" s="50">
        <v>6</v>
      </c>
      <c r="F19" s="50">
        <v>30</v>
      </c>
      <c r="G19" s="50">
        <v>2</v>
      </c>
      <c r="H19" s="50">
        <v>0</v>
      </c>
      <c r="I19" s="50">
        <v>3</v>
      </c>
      <c r="J19" s="50">
        <v>1</v>
      </c>
      <c r="K19" s="50">
        <v>1</v>
      </c>
      <c r="L19" s="50">
        <v>1</v>
      </c>
      <c r="M19" s="50">
        <v>175</v>
      </c>
      <c r="N19" s="50">
        <v>0</v>
      </c>
      <c r="O19" s="15">
        <f t="shared" si="0"/>
        <v>89</v>
      </c>
      <c r="P19" s="15">
        <f t="shared" si="1"/>
        <v>264</v>
      </c>
      <c r="R19" s="1" t="s">
        <v>15</v>
      </c>
      <c r="S19" s="17">
        <f t="shared" ref="S19:AF19" si="11">SUM(C46:C49)</f>
        <v>226</v>
      </c>
      <c r="T19" s="17">
        <f t="shared" si="11"/>
        <v>22</v>
      </c>
      <c r="U19" s="17">
        <f t="shared" si="11"/>
        <v>20</v>
      </c>
      <c r="V19" s="17">
        <f t="shared" si="11"/>
        <v>132</v>
      </c>
      <c r="W19" s="17">
        <f t="shared" si="11"/>
        <v>2</v>
      </c>
      <c r="X19" s="17">
        <f t="shared" si="11"/>
        <v>3</v>
      </c>
      <c r="Y19" s="17">
        <f t="shared" si="11"/>
        <v>35</v>
      </c>
      <c r="Z19" s="17">
        <f t="shared" si="11"/>
        <v>4</v>
      </c>
      <c r="AA19" s="17">
        <f t="shared" si="11"/>
        <v>8</v>
      </c>
      <c r="AB19" s="17">
        <f t="shared" si="11"/>
        <v>5</v>
      </c>
      <c r="AC19" s="17">
        <f t="shared" si="11"/>
        <v>640</v>
      </c>
      <c r="AD19" s="17">
        <f t="shared" si="11"/>
        <v>0</v>
      </c>
      <c r="AE19" s="31">
        <f t="shared" si="11"/>
        <v>457</v>
      </c>
      <c r="AF19" s="31">
        <f t="shared" si="11"/>
        <v>1097</v>
      </c>
    </row>
    <row r="20" spans="2:32" ht="23.1" customHeight="1" x14ac:dyDescent="0.25">
      <c r="B20" s="23" t="s">
        <v>47</v>
      </c>
      <c r="C20" s="50">
        <v>47</v>
      </c>
      <c r="D20" s="50">
        <v>9</v>
      </c>
      <c r="E20" s="50">
        <v>8</v>
      </c>
      <c r="F20" s="50">
        <v>26</v>
      </c>
      <c r="G20" s="50">
        <v>2</v>
      </c>
      <c r="H20" s="50">
        <v>1</v>
      </c>
      <c r="I20" s="50">
        <v>3</v>
      </c>
      <c r="J20" s="50">
        <v>1</v>
      </c>
      <c r="K20" s="50">
        <v>1</v>
      </c>
      <c r="L20" s="50">
        <v>1</v>
      </c>
      <c r="M20" s="50">
        <v>170</v>
      </c>
      <c r="N20" s="50">
        <v>0</v>
      </c>
      <c r="O20" s="15">
        <f t="shared" si="0"/>
        <v>99</v>
      </c>
      <c r="P20" s="15">
        <f t="shared" si="1"/>
        <v>269</v>
      </c>
      <c r="R20" s="1" t="s">
        <v>16</v>
      </c>
      <c r="S20" s="17">
        <f t="shared" ref="S20:AF20" si="12">SUM(C50:C53)</f>
        <v>177</v>
      </c>
      <c r="T20" s="17">
        <f t="shared" si="12"/>
        <v>19</v>
      </c>
      <c r="U20" s="17">
        <f t="shared" si="12"/>
        <v>18</v>
      </c>
      <c r="V20" s="17">
        <f t="shared" si="12"/>
        <v>130</v>
      </c>
      <c r="W20" s="17">
        <f t="shared" si="12"/>
        <v>7</v>
      </c>
      <c r="X20" s="17">
        <f t="shared" si="12"/>
        <v>3</v>
      </c>
      <c r="Y20" s="17">
        <f t="shared" si="12"/>
        <v>32</v>
      </c>
      <c r="Z20" s="17">
        <f t="shared" si="12"/>
        <v>1</v>
      </c>
      <c r="AA20" s="17">
        <f t="shared" si="12"/>
        <v>5</v>
      </c>
      <c r="AB20" s="17">
        <f t="shared" si="12"/>
        <v>7</v>
      </c>
      <c r="AC20" s="17">
        <f t="shared" si="12"/>
        <v>615</v>
      </c>
      <c r="AD20" s="17">
        <f t="shared" si="12"/>
        <v>0</v>
      </c>
      <c r="AE20" s="31">
        <f t="shared" si="12"/>
        <v>399</v>
      </c>
      <c r="AF20" s="31">
        <f t="shared" si="12"/>
        <v>1014</v>
      </c>
    </row>
    <row r="21" spans="2:32" ht="23.1" customHeight="1" x14ac:dyDescent="0.25">
      <c r="B21" s="23" t="s">
        <v>48</v>
      </c>
      <c r="C21" s="50">
        <v>38</v>
      </c>
      <c r="D21" s="50">
        <v>8</v>
      </c>
      <c r="E21" s="50">
        <v>9</v>
      </c>
      <c r="F21" s="50">
        <v>52</v>
      </c>
      <c r="G21" s="50">
        <v>0</v>
      </c>
      <c r="H21" s="50">
        <v>0</v>
      </c>
      <c r="I21" s="50">
        <v>8</v>
      </c>
      <c r="J21" s="50">
        <v>1</v>
      </c>
      <c r="K21" s="50">
        <v>2</v>
      </c>
      <c r="L21" s="50">
        <v>2</v>
      </c>
      <c r="M21" s="50">
        <v>150</v>
      </c>
      <c r="N21" s="50">
        <v>1</v>
      </c>
      <c r="O21" s="15">
        <f t="shared" si="0"/>
        <v>121</v>
      </c>
      <c r="P21" s="15">
        <f t="shared" si="1"/>
        <v>271</v>
      </c>
      <c r="R21" s="36" t="s">
        <v>20</v>
      </c>
      <c r="S21" s="34">
        <f t="shared" ref="S21:AF21" si="13">SUM(C54:C57)</f>
        <v>172</v>
      </c>
      <c r="T21" s="17">
        <f t="shared" si="13"/>
        <v>16</v>
      </c>
      <c r="U21" s="17">
        <f t="shared" si="13"/>
        <v>17</v>
      </c>
      <c r="V21" s="17">
        <f t="shared" si="13"/>
        <v>128</v>
      </c>
      <c r="W21" s="17">
        <f t="shared" si="13"/>
        <v>6</v>
      </c>
      <c r="X21" s="17">
        <f t="shared" si="13"/>
        <v>2</v>
      </c>
      <c r="Y21" s="17">
        <f t="shared" si="13"/>
        <v>30</v>
      </c>
      <c r="Z21" s="17">
        <f t="shared" si="13"/>
        <v>10</v>
      </c>
      <c r="AA21" s="17">
        <f t="shared" si="13"/>
        <v>4</v>
      </c>
      <c r="AB21" s="17">
        <f t="shared" si="13"/>
        <v>4</v>
      </c>
      <c r="AC21" s="17">
        <f t="shared" si="13"/>
        <v>560</v>
      </c>
      <c r="AD21" s="17">
        <f t="shared" si="13"/>
        <v>0</v>
      </c>
      <c r="AE21" s="31">
        <f t="shared" si="13"/>
        <v>389</v>
      </c>
      <c r="AF21" s="31">
        <f t="shared" si="13"/>
        <v>949</v>
      </c>
    </row>
    <row r="22" spans="2:32" ht="23.1" customHeight="1" x14ac:dyDescent="0.25">
      <c r="B22" s="23" t="s">
        <v>49</v>
      </c>
      <c r="C22" s="50">
        <v>27</v>
      </c>
      <c r="D22" s="50">
        <v>4</v>
      </c>
      <c r="E22" s="50">
        <v>8</v>
      </c>
      <c r="F22" s="50">
        <v>15</v>
      </c>
      <c r="G22" s="50">
        <v>0</v>
      </c>
      <c r="H22" s="50">
        <v>1</v>
      </c>
      <c r="I22" s="50">
        <v>7</v>
      </c>
      <c r="J22" s="50">
        <v>0</v>
      </c>
      <c r="K22" s="50">
        <v>0</v>
      </c>
      <c r="L22" s="50">
        <v>0</v>
      </c>
      <c r="M22" s="50">
        <v>100</v>
      </c>
      <c r="N22" s="50">
        <v>0</v>
      </c>
      <c r="O22" s="15">
        <f t="shared" si="0"/>
        <v>62</v>
      </c>
      <c r="P22" s="15">
        <f t="shared" si="1"/>
        <v>162</v>
      </c>
      <c r="R22" s="38" t="s">
        <v>90</v>
      </c>
      <c r="S22" s="39">
        <f>MAX(S10:S12)</f>
        <v>139</v>
      </c>
      <c r="T22" s="39">
        <f t="shared" ref="T22:AF22" si="14">MAX(T10:T12)</f>
        <v>22</v>
      </c>
      <c r="U22" s="39">
        <f t="shared" si="14"/>
        <v>26</v>
      </c>
      <c r="V22" s="39">
        <f t="shared" si="14"/>
        <v>129</v>
      </c>
      <c r="W22" s="39">
        <f t="shared" si="14"/>
        <v>6</v>
      </c>
      <c r="X22" s="39">
        <f t="shared" si="14"/>
        <v>3</v>
      </c>
      <c r="Y22" s="39">
        <f t="shared" si="14"/>
        <v>31</v>
      </c>
      <c r="Z22" s="39">
        <f t="shared" si="14"/>
        <v>12</v>
      </c>
      <c r="AA22" s="39">
        <f t="shared" si="14"/>
        <v>5</v>
      </c>
      <c r="AB22" s="39">
        <f t="shared" si="14"/>
        <v>8</v>
      </c>
      <c r="AC22" s="39">
        <f t="shared" si="14"/>
        <v>575</v>
      </c>
      <c r="AD22" s="39">
        <f t="shared" si="14"/>
        <v>1</v>
      </c>
      <c r="AE22" s="40">
        <f t="shared" si="14"/>
        <v>362</v>
      </c>
      <c r="AF22" s="40">
        <f t="shared" si="14"/>
        <v>937</v>
      </c>
    </row>
    <row r="23" spans="2:32" ht="23.1" customHeight="1" x14ac:dyDescent="0.25">
      <c r="B23" s="23" t="s">
        <v>50</v>
      </c>
      <c r="C23" s="50">
        <v>58</v>
      </c>
      <c r="D23" s="50">
        <v>13</v>
      </c>
      <c r="E23" s="50">
        <v>3</v>
      </c>
      <c r="F23" s="50">
        <v>33</v>
      </c>
      <c r="G23" s="50">
        <v>2</v>
      </c>
      <c r="H23" s="50">
        <v>0</v>
      </c>
      <c r="I23" s="50">
        <v>8</v>
      </c>
      <c r="J23" s="50">
        <v>1</v>
      </c>
      <c r="K23" s="50">
        <v>1</v>
      </c>
      <c r="L23" s="50">
        <v>0</v>
      </c>
      <c r="M23" s="50">
        <v>170</v>
      </c>
      <c r="N23" s="50">
        <v>0</v>
      </c>
      <c r="O23" s="15">
        <f t="shared" si="0"/>
        <v>119</v>
      </c>
      <c r="P23" s="15">
        <f t="shared" si="1"/>
        <v>289</v>
      </c>
      <c r="R23" s="38" t="s">
        <v>91</v>
      </c>
      <c r="S23" s="39">
        <f>MAX(S13:S18)</f>
        <v>252</v>
      </c>
      <c r="T23" s="39">
        <f t="shared" ref="T23:AF23" si="15">MAX(T13:T18)</f>
        <v>31</v>
      </c>
      <c r="U23" s="39">
        <f t="shared" si="15"/>
        <v>28</v>
      </c>
      <c r="V23" s="39">
        <f t="shared" si="15"/>
        <v>136</v>
      </c>
      <c r="W23" s="39">
        <f t="shared" si="15"/>
        <v>5</v>
      </c>
      <c r="X23" s="39">
        <f t="shared" si="15"/>
        <v>4</v>
      </c>
      <c r="Y23" s="39">
        <f t="shared" si="15"/>
        <v>36</v>
      </c>
      <c r="Z23" s="39">
        <f t="shared" si="15"/>
        <v>10</v>
      </c>
      <c r="AA23" s="39">
        <f t="shared" si="15"/>
        <v>6</v>
      </c>
      <c r="AB23" s="39">
        <f t="shared" si="15"/>
        <v>7</v>
      </c>
      <c r="AC23" s="39">
        <f t="shared" si="15"/>
        <v>800</v>
      </c>
      <c r="AD23" s="39">
        <f t="shared" si="15"/>
        <v>0</v>
      </c>
      <c r="AE23" s="40">
        <f t="shared" si="15"/>
        <v>446</v>
      </c>
      <c r="AF23" s="40">
        <f t="shared" si="15"/>
        <v>1202</v>
      </c>
    </row>
    <row r="24" spans="2:32" ht="23.1" customHeight="1" x14ac:dyDescent="0.25">
      <c r="B24" s="23" t="s">
        <v>51</v>
      </c>
      <c r="C24" s="50">
        <v>19</v>
      </c>
      <c r="D24" s="50">
        <v>3</v>
      </c>
      <c r="E24" s="50">
        <v>4</v>
      </c>
      <c r="F24" s="50">
        <v>20</v>
      </c>
      <c r="G24" s="50">
        <v>0</v>
      </c>
      <c r="H24" s="50">
        <v>0</v>
      </c>
      <c r="I24" s="50">
        <v>2</v>
      </c>
      <c r="J24" s="50">
        <v>2</v>
      </c>
      <c r="K24" s="50">
        <v>2</v>
      </c>
      <c r="L24" s="50">
        <v>2</v>
      </c>
      <c r="M24" s="50">
        <v>135</v>
      </c>
      <c r="N24" s="50">
        <v>0</v>
      </c>
      <c r="O24" s="15">
        <f t="shared" si="0"/>
        <v>54</v>
      </c>
      <c r="P24" s="15">
        <f t="shared" si="1"/>
        <v>189</v>
      </c>
      <c r="R24" s="38" t="s">
        <v>92</v>
      </c>
      <c r="S24" s="39">
        <f>MAX(S19:S21)</f>
        <v>226</v>
      </c>
      <c r="T24" s="39">
        <f t="shared" ref="T24:AF24" si="16">MAX(T19:T21)</f>
        <v>22</v>
      </c>
      <c r="U24" s="39">
        <f t="shared" si="16"/>
        <v>20</v>
      </c>
      <c r="V24" s="39">
        <f t="shared" si="16"/>
        <v>132</v>
      </c>
      <c r="W24" s="39">
        <f t="shared" si="16"/>
        <v>7</v>
      </c>
      <c r="X24" s="39">
        <f t="shared" si="16"/>
        <v>3</v>
      </c>
      <c r="Y24" s="39">
        <f t="shared" si="16"/>
        <v>35</v>
      </c>
      <c r="Z24" s="39">
        <f t="shared" si="16"/>
        <v>10</v>
      </c>
      <c r="AA24" s="39">
        <f t="shared" si="16"/>
        <v>8</v>
      </c>
      <c r="AB24" s="39">
        <f t="shared" si="16"/>
        <v>7</v>
      </c>
      <c r="AC24" s="39">
        <f t="shared" si="16"/>
        <v>640</v>
      </c>
      <c r="AD24" s="39">
        <f t="shared" si="16"/>
        <v>0</v>
      </c>
      <c r="AE24" s="40">
        <f t="shared" si="16"/>
        <v>457</v>
      </c>
      <c r="AF24" s="40">
        <f t="shared" si="16"/>
        <v>1097</v>
      </c>
    </row>
    <row r="25" spans="2:32" ht="23.1" customHeight="1" x14ac:dyDescent="0.25">
      <c r="B25" s="23" t="s">
        <v>52</v>
      </c>
      <c r="C25" s="50">
        <v>46</v>
      </c>
      <c r="D25" s="50">
        <v>10</v>
      </c>
      <c r="E25" s="50">
        <v>3</v>
      </c>
      <c r="F25" s="50">
        <v>27</v>
      </c>
      <c r="G25" s="50">
        <v>0</v>
      </c>
      <c r="H25" s="50">
        <v>0</v>
      </c>
      <c r="I25" s="50">
        <v>5</v>
      </c>
      <c r="J25" s="50">
        <v>1</v>
      </c>
      <c r="K25" s="50">
        <v>1</v>
      </c>
      <c r="L25" s="50">
        <v>2</v>
      </c>
      <c r="M25" s="50">
        <v>165</v>
      </c>
      <c r="N25" s="50">
        <v>0</v>
      </c>
      <c r="O25" s="15">
        <f t="shared" si="0"/>
        <v>95</v>
      </c>
      <c r="P25" s="15">
        <f t="shared" si="1"/>
        <v>260</v>
      </c>
      <c r="R25" s="37" t="s">
        <v>85</v>
      </c>
      <c r="S25" s="35">
        <f t="shared" ref="S25:AF25" si="17">SUM(S10:S12)</f>
        <v>320</v>
      </c>
      <c r="T25" s="16">
        <f t="shared" si="17"/>
        <v>46</v>
      </c>
      <c r="U25" s="16">
        <f t="shared" si="17"/>
        <v>52</v>
      </c>
      <c r="V25" s="16">
        <f t="shared" si="17"/>
        <v>333</v>
      </c>
      <c r="W25" s="16">
        <f t="shared" si="17"/>
        <v>12</v>
      </c>
      <c r="X25" s="16">
        <f t="shared" si="17"/>
        <v>8</v>
      </c>
      <c r="Y25" s="16">
        <f t="shared" si="17"/>
        <v>78</v>
      </c>
      <c r="Z25" s="16">
        <f t="shared" si="17"/>
        <v>26</v>
      </c>
      <c r="AA25" s="16">
        <f t="shared" si="17"/>
        <v>13</v>
      </c>
      <c r="AB25" s="16">
        <f t="shared" si="17"/>
        <v>16</v>
      </c>
      <c r="AC25" s="16">
        <f t="shared" si="17"/>
        <v>1190</v>
      </c>
      <c r="AD25" s="16">
        <f t="shared" si="17"/>
        <v>1</v>
      </c>
      <c r="AE25" s="32">
        <f t="shared" si="17"/>
        <v>905</v>
      </c>
      <c r="AF25" s="32">
        <f t="shared" si="17"/>
        <v>2095</v>
      </c>
    </row>
    <row r="26" spans="2:32" ht="23.1" customHeight="1" x14ac:dyDescent="0.25">
      <c r="B26" s="23" t="s">
        <v>53</v>
      </c>
      <c r="C26" s="50">
        <v>35</v>
      </c>
      <c r="D26" s="50">
        <v>2</v>
      </c>
      <c r="E26" s="50">
        <v>8</v>
      </c>
      <c r="F26" s="50">
        <v>28</v>
      </c>
      <c r="G26" s="50">
        <v>1</v>
      </c>
      <c r="H26" s="50">
        <v>0</v>
      </c>
      <c r="I26" s="50">
        <v>7</v>
      </c>
      <c r="J26" s="50">
        <v>0</v>
      </c>
      <c r="K26" s="50">
        <v>0</v>
      </c>
      <c r="L26" s="50">
        <v>2</v>
      </c>
      <c r="M26" s="50">
        <v>195</v>
      </c>
      <c r="N26" s="50">
        <v>0</v>
      </c>
      <c r="O26" s="15">
        <f t="shared" si="0"/>
        <v>83</v>
      </c>
      <c r="P26" s="15">
        <f t="shared" si="1"/>
        <v>278</v>
      </c>
      <c r="R26" s="28" t="s">
        <v>86</v>
      </c>
      <c r="S26" s="16">
        <f t="shared" ref="S26:AF26" si="18">SUM(S13:S18)</f>
        <v>1145</v>
      </c>
      <c r="T26" s="16">
        <f t="shared" si="18"/>
        <v>159</v>
      </c>
      <c r="U26" s="16">
        <f t="shared" si="18"/>
        <v>139</v>
      </c>
      <c r="V26" s="16">
        <f t="shared" si="18"/>
        <v>682</v>
      </c>
      <c r="W26" s="16">
        <f t="shared" si="18"/>
        <v>19</v>
      </c>
      <c r="X26" s="16">
        <f t="shared" si="18"/>
        <v>10</v>
      </c>
      <c r="Y26" s="16">
        <f t="shared" si="18"/>
        <v>176</v>
      </c>
      <c r="Z26" s="16">
        <f t="shared" si="18"/>
        <v>29</v>
      </c>
      <c r="AA26" s="16">
        <f t="shared" si="18"/>
        <v>20</v>
      </c>
      <c r="AB26" s="16">
        <f t="shared" si="18"/>
        <v>31</v>
      </c>
      <c r="AC26" s="16">
        <f t="shared" si="18"/>
        <v>3524</v>
      </c>
      <c r="AD26" s="16">
        <f t="shared" si="18"/>
        <v>0</v>
      </c>
      <c r="AE26" s="32">
        <f t="shared" si="18"/>
        <v>2410</v>
      </c>
      <c r="AF26" s="32">
        <f t="shared" si="18"/>
        <v>5934</v>
      </c>
    </row>
    <row r="27" spans="2:32" ht="23.1" customHeight="1" x14ac:dyDescent="0.25">
      <c r="B27" s="23" t="s">
        <v>54</v>
      </c>
      <c r="C27" s="50">
        <v>54</v>
      </c>
      <c r="D27" s="50">
        <v>4</v>
      </c>
      <c r="E27" s="50">
        <v>9</v>
      </c>
      <c r="F27" s="50">
        <v>41</v>
      </c>
      <c r="G27" s="50">
        <v>0</v>
      </c>
      <c r="H27" s="50">
        <v>0</v>
      </c>
      <c r="I27" s="50">
        <v>10</v>
      </c>
      <c r="J27" s="50">
        <v>3</v>
      </c>
      <c r="K27" s="50">
        <v>0</v>
      </c>
      <c r="L27" s="50">
        <v>1</v>
      </c>
      <c r="M27" s="50">
        <v>215</v>
      </c>
      <c r="N27" s="50">
        <v>0</v>
      </c>
      <c r="O27" s="15">
        <f t="shared" si="0"/>
        <v>122</v>
      </c>
      <c r="P27" s="15">
        <f t="shared" si="1"/>
        <v>337</v>
      </c>
      <c r="R27" s="29" t="s">
        <v>87</v>
      </c>
      <c r="S27" s="16">
        <f t="shared" ref="S27:AF27" si="19">SUM(S19:S21)</f>
        <v>575</v>
      </c>
      <c r="T27" s="16">
        <f t="shared" si="19"/>
        <v>57</v>
      </c>
      <c r="U27" s="16">
        <f t="shared" si="19"/>
        <v>55</v>
      </c>
      <c r="V27" s="16">
        <f t="shared" si="19"/>
        <v>390</v>
      </c>
      <c r="W27" s="16">
        <f t="shared" si="19"/>
        <v>15</v>
      </c>
      <c r="X27" s="16">
        <f t="shared" si="19"/>
        <v>8</v>
      </c>
      <c r="Y27" s="16">
        <f t="shared" si="19"/>
        <v>97</v>
      </c>
      <c r="Z27" s="16">
        <f t="shared" si="19"/>
        <v>15</v>
      </c>
      <c r="AA27" s="16">
        <f t="shared" si="19"/>
        <v>17</v>
      </c>
      <c r="AB27" s="16">
        <f t="shared" si="19"/>
        <v>16</v>
      </c>
      <c r="AC27" s="16">
        <f t="shared" si="19"/>
        <v>1815</v>
      </c>
      <c r="AD27" s="16">
        <f t="shared" si="19"/>
        <v>0</v>
      </c>
      <c r="AE27" s="32">
        <f t="shared" si="19"/>
        <v>1245</v>
      </c>
      <c r="AF27" s="32">
        <f t="shared" si="19"/>
        <v>3060</v>
      </c>
    </row>
    <row r="28" spans="2:32" ht="23.1" customHeight="1" x14ac:dyDescent="0.25">
      <c r="B28" s="23" t="s">
        <v>55</v>
      </c>
      <c r="C28" s="50">
        <v>45</v>
      </c>
      <c r="D28" s="50">
        <v>10</v>
      </c>
      <c r="E28" s="50">
        <v>4</v>
      </c>
      <c r="F28" s="50">
        <v>40</v>
      </c>
      <c r="G28" s="50">
        <v>1</v>
      </c>
      <c r="H28" s="50">
        <v>1</v>
      </c>
      <c r="I28" s="50">
        <v>9</v>
      </c>
      <c r="J28" s="50">
        <v>2</v>
      </c>
      <c r="K28" s="50">
        <v>2</v>
      </c>
      <c r="L28" s="50">
        <v>4</v>
      </c>
      <c r="M28" s="50">
        <v>175</v>
      </c>
      <c r="N28" s="50">
        <v>0</v>
      </c>
      <c r="O28" s="15">
        <f t="shared" si="0"/>
        <v>118</v>
      </c>
      <c r="P28" s="15">
        <f t="shared" si="1"/>
        <v>293</v>
      </c>
      <c r="R28" s="5" t="s">
        <v>17</v>
      </c>
      <c r="S28" s="16">
        <f t="shared" ref="S28:AF28" si="20">SUM(S10:S21)</f>
        <v>2040</v>
      </c>
      <c r="T28" s="16">
        <f t="shared" si="20"/>
        <v>262</v>
      </c>
      <c r="U28" s="16">
        <f t="shared" si="20"/>
        <v>246</v>
      </c>
      <c r="V28" s="16">
        <f t="shared" si="20"/>
        <v>1405</v>
      </c>
      <c r="W28" s="16">
        <f t="shared" si="20"/>
        <v>46</v>
      </c>
      <c r="X28" s="16">
        <f t="shared" si="20"/>
        <v>26</v>
      </c>
      <c r="Y28" s="16">
        <f t="shared" si="20"/>
        <v>351</v>
      </c>
      <c r="Z28" s="16">
        <f t="shared" si="20"/>
        <v>70</v>
      </c>
      <c r="AA28" s="16">
        <f t="shared" si="20"/>
        <v>50</v>
      </c>
      <c r="AB28" s="16">
        <f t="shared" si="20"/>
        <v>63</v>
      </c>
      <c r="AC28" s="16">
        <f t="shared" si="20"/>
        <v>6529</v>
      </c>
      <c r="AD28" s="16">
        <f t="shared" si="20"/>
        <v>1</v>
      </c>
      <c r="AE28" s="32">
        <f t="shared" si="20"/>
        <v>4560</v>
      </c>
      <c r="AF28" s="32">
        <f t="shared" si="20"/>
        <v>11089</v>
      </c>
    </row>
    <row r="29" spans="2:32" ht="23.1" customHeight="1" x14ac:dyDescent="0.25">
      <c r="B29" s="23" t="s">
        <v>56</v>
      </c>
      <c r="C29" s="50">
        <v>41</v>
      </c>
      <c r="D29" s="50">
        <v>5</v>
      </c>
      <c r="E29" s="50">
        <v>2</v>
      </c>
      <c r="F29" s="50">
        <v>24</v>
      </c>
      <c r="G29" s="50">
        <v>1</v>
      </c>
      <c r="H29" s="50">
        <v>0</v>
      </c>
      <c r="I29" s="50">
        <v>5</v>
      </c>
      <c r="J29" s="50">
        <v>1</v>
      </c>
      <c r="K29" s="50">
        <v>0</v>
      </c>
      <c r="L29" s="50">
        <v>0</v>
      </c>
      <c r="M29" s="50">
        <v>215</v>
      </c>
      <c r="N29" s="50">
        <v>0</v>
      </c>
      <c r="O29" s="15">
        <f t="shared" si="0"/>
        <v>79</v>
      </c>
      <c r="P29" s="15">
        <f t="shared" si="1"/>
        <v>294</v>
      </c>
      <c r="R29"/>
      <c r="S29" s="20"/>
      <c r="T29" s="19"/>
    </row>
    <row r="30" spans="2:32" ht="23.1" customHeight="1" x14ac:dyDescent="0.25">
      <c r="B30" s="23" t="s">
        <v>57</v>
      </c>
      <c r="C30" s="50">
        <v>35</v>
      </c>
      <c r="D30" s="50">
        <v>4</v>
      </c>
      <c r="E30" s="50">
        <v>5</v>
      </c>
      <c r="F30" s="50">
        <v>26</v>
      </c>
      <c r="G30" s="50">
        <v>1</v>
      </c>
      <c r="H30" s="50">
        <v>2</v>
      </c>
      <c r="I30" s="50">
        <v>13</v>
      </c>
      <c r="J30" s="50">
        <v>0</v>
      </c>
      <c r="K30" s="50">
        <v>0</v>
      </c>
      <c r="L30" s="50">
        <v>0</v>
      </c>
      <c r="M30" s="50">
        <v>135</v>
      </c>
      <c r="N30" s="50">
        <v>0</v>
      </c>
      <c r="O30" s="15">
        <f t="shared" si="0"/>
        <v>86</v>
      </c>
      <c r="P30" s="15">
        <f t="shared" si="1"/>
        <v>221</v>
      </c>
    </row>
    <row r="31" spans="2:32" ht="23.1" customHeight="1" x14ac:dyDescent="0.25">
      <c r="B31" s="24" t="s">
        <v>58</v>
      </c>
      <c r="C31" s="50">
        <v>50</v>
      </c>
      <c r="D31" s="50">
        <v>10</v>
      </c>
      <c r="E31" s="50">
        <v>2</v>
      </c>
      <c r="F31" s="50">
        <v>44</v>
      </c>
      <c r="G31" s="50">
        <v>1</v>
      </c>
      <c r="H31" s="50">
        <v>2</v>
      </c>
      <c r="I31" s="50">
        <v>8</v>
      </c>
      <c r="J31" s="50">
        <v>4</v>
      </c>
      <c r="K31" s="50">
        <v>1</v>
      </c>
      <c r="L31" s="50">
        <v>1</v>
      </c>
      <c r="M31" s="50">
        <v>175</v>
      </c>
      <c r="N31" s="50">
        <v>0</v>
      </c>
      <c r="O31" s="15">
        <f t="shared" si="0"/>
        <v>123</v>
      </c>
      <c r="P31" s="15">
        <f t="shared" si="1"/>
        <v>298</v>
      </c>
    </row>
    <row r="32" spans="2:32" ht="23.1" customHeight="1" x14ac:dyDescent="0.25">
      <c r="B32" s="24" t="s">
        <v>59</v>
      </c>
      <c r="C32" s="50">
        <v>36</v>
      </c>
      <c r="D32" s="50">
        <v>5</v>
      </c>
      <c r="E32" s="50">
        <v>4</v>
      </c>
      <c r="F32" s="50">
        <v>34</v>
      </c>
      <c r="G32" s="50">
        <v>0</v>
      </c>
      <c r="H32" s="50">
        <v>0</v>
      </c>
      <c r="I32" s="50">
        <v>7</v>
      </c>
      <c r="J32" s="50">
        <v>1</v>
      </c>
      <c r="K32" s="50">
        <v>0</v>
      </c>
      <c r="L32" s="50">
        <v>1</v>
      </c>
      <c r="M32" s="50">
        <v>73</v>
      </c>
      <c r="N32" s="50">
        <v>0</v>
      </c>
      <c r="O32" s="15">
        <f t="shared" si="0"/>
        <v>88</v>
      </c>
      <c r="P32" s="15">
        <f t="shared" si="1"/>
        <v>161</v>
      </c>
    </row>
    <row r="33" spans="2:20" ht="23.1" customHeight="1" x14ac:dyDescent="0.25">
      <c r="B33" s="23" t="s">
        <v>60</v>
      </c>
      <c r="C33" s="50">
        <v>52</v>
      </c>
      <c r="D33" s="50">
        <v>6</v>
      </c>
      <c r="E33" s="50">
        <v>7</v>
      </c>
      <c r="F33" s="50">
        <v>32</v>
      </c>
      <c r="G33" s="50">
        <v>1</v>
      </c>
      <c r="H33" s="50">
        <v>0</v>
      </c>
      <c r="I33" s="50">
        <v>8</v>
      </c>
      <c r="J33" s="50">
        <v>2</v>
      </c>
      <c r="K33" s="50">
        <v>0</v>
      </c>
      <c r="L33" s="50">
        <v>1</v>
      </c>
      <c r="M33" s="50">
        <v>116</v>
      </c>
      <c r="N33" s="50">
        <v>0</v>
      </c>
      <c r="O33" s="15">
        <f t="shared" si="0"/>
        <v>109</v>
      </c>
      <c r="P33" s="15">
        <f t="shared" si="1"/>
        <v>225</v>
      </c>
    </row>
    <row r="34" spans="2:20" ht="23.1" customHeight="1" x14ac:dyDescent="0.25">
      <c r="B34" s="24" t="s">
        <v>61</v>
      </c>
      <c r="C34" s="50">
        <v>67</v>
      </c>
      <c r="D34" s="50">
        <v>7</v>
      </c>
      <c r="E34" s="50">
        <v>8</v>
      </c>
      <c r="F34" s="50">
        <v>28</v>
      </c>
      <c r="G34" s="50">
        <v>1</v>
      </c>
      <c r="H34" s="50">
        <v>0</v>
      </c>
      <c r="I34" s="50">
        <v>5</v>
      </c>
      <c r="J34" s="50">
        <v>5</v>
      </c>
      <c r="K34" s="50">
        <v>0</v>
      </c>
      <c r="L34" s="50">
        <v>3</v>
      </c>
      <c r="M34" s="50">
        <v>195</v>
      </c>
      <c r="N34" s="50">
        <v>0</v>
      </c>
      <c r="O34" s="15">
        <f t="shared" si="0"/>
        <v>124</v>
      </c>
      <c r="P34" s="15">
        <f t="shared" si="1"/>
        <v>319</v>
      </c>
    </row>
    <row r="35" spans="2:20" ht="23.1" customHeight="1" x14ac:dyDescent="0.25">
      <c r="B35" s="24" t="s">
        <v>62</v>
      </c>
      <c r="C35" s="50">
        <v>70</v>
      </c>
      <c r="D35" s="50">
        <v>11</v>
      </c>
      <c r="E35" s="50">
        <v>8</v>
      </c>
      <c r="F35" s="50">
        <v>28</v>
      </c>
      <c r="G35" s="50">
        <v>2</v>
      </c>
      <c r="H35" s="50">
        <v>0</v>
      </c>
      <c r="I35" s="50">
        <v>4</v>
      </c>
      <c r="J35" s="50">
        <v>4</v>
      </c>
      <c r="K35" s="50">
        <v>1</v>
      </c>
      <c r="L35" s="50">
        <v>2</v>
      </c>
      <c r="M35" s="50">
        <v>80</v>
      </c>
      <c r="N35" s="50">
        <v>0</v>
      </c>
      <c r="O35" s="15">
        <f t="shared" si="0"/>
        <v>130</v>
      </c>
      <c r="P35" s="15">
        <f t="shared" si="1"/>
        <v>210</v>
      </c>
    </row>
    <row r="36" spans="2:20" ht="23.1" customHeight="1" x14ac:dyDescent="0.25">
      <c r="B36" s="24" t="s">
        <v>63</v>
      </c>
      <c r="C36" s="50">
        <v>57</v>
      </c>
      <c r="D36" s="50">
        <v>4</v>
      </c>
      <c r="E36" s="50">
        <v>9</v>
      </c>
      <c r="F36" s="50">
        <v>27</v>
      </c>
      <c r="G36" s="50">
        <v>1</v>
      </c>
      <c r="H36" s="50">
        <v>1</v>
      </c>
      <c r="I36" s="50">
        <v>6</v>
      </c>
      <c r="J36" s="50">
        <v>1</v>
      </c>
      <c r="K36" s="50">
        <v>0</v>
      </c>
      <c r="L36" s="50">
        <v>1</v>
      </c>
      <c r="M36" s="50">
        <v>170</v>
      </c>
      <c r="N36" s="50">
        <v>0</v>
      </c>
      <c r="O36" s="15">
        <f t="shared" si="0"/>
        <v>107</v>
      </c>
      <c r="P36" s="15">
        <f t="shared" si="1"/>
        <v>277</v>
      </c>
    </row>
    <row r="37" spans="2:20" ht="23.1" customHeight="1" x14ac:dyDescent="0.25">
      <c r="B37" s="23" t="s">
        <v>64</v>
      </c>
      <c r="C37" s="50">
        <v>58</v>
      </c>
      <c r="D37" s="50">
        <v>9</v>
      </c>
      <c r="E37" s="50">
        <v>3</v>
      </c>
      <c r="F37" s="50">
        <v>10</v>
      </c>
      <c r="G37" s="50">
        <v>0</v>
      </c>
      <c r="H37" s="50">
        <v>1</v>
      </c>
      <c r="I37" s="50">
        <v>3</v>
      </c>
      <c r="J37" s="50">
        <v>0</v>
      </c>
      <c r="K37" s="50">
        <v>0</v>
      </c>
      <c r="L37" s="50">
        <v>1</v>
      </c>
      <c r="M37" s="50">
        <v>75</v>
      </c>
      <c r="N37" s="50">
        <v>0</v>
      </c>
      <c r="O37" s="15">
        <f t="shared" si="0"/>
        <v>85</v>
      </c>
      <c r="P37" s="15">
        <f t="shared" si="1"/>
        <v>160</v>
      </c>
    </row>
    <row r="38" spans="2:20" ht="23.1" customHeight="1" x14ac:dyDescent="0.25">
      <c r="B38" s="24" t="s">
        <v>65</v>
      </c>
      <c r="C38" s="50">
        <v>58</v>
      </c>
      <c r="D38" s="50">
        <v>7</v>
      </c>
      <c r="E38" s="50">
        <v>10</v>
      </c>
      <c r="F38" s="50">
        <v>29</v>
      </c>
      <c r="G38" s="50">
        <v>2</v>
      </c>
      <c r="H38" s="50">
        <v>0</v>
      </c>
      <c r="I38" s="50">
        <v>10</v>
      </c>
      <c r="J38" s="50">
        <v>0</v>
      </c>
      <c r="K38" s="50">
        <v>0</v>
      </c>
      <c r="L38" s="50">
        <v>0</v>
      </c>
      <c r="M38" s="50">
        <v>125</v>
      </c>
      <c r="N38" s="50">
        <v>0</v>
      </c>
      <c r="O38" s="15">
        <f t="shared" si="0"/>
        <v>116</v>
      </c>
      <c r="P38" s="15">
        <f t="shared" si="1"/>
        <v>241</v>
      </c>
    </row>
    <row r="39" spans="2:20" ht="23.1" customHeight="1" x14ac:dyDescent="0.25">
      <c r="B39" s="24" t="s">
        <v>66</v>
      </c>
      <c r="C39" s="50">
        <v>56</v>
      </c>
      <c r="D39" s="50">
        <v>12</v>
      </c>
      <c r="E39" s="50">
        <v>7</v>
      </c>
      <c r="F39" s="50">
        <v>34</v>
      </c>
      <c r="G39" s="50">
        <v>0</v>
      </c>
      <c r="H39" s="50">
        <v>0</v>
      </c>
      <c r="I39" s="50">
        <v>14</v>
      </c>
      <c r="J39" s="50">
        <v>0</v>
      </c>
      <c r="K39" s="50">
        <v>4</v>
      </c>
      <c r="L39" s="50">
        <v>0</v>
      </c>
      <c r="M39" s="50">
        <v>170</v>
      </c>
      <c r="N39" s="50">
        <v>0</v>
      </c>
      <c r="O39" s="15">
        <f t="shared" si="0"/>
        <v>127</v>
      </c>
      <c r="P39" s="15">
        <f t="shared" si="1"/>
        <v>297</v>
      </c>
    </row>
    <row r="40" spans="2:20" ht="23.1" customHeight="1" x14ac:dyDescent="0.25">
      <c r="B40" s="24" t="s">
        <v>67</v>
      </c>
      <c r="C40" s="50">
        <v>25</v>
      </c>
      <c r="D40" s="50">
        <v>2</v>
      </c>
      <c r="E40" s="50">
        <v>2</v>
      </c>
      <c r="F40" s="50">
        <v>18</v>
      </c>
      <c r="G40" s="50">
        <v>0</v>
      </c>
      <c r="H40" s="50">
        <v>0</v>
      </c>
      <c r="I40" s="50">
        <v>3</v>
      </c>
      <c r="J40" s="50">
        <v>0</v>
      </c>
      <c r="K40" s="50">
        <v>1</v>
      </c>
      <c r="L40" s="50">
        <v>3</v>
      </c>
      <c r="M40" s="50">
        <v>75</v>
      </c>
      <c r="N40" s="50">
        <v>0</v>
      </c>
      <c r="O40" s="15">
        <f t="shared" si="0"/>
        <v>54</v>
      </c>
      <c r="P40" s="15">
        <f t="shared" si="1"/>
        <v>129</v>
      </c>
    </row>
    <row r="41" spans="2:20" ht="23.1" customHeight="1" x14ac:dyDescent="0.25">
      <c r="B41" s="23" t="s">
        <v>68</v>
      </c>
      <c r="C41" s="50">
        <v>69</v>
      </c>
      <c r="D41" s="50">
        <v>3</v>
      </c>
      <c r="E41" s="50">
        <v>9</v>
      </c>
      <c r="F41" s="50">
        <v>22</v>
      </c>
      <c r="G41" s="50">
        <v>3</v>
      </c>
      <c r="H41" s="50">
        <v>1</v>
      </c>
      <c r="I41" s="50">
        <v>7</v>
      </c>
      <c r="J41" s="50">
        <v>0</v>
      </c>
      <c r="K41" s="50">
        <v>1</v>
      </c>
      <c r="L41" s="50">
        <v>3</v>
      </c>
      <c r="M41" s="50">
        <v>160</v>
      </c>
      <c r="N41" s="50">
        <v>0</v>
      </c>
      <c r="O41" s="15">
        <f t="shared" si="0"/>
        <v>118</v>
      </c>
      <c r="P41" s="15">
        <f t="shared" si="1"/>
        <v>278</v>
      </c>
    </row>
    <row r="42" spans="2:20" ht="23.1" customHeight="1" x14ac:dyDescent="0.25">
      <c r="B42" s="24" t="s">
        <v>69</v>
      </c>
      <c r="C42" s="50">
        <v>44</v>
      </c>
      <c r="D42" s="50">
        <v>9</v>
      </c>
      <c r="E42" s="50">
        <v>6</v>
      </c>
      <c r="F42" s="50">
        <v>32</v>
      </c>
      <c r="G42" s="50">
        <v>1</v>
      </c>
      <c r="H42" s="50">
        <v>0</v>
      </c>
      <c r="I42" s="50">
        <v>10</v>
      </c>
      <c r="J42" s="50">
        <v>0</v>
      </c>
      <c r="K42" s="50">
        <v>2</v>
      </c>
      <c r="L42" s="50">
        <v>2</v>
      </c>
      <c r="M42" s="50">
        <v>165</v>
      </c>
      <c r="N42" s="50">
        <v>0</v>
      </c>
      <c r="O42" s="15">
        <f t="shared" si="0"/>
        <v>106</v>
      </c>
      <c r="P42" s="15">
        <f t="shared" si="1"/>
        <v>271</v>
      </c>
    </row>
    <row r="43" spans="2:20" ht="23.1" customHeight="1" x14ac:dyDescent="0.25">
      <c r="B43" s="23" t="s">
        <v>70</v>
      </c>
      <c r="C43" s="50">
        <v>27</v>
      </c>
      <c r="D43" s="50">
        <v>5</v>
      </c>
      <c r="E43" s="50">
        <v>0</v>
      </c>
      <c r="F43" s="50">
        <v>14</v>
      </c>
      <c r="G43" s="50">
        <v>0</v>
      </c>
      <c r="H43" s="50">
        <v>0</v>
      </c>
      <c r="I43" s="50">
        <v>7</v>
      </c>
      <c r="J43" s="50">
        <v>0</v>
      </c>
      <c r="K43" s="50">
        <v>1</v>
      </c>
      <c r="L43" s="50">
        <v>1</v>
      </c>
      <c r="M43" s="50">
        <v>155</v>
      </c>
      <c r="N43" s="50">
        <v>0</v>
      </c>
      <c r="O43" s="15">
        <f t="shared" si="0"/>
        <v>55</v>
      </c>
      <c r="P43" s="15">
        <f t="shared" si="1"/>
        <v>210</v>
      </c>
    </row>
    <row r="44" spans="2:20" ht="23.1" customHeight="1" x14ac:dyDescent="0.25">
      <c r="B44" s="25" t="s">
        <v>71</v>
      </c>
      <c r="C44" s="50">
        <v>71</v>
      </c>
      <c r="D44" s="50">
        <v>8</v>
      </c>
      <c r="E44" s="50">
        <v>11</v>
      </c>
      <c r="F44" s="50">
        <v>46</v>
      </c>
      <c r="G44" s="50">
        <v>1</v>
      </c>
      <c r="H44" s="50">
        <v>0</v>
      </c>
      <c r="I44" s="50">
        <v>10</v>
      </c>
      <c r="J44" s="50">
        <v>1</v>
      </c>
      <c r="K44" s="50">
        <v>2</v>
      </c>
      <c r="L44" s="50">
        <v>1</v>
      </c>
      <c r="M44" s="50">
        <v>175</v>
      </c>
      <c r="N44" s="50">
        <v>0</v>
      </c>
      <c r="O44" s="15">
        <f t="shared" si="0"/>
        <v>151</v>
      </c>
      <c r="P44" s="15">
        <f t="shared" si="1"/>
        <v>326</v>
      </c>
    </row>
    <row r="45" spans="2:20" ht="23.1" customHeight="1" x14ac:dyDescent="0.25">
      <c r="B45" s="23" t="s">
        <v>72</v>
      </c>
      <c r="C45" s="50">
        <v>45</v>
      </c>
      <c r="D45" s="50">
        <v>6</v>
      </c>
      <c r="E45" s="50">
        <v>7</v>
      </c>
      <c r="F45" s="50">
        <v>30</v>
      </c>
      <c r="G45" s="50">
        <v>0</v>
      </c>
      <c r="H45" s="50">
        <v>1</v>
      </c>
      <c r="I45" s="50">
        <v>8</v>
      </c>
      <c r="J45" s="50">
        <v>1</v>
      </c>
      <c r="K45" s="50">
        <v>1</v>
      </c>
      <c r="L45" s="50">
        <v>0</v>
      </c>
      <c r="M45" s="50">
        <v>110</v>
      </c>
      <c r="N45" s="50">
        <v>0</v>
      </c>
      <c r="O45" s="15">
        <f t="shared" si="0"/>
        <v>99</v>
      </c>
      <c r="P45" s="15">
        <f t="shared" si="1"/>
        <v>209</v>
      </c>
    </row>
    <row r="46" spans="2:20" ht="23.1" customHeight="1" x14ac:dyDescent="0.25">
      <c r="B46" s="24" t="s">
        <v>73</v>
      </c>
      <c r="C46" s="50">
        <v>68</v>
      </c>
      <c r="D46" s="50">
        <v>8</v>
      </c>
      <c r="E46" s="50">
        <v>4</v>
      </c>
      <c r="F46" s="50">
        <v>50</v>
      </c>
      <c r="G46" s="50">
        <v>1</v>
      </c>
      <c r="H46" s="50">
        <v>0</v>
      </c>
      <c r="I46" s="50">
        <v>8</v>
      </c>
      <c r="J46" s="50">
        <v>0</v>
      </c>
      <c r="K46" s="50">
        <v>0</v>
      </c>
      <c r="L46" s="50">
        <v>3</v>
      </c>
      <c r="M46" s="50">
        <v>180</v>
      </c>
      <c r="N46" s="50">
        <v>0</v>
      </c>
      <c r="O46" s="15">
        <f t="shared" si="0"/>
        <v>142</v>
      </c>
      <c r="P46" s="15">
        <f t="shared" si="1"/>
        <v>322</v>
      </c>
      <c r="R46" s="8"/>
      <c r="T46"/>
    </row>
    <row r="47" spans="2:20" ht="23.1" customHeight="1" x14ac:dyDescent="0.25">
      <c r="B47" s="24" t="s">
        <v>74</v>
      </c>
      <c r="C47" s="50">
        <v>70</v>
      </c>
      <c r="D47" s="50">
        <v>2</v>
      </c>
      <c r="E47" s="50">
        <v>4</v>
      </c>
      <c r="F47" s="50">
        <v>30</v>
      </c>
      <c r="G47" s="50">
        <v>1</v>
      </c>
      <c r="H47" s="50">
        <v>1</v>
      </c>
      <c r="I47" s="50">
        <v>13</v>
      </c>
      <c r="J47" s="50">
        <v>2</v>
      </c>
      <c r="K47" s="50">
        <v>1</v>
      </c>
      <c r="L47" s="50">
        <v>0</v>
      </c>
      <c r="M47" s="50">
        <v>135</v>
      </c>
      <c r="N47" s="50">
        <v>0</v>
      </c>
      <c r="O47" s="15">
        <f t="shared" si="0"/>
        <v>124</v>
      </c>
      <c r="P47" s="15">
        <f t="shared" si="1"/>
        <v>259</v>
      </c>
      <c r="R47" s="8"/>
      <c r="T47"/>
    </row>
    <row r="48" spans="2:20" ht="23.1" customHeight="1" x14ac:dyDescent="0.25">
      <c r="B48" s="24" t="s">
        <v>75</v>
      </c>
      <c r="C48" s="50">
        <v>50</v>
      </c>
      <c r="D48" s="50">
        <v>10</v>
      </c>
      <c r="E48" s="50">
        <v>7</v>
      </c>
      <c r="F48" s="50">
        <v>25</v>
      </c>
      <c r="G48" s="50">
        <v>0</v>
      </c>
      <c r="H48" s="50">
        <v>2</v>
      </c>
      <c r="I48" s="50">
        <v>9</v>
      </c>
      <c r="J48" s="50">
        <v>1</v>
      </c>
      <c r="K48" s="50">
        <v>1</v>
      </c>
      <c r="L48" s="50">
        <v>1</v>
      </c>
      <c r="M48" s="50">
        <v>170</v>
      </c>
      <c r="N48" s="50">
        <v>0</v>
      </c>
      <c r="O48" s="15">
        <f t="shared" si="0"/>
        <v>106</v>
      </c>
      <c r="P48" s="15">
        <f t="shared" si="1"/>
        <v>276</v>
      </c>
      <c r="R48" s="8"/>
      <c r="T48"/>
    </row>
    <row r="49" spans="2:20" ht="23.1" customHeight="1" x14ac:dyDescent="0.25">
      <c r="B49" s="23" t="s">
        <v>76</v>
      </c>
      <c r="C49" s="50">
        <v>38</v>
      </c>
      <c r="D49" s="50">
        <v>2</v>
      </c>
      <c r="E49" s="50">
        <v>5</v>
      </c>
      <c r="F49" s="50">
        <v>27</v>
      </c>
      <c r="G49" s="50">
        <v>0</v>
      </c>
      <c r="H49" s="50">
        <v>0</v>
      </c>
      <c r="I49" s="50">
        <v>5</v>
      </c>
      <c r="J49" s="50">
        <v>1</v>
      </c>
      <c r="K49" s="50">
        <v>6</v>
      </c>
      <c r="L49" s="50">
        <v>1</v>
      </c>
      <c r="M49" s="50">
        <v>155</v>
      </c>
      <c r="N49" s="50">
        <v>0</v>
      </c>
      <c r="O49" s="15">
        <f t="shared" si="0"/>
        <v>85</v>
      </c>
      <c r="P49" s="15">
        <f t="shared" si="1"/>
        <v>240</v>
      </c>
      <c r="R49" s="8"/>
      <c r="T49"/>
    </row>
    <row r="50" spans="2:20" ht="23.1" customHeight="1" x14ac:dyDescent="0.25">
      <c r="B50" s="24" t="s">
        <v>77</v>
      </c>
      <c r="C50" s="50">
        <v>52</v>
      </c>
      <c r="D50" s="50">
        <v>3</v>
      </c>
      <c r="E50" s="50">
        <v>4</v>
      </c>
      <c r="F50" s="50">
        <v>34</v>
      </c>
      <c r="G50" s="50">
        <v>2</v>
      </c>
      <c r="H50" s="50">
        <v>0</v>
      </c>
      <c r="I50" s="50">
        <v>8</v>
      </c>
      <c r="J50" s="50">
        <v>0</v>
      </c>
      <c r="K50" s="50">
        <v>2</v>
      </c>
      <c r="L50" s="50">
        <v>2</v>
      </c>
      <c r="M50" s="50">
        <v>125</v>
      </c>
      <c r="N50" s="50">
        <v>0</v>
      </c>
      <c r="O50" s="15">
        <f t="shared" si="0"/>
        <v>107</v>
      </c>
      <c r="P50" s="15">
        <f t="shared" si="1"/>
        <v>232</v>
      </c>
      <c r="R50" s="8"/>
      <c r="T50"/>
    </row>
    <row r="51" spans="2:20" ht="23.1" customHeight="1" x14ac:dyDescent="0.25">
      <c r="B51" s="24" t="s">
        <v>78</v>
      </c>
      <c r="C51" s="50">
        <v>41</v>
      </c>
      <c r="D51" s="50">
        <v>6</v>
      </c>
      <c r="E51" s="50">
        <v>6</v>
      </c>
      <c r="F51" s="50">
        <v>25</v>
      </c>
      <c r="G51" s="50">
        <v>4</v>
      </c>
      <c r="H51" s="50">
        <v>0</v>
      </c>
      <c r="I51" s="50">
        <v>11</v>
      </c>
      <c r="J51" s="50">
        <v>0</v>
      </c>
      <c r="K51" s="50">
        <v>0</v>
      </c>
      <c r="L51" s="50">
        <v>2</v>
      </c>
      <c r="M51" s="50">
        <v>145</v>
      </c>
      <c r="N51" s="50">
        <v>0</v>
      </c>
      <c r="O51" s="15">
        <f t="shared" si="0"/>
        <v>95</v>
      </c>
      <c r="P51" s="15">
        <f t="shared" si="1"/>
        <v>240</v>
      </c>
      <c r="R51" s="8"/>
      <c r="T51"/>
    </row>
    <row r="52" spans="2:20" ht="23.1" customHeight="1" x14ac:dyDescent="0.25">
      <c r="B52" s="24" t="s">
        <v>79</v>
      </c>
      <c r="C52" s="50">
        <v>40</v>
      </c>
      <c r="D52" s="50">
        <v>6</v>
      </c>
      <c r="E52" s="50">
        <v>2</v>
      </c>
      <c r="F52" s="50">
        <v>38</v>
      </c>
      <c r="G52" s="50">
        <v>0</v>
      </c>
      <c r="H52" s="50">
        <v>0</v>
      </c>
      <c r="I52" s="50">
        <v>12</v>
      </c>
      <c r="J52" s="50">
        <v>0</v>
      </c>
      <c r="K52" s="50">
        <v>2</v>
      </c>
      <c r="L52" s="50">
        <v>3</v>
      </c>
      <c r="M52" s="50">
        <v>170</v>
      </c>
      <c r="N52" s="50">
        <v>0</v>
      </c>
      <c r="O52" s="15">
        <f t="shared" si="0"/>
        <v>103</v>
      </c>
      <c r="P52" s="15">
        <f t="shared" si="1"/>
        <v>273</v>
      </c>
      <c r="R52" s="8"/>
      <c r="T52"/>
    </row>
    <row r="53" spans="2:20" ht="23.1" customHeight="1" x14ac:dyDescent="0.25">
      <c r="B53" s="23" t="s">
        <v>80</v>
      </c>
      <c r="C53" s="50">
        <v>44</v>
      </c>
      <c r="D53" s="50">
        <v>4</v>
      </c>
      <c r="E53" s="50">
        <v>6</v>
      </c>
      <c r="F53" s="50">
        <v>33</v>
      </c>
      <c r="G53" s="50">
        <v>1</v>
      </c>
      <c r="H53" s="50">
        <v>3</v>
      </c>
      <c r="I53" s="50">
        <v>1</v>
      </c>
      <c r="J53" s="50">
        <v>1</v>
      </c>
      <c r="K53" s="50">
        <v>1</v>
      </c>
      <c r="L53" s="50">
        <v>0</v>
      </c>
      <c r="M53" s="50">
        <v>175</v>
      </c>
      <c r="N53" s="50">
        <v>0</v>
      </c>
      <c r="O53" s="15">
        <f t="shared" si="0"/>
        <v>94</v>
      </c>
      <c r="P53" s="15">
        <f t="shared" si="1"/>
        <v>269</v>
      </c>
      <c r="R53" s="8"/>
      <c r="T53"/>
    </row>
    <row r="54" spans="2:20" ht="23.1" customHeight="1" x14ac:dyDescent="0.25">
      <c r="B54" s="23" t="s">
        <v>81</v>
      </c>
      <c r="C54" s="50">
        <v>51</v>
      </c>
      <c r="D54" s="50">
        <v>4</v>
      </c>
      <c r="E54" s="50">
        <v>3</v>
      </c>
      <c r="F54" s="50">
        <v>36</v>
      </c>
      <c r="G54" s="50">
        <v>2</v>
      </c>
      <c r="H54" s="50">
        <v>0</v>
      </c>
      <c r="I54" s="50">
        <v>7</v>
      </c>
      <c r="J54" s="50">
        <v>1</v>
      </c>
      <c r="K54" s="50">
        <v>0</v>
      </c>
      <c r="L54" s="50">
        <v>0</v>
      </c>
      <c r="M54" s="50">
        <v>120</v>
      </c>
      <c r="N54" s="50">
        <v>0</v>
      </c>
      <c r="O54" s="15">
        <f t="shared" si="0"/>
        <v>104</v>
      </c>
      <c r="P54" s="15">
        <f t="shared" si="1"/>
        <v>224</v>
      </c>
      <c r="R54" s="8"/>
      <c r="T54"/>
    </row>
    <row r="55" spans="2:20" ht="23.1" customHeight="1" x14ac:dyDescent="0.25">
      <c r="B55" s="23" t="s">
        <v>82</v>
      </c>
      <c r="C55" s="50">
        <v>45</v>
      </c>
      <c r="D55" s="50">
        <v>4</v>
      </c>
      <c r="E55" s="50">
        <v>3</v>
      </c>
      <c r="F55" s="50">
        <v>33</v>
      </c>
      <c r="G55" s="50">
        <v>1</v>
      </c>
      <c r="H55" s="50">
        <v>0</v>
      </c>
      <c r="I55" s="50">
        <v>7</v>
      </c>
      <c r="J55" s="50">
        <v>5</v>
      </c>
      <c r="K55" s="50">
        <v>2</v>
      </c>
      <c r="L55" s="50">
        <v>0</v>
      </c>
      <c r="M55" s="50">
        <v>145</v>
      </c>
      <c r="N55" s="50">
        <v>0</v>
      </c>
      <c r="O55" s="15">
        <f t="shared" si="0"/>
        <v>100</v>
      </c>
      <c r="P55" s="15">
        <f t="shared" si="1"/>
        <v>245</v>
      </c>
      <c r="R55" s="8"/>
      <c r="T55"/>
    </row>
    <row r="56" spans="2:20" ht="23.1" customHeight="1" x14ac:dyDescent="0.25">
      <c r="B56" s="23" t="s">
        <v>83</v>
      </c>
      <c r="C56" s="50">
        <v>41</v>
      </c>
      <c r="D56" s="50">
        <v>3</v>
      </c>
      <c r="E56" s="50">
        <v>7</v>
      </c>
      <c r="F56" s="50">
        <v>33</v>
      </c>
      <c r="G56" s="50">
        <v>2</v>
      </c>
      <c r="H56" s="50">
        <v>0</v>
      </c>
      <c r="I56" s="50">
        <v>10</v>
      </c>
      <c r="J56" s="50">
        <v>3</v>
      </c>
      <c r="K56" s="50">
        <v>1</v>
      </c>
      <c r="L56" s="50">
        <v>3</v>
      </c>
      <c r="M56" s="50">
        <v>135</v>
      </c>
      <c r="N56" s="50">
        <v>0</v>
      </c>
      <c r="O56" s="15">
        <f t="shared" si="0"/>
        <v>103</v>
      </c>
      <c r="P56" s="15">
        <f t="shared" si="1"/>
        <v>238</v>
      </c>
      <c r="R56" s="8"/>
      <c r="T56"/>
    </row>
    <row r="57" spans="2:20" ht="23.1" customHeight="1" x14ac:dyDescent="0.25">
      <c r="B57" s="23" t="s">
        <v>84</v>
      </c>
      <c r="C57" s="50">
        <v>35</v>
      </c>
      <c r="D57" s="50">
        <v>5</v>
      </c>
      <c r="E57" s="50">
        <v>4</v>
      </c>
      <c r="F57" s="50">
        <v>26</v>
      </c>
      <c r="G57" s="50">
        <v>1</v>
      </c>
      <c r="H57" s="50">
        <v>2</v>
      </c>
      <c r="I57" s="50">
        <v>6</v>
      </c>
      <c r="J57" s="50">
        <v>1</v>
      </c>
      <c r="K57" s="50">
        <v>1</v>
      </c>
      <c r="L57" s="50">
        <v>1</v>
      </c>
      <c r="M57" s="50">
        <v>160</v>
      </c>
      <c r="N57" s="50">
        <v>0</v>
      </c>
      <c r="O57" s="15">
        <f t="shared" si="0"/>
        <v>82</v>
      </c>
      <c r="P57" s="15">
        <f t="shared" si="1"/>
        <v>242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2040</v>
      </c>
      <c r="D58" s="16">
        <f t="shared" si="21"/>
        <v>262</v>
      </c>
      <c r="E58" s="16">
        <f t="shared" si="21"/>
        <v>246</v>
      </c>
      <c r="F58" s="16">
        <f t="shared" si="21"/>
        <v>1405</v>
      </c>
      <c r="G58" s="16">
        <f t="shared" si="21"/>
        <v>46</v>
      </c>
      <c r="H58" s="16">
        <f t="shared" si="21"/>
        <v>26</v>
      </c>
      <c r="I58" s="16">
        <f t="shared" si="21"/>
        <v>351</v>
      </c>
      <c r="J58" s="16">
        <f t="shared" si="21"/>
        <v>70</v>
      </c>
      <c r="K58" s="16">
        <f t="shared" si="21"/>
        <v>50</v>
      </c>
      <c r="L58" s="16">
        <f t="shared" si="21"/>
        <v>63</v>
      </c>
      <c r="M58" s="16">
        <f t="shared" si="21"/>
        <v>6529</v>
      </c>
      <c r="N58" s="16">
        <f t="shared" si="21"/>
        <v>1</v>
      </c>
      <c r="O58" s="16">
        <f t="shared" si="21"/>
        <v>4560</v>
      </c>
      <c r="P58" s="16">
        <f t="shared" si="21"/>
        <v>11089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0.18396609252412299</v>
      </c>
      <c r="D59" s="43">
        <f t="shared" si="22"/>
        <v>2.3627017765353052E-2</v>
      </c>
      <c r="E59" s="43">
        <f t="shared" si="22"/>
        <v>2.2184146451438361E-2</v>
      </c>
      <c r="F59" s="43">
        <f t="shared" si="22"/>
        <v>0.12670213725313373</v>
      </c>
      <c r="G59" s="43">
        <f t="shared" si="22"/>
        <v>4.1482550275047346E-3</v>
      </c>
      <c r="H59" s="43">
        <f t="shared" si="22"/>
        <v>2.3446658851113715E-3</v>
      </c>
      <c r="I59" s="43">
        <f t="shared" si="22"/>
        <v>3.1652989449003514E-2</v>
      </c>
      <c r="J59" s="43">
        <f t="shared" si="22"/>
        <v>6.3125619983767697E-3</v>
      </c>
      <c r="K59" s="43">
        <f t="shared" si="22"/>
        <v>4.5089728559834074E-3</v>
      </c>
      <c r="L59" s="43">
        <f t="shared" si="22"/>
        <v>5.6813057985390927E-3</v>
      </c>
      <c r="M59" s="43">
        <f t="shared" si="22"/>
        <v>0.58878167553431326</v>
      </c>
      <c r="N59" s="43">
        <f t="shared" si="22"/>
        <v>9.0179457119668146E-5</v>
      </c>
      <c r="R59" s="8"/>
      <c r="T59"/>
    </row>
    <row r="60" spans="2:20" ht="23.1" customHeight="1" x14ac:dyDescent="0.25">
      <c r="B60" s="42" t="s">
        <v>94</v>
      </c>
      <c r="C60" s="44">
        <f>C58/$O$58</f>
        <v>0.44736842105263158</v>
      </c>
      <c r="D60" s="44">
        <f t="shared" ref="D60:N60" si="23">D58/$O$58</f>
        <v>5.7456140350877191E-2</v>
      </c>
      <c r="E60" s="44">
        <f t="shared" si="23"/>
        <v>5.3947368421052633E-2</v>
      </c>
      <c r="F60" s="44">
        <f t="shared" si="23"/>
        <v>0.30811403508771928</v>
      </c>
      <c r="G60" s="44">
        <f t="shared" si="23"/>
        <v>1.0087719298245614E-2</v>
      </c>
      <c r="H60" s="44">
        <f t="shared" si="23"/>
        <v>5.7017543859649127E-3</v>
      </c>
      <c r="I60" s="44">
        <f t="shared" si="23"/>
        <v>7.6973684210526319E-2</v>
      </c>
      <c r="J60" s="44">
        <f t="shared" si="23"/>
        <v>1.5350877192982455E-2</v>
      </c>
      <c r="K60" s="44">
        <f t="shared" si="23"/>
        <v>1.0964912280701754E-2</v>
      </c>
      <c r="L60" s="44">
        <f t="shared" si="23"/>
        <v>1.381578947368421E-2</v>
      </c>
      <c r="M60" s="44"/>
      <c r="N60" s="44">
        <f t="shared" si="23"/>
        <v>2.1929824561403509E-4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25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'22.07 kawempe-Bwaise'!C3:G3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Bwaise-Kawempe'!D5</f>
        <v>28.07.19</v>
      </c>
      <c r="E5" s="3"/>
      <c r="F5" s="41" t="s">
        <v>1</v>
      </c>
      <c r="G5" s="63" t="str">
        <f>'28.07 Bwaise-Kawempe'!G5:H5</f>
        <v>Before Steel and Tube</v>
      </c>
      <c r="H5" s="64"/>
      <c r="I5" s="14"/>
      <c r="J5" s="2" t="s">
        <v>5</v>
      </c>
      <c r="K5" s="63" t="s">
        <v>177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'22.07 kawempe-Bwaise'!D6:E6</f>
        <v>Kawempe</v>
      </c>
      <c r="E6" s="64"/>
      <c r="F6" s="2" t="s">
        <v>2</v>
      </c>
      <c r="G6" s="63" t="str">
        <f>'22.07 kawempe-Bwaise'!G6:H6</f>
        <v>Bwaise</v>
      </c>
      <c r="H6" s="64"/>
      <c r="J6" s="2" t="s">
        <v>21</v>
      </c>
      <c r="K6" s="63" t="str">
        <f>'28.07 Bwaise-Kawempe'!K6:L6</f>
        <v>Salima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41</v>
      </c>
      <c r="D10" s="50">
        <v>2</v>
      </c>
      <c r="E10" s="50">
        <v>2</v>
      </c>
      <c r="F10" s="50">
        <v>50</v>
      </c>
      <c r="G10" s="50">
        <v>1</v>
      </c>
      <c r="H10" s="50">
        <v>0</v>
      </c>
      <c r="I10" s="50">
        <v>7</v>
      </c>
      <c r="J10" s="50">
        <v>9</v>
      </c>
      <c r="K10" s="50">
        <v>1</v>
      </c>
      <c r="L10" s="50">
        <v>2</v>
      </c>
      <c r="M10" s="50">
        <v>143</v>
      </c>
      <c r="N10" s="50">
        <v>0</v>
      </c>
      <c r="O10" s="15">
        <f t="shared" ref="O10:O57" si="0">SUM(C10:L10,N10)</f>
        <v>115</v>
      </c>
      <c r="P10" s="15">
        <f t="shared" ref="P10:P57" si="1">SUM(C10:N10)</f>
        <v>258</v>
      </c>
      <c r="R10" s="1" t="s">
        <v>6</v>
      </c>
      <c r="S10" s="17">
        <f t="shared" ref="S10:AF10" si="2">SUM(C10:C13)</f>
        <v>153</v>
      </c>
      <c r="T10" s="17">
        <f t="shared" si="2"/>
        <v>16</v>
      </c>
      <c r="U10" s="17">
        <f t="shared" si="2"/>
        <v>9</v>
      </c>
      <c r="V10" s="17">
        <f t="shared" si="2"/>
        <v>212</v>
      </c>
      <c r="W10" s="17">
        <f t="shared" si="2"/>
        <v>3</v>
      </c>
      <c r="X10" s="17">
        <f t="shared" si="2"/>
        <v>0</v>
      </c>
      <c r="Y10" s="17">
        <f t="shared" si="2"/>
        <v>23</v>
      </c>
      <c r="Z10" s="17">
        <f t="shared" si="2"/>
        <v>25</v>
      </c>
      <c r="AA10" s="17">
        <f t="shared" si="2"/>
        <v>4</v>
      </c>
      <c r="AB10" s="17">
        <f t="shared" si="2"/>
        <v>3</v>
      </c>
      <c r="AC10" s="17">
        <f t="shared" si="2"/>
        <v>727</v>
      </c>
      <c r="AD10" s="17">
        <f t="shared" si="2"/>
        <v>0</v>
      </c>
      <c r="AE10" s="31">
        <f t="shared" si="2"/>
        <v>448</v>
      </c>
      <c r="AF10" s="31">
        <f t="shared" si="2"/>
        <v>1175</v>
      </c>
    </row>
    <row r="11" spans="2:32" s="6" customFormat="1" ht="23.1" customHeight="1" x14ac:dyDescent="0.25">
      <c r="B11" s="23" t="s">
        <v>38</v>
      </c>
      <c r="C11" s="50">
        <v>30</v>
      </c>
      <c r="D11" s="50">
        <v>2</v>
      </c>
      <c r="E11" s="50">
        <v>1</v>
      </c>
      <c r="F11" s="50">
        <v>44</v>
      </c>
      <c r="G11" s="50">
        <v>0</v>
      </c>
      <c r="H11" s="50">
        <v>0</v>
      </c>
      <c r="I11" s="50">
        <v>3</v>
      </c>
      <c r="J11" s="50">
        <v>3</v>
      </c>
      <c r="K11" s="50">
        <v>0</v>
      </c>
      <c r="L11" s="50">
        <v>0</v>
      </c>
      <c r="M11" s="50">
        <v>160</v>
      </c>
      <c r="N11" s="50">
        <v>0</v>
      </c>
      <c r="O11" s="15">
        <f t="shared" si="0"/>
        <v>83</v>
      </c>
      <c r="P11" s="15">
        <f t="shared" si="1"/>
        <v>243</v>
      </c>
      <c r="R11" s="1" t="s">
        <v>7</v>
      </c>
      <c r="S11" s="17">
        <f t="shared" ref="S11:AF11" si="3">SUM(C14:C17)</f>
        <v>197</v>
      </c>
      <c r="T11" s="17">
        <f t="shared" si="3"/>
        <v>31</v>
      </c>
      <c r="U11" s="17">
        <f t="shared" si="3"/>
        <v>23</v>
      </c>
      <c r="V11" s="17">
        <f t="shared" si="3"/>
        <v>216</v>
      </c>
      <c r="W11" s="17">
        <f t="shared" si="3"/>
        <v>11</v>
      </c>
      <c r="X11" s="17">
        <f t="shared" si="3"/>
        <v>0</v>
      </c>
      <c r="Y11" s="17">
        <f t="shared" si="3"/>
        <v>23</v>
      </c>
      <c r="Z11" s="17">
        <f t="shared" si="3"/>
        <v>12</v>
      </c>
      <c r="AA11" s="17">
        <f t="shared" si="3"/>
        <v>14</v>
      </c>
      <c r="AB11" s="17">
        <f t="shared" si="3"/>
        <v>2</v>
      </c>
      <c r="AC11" s="17">
        <f t="shared" si="3"/>
        <v>820</v>
      </c>
      <c r="AD11" s="17">
        <f t="shared" si="3"/>
        <v>0</v>
      </c>
      <c r="AE11" s="31">
        <f t="shared" si="3"/>
        <v>529</v>
      </c>
      <c r="AF11" s="31">
        <f t="shared" si="3"/>
        <v>1349</v>
      </c>
    </row>
    <row r="12" spans="2:32" ht="23.1" customHeight="1" x14ac:dyDescent="0.25">
      <c r="B12" s="23" t="s">
        <v>39</v>
      </c>
      <c r="C12" s="50">
        <v>36</v>
      </c>
      <c r="D12" s="50">
        <v>7</v>
      </c>
      <c r="E12" s="50">
        <v>5</v>
      </c>
      <c r="F12" s="50">
        <v>62</v>
      </c>
      <c r="G12" s="50">
        <v>1</v>
      </c>
      <c r="H12" s="50">
        <v>0</v>
      </c>
      <c r="I12" s="50">
        <v>5</v>
      </c>
      <c r="J12" s="50">
        <v>5</v>
      </c>
      <c r="K12" s="50">
        <v>2</v>
      </c>
      <c r="L12" s="50">
        <v>1</v>
      </c>
      <c r="M12" s="50">
        <v>215</v>
      </c>
      <c r="N12" s="50">
        <v>0</v>
      </c>
      <c r="O12" s="15">
        <f t="shared" si="0"/>
        <v>124</v>
      </c>
      <c r="P12" s="15">
        <f t="shared" si="1"/>
        <v>339</v>
      </c>
      <c r="R12" s="1" t="s">
        <v>8</v>
      </c>
      <c r="S12" s="17">
        <f t="shared" ref="S12:AF12" si="4">SUM(C18:C21)</f>
        <v>199</v>
      </c>
      <c r="T12" s="17">
        <f t="shared" si="4"/>
        <v>41</v>
      </c>
      <c r="U12" s="17">
        <f t="shared" si="4"/>
        <v>25</v>
      </c>
      <c r="V12" s="17">
        <f t="shared" si="4"/>
        <v>199</v>
      </c>
      <c r="W12" s="17">
        <f t="shared" si="4"/>
        <v>3</v>
      </c>
      <c r="X12" s="17">
        <f t="shared" si="4"/>
        <v>0</v>
      </c>
      <c r="Y12" s="17">
        <f t="shared" si="4"/>
        <v>32</v>
      </c>
      <c r="Z12" s="17">
        <f t="shared" si="4"/>
        <v>15</v>
      </c>
      <c r="AA12" s="17">
        <f t="shared" si="4"/>
        <v>3</v>
      </c>
      <c r="AB12" s="17">
        <f t="shared" si="4"/>
        <v>5</v>
      </c>
      <c r="AC12" s="17">
        <f t="shared" si="4"/>
        <v>794</v>
      </c>
      <c r="AD12" s="17">
        <f t="shared" si="4"/>
        <v>0</v>
      </c>
      <c r="AE12" s="31">
        <f t="shared" si="4"/>
        <v>522</v>
      </c>
      <c r="AF12" s="31">
        <f t="shared" si="4"/>
        <v>1316</v>
      </c>
    </row>
    <row r="13" spans="2:32" ht="23.1" customHeight="1" x14ac:dyDescent="0.25">
      <c r="B13" s="23" t="s">
        <v>40</v>
      </c>
      <c r="C13" s="50">
        <v>46</v>
      </c>
      <c r="D13" s="50">
        <v>5</v>
      </c>
      <c r="E13" s="50">
        <v>1</v>
      </c>
      <c r="F13" s="50">
        <v>56</v>
      </c>
      <c r="G13" s="50">
        <v>1</v>
      </c>
      <c r="H13" s="50">
        <v>0</v>
      </c>
      <c r="I13" s="50">
        <v>8</v>
      </c>
      <c r="J13" s="50">
        <v>8</v>
      </c>
      <c r="K13" s="50">
        <v>1</v>
      </c>
      <c r="L13" s="50">
        <v>0</v>
      </c>
      <c r="M13" s="50">
        <v>209</v>
      </c>
      <c r="N13" s="50">
        <v>0</v>
      </c>
      <c r="O13" s="15">
        <f t="shared" si="0"/>
        <v>126</v>
      </c>
      <c r="P13" s="15">
        <f t="shared" si="1"/>
        <v>335</v>
      </c>
      <c r="R13" s="1" t="s">
        <v>9</v>
      </c>
      <c r="S13" s="17">
        <f t="shared" ref="S13:AF13" si="5">SUM(C22:C25)</f>
        <v>207</v>
      </c>
      <c r="T13" s="17">
        <f t="shared" si="5"/>
        <v>52</v>
      </c>
      <c r="U13" s="17">
        <f t="shared" si="5"/>
        <v>21</v>
      </c>
      <c r="V13" s="17">
        <f t="shared" si="5"/>
        <v>171</v>
      </c>
      <c r="W13" s="17">
        <f t="shared" si="5"/>
        <v>2</v>
      </c>
      <c r="X13" s="17">
        <f t="shared" si="5"/>
        <v>1</v>
      </c>
      <c r="Y13" s="17">
        <f t="shared" si="5"/>
        <v>26</v>
      </c>
      <c r="Z13" s="17">
        <f t="shared" si="5"/>
        <v>17</v>
      </c>
      <c r="AA13" s="17">
        <f t="shared" si="5"/>
        <v>5</v>
      </c>
      <c r="AB13" s="17">
        <f t="shared" si="5"/>
        <v>3</v>
      </c>
      <c r="AC13" s="17">
        <f t="shared" si="5"/>
        <v>758</v>
      </c>
      <c r="AD13" s="17">
        <f t="shared" si="5"/>
        <v>0</v>
      </c>
      <c r="AE13" s="31">
        <f t="shared" si="5"/>
        <v>505</v>
      </c>
      <c r="AF13" s="31">
        <f t="shared" si="5"/>
        <v>1263</v>
      </c>
    </row>
    <row r="14" spans="2:32" ht="23.1" customHeight="1" x14ac:dyDescent="0.25">
      <c r="B14" s="23" t="s">
        <v>41</v>
      </c>
      <c r="C14" s="50">
        <v>43</v>
      </c>
      <c r="D14" s="50">
        <v>4</v>
      </c>
      <c r="E14" s="50">
        <v>1</v>
      </c>
      <c r="F14" s="50">
        <v>57</v>
      </c>
      <c r="G14" s="50">
        <v>4</v>
      </c>
      <c r="H14" s="50">
        <v>0</v>
      </c>
      <c r="I14" s="50">
        <v>4</v>
      </c>
      <c r="J14" s="50">
        <v>5</v>
      </c>
      <c r="K14" s="50">
        <v>4</v>
      </c>
      <c r="L14" s="50">
        <v>0</v>
      </c>
      <c r="M14" s="50">
        <v>200</v>
      </c>
      <c r="N14" s="50">
        <v>0</v>
      </c>
      <c r="O14" s="15">
        <f t="shared" si="0"/>
        <v>122</v>
      </c>
      <c r="P14" s="15">
        <f t="shared" si="1"/>
        <v>322</v>
      </c>
      <c r="R14" s="1" t="s">
        <v>10</v>
      </c>
      <c r="S14" s="17">
        <f t="shared" ref="S14:AF14" si="6">SUM(C26:C29)</f>
        <v>188</v>
      </c>
      <c r="T14" s="17">
        <f t="shared" si="6"/>
        <v>51</v>
      </c>
      <c r="U14" s="17">
        <f t="shared" si="6"/>
        <v>27</v>
      </c>
      <c r="V14" s="17">
        <f t="shared" si="6"/>
        <v>144</v>
      </c>
      <c r="W14" s="17">
        <f t="shared" si="6"/>
        <v>6</v>
      </c>
      <c r="X14" s="17">
        <f t="shared" si="6"/>
        <v>0</v>
      </c>
      <c r="Y14" s="17">
        <f t="shared" si="6"/>
        <v>22</v>
      </c>
      <c r="Z14" s="17">
        <f t="shared" si="6"/>
        <v>20</v>
      </c>
      <c r="AA14" s="17">
        <f t="shared" si="6"/>
        <v>4</v>
      </c>
      <c r="AB14" s="17">
        <f t="shared" si="6"/>
        <v>5</v>
      </c>
      <c r="AC14" s="17">
        <f t="shared" si="6"/>
        <v>795</v>
      </c>
      <c r="AD14" s="17">
        <f t="shared" si="6"/>
        <v>0</v>
      </c>
      <c r="AE14" s="31">
        <f t="shared" si="6"/>
        <v>467</v>
      </c>
      <c r="AF14" s="31">
        <f t="shared" si="6"/>
        <v>1262</v>
      </c>
    </row>
    <row r="15" spans="2:32" ht="23.1" customHeight="1" x14ac:dyDescent="0.25">
      <c r="B15" s="23" t="s">
        <v>42</v>
      </c>
      <c r="C15" s="50">
        <v>58</v>
      </c>
      <c r="D15" s="50">
        <v>11</v>
      </c>
      <c r="E15" s="50">
        <v>10</v>
      </c>
      <c r="F15" s="50">
        <v>62</v>
      </c>
      <c r="G15" s="50">
        <v>4</v>
      </c>
      <c r="H15" s="50">
        <v>0</v>
      </c>
      <c r="I15" s="50">
        <v>7</v>
      </c>
      <c r="J15" s="50">
        <v>2</v>
      </c>
      <c r="K15" s="50">
        <v>2</v>
      </c>
      <c r="L15" s="50">
        <v>0</v>
      </c>
      <c r="M15" s="50">
        <v>230</v>
      </c>
      <c r="N15" s="50">
        <v>0</v>
      </c>
      <c r="O15" s="15">
        <f t="shared" si="0"/>
        <v>156</v>
      </c>
      <c r="P15" s="15">
        <f t="shared" si="1"/>
        <v>386</v>
      </c>
      <c r="R15" s="1" t="s">
        <v>11</v>
      </c>
      <c r="S15" s="17">
        <f t="shared" ref="S15:AF15" si="7">SUM(C30:C33)</f>
        <v>159</v>
      </c>
      <c r="T15" s="17">
        <f t="shared" si="7"/>
        <v>56</v>
      </c>
      <c r="U15" s="17">
        <f t="shared" si="7"/>
        <v>13</v>
      </c>
      <c r="V15" s="17">
        <f t="shared" si="7"/>
        <v>143</v>
      </c>
      <c r="W15" s="17">
        <f t="shared" si="7"/>
        <v>5</v>
      </c>
      <c r="X15" s="17">
        <f t="shared" si="7"/>
        <v>1</v>
      </c>
      <c r="Y15" s="17">
        <f t="shared" si="7"/>
        <v>28</v>
      </c>
      <c r="Z15" s="17">
        <f t="shared" si="7"/>
        <v>27</v>
      </c>
      <c r="AA15" s="17">
        <f t="shared" si="7"/>
        <v>9</v>
      </c>
      <c r="AB15" s="17">
        <f t="shared" si="7"/>
        <v>3</v>
      </c>
      <c r="AC15" s="17">
        <f t="shared" si="7"/>
        <v>688</v>
      </c>
      <c r="AD15" s="17">
        <f t="shared" si="7"/>
        <v>0</v>
      </c>
      <c r="AE15" s="31">
        <f t="shared" si="7"/>
        <v>444</v>
      </c>
      <c r="AF15" s="31">
        <f t="shared" si="7"/>
        <v>1132</v>
      </c>
    </row>
    <row r="16" spans="2:32" ht="23.1" customHeight="1" x14ac:dyDescent="0.25">
      <c r="B16" s="23" t="s">
        <v>43</v>
      </c>
      <c r="C16" s="50">
        <v>54</v>
      </c>
      <c r="D16" s="50">
        <v>4</v>
      </c>
      <c r="E16" s="50">
        <v>5</v>
      </c>
      <c r="F16" s="50">
        <v>51</v>
      </c>
      <c r="G16" s="50">
        <v>2</v>
      </c>
      <c r="H16" s="50">
        <v>0</v>
      </c>
      <c r="I16" s="50">
        <v>6</v>
      </c>
      <c r="J16" s="50">
        <v>1</v>
      </c>
      <c r="K16" s="50">
        <v>3</v>
      </c>
      <c r="L16" s="50">
        <v>0</v>
      </c>
      <c r="M16" s="50">
        <v>170</v>
      </c>
      <c r="N16" s="50">
        <v>0</v>
      </c>
      <c r="O16" s="15">
        <f t="shared" si="0"/>
        <v>126</v>
      </c>
      <c r="P16" s="15">
        <f t="shared" si="1"/>
        <v>296</v>
      </c>
      <c r="R16" s="1" t="s">
        <v>12</v>
      </c>
      <c r="S16" s="17">
        <f t="shared" ref="S16:AF16" si="8">SUM(C34:C37)</f>
        <v>225</v>
      </c>
      <c r="T16" s="17">
        <f t="shared" si="8"/>
        <v>58</v>
      </c>
      <c r="U16" s="17">
        <f t="shared" si="8"/>
        <v>18</v>
      </c>
      <c r="V16" s="17">
        <f t="shared" si="8"/>
        <v>183</v>
      </c>
      <c r="W16" s="17">
        <f t="shared" si="8"/>
        <v>2</v>
      </c>
      <c r="X16" s="17">
        <f t="shared" si="8"/>
        <v>3</v>
      </c>
      <c r="Y16" s="17">
        <f t="shared" si="8"/>
        <v>15</v>
      </c>
      <c r="Z16" s="17">
        <f t="shared" si="8"/>
        <v>32</v>
      </c>
      <c r="AA16" s="17">
        <f t="shared" si="8"/>
        <v>6</v>
      </c>
      <c r="AB16" s="17">
        <f t="shared" si="8"/>
        <v>2</v>
      </c>
      <c r="AC16" s="17">
        <f t="shared" si="8"/>
        <v>490</v>
      </c>
      <c r="AD16" s="17">
        <f t="shared" si="8"/>
        <v>0</v>
      </c>
      <c r="AE16" s="31">
        <f t="shared" si="8"/>
        <v>544</v>
      </c>
      <c r="AF16" s="31">
        <f t="shared" si="8"/>
        <v>1034</v>
      </c>
    </row>
    <row r="17" spans="2:32" ht="23.1" customHeight="1" x14ac:dyDescent="0.25">
      <c r="B17" s="23" t="s">
        <v>44</v>
      </c>
      <c r="C17" s="50">
        <v>42</v>
      </c>
      <c r="D17" s="50">
        <v>12</v>
      </c>
      <c r="E17" s="50">
        <v>7</v>
      </c>
      <c r="F17" s="50">
        <v>46</v>
      </c>
      <c r="G17" s="50">
        <v>1</v>
      </c>
      <c r="H17" s="50">
        <v>0</v>
      </c>
      <c r="I17" s="50">
        <v>6</v>
      </c>
      <c r="J17" s="50">
        <v>4</v>
      </c>
      <c r="K17" s="50">
        <v>5</v>
      </c>
      <c r="L17" s="50">
        <v>2</v>
      </c>
      <c r="M17" s="50">
        <v>220</v>
      </c>
      <c r="N17" s="50">
        <v>0</v>
      </c>
      <c r="O17" s="15">
        <f t="shared" si="0"/>
        <v>125</v>
      </c>
      <c r="P17" s="15">
        <f t="shared" si="1"/>
        <v>345</v>
      </c>
      <c r="R17" s="1" t="s">
        <v>13</v>
      </c>
      <c r="S17" s="17">
        <f t="shared" ref="S17:AF17" si="9">SUM(C38:C41)</f>
        <v>148</v>
      </c>
      <c r="T17" s="17">
        <f t="shared" si="9"/>
        <v>53</v>
      </c>
      <c r="U17" s="17">
        <f t="shared" si="9"/>
        <v>27</v>
      </c>
      <c r="V17" s="17">
        <f t="shared" si="9"/>
        <v>162</v>
      </c>
      <c r="W17" s="17">
        <f t="shared" si="9"/>
        <v>5</v>
      </c>
      <c r="X17" s="17">
        <f t="shared" si="9"/>
        <v>5</v>
      </c>
      <c r="Y17" s="17">
        <f t="shared" si="9"/>
        <v>25</v>
      </c>
      <c r="Z17" s="17">
        <f t="shared" si="9"/>
        <v>10</v>
      </c>
      <c r="AA17" s="17">
        <f t="shared" si="9"/>
        <v>2</v>
      </c>
      <c r="AB17" s="17">
        <f t="shared" si="9"/>
        <v>17</v>
      </c>
      <c r="AC17" s="17">
        <f t="shared" si="9"/>
        <v>546</v>
      </c>
      <c r="AD17" s="17">
        <f t="shared" si="9"/>
        <v>0</v>
      </c>
      <c r="AE17" s="31">
        <f t="shared" si="9"/>
        <v>454</v>
      </c>
      <c r="AF17" s="31">
        <f t="shared" si="9"/>
        <v>1000</v>
      </c>
    </row>
    <row r="18" spans="2:32" ht="23.1" customHeight="1" x14ac:dyDescent="0.25">
      <c r="B18" s="23" t="s">
        <v>45</v>
      </c>
      <c r="C18" s="50">
        <v>58</v>
      </c>
      <c r="D18" s="50">
        <v>13</v>
      </c>
      <c r="E18" s="50">
        <v>5</v>
      </c>
      <c r="F18" s="50">
        <v>56</v>
      </c>
      <c r="G18" s="50">
        <v>1</v>
      </c>
      <c r="H18" s="50">
        <v>0</v>
      </c>
      <c r="I18" s="50">
        <v>14</v>
      </c>
      <c r="J18" s="50">
        <v>4</v>
      </c>
      <c r="K18" s="50">
        <v>2</v>
      </c>
      <c r="L18" s="50">
        <v>2</v>
      </c>
      <c r="M18" s="50">
        <v>260</v>
      </c>
      <c r="N18" s="50">
        <v>0</v>
      </c>
      <c r="O18" s="15">
        <f t="shared" si="0"/>
        <v>155</v>
      </c>
      <c r="P18" s="15">
        <f t="shared" si="1"/>
        <v>415</v>
      </c>
      <c r="R18" s="1" t="s">
        <v>14</v>
      </c>
      <c r="S18" s="17">
        <f t="shared" ref="S18:AF18" si="10">SUM(C42:C45)</f>
        <v>194</v>
      </c>
      <c r="T18" s="17">
        <f t="shared" si="10"/>
        <v>66</v>
      </c>
      <c r="U18" s="17">
        <f t="shared" si="10"/>
        <v>18</v>
      </c>
      <c r="V18" s="17">
        <f t="shared" si="10"/>
        <v>170</v>
      </c>
      <c r="W18" s="17">
        <f t="shared" si="10"/>
        <v>4</v>
      </c>
      <c r="X18" s="17">
        <f t="shared" si="10"/>
        <v>4</v>
      </c>
      <c r="Y18" s="17">
        <f t="shared" si="10"/>
        <v>34</v>
      </c>
      <c r="Z18" s="17">
        <f t="shared" si="10"/>
        <v>10</v>
      </c>
      <c r="AA18" s="17">
        <f t="shared" si="10"/>
        <v>8</v>
      </c>
      <c r="AB18" s="17">
        <f t="shared" si="10"/>
        <v>2</v>
      </c>
      <c r="AC18" s="17">
        <f t="shared" si="10"/>
        <v>498</v>
      </c>
      <c r="AD18" s="17">
        <f t="shared" si="10"/>
        <v>0</v>
      </c>
      <c r="AE18" s="31">
        <f t="shared" si="10"/>
        <v>510</v>
      </c>
      <c r="AF18" s="31">
        <f t="shared" si="10"/>
        <v>1008</v>
      </c>
    </row>
    <row r="19" spans="2:32" ht="23.1" customHeight="1" x14ac:dyDescent="0.25">
      <c r="B19" s="23" t="s">
        <v>46</v>
      </c>
      <c r="C19" s="50">
        <v>36</v>
      </c>
      <c r="D19" s="50">
        <v>10</v>
      </c>
      <c r="E19" s="50">
        <v>7</v>
      </c>
      <c r="F19" s="50">
        <v>37</v>
      </c>
      <c r="G19" s="50">
        <v>1</v>
      </c>
      <c r="H19" s="50">
        <v>0</v>
      </c>
      <c r="I19" s="50">
        <v>5</v>
      </c>
      <c r="J19" s="50">
        <v>3</v>
      </c>
      <c r="K19" s="50">
        <v>0</v>
      </c>
      <c r="L19" s="50">
        <v>2</v>
      </c>
      <c r="M19" s="50">
        <v>202</v>
      </c>
      <c r="N19" s="50">
        <v>0</v>
      </c>
      <c r="O19" s="15">
        <f t="shared" si="0"/>
        <v>101</v>
      </c>
      <c r="P19" s="15">
        <f t="shared" si="1"/>
        <v>303</v>
      </c>
      <c r="R19" s="1" t="s">
        <v>15</v>
      </c>
      <c r="S19" s="17">
        <f t="shared" ref="S19:AF19" si="11">SUM(C46:C49)</f>
        <v>199</v>
      </c>
      <c r="T19" s="17">
        <f t="shared" si="11"/>
        <v>63</v>
      </c>
      <c r="U19" s="17">
        <f t="shared" si="11"/>
        <v>24</v>
      </c>
      <c r="V19" s="17">
        <f t="shared" si="11"/>
        <v>169</v>
      </c>
      <c r="W19" s="17">
        <f t="shared" si="11"/>
        <v>3</v>
      </c>
      <c r="X19" s="17">
        <f t="shared" si="11"/>
        <v>7</v>
      </c>
      <c r="Y19" s="17">
        <f t="shared" si="11"/>
        <v>19</v>
      </c>
      <c r="Z19" s="17">
        <f t="shared" si="11"/>
        <v>19</v>
      </c>
      <c r="AA19" s="17">
        <f t="shared" si="11"/>
        <v>5</v>
      </c>
      <c r="AB19" s="17">
        <f t="shared" si="11"/>
        <v>9</v>
      </c>
      <c r="AC19" s="17">
        <f t="shared" si="11"/>
        <v>583</v>
      </c>
      <c r="AD19" s="17">
        <f t="shared" si="11"/>
        <v>0</v>
      </c>
      <c r="AE19" s="31">
        <f t="shared" si="11"/>
        <v>517</v>
      </c>
      <c r="AF19" s="31">
        <f t="shared" si="11"/>
        <v>1100</v>
      </c>
    </row>
    <row r="20" spans="2:32" ht="23.1" customHeight="1" x14ac:dyDescent="0.25">
      <c r="B20" s="23" t="s">
        <v>47</v>
      </c>
      <c r="C20" s="50">
        <v>61</v>
      </c>
      <c r="D20" s="50">
        <v>9</v>
      </c>
      <c r="E20" s="50">
        <v>7</v>
      </c>
      <c r="F20" s="50">
        <v>52</v>
      </c>
      <c r="G20" s="50">
        <v>0</v>
      </c>
      <c r="H20" s="50">
        <v>0</v>
      </c>
      <c r="I20" s="50">
        <v>7</v>
      </c>
      <c r="J20" s="50">
        <v>5</v>
      </c>
      <c r="K20" s="50">
        <v>0</v>
      </c>
      <c r="L20" s="50">
        <v>1</v>
      </c>
      <c r="M20" s="50">
        <v>150</v>
      </c>
      <c r="N20" s="50">
        <v>0</v>
      </c>
      <c r="O20" s="15">
        <f t="shared" si="0"/>
        <v>142</v>
      </c>
      <c r="P20" s="15">
        <f t="shared" si="1"/>
        <v>292</v>
      </c>
      <c r="R20" s="1" t="s">
        <v>16</v>
      </c>
      <c r="S20" s="17">
        <f t="shared" ref="S20:AF20" si="12">SUM(C50:C53)</f>
        <v>178</v>
      </c>
      <c r="T20" s="17">
        <f t="shared" si="12"/>
        <v>56</v>
      </c>
      <c r="U20" s="17">
        <f t="shared" si="12"/>
        <v>17</v>
      </c>
      <c r="V20" s="17">
        <f t="shared" si="12"/>
        <v>201</v>
      </c>
      <c r="W20" s="17">
        <f t="shared" si="12"/>
        <v>5</v>
      </c>
      <c r="X20" s="17">
        <f t="shared" si="12"/>
        <v>2</v>
      </c>
      <c r="Y20" s="17">
        <f t="shared" si="12"/>
        <v>19</v>
      </c>
      <c r="Z20" s="17">
        <f t="shared" si="12"/>
        <v>12</v>
      </c>
      <c r="AA20" s="17">
        <f t="shared" si="12"/>
        <v>7</v>
      </c>
      <c r="AB20" s="17">
        <f t="shared" si="12"/>
        <v>11</v>
      </c>
      <c r="AC20" s="17">
        <f t="shared" si="12"/>
        <v>477</v>
      </c>
      <c r="AD20" s="17">
        <f t="shared" si="12"/>
        <v>0</v>
      </c>
      <c r="AE20" s="31">
        <f t="shared" si="12"/>
        <v>508</v>
      </c>
      <c r="AF20" s="31">
        <f t="shared" si="12"/>
        <v>985</v>
      </c>
    </row>
    <row r="21" spans="2:32" ht="23.1" customHeight="1" x14ac:dyDescent="0.25">
      <c r="B21" s="23" t="s">
        <v>48</v>
      </c>
      <c r="C21" s="50">
        <v>44</v>
      </c>
      <c r="D21" s="50">
        <v>9</v>
      </c>
      <c r="E21" s="50">
        <v>6</v>
      </c>
      <c r="F21" s="50">
        <v>54</v>
      </c>
      <c r="G21" s="50">
        <v>1</v>
      </c>
      <c r="H21" s="50">
        <v>0</v>
      </c>
      <c r="I21" s="50">
        <v>6</v>
      </c>
      <c r="J21" s="50">
        <v>3</v>
      </c>
      <c r="K21" s="50">
        <v>1</v>
      </c>
      <c r="L21" s="50">
        <v>0</v>
      </c>
      <c r="M21" s="50">
        <v>182</v>
      </c>
      <c r="N21" s="50">
        <v>0</v>
      </c>
      <c r="O21" s="15">
        <f t="shared" si="0"/>
        <v>124</v>
      </c>
      <c r="P21" s="15">
        <f t="shared" si="1"/>
        <v>306</v>
      </c>
      <c r="R21" s="36" t="s">
        <v>20</v>
      </c>
      <c r="S21" s="34">
        <f t="shared" ref="S21:AF21" si="13">SUM(C54:C57)</f>
        <v>173</v>
      </c>
      <c r="T21" s="17">
        <f t="shared" si="13"/>
        <v>56</v>
      </c>
      <c r="U21" s="17">
        <f t="shared" si="13"/>
        <v>18</v>
      </c>
      <c r="V21" s="17">
        <f t="shared" si="13"/>
        <v>189</v>
      </c>
      <c r="W21" s="17">
        <f t="shared" si="13"/>
        <v>7</v>
      </c>
      <c r="X21" s="17">
        <f t="shared" si="13"/>
        <v>4</v>
      </c>
      <c r="Y21" s="17">
        <f t="shared" si="13"/>
        <v>18</v>
      </c>
      <c r="Z21" s="17">
        <f t="shared" si="13"/>
        <v>18</v>
      </c>
      <c r="AA21" s="17">
        <f t="shared" si="13"/>
        <v>6</v>
      </c>
      <c r="AB21" s="17">
        <f t="shared" si="13"/>
        <v>6</v>
      </c>
      <c r="AC21" s="17">
        <f t="shared" si="13"/>
        <v>475</v>
      </c>
      <c r="AD21" s="17">
        <f t="shared" si="13"/>
        <v>0</v>
      </c>
      <c r="AE21" s="31">
        <f t="shared" si="13"/>
        <v>495</v>
      </c>
      <c r="AF21" s="31">
        <f t="shared" si="13"/>
        <v>970</v>
      </c>
    </row>
    <row r="22" spans="2:32" ht="23.1" customHeight="1" x14ac:dyDescent="0.25">
      <c r="B22" s="23" t="s">
        <v>49</v>
      </c>
      <c r="C22" s="50">
        <v>57</v>
      </c>
      <c r="D22" s="50">
        <v>12</v>
      </c>
      <c r="E22" s="50">
        <v>6</v>
      </c>
      <c r="F22" s="50">
        <v>43</v>
      </c>
      <c r="G22" s="50">
        <v>1</v>
      </c>
      <c r="H22" s="50">
        <v>0</v>
      </c>
      <c r="I22" s="50">
        <v>4</v>
      </c>
      <c r="J22" s="50">
        <v>5</v>
      </c>
      <c r="K22" s="50">
        <v>0</v>
      </c>
      <c r="L22" s="50">
        <v>0</v>
      </c>
      <c r="M22" s="50">
        <v>201</v>
      </c>
      <c r="N22" s="50">
        <v>0</v>
      </c>
      <c r="O22" s="15">
        <f t="shared" si="0"/>
        <v>128</v>
      </c>
      <c r="P22" s="15">
        <f t="shared" si="1"/>
        <v>329</v>
      </c>
      <c r="R22" s="38" t="s">
        <v>90</v>
      </c>
      <c r="S22" s="39">
        <f>MAX(S10:S12)</f>
        <v>199</v>
      </c>
      <c r="T22" s="39">
        <f t="shared" ref="T22:AF22" si="14">MAX(T10:T12)</f>
        <v>41</v>
      </c>
      <c r="U22" s="39">
        <f t="shared" si="14"/>
        <v>25</v>
      </c>
      <c r="V22" s="39">
        <f t="shared" si="14"/>
        <v>216</v>
      </c>
      <c r="W22" s="39">
        <f t="shared" si="14"/>
        <v>11</v>
      </c>
      <c r="X22" s="39">
        <f t="shared" si="14"/>
        <v>0</v>
      </c>
      <c r="Y22" s="39">
        <f t="shared" si="14"/>
        <v>32</v>
      </c>
      <c r="Z22" s="39">
        <f t="shared" si="14"/>
        <v>25</v>
      </c>
      <c r="AA22" s="39">
        <f t="shared" si="14"/>
        <v>14</v>
      </c>
      <c r="AB22" s="39">
        <f t="shared" si="14"/>
        <v>5</v>
      </c>
      <c r="AC22" s="39">
        <f t="shared" si="14"/>
        <v>820</v>
      </c>
      <c r="AD22" s="39">
        <f t="shared" si="14"/>
        <v>0</v>
      </c>
      <c r="AE22" s="40">
        <f t="shared" si="14"/>
        <v>529</v>
      </c>
      <c r="AF22" s="40">
        <f t="shared" si="14"/>
        <v>1349</v>
      </c>
    </row>
    <row r="23" spans="2:32" ht="23.1" customHeight="1" x14ac:dyDescent="0.25">
      <c r="B23" s="23" t="s">
        <v>50</v>
      </c>
      <c r="C23" s="50">
        <v>53</v>
      </c>
      <c r="D23" s="50">
        <v>16</v>
      </c>
      <c r="E23" s="50">
        <v>4</v>
      </c>
      <c r="F23" s="50">
        <v>53</v>
      </c>
      <c r="G23" s="50">
        <v>1</v>
      </c>
      <c r="H23" s="50">
        <v>0</v>
      </c>
      <c r="I23" s="50">
        <v>7</v>
      </c>
      <c r="J23" s="50">
        <v>3</v>
      </c>
      <c r="K23" s="50">
        <v>1</v>
      </c>
      <c r="L23" s="50">
        <v>1</v>
      </c>
      <c r="M23" s="50">
        <v>137</v>
      </c>
      <c r="N23" s="50">
        <v>0</v>
      </c>
      <c r="O23" s="15">
        <f t="shared" si="0"/>
        <v>139</v>
      </c>
      <c r="P23" s="15">
        <f t="shared" si="1"/>
        <v>276</v>
      </c>
      <c r="R23" s="38" t="s">
        <v>91</v>
      </c>
      <c r="S23" s="39">
        <f>MAX(S13:S18)</f>
        <v>225</v>
      </c>
      <c r="T23" s="39">
        <f t="shared" ref="T23:AF23" si="15">MAX(T13:T18)</f>
        <v>66</v>
      </c>
      <c r="U23" s="39">
        <f t="shared" si="15"/>
        <v>27</v>
      </c>
      <c r="V23" s="39">
        <f t="shared" si="15"/>
        <v>183</v>
      </c>
      <c r="W23" s="39">
        <f t="shared" si="15"/>
        <v>6</v>
      </c>
      <c r="X23" s="39">
        <f t="shared" si="15"/>
        <v>5</v>
      </c>
      <c r="Y23" s="39">
        <f t="shared" si="15"/>
        <v>34</v>
      </c>
      <c r="Z23" s="39">
        <f t="shared" si="15"/>
        <v>32</v>
      </c>
      <c r="AA23" s="39">
        <f t="shared" si="15"/>
        <v>9</v>
      </c>
      <c r="AB23" s="39">
        <f t="shared" si="15"/>
        <v>17</v>
      </c>
      <c r="AC23" s="39">
        <f t="shared" si="15"/>
        <v>795</v>
      </c>
      <c r="AD23" s="39">
        <f t="shared" si="15"/>
        <v>0</v>
      </c>
      <c r="AE23" s="40">
        <f t="shared" si="15"/>
        <v>544</v>
      </c>
      <c r="AF23" s="40">
        <f t="shared" si="15"/>
        <v>1263</v>
      </c>
    </row>
    <row r="24" spans="2:32" ht="23.1" customHeight="1" x14ac:dyDescent="0.25">
      <c r="B24" s="23" t="s">
        <v>51</v>
      </c>
      <c r="C24" s="50">
        <v>43</v>
      </c>
      <c r="D24" s="50">
        <v>13</v>
      </c>
      <c r="E24" s="50">
        <v>6</v>
      </c>
      <c r="F24" s="50">
        <v>34</v>
      </c>
      <c r="G24" s="50">
        <v>0</v>
      </c>
      <c r="H24" s="50">
        <v>1</v>
      </c>
      <c r="I24" s="50">
        <v>10</v>
      </c>
      <c r="J24" s="50">
        <v>7</v>
      </c>
      <c r="K24" s="50">
        <v>1</v>
      </c>
      <c r="L24" s="50">
        <v>1</v>
      </c>
      <c r="M24" s="50">
        <v>219</v>
      </c>
      <c r="N24" s="50">
        <v>0</v>
      </c>
      <c r="O24" s="15">
        <f t="shared" si="0"/>
        <v>116</v>
      </c>
      <c r="P24" s="15">
        <f t="shared" si="1"/>
        <v>335</v>
      </c>
      <c r="R24" s="38" t="s">
        <v>92</v>
      </c>
      <c r="S24" s="39">
        <f>MAX(S19:S21)</f>
        <v>199</v>
      </c>
      <c r="T24" s="39">
        <f t="shared" ref="T24:AF24" si="16">MAX(T19:T21)</f>
        <v>63</v>
      </c>
      <c r="U24" s="39">
        <f t="shared" si="16"/>
        <v>24</v>
      </c>
      <c r="V24" s="39">
        <f t="shared" si="16"/>
        <v>201</v>
      </c>
      <c r="W24" s="39">
        <f t="shared" si="16"/>
        <v>7</v>
      </c>
      <c r="X24" s="39">
        <f t="shared" si="16"/>
        <v>7</v>
      </c>
      <c r="Y24" s="39">
        <f t="shared" si="16"/>
        <v>19</v>
      </c>
      <c r="Z24" s="39">
        <f t="shared" si="16"/>
        <v>19</v>
      </c>
      <c r="AA24" s="39">
        <f t="shared" si="16"/>
        <v>7</v>
      </c>
      <c r="AB24" s="39">
        <f t="shared" si="16"/>
        <v>11</v>
      </c>
      <c r="AC24" s="39">
        <f t="shared" si="16"/>
        <v>583</v>
      </c>
      <c r="AD24" s="39">
        <f t="shared" si="16"/>
        <v>0</v>
      </c>
      <c r="AE24" s="40">
        <f t="shared" si="16"/>
        <v>517</v>
      </c>
      <c r="AF24" s="40">
        <f t="shared" si="16"/>
        <v>1100</v>
      </c>
    </row>
    <row r="25" spans="2:32" ht="23.1" customHeight="1" x14ac:dyDescent="0.25">
      <c r="B25" s="23" t="s">
        <v>52</v>
      </c>
      <c r="C25" s="50">
        <v>54</v>
      </c>
      <c r="D25" s="50">
        <v>11</v>
      </c>
      <c r="E25" s="50">
        <v>5</v>
      </c>
      <c r="F25" s="50">
        <v>41</v>
      </c>
      <c r="G25" s="50">
        <v>0</v>
      </c>
      <c r="H25" s="50">
        <v>0</v>
      </c>
      <c r="I25" s="50">
        <v>5</v>
      </c>
      <c r="J25" s="50">
        <v>2</v>
      </c>
      <c r="K25" s="50">
        <v>3</v>
      </c>
      <c r="L25" s="50">
        <v>1</v>
      </c>
      <c r="M25" s="50">
        <v>201</v>
      </c>
      <c r="N25" s="50">
        <v>0</v>
      </c>
      <c r="O25" s="15">
        <f t="shared" si="0"/>
        <v>122</v>
      </c>
      <c r="P25" s="15">
        <f t="shared" si="1"/>
        <v>323</v>
      </c>
      <c r="R25" s="37" t="s">
        <v>85</v>
      </c>
      <c r="S25" s="35">
        <f t="shared" ref="S25:AF25" si="17">SUM(S10:S12)</f>
        <v>549</v>
      </c>
      <c r="T25" s="16">
        <f t="shared" si="17"/>
        <v>88</v>
      </c>
      <c r="U25" s="16">
        <f t="shared" si="17"/>
        <v>57</v>
      </c>
      <c r="V25" s="16">
        <f t="shared" si="17"/>
        <v>627</v>
      </c>
      <c r="W25" s="16">
        <f t="shared" si="17"/>
        <v>17</v>
      </c>
      <c r="X25" s="16">
        <f t="shared" si="17"/>
        <v>0</v>
      </c>
      <c r="Y25" s="16">
        <f t="shared" si="17"/>
        <v>78</v>
      </c>
      <c r="Z25" s="16">
        <f t="shared" si="17"/>
        <v>52</v>
      </c>
      <c r="AA25" s="16">
        <f t="shared" si="17"/>
        <v>21</v>
      </c>
      <c r="AB25" s="16">
        <f t="shared" si="17"/>
        <v>10</v>
      </c>
      <c r="AC25" s="16">
        <f t="shared" si="17"/>
        <v>2341</v>
      </c>
      <c r="AD25" s="16">
        <f t="shared" si="17"/>
        <v>0</v>
      </c>
      <c r="AE25" s="32">
        <f t="shared" si="17"/>
        <v>1499</v>
      </c>
      <c r="AF25" s="32">
        <f t="shared" si="17"/>
        <v>3840</v>
      </c>
    </row>
    <row r="26" spans="2:32" ht="23.1" customHeight="1" x14ac:dyDescent="0.25">
      <c r="B26" s="23" t="s">
        <v>53</v>
      </c>
      <c r="C26" s="50">
        <v>40</v>
      </c>
      <c r="D26" s="50">
        <v>9</v>
      </c>
      <c r="E26" s="50">
        <v>4</v>
      </c>
      <c r="F26" s="50">
        <v>26</v>
      </c>
      <c r="G26" s="50">
        <v>1</v>
      </c>
      <c r="H26" s="50">
        <v>0</v>
      </c>
      <c r="I26" s="50">
        <v>2</v>
      </c>
      <c r="J26" s="50">
        <v>1</v>
      </c>
      <c r="K26" s="50">
        <v>1</v>
      </c>
      <c r="L26" s="50">
        <v>0</v>
      </c>
      <c r="M26" s="50">
        <v>181</v>
      </c>
      <c r="N26" s="50">
        <v>0</v>
      </c>
      <c r="O26" s="15">
        <f t="shared" si="0"/>
        <v>84</v>
      </c>
      <c r="P26" s="15">
        <f t="shared" si="1"/>
        <v>265</v>
      </c>
      <c r="R26" s="28" t="s">
        <v>86</v>
      </c>
      <c r="S26" s="16">
        <f t="shared" ref="S26:AF26" si="18">SUM(S13:S18)</f>
        <v>1121</v>
      </c>
      <c r="T26" s="16">
        <f t="shared" si="18"/>
        <v>336</v>
      </c>
      <c r="U26" s="16">
        <f t="shared" si="18"/>
        <v>124</v>
      </c>
      <c r="V26" s="16">
        <f t="shared" si="18"/>
        <v>973</v>
      </c>
      <c r="W26" s="16">
        <f t="shared" si="18"/>
        <v>24</v>
      </c>
      <c r="X26" s="16">
        <f t="shared" si="18"/>
        <v>14</v>
      </c>
      <c r="Y26" s="16">
        <f t="shared" si="18"/>
        <v>150</v>
      </c>
      <c r="Z26" s="16">
        <f t="shared" si="18"/>
        <v>116</v>
      </c>
      <c r="AA26" s="16">
        <f t="shared" si="18"/>
        <v>34</v>
      </c>
      <c r="AB26" s="16">
        <f t="shared" si="18"/>
        <v>32</v>
      </c>
      <c r="AC26" s="16">
        <f t="shared" si="18"/>
        <v>3775</v>
      </c>
      <c r="AD26" s="16">
        <f t="shared" si="18"/>
        <v>0</v>
      </c>
      <c r="AE26" s="32">
        <f t="shared" si="18"/>
        <v>2924</v>
      </c>
      <c r="AF26" s="32">
        <f t="shared" si="18"/>
        <v>6699</v>
      </c>
    </row>
    <row r="27" spans="2:32" ht="23.1" customHeight="1" x14ac:dyDescent="0.25">
      <c r="B27" s="23" t="s">
        <v>54</v>
      </c>
      <c r="C27" s="50">
        <v>49</v>
      </c>
      <c r="D27" s="50">
        <v>12</v>
      </c>
      <c r="E27" s="50">
        <v>6</v>
      </c>
      <c r="F27" s="50">
        <v>38</v>
      </c>
      <c r="G27" s="50">
        <v>2</v>
      </c>
      <c r="H27" s="50">
        <v>0</v>
      </c>
      <c r="I27" s="50">
        <v>7</v>
      </c>
      <c r="J27" s="50">
        <v>5</v>
      </c>
      <c r="K27" s="50">
        <v>2</v>
      </c>
      <c r="L27" s="50">
        <v>1</v>
      </c>
      <c r="M27" s="50">
        <v>241</v>
      </c>
      <c r="N27" s="50">
        <v>0</v>
      </c>
      <c r="O27" s="15">
        <f t="shared" si="0"/>
        <v>122</v>
      </c>
      <c r="P27" s="15">
        <f t="shared" si="1"/>
        <v>363</v>
      </c>
      <c r="R27" s="29" t="s">
        <v>87</v>
      </c>
      <c r="S27" s="16">
        <f t="shared" ref="S27:AF27" si="19">SUM(S19:S21)</f>
        <v>550</v>
      </c>
      <c r="T27" s="16">
        <f t="shared" si="19"/>
        <v>175</v>
      </c>
      <c r="U27" s="16">
        <f t="shared" si="19"/>
        <v>59</v>
      </c>
      <c r="V27" s="16">
        <f t="shared" si="19"/>
        <v>559</v>
      </c>
      <c r="W27" s="16">
        <f t="shared" si="19"/>
        <v>15</v>
      </c>
      <c r="X27" s="16">
        <f t="shared" si="19"/>
        <v>13</v>
      </c>
      <c r="Y27" s="16">
        <f t="shared" si="19"/>
        <v>56</v>
      </c>
      <c r="Z27" s="16">
        <f t="shared" si="19"/>
        <v>49</v>
      </c>
      <c r="AA27" s="16">
        <f t="shared" si="19"/>
        <v>18</v>
      </c>
      <c r="AB27" s="16">
        <f t="shared" si="19"/>
        <v>26</v>
      </c>
      <c r="AC27" s="16">
        <f t="shared" si="19"/>
        <v>1535</v>
      </c>
      <c r="AD27" s="16">
        <f t="shared" si="19"/>
        <v>0</v>
      </c>
      <c r="AE27" s="32">
        <f t="shared" si="19"/>
        <v>1520</v>
      </c>
      <c r="AF27" s="32">
        <f t="shared" si="19"/>
        <v>3055</v>
      </c>
    </row>
    <row r="28" spans="2:32" ht="23.1" customHeight="1" x14ac:dyDescent="0.25">
      <c r="B28" s="23" t="s">
        <v>55</v>
      </c>
      <c r="C28" s="50">
        <v>50</v>
      </c>
      <c r="D28" s="50">
        <v>18</v>
      </c>
      <c r="E28" s="50">
        <v>12</v>
      </c>
      <c r="F28" s="50">
        <v>27</v>
      </c>
      <c r="G28" s="50">
        <v>3</v>
      </c>
      <c r="H28" s="50">
        <v>0</v>
      </c>
      <c r="I28" s="50">
        <v>7</v>
      </c>
      <c r="J28" s="50">
        <v>6</v>
      </c>
      <c r="K28" s="50">
        <v>1</v>
      </c>
      <c r="L28" s="50">
        <v>1</v>
      </c>
      <c r="M28" s="50">
        <v>222</v>
      </c>
      <c r="N28" s="50">
        <v>0</v>
      </c>
      <c r="O28" s="15">
        <f t="shared" si="0"/>
        <v>125</v>
      </c>
      <c r="P28" s="15">
        <f t="shared" si="1"/>
        <v>347</v>
      </c>
      <c r="R28" s="5" t="s">
        <v>17</v>
      </c>
      <c r="S28" s="16">
        <f t="shared" ref="S28:AF28" si="20">SUM(S10:S21)</f>
        <v>2220</v>
      </c>
      <c r="T28" s="16">
        <f t="shared" si="20"/>
        <v>599</v>
      </c>
      <c r="U28" s="16">
        <f t="shared" si="20"/>
        <v>240</v>
      </c>
      <c r="V28" s="16">
        <f t="shared" si="20"/>
        <v>2159</v>
      </c>
      <c r="W28" s="16">
        <f t="shared" si="20"/>
        <v>56</v>
      </c>
      <c r="X28" s="16">
        <f t="shared" si="20"/>
        <v>27</v>
      </c>
      <c r="Y28" s="16">
        <f t="shared" si="20"/>
        <v>284</v>
      </c>
      <c r="Z28" s="16">
        <f t="shared" si="20"/>
        <v>217</v>
      </c>
      <c r="AA28" s="16">
        <f t="shared" si="20"/>
        <v>73</v>
      </c>
      <c r="AB28" s="16">
        <f t="shared" si="20"/>
        <v>68</v>
      </c>
      <c r="AC28" s="16">
        <f t="shared" si="20"/>
        <v>7651</v>
      </c>
      <c r="AD28" s="16">
        <f t="shared" si="20"/>
        <v>0</v>
      </c>
      <c r="AE28" s="32">
        <f t="shared" si="20"/>
        <v>5943</v>
      </c>
      <c r="AF28" s="32">
        <f t="shared" si="20"/>
        <v>13594</v>
      </c>
    </row>
    <row r="29" spans="2:32" ht="23.1" customHeight="1" x14ac:dyDescent="0.25">
      <c r="B29" s="23" t="s">
        <v>56</v>
      </c>
      <c r="C29" s="50">
        <v>49</v>
      </c>
      <c r="D29" s="50">
        <v>12</v>
      </c>
      <c r="E29" s="50">
        <v>5</v>
      </c>
      <c r="F29" s="50">
        <v>53</v>
      </c>
      <c r="G29" s="50">
        <v>0</v>
      </c>
      <c r="H29" s="50">
        <v>0</v>
      </c>
      <c r="I29" s="50">
        <v>6</v>
      </c>
      <c r="J29" s="50">
        <v>8</v>
      </c>
      <c r="K29" s="50">
        <v>0</v>
      </c>
      <c r="L29" s="50">
        <v>3</v>
      </c>
      <c r="M29" s="50">
        <v>151</v>
      </c>
      <c r="N29" s="50">
        <v>0</v>
      </c>
      <c r="O29" s="15">
        <f t="shared" si="0"/>
        <v>136</v>
      </c>
      <c r="P29" s="15">
        <f t="shared" si="1"/>
        <v>287</v>
      </c>
      <c r="R29"/>
      <c r="S29" s="20"/>
      <c r="T29" s="19"/>
    </row>
    <row r="30" spans="2:32" ht="23.1" customHeight="1" x14ac:dyDescent="0.25">
      <c r="B30" s="23" t="s">
        <v>57</v>
      </c>
      <c r="C30" s="50">
        <v>37</v>
      </c>
      <c r="D30" s="50">
        <v>18</v>
      </c>
      <c r="E30" s="50">
        <v>3</v>
      </c>
      <c r="F30" s="50">
        <v>38</v>
      </c>
      <c r="G30" s="50">
        <v>1</v>
      </c>
      <c r="H30" s="50">
        <v>0</v>
      </c>
      <c r="I30" s="50">
        <v>8</v>
      </c>
      <c r="J30" s="50">
        <v>7</v>
      </c>
      <c r="K30" s="50">
        <v>2</v>
      </c>
      <c r="L30" s="50">
        <v>1</v>
      </c>
      <c r="M30" s="50">
        <v>207</v>
      </c>
      <c r="N30" s="50">
        <v>0</v>
      </c>
      <c r="O30" s="15">
        <f t="shared" si="0"/>
        <v>115</v>
      </c>
      <c r="P30" s="15">
        <f t="shared" si="1"/>
        <v>322</v>
      </c>
    </row>
    <row r="31" spans="2:32" ht="23.1" customHeight="1" x14ac:dyDescent="0.25">
      <c r="B31" s="24" t="s">
        <v>58</v>
      </c>
      <c r="C31" s="50">
        <v>58</v>
      </c>
      <c r="D31" s="50">
        <v>13</v>
      </c>
      <c r="E31" s="50">
        <v>4</v>
      </c>
      <c r="F31" s="50">
        <v>48</v>
      </c>
      <c r="G31" s="50">
        <v>0</v>
      </c>
      <c r="H31" s="50">
        <v>1</v>
      </c>
      <c r="I31" s="50">
        <v>3</v>
      </c>
      <c r="J31" s="50">
        <v>8</v>
      </c>
      <c r="K31" s="50">
        <v>2</v>
      </c>
      <c r="L31" s="50">
        <v>1</v>
      </c>
      <c r="M31" s="50">
        <v>214</v>
      </c>
      <c r="N31" s="50">
        <v>0</v>
      </c>
      <c r="O31" s="15">
        <f t="shared" si="0"/>
        <v>138</v>
      </c>
      <c r="P31" s="15">
        <f t="shared" si="1"/>
        <v>352</v>
      </c>
    </row>
    <row r="32" spans="2:32" ht="23.1" customHeight="1" x14ac:dyDescent="0.25">
      <c r="B32" s="24" t="s">
        <v>59</v>
      </c>
      <c r="C32" s="50">
        <v>26</v>
      </c>
      <c r="D32" s="50">
        <v>14</v>
      </c>
      <c r="E32" s="50">
        <v>4</v>
      </c>
      <c r="F32" s="50">
        <v>32</v>
      </c>
      <c r="G32" s="50">
        <v>3</v>
      </c>
      <c r="H32" s="50">
        <v>0</v>
      </c>
      <c r="I32" s="50">
        <v>11</v>
      </c>
      <c r="J32" s="50">
        <v>2</v>
      </c>
      <c r="K32" s="50">
        <v>3</v>
      </c>
      <c r="L32" s="50">
        <v>1</v>
      </c>
      <c r="M32" s="50">
        <v>103</v>
      </c>
      <c r="N32" s="50">
        <v>0</v>
      </c>
      <c r="O32" s="15">
        <f t="shared" si="0"/>
        <v>96</v>
      </c>
      <c r="P32" s="15">
        <f t="shared" si="1"/>
        <v>199</v>
      </c>
    </row>
    <row r="33" spans="2:20" ht="23.1" customHeight="1" x14ac:dyDescent="0.25">
      <c r="B33" s="23" t="s">
        <v>60</v>
      </c>
      <c r="C33" s="50">
        <v>38</v>
      </c>
      <c r="D33" s="50">
        <v>11</v>
      </c>
      <c r="E33" s="50">
        <v>2</v>
      </c>
      <c r="F33" s="50">
        <v>25</v>
      </c>
      <c r="G33" s="50">
        <v>1</v>
      </c>
      <c r="H33" s="50">
        <v>0</v>
      </c>
      <c r="I33" s="50">
        <v>6</v>
      </c>
      <c r="J33" s="50">
        <v>10</v>
      </c>
      <c r="K33" s="50">
        <v>2</v>
      </c>
      <c r="L33" s="50">
        <v>0</v>
      </c>
      <c r="M33" s="50">
        <v>164</v>
      </c>
      <c r="N33" s="50">
        <v>0</v>
      </c>
      <c r="O33" s="15">
        <f t="shared" si="0"/>
        <v>95</v>
      </c>
      <c r="P33" s="15">
        <f t="shared" si="1"/>
        <v>259</v>
      </c>
    </row>
    <row r="34" spans="2:20" ht="23.1" customHeight="1" x14ac:dyDescent="0.25">
      <c r="B34" s="24" t="s">
        <v>61</v>
      </c>
      <c r="C34" s="50">
        <v>64</v>
      </c>
      <c r="D34" s="50">
        <v>18</v>
      </c>
      <c r="E34" s="50">
        <v>8</v>
      </c>
      <c r="F34" s="50">
        <v>49</v>
      </c>
      <c r="G34" s="50">
        <v>0</v>
      </c>
      <c r="H34" s="50">
        <v>0</v>
      </c>
      <c r="I34" s="50">
        <v>5</v>
      </c>
      <c r="J34" s="50">
        <v>3</v>
      </c>
      <c r="K34" s="50">
        <v>0</v>
      </c>
      <c r="L34" s="50">
        <v>1</v>
      </c>
      <c r="M34" s="50">
        <v>105</v>
      </c>
      <c r="N34" s="50">
        <v>0</v>
      </c>
      <c r="O34" s="15">
        <f t="shared" si="0"/>
        <v>148</v>
      </c>
      <c r="P34" s="15">
        <f t="shared" si="1"/>
        <v>253</v>
      </c>
    </row>
    <row r="35" spans="2:20" ht="23.1" customHeight="1" x14ac:dyDescent="0.25">
      <c r="B35" s="24" t="s">
        <v>62</v>
      </c>
      <c r="C35" s="50">
        <v>46</v>
      </c>
      <c r="D35" s="50">
        <v>11</v>
      </c>
      <c r="E35" s="50">
        <v>4</v>
      </c>
      <c r="F35" s="50">
        <v>35</v>
      </c>
      <c r="G35" s="50">
        <v>0</v>
      </c>
      <c r="H35" s="50">
        <v>2</v>
      </c>
      <c r="I35" s="50">
        <v>2</v>
      </c>
      <c r="J35" s="50">
        <v>8</v>
      </c>
      <c r="K35" s="50">
        <v>1</v>
      </c>
      <c r="L35" s="50">
        <v>0</v>
      </c>
      <c r="M35" s="50">
        <v>150</v>
      </c>
      <c r="N35" s="50">
        <v>0</v>
      </c>
      <c r="O35" s="15">
        <f t="shared" si="0"/>
        <v>109</v>
      </c>
      <c r="P35" s="15">
        <f t="shared" si="1"/>
        <v>259</v>
      </c>
    </row>
    <row r="36" spans="2:20" ht="23.1" customHeight="1" x14ac:dyDescent="0.25">
      <c r="B36" s="24" t="s">
        <v>63</v>
      </c>
      <c r="C36" s="50">
        <v>58</v>
      </c>
      <c r="D36" s="50">
        <v>13</v>
      </c>
      <c r="E36" s="50">
        <v>1</v>
      </c>
      <c r="F36" s="50">
        <v>48</v>
      </c>
      <c r="G36" s="50">
        <v>1</v>
      </c>
      <c r="H36" s="50">
        <v>1</v>
      </c>
      <c r="I36" s="50">
        <v>4</v>
      </c>
      <c r="J36" s="50">
        <v>13</v>
      </c>
      <c r="K36" s="50">
        <v>2</v>
      </c>
      <c r="L36" s="50">
        <v>1</v>
      </c>
      <c r="M36" s="50">
        <v>123</v>
      </c>
      <c r="N36" s="50">
        <v>0</v>
      </c>
      <c r="O36" s="15">
        <f t="shared" si="0"/>
        <v>142</v>
      </c>
      <c r="P36" s="15">
        <f t="shared" si="1"/>
        <v>265</v>
      </c>
    </row>
    <row r="37" spans="2:20" ht="23.1" customHeight="1" x14ac:dyDescent="0.25">
      <c r="B37" s="23" t="s">
        <v>64</v>
      </c>
      <c r="C37" s="50">
        <v>57</v>
      </c>
      <c r="D37" s="50">
        <v>16</v>
      </c>
      <c r="E37" s="50">
        <v>5</v>
      </c>
      <c r="F37" s="50">
        <v>51</v>
      </c>
      <c r="G37" s="50">
        <v>1</v>
      </c>
      <c r="H37" s="50">
        <v>0</v>
      </c>
      <c r="I37" s="50">
        <v>4</v>
      </c>
      <c r="J37" s="50">
        <v>8</v>
      </c>
      <c r="K37" s="50">
        <v>3</v>
      </c>
      <c r="L37" s="50">
        <v>0</v>
      </c>
      <c r="M37" s="50">
        <v>112</v>
      </c>
      <c r="N37" s="50">
        <v>0</v>
      </c>
      <c r="O37" s="15">
        <f t="shared" si="0"/>
        <v>145</v>
      </c>
      <c r="P37" s="15">
        <f t="shared" si="1"/>
        <v>257</v>
      </c>
    </row>
    <row r="38" spans="2:20" ht="23.1" customHeight="1" x14ac:dyDescent="0.25">
      <c r="B38" s="24" t="s">
        <v>65</v>
      </c>
      <c r="C38" s="50">
        <v>40</v>
      </c>
      <c r="D38" s="50">
        <v>20</v>
      </c>
      <c r="E38" s="50">
        <v>5</v>
      </c>
      <c r="F38" s="50">
        <v>46</v>
      </c>
      <c r="G38" s="50">
        <v>0</v>
      </c>
      <c r="H38" s="50">
        <v>1</v>
      </c>
      <c r="I38" s="50">
        <v>9</v>
      </c>
      <c r="J38" s="50">
        <v>3</v>
      </c>
      <c r="K38" s="50">
        <v>1</v>
      </c>
      <c r="L38" s="50">
        <v>11</v>
      </c>
      <c r="M38" s="50">
        <v>155</v>
      </c>
      <c r="N38" s="50">
        <v>0</v>
      </c>
      <c r="O38" s="15">
        <f t="shared" si="0"/>
        <v>136</v>
      </c>
      <c r="P38" s="15">
        <f t="shared" si="1"/>
        <v>291</v>
      </c>
    </row>
    <row r="39" spans="2:20" ht="23.1" customHeight="1" x14ac:dyDescent="0.25">
      <c r="B39" s="24" t="s">
        <v>66</v>
      </c>
      <c r="C39" s="50">
        <v>36</v>
      </c>
      <c r="D39" s="50">
        <v>15</v>
      </c>
      <c r="E39" s="50">
        <v>3</v>
      </c>
      <c r="F39" s="50">
        <v>35</v>
      </c>
      <c r="G39" s="50">
        <v>4</v>
      </c>
      <c r="H39" s="50">
        <v>0</v>
      </c>
      <c r="I39" s="50">
        <v>7</v>
      </c>
      <c r="J39" s="50">
        <v>2</v>
      </c>
      <c r="K39" s="50">
        <v>0</v>
      </c>
      <c r="L39" s="50">
        <v>1</v>
      </c>
      <c r="M39" s="50">
        <v>135</v>
      </c>
      <c r="N39" s="50">
        <v>0</v>
      </c>
      <c r="O39" s="15">
        <f t="shared" si="0"/>
        <v>103</v>
      </c>
      <c r="P39" s="15">
        <f t="shared" si="1"/>
        <v>238</v>
      </c>
    </row>
    <row r="40" spans="2:20" ht="23.1" customHeight="1" x14ac:dyDescent="0.25">
      <c r="B40" s="24" t="s">
        <v>67</v>
      </c>
      <c r="C40" s="50">
        <v>25</v>
      </c>
      <c r="D40" s="50">
        <v>9</v>
      </c>
      <c r="E40" s="50">
        <v>11</v>
      </c>
      <c r="F40" s="50">
        <v>31</v>
      </c>
      <c r="G40" s="50">
        <v>1</v>
      </c>
      <c r="H40" s="50">
        <v>2</v>
      </c>
      <c r="I40" s="50">
        <v>3</v>
      </c>
      <c r="J40" s="50">
        <v>2</v>
      </c>
      <c r="K40" s="50">
        <v>1</v>
      </c>
      <c r="L40" s="50">
        <v>4</v>
      </c>
      <c r="M40" s="50">
        <v>105</v>
      </c>
      <c r="N40" s="50">
        <v>0</v>
      </c>
      <c r="O40" s="15">
        <f t="shared" si="0"/>
        <v>89</v>
      </c>
      <c r="P40" s="15">
        <f t="shared" si="1"/>
        <v>194</v>
      </c>
    </row>
    <row r="41" spans="2:20" ht="23.1" customHeight="1" x14ac:dyDescent="0.25">
      <c r="B41" s="23" t="s">
        <v>68</v>
      </c>
      <c r="C41" s="50">
        <v>47</v>
      </c>
      <c r="D41" s="50">
        <v>9</v>
      </c>
      <c r="E41" s="50">
        <v>8</v>
      </c>
      <c r="F41" s="50">
        <v>50</v>
      </c>
      <c r="G41" s="50">
        <v>0</v>
      </c>
      <c r="H41" s="50">
        <v>2</v>
      </c>
      <c r="I41" s="50">
        <v>6</v>
      </c>
      <c r="J41" s="50">
        <v>3</v>
      </c>
      <c r="K41" s="50">
        <v>0</v>
      </c>
      <c r="L41" s="50">
        <v>1</v>
      </c>
      <c r="M41" s="50">
        <v>151</v>
      </c>
      <c r="N41" s="50">
        <v>0</v>
      </c>
      <c r="O41" s="15">
        <f t="shared" si="0"/>
        <v>126</v>
      </c>
      <c r="P41" s="15">
        <f t="shared" si="1"/>
        <v>277</v>
      </c>
    </row>
    <row r="42" spans="2:20" ht="23.1" customHeight="1" x14ac:dyDescent="0.25">
      <c r="B42" s="24" t="s">
        <v>69</v>
      </c>
      <c r="C42" s="50">
        <v>49</v>
      </c>
      <c r="D42" s="50">
        <v>17</v>
      </c>
      <c r="E42" s="50">
        <v>1</v>
      </c>
      <c r="F42" s="50">
        <v>41</v>
      </c>
      <c r="G42" s="50">
        <v>2</v>
      </c>
      <c r="H42" s="50">
        <v>1</v>
      </c>
      <c r="I42" s="50">
        <v>9</v>
      </c>
      <c r="J42" s="50">
        <v>2</v>
      </c>
      <c r="K42" s="50">
        <v>4</v>
      </c>
      <c r="L42" s="50">
        <v>1</v>
      </c>
      <c r="M42" s="50">
        <v>130</v>
      </c>
      <c r="N42" s="50">
        <v>0</v>
      </c>
      <c r="O42" s="15">
        <f t="shared" si="0"/>
        <v>127</v>
      </c>
      <c r="P42" s="15">
        <f t="shared" si="1"/>
        <v>257</v>
      </c>
    </row>
    <row r="43" spans="2:20" ht="23.1" customHeight="1" x14ac:dyDescent="0.25">
      <c r="B43" s="23" t="s">
        <v>70</v>
      </c>
      <c r="C43" s="50">
        <v>58</v>
      </c>
      <c r="D43" s="50">
        <v>12</v>
      </c>
      <c r="E43" s="50">
        <v>5</v>
      </c>
      <c r="F43" s="50">
        <v>47</v>
      </c>
      <c r="G43" s="50">
        <v>0</v>
      </c>
      <c r="H43" s="50">
        <v>2</v>
      </c>
      <c r="I43" s="50">
        <v>4</v>
      </c>
      <c r="J43" s="50">
        <v>5</v>
      </c>
      <c r="K43" s="50">
        <v>4</v>
      </c>
      <c r="L43" s="50">
        <v>1</v>
      </c>
      <c r="M43" s="50">
        <v>137</v>
      </c>
      <c r="N43" s="50">
        <v>0</v>
      </c>
      <c r="O43" s="15">
        <f t="shared" si="0"/>
        <v>138</v>
      </c>
      <c r="P43" s="15">
        <f t="shared" si="1"/>
        <v>275</v>
      </c>
    </row>
    <row r="44" spans="2:20" ht="23.1" customHeight="1" x14ac:dyDescent="0.25">
      <c r="B44" s="25" t="s">
        <v>71</v>
      </c>
      <c r="C44" s="50">
        <v>54</v>
      </c>
      <c r="D44" s="50">
        <v>17</v>
      </c>
      <c r="E44" s="50">
        <v>6</v>
      </c>
      <c r="F44" s="50">
        <v>51</v>
      </c>
      <c r="G44" s="50">
        <v>2</v>
      </c>
      <c r="H44" s="50">
        <v>1</v>
      </c>
      <c r="I44" s="50">
        <v>14</v>
      </c>
      <c r="J44" s="50">
        <v>1</v>
      </c>
      <c r="K44" s="50">
        <v>0</v>
      </c>
      <c r="L44" s="50">
        <v>0</v>
      </c>
      <c r="M44" s="50">
        <v>80</v>
      </c>
      <c r="N44" s="50">
        <v>0</v>
      </c>
      <c r="O44" s="15">
        <f t="shared" si="0"/>
        <v>146</v>
      </c>
      <c r="P44" s="15">
        <f t="shared" si="1"/>
        <v>226</v>
      </c>
    </row>
    <row r="45" spans="2:20" ht="23.1" customHeight="1" x14ac:dyDescent="0.25">
      <c r="B45" s="23" t="s">
        <v>72</v>
      </c>
      <c r="C45" s="50">
        <v>33</v>
      </c>
      <c r="D45" s="50">
        <v>20</v>
      </c>
      <c r="E45" s="50">
        <v>6</v>
      </c>
      <c r="F45" s="50">
        <v>31</v>
      </c>
      <c r="G45" s="50">
        <v>0</v>
      </c>
      <c r="H45" s="50">
        <v>0</v>
      </c>
      <c r="I45" s="50">
        <v>7</v>
      </c>
      <c r="J45" s="50">
        <v>2</v>
      </c>
      <c r="K45" s="50">
        <v>0</v>
      </c>
      <c r="L45" s="50">
        <v>0</v>
      </c>
      <c r="M45" s="50">
        <v>151</v>
      </c>
      <c r="N45" s="50">
        <v>0</v>
      </c>
      <c r="O45" s="15">
        <f t="shared" si="0"/>
        <v>99</v>
      </c>
      <c r="P45" s="15">
        <f t="shared" si="1"/>
        <v>250</v>
      </c>
    </row>
    <row r="46" spans="2:20" ht="23.1" customHeight="1" x14ac:dyDescent="0.25">
      <c r="B46" s="24" t="s">
        <v>73</v>
      </c>
      <c r="C46" s="50">
        <v>43</v>
      </c>
      <c r="D46" s="50">
        <v>17</v>
      </c>
      <c r="E46" s="50">
        <v>6</v>
      </c>
      <c r="F46" s="50">
        <v>48</v>
      </c>
      <c r="G46" s="50">
        <v>1</v>
      </c>
      <c r="H46" s="50">
        <v>1</v>
      </c>
      <c r="I46" s="50">
        <v>3</v>
      </c>
      <c r="J46" s="50">
        <v>1</v>
      </c>
      <c r="K46" s="50">
        <v>0</v>
      </c>
      <c r="L46" s="50">
        <v>0</v>
      </c>
      <c r="M46" s="50">
        <v>170</v>
      </c>
      <c r="N46" s="50">
        <v>0</v>
      </c>
      <c r="O46" s="15">
        <f t="shared" si="0"/>
        <v>120</v>
      </c>
      <c r="P46" s="15">
        <f t="shared" si="1"/>
        <v>290</v>
      </c>
      <c r="R46" s="8"/>
      <c r="T46"/>
    </row>
    <row r="47" spans="2:20" ht="23.1" customHeight="1" x14ac:dyDescent="0.25">
      <c r="B47" s="24" t="s">
        <v>74</v>
      </c>
      <c r="C47" s="50">
        <v>45</v>
      </c>
      <c r="D47" s="50">
        <v>10</v>
      </c>
      <c r="E47" s="50">
        <v>5</v>
      </c>
      <c r="F47" s="50">
        <v>31</v>
      </c>
      <c r="G47" s="50">
        <v>0</v>
      </c>
      <c r="H47" s="50">
        <v>0</v>
      </c>
      <c r="I47" s="50">
        <v>6</v>
      </c>
      <c r="J47" s="50">
        <v>6</v>
      </c>
      <c r="K47" s="50">
        <v>0</v>
      </c>
      <c r="L47" s="50">
        <v>2</v>
      </c>
      <c r="M47" s="50">
        <v>159</v>
      </c>
      <c r="N47" s="50">
        <v>0</v>
      </c>
      <c r="O47" s="15">
        <f t="shared" si="0"/>
        <v>105</v>
      </c>
      <c r="P47" s="15">
        <f t="shared" si="1"/>
        <v>264</v>
      </c>
      <c r="R47" s="8"/>
      <c r="T47"/>
    </row>
    <row r="48" spans="2:20" ht="23.1" customHeight="1" x14ac:dyDescent="0.25">
      <c r="B48" s="24" t="s">
        <v>75</v>
      </c>
      <c r="C48" s="50">
        <v>58</v>
      </c>
      <c r="D48" s="50">
        <v>19</v>
      </c>
      <c r="E48" s="50">
        <v>8</v>
      </c>
      <c r="F48" s="50">
        <v>47</v>
      </c>
      <c r="G48" s="50">
        <v>2</v>
      </c>
      <c r="H48" s="50">
        <v>2</v>
      </c>
      <c r="I48" s="50">
        <v>5</v>
      </c>
      <c r="J48" s="50">
        <v>5</v>
      </c>
      <c r="K48" s="50">
        <v>2</v>
      </c>
      <c r="L48" s="50">
        <v>3</v>
      </c>
      <c r="M48" s="50">
        <v>184</v>
      </c>
      <c r="N48" s="50">
        <v>0</v>
      </c>
      <c r="O48" s="15">
        <f t="shared" si="0"/>
        <v>151</v>
      </c>
      <c r="P48" s="15">
        <f t="shared" si="1"/>
        <v>335</v>
      </c>
      <c r="R48" s="8"/>
      <c r="T48"/>
    </row>
    <row r="49" spans="2:20" ht="23.1" customHeight="1" x14ac:dyDescent="0.25">
      <c r="B49" s="23" t="s">
        <v>76</v>
      </c>
      <c r="C49" s="50">
        <v>53</v>
      </c>
      <c r="D49" s="50">
        <v>17</v>
      </c>
      <c r="E49" s="50">
        <v>5</v>
      </c>
      <c r="F49" s="50">
        <v>43</v>
      </c>
      <c r="G49" s="50">
        <v>0</v>
      </c>
      <c r="H49" s="50">
        <v>4</v>
      </c>
      <c r="I49" s="50">
        <v>5</v>
      </c>
      <c r="J49" s="50">
        <v>7</v>
      </c>
      <c r="K49" s="50">
        <v>3</v>
      </c>
      <c r="L49" s="50">
        <v>4</v>
      </c>
      <c r="M49" s="50">
        <v>70</v>
      </c>
      <c r="N49" s="50">
        <v>0</v>
      </c>
      <c r="O49" s="15">
        <f t="shared" si="0"/>
        <v>141</v>
      </c>
      <c r="P49" s="15">
        <f t="shared" si="1"/>
        <v>211</v>
      </c>
      <c r="R49" s="8"/>
      <c r="T49"/>
    </row>
    <row r="50" spans="2:20" ht="23.1" customHeight="1" x14ac:dyDescent="0.25">
      <c r="B50" s="24" t="s">
        <v>77</v>
      </c>
      <c r="C50" s="50">
        <v>46</v>
      </c>
      <c r="D50" s="50">
        <v>17</v>
      </c>
      <c r="E50" s="50">
        <v>5</v>
      </c>
      <c r="F50" s="50">
        <v>57</v>
      </c>
      <c r="G50" s="50">
        <v>2</v>
      </c>
      <c r="H50" s="50">
        <v>2</v>
      </c>
      <c r="I50" s="50">
        <v>7</v>
      </c>
      <c r="J50" s="50">
        <v>3</v>
      </c>
      <c r="K50" s="50">
        <v>0</v>
      </c>
      <c r="L50" s="50">
        <v>4</v>
      </c>
      <c r="M50" s="50">
        <v>120</v>
      </c>
      <c r="N50" s="50">
        <v>0</v>
      </c>
      <c r="O50" s="15">
        <f t="shared" si="0"/>
        <v>143</v>
      </c>
      <c r="P50" s="15">
        <f t="shared" si="1"/>
        <v>263</v>
      </c>
      <c r="R50" s="8"/>
      <c r="T50"/>
    </row>
    <row r="51" spans="2:20" ht="23.1" customHeight="1" x14ac:dyDescent="0.25">
      <c r="B51" s="24" t="s">
        <v>78</v>
      </c>
      <c r="C51" s="50">
        <v>50</v>
      </c>
      <c r="D51" s="50">
        <v>19</v>
      </c>
      <c r="E51" s="50">
        <v>6</v>
      </c>
      <c r="F51" s="50">
        <v>45</v>
      </c>
      <c r="G51" s="50">
        <v>2</v>
      </c>
      <c r="H51" s="50">
        <v>0</v>
      </c>
      <c r="I51" s="50">
        <v>4</v>
      </c>
      <c r="J51" s="50">
        <v>6</v>
      </c>
      <c r="K51" s="50">
        <v>1</v>
      </c>
      <c r="L51" s="50">
        <v>3</v>
      </c>
      <c r="M51" s="50">
        <v>115</v>
      </c>
      <c r="N51" s="50">
        <v>0</v>
      </c>
      <c r="O51" s="15">
        <f t="shared" si="0"/>
        <v>136</v>
      </c>
      <c r="P51" s="15">
        <f t="shared" si="1"/>
        <v>251</v>
      </c>
      <c r="R51" s="8"/>
      <c r="T51"/>
    </row>
    <row r="52" spans="2:20" ht="23.1" customHeight="1" x14ac:dyDescent="0.25">
      <c r="B52" s="24" t="s">
        <v>79</v>
      </c>
      <c r="C52" s="50">
        <v>35</v>
      </c>
      <c r="D52" s="50">
        <v>11</v>
      </c>
      <c r="E52" s="50">
        <v>3</v>
      </c>
      <c r="F52" s="50">
        <v>52</v>
      </c>
      <c r="G52" s="50">
        <v>1</v>
      </c>
      <c r="H52" s="50">
        <v>0</v>
      </c>
      <c r="I52" s="50">
        <v>4</v>
      </c>
      <c r="J52" s="50">
        <v>2</v>
      </c>
      <c r="K52" s="50">
        <v>3</v>
      </c>
      <c r="L52" s="50">
        <v>2</v>
      </c>
      <c r="M52" s="50">
        <v>124</v>
      </c>
      <c r="N52" s="50">
        <v>0</v>
      </c>
      <c r="O52" s="15">
        <f t="shared" si="0"/>
        <v>113</v>
      </c>
      <c r="P52" s="15">
        <f t="shared" si="1"/>
        <v>237</v>
      </c>
      <c r="R52" s="8"/>
      <c r="T52"/>
    </row>
    <row r="53" spans="2:20" ht="23.1" customHeight="1" x14ac:dyDescent="0.25">
      <c r="B53" s="23" t="s">
        <v>80</v>
      </c>
      <c r="C53" s="50">
        <v>47</v>
      </c>
      <c r="D53" s="50">
        <v>9</v>
      </c>
      <c r="E53" s="50">
        <v>3</v>
      </c>
      <c r="F53" s="50">
        <v>47</v>
      </c>
      <c r="G53" s="50">
        <v>0</v>
      </c>
      <c r="H53" s="50">
        <v>0</v>
      </c>
      <c r="I53" s="50">
        <v>4</v>
      </c>
      <c r="J53" s="50">
        <v>1</v>
      </c>
      <c r="K53" s="50">
        <v>3</v>
      </c>
      <c r="L53" s="50">
        <v>2</v>
      </c>
      <c r="M53" s="50">
        <v>118</v>
      </c>
      <c r="N53" s="50">
        <v>0</v>
      </c>
      <c r="O53" s="15">
        <f t="shared" si="0"/>
        <v>116</v>
      </c>
      <c r="P53" s="15">
        <f t="shared" si="1"/>
        <v>234</v>
      </c>
      <c r="R53" s="8"/>
      <c r="T53"/>
    </row>
    <row r="54" spans="2:20" ht="23.1" customHeight="1" x14ac:dyDescent="0.25">
      <c r="B54" s="23" t="s">
        <v>81</v>
      </c>
      <c r="C54" s="50">
        <v>73</v>
      </c>
      <c r="D54" s="50">
        <v>19</v>
      </c>
      <c r="E54" s="50">
        <v>5</v>
      </c>
      <c r="F54" s="50">
        <v>53</v>
      </c>
      <c r="G54" s="50">
        <v>5</v>
      </c>
      <c r="H54" s="50">
        <v>0</v>
      </c>
      <c r="I54" s="50">
        <v>2</v>
      </c>
      <c r="J54" s="50">
        <v>8</v>
      </c>
      <c r="K54" s="50">
        <v>1</v>
      </c>
      <c r="L54" s="50">
        <v>2</v>
      </c>
      <c r="M54" s="50">
        <v>125</v>
      </c>
      <c r="N54" s="50">
        <v>0</v>
      </c>
      <c r="O54" s="15">
        <f t="shared" si="0"/>
        <v>168</v>
      </c>
      <c r="P54" s="15">
        <f t="shared" si="1"/>
        <v>293</v>
      </c>
      <c r="R54" s="8"/>
      <c r="T54"/>
    </row>
    <row r="55" spans="2:20" ht="23.1" customHeight="1" x14ac:dyDescent="0.25">
      <c r="B55" s="23" t="s">
        <v>82</v>
      </c>
      <c r="C55" s="50">
        <v>42</v>
      </c>
      <c r="D55" s="50">
        <v>17</v>
      </c>
      <c r="E55" s="50">
        <v>4</v>
      </c>
      <c r="F55" s="50">
        <v>39</v>
      </c>
      <c r="G55" s="50">
        <v>2</v>
      </c>
      <c r="H55" s="50">
        <v>2</v>
      </c>
      <c r="I55" s="50">
        <v>4</v>
      </c>
      <c r="J55" s="50">
        <v>4</v>
      </c>
      <c r="K55" s="50">
        <v>2</v>
      </c>
      <c r="L55" s="50">
        <v>1</v>
      </c>
      <c r="M55" s="50">
        <v>115</v>
      </c>
      <c r="N55" s="50">
        <v>0</v>
      </c>
      <c r="O55" s="15">
        <f t="shared" si="0"/>
        <v>117</v>
      </c>
      <c r="P55" s="15">
        <f t="shared" si="1"/>
        <v>232</v>
      </c>
      <c r="R55" s="8"/>
      <c r="T55"/>
    </row>
    <row r="56" spans="2:20" ht="23.1" customHeight="1" x14ac:dyDescent="0.25">
      <c r="B56" s="23" t="s">
        <v>83</v>
      </c>
      <c r="C56" s="50">
        <v>33</v>
      </c>
      <c r="D56" s="50">
        <v>12</v>
      </c>
      <c r="E56" s="50">
        <v>3</v>
      </c>
      <c r="F56" s="50">
        <v>44</v>
      </c>
      <c r="G56" s="50">
        <v>0</v>
      </c>
      <c r="H56" s="50">
        <v>0</v>
      </c>
      <c r="I56" s="50">
        <v>9</v>
      </c>
      <c r="J56" s="50">
        <v>5</v>
      </c>
      <c r="K56" s="50">
        <v>3</v>
      </c>
      <c r="L56" s="50">
        <v>2</v>
      </c>
      <c r="M56" s="50">
        <v>123</v>
      </c>
      <c r="N56" s="50">
        <v>0</v>
      </c>
      <c r="O56" s="15">
        <f t="shared" si="0"/>
        <v>111</v>
      </c>
      <c r="P56" s="15">
        <f t="shared" si="1"/>
        <v>234</v>
      </c>
      <c r="R56" s="8"/>
      <c r="T56"/>
    </row>
    <row r="57" spans="2:20" ht="23.1" customHeight="1" x14ac:dyDescent="0.25">
      <c r="B57" s="23" t="s">
        <v>84</v>
      </c>
      <c r="C57" s="50">
        <v>25</v>
      </c>
      <c r="D57" s="50">
        <v>8</v>
      </c>
      <c r="E57" s="50">
        <v>6</v>
      </c>
      <c r="F57" s="50">
        <v>53</v>
      </c>
      <c r="G57" s="50">
        <v>0</v>
      </c>
      <c r="H57" s="50">
        <v>2</v>
      </c>
      <c r="I57" s="50">
        <v>3</v>
      </c>
      <c r="J57" s="50">
        <v>1</v>
      </c>
      <c r="K57" s="50">
        <v>0</v>
      </c>
      <c r="L57" s="50">
        <v>1</v>
      </c>
      <c r="M57" s="50">
        <v>112</v>
      </c>
      <c r="N57" s="50">
        <v>0</v>
      </c>
      <c r="O57" s="15">
        <f t="shared" si="0"/>
        <v>99</v>
      </c>
      <c r="P57" s="15">
        <f t="shared" si="1"/>
        <v>211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2220</v>
      </c>
      <c r="D58" s="16">
        <f t="shared" si="21"/>
        <v>599</v>
      </c>
      <c r="E58" s="16">
        <f t="shared" si="21"/>
        <v>240</v>
      </c>
      <c r="F58" s="16">
        <f t="shared" si="21"/>
        <v>2159</v>
      </c>
      <c r="G58" s="16">
        <f t="shared" si="21"/>
        <v>56</v>
      </c>
      <c r="H58" s="16">
        <f t="shared" si="21"/>
        <v>27</v>
      </c>
      <c r="I58" s="16">
        <f t="shared" si="21"/>
        <v>284</v>
      </c>
      <c r="J58" s="16">
        <f t="shared" si="21"/>
        <v>217</v>
      </c>
      <c r="K58" s="16">
        <f t="shared" si="21"/>
        <v>73</v>
      </c>
      <c r="L58" s="16">
        <f t="shared" si="21"/>
        <v>68</v>
      </c>
      <c r="M58" s="16">
        <f t="shared" si="21"/>
        <v>7651</v>
      </c>
      <c r="N58" s="16">
        <f t="shared" si="21"/>
        <v>0</v>
      </c>
      <c r="O58" s="16">
        <f t="shared" si="21"/>
        <v>5943</v>
      </c>
      <c r="P58" s="16">
        <f t="shared" si="21"/>
        <v>13594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0.16330734147417977</v>
      </c>
      <c r="D59" s="43">
        <f t="shared" si="22"/>
        <v>4.4063557451816976E-2</v>
      </c>
      <c r="E59" s="43">
        <f t="shared" si="22"/>
        <v>1.7654847726938355E-2</v>
      </c>
      <c r="F59" s="43">
        <f t="shared" si="22"/>
        <v>0.15882006767691628</v>
      </c>
      <c r="G59" s="43">
        <f t="shared" si="22"/>
        <v>4.1194644696189494E-3</v>
      </c>
      <c r="H59" s="43">
        <f t="shared" si="22"/>
        <v>1.9861703692805651E-3</v>
      </c>
      <c r="I59" s="43">
        <f t="shared" si="22"/>
        <v>2.0891569810210387E-2</v>
      </c>
      <c r="J59" s="43">
        <f t="shared" si="22"/>
        <v>1.596292481977343E-2</v>
      </c>
      <c r="K59" s="43">
        <f t="shared" si="22"/>
        <v>5.370016183610416E-3</v>
      </c>
      <c r="L59" s="43">
        <f t="shared" si="22"/>
        <v>5.0022068559658671E-3</v>
      </c>
      <c r="M59" s="43">
        <f t="shared" si="22"/>
        <v>0.56282183316168899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0.37354871277132762</v>
      </c>
      <c r="D60" s="44">
        <f t="shared" ref="D60:N60" si="23">D58/$O$58</f>
        <v>0.10079084637388525</v>
      </c>
      <c r="E60" s="44">
        <f t="shared" si="23"/>
        <v>4.0383644623927309E-2</v>
      </c>
      <c r="F60" s="44">
        <f t="shared" si="23"/>
        <v>0.36328453642941277</v>
      </c>
      <c r="G60" s="44">
        <f t="shared" si="23"/>
        <v>9.4228504122497048E-3</v>
      </c>
      <c r="H60" s="44">
        <f t="shared" si="23"/>
        <v>4.5431600201918223E-3</v>
      </c>
      <c r="I60" s="44">
        <f t="shared" si="23"/>
        <v>4.778731280498065E-2</v>
      </c>
      <c r="J60" s="44">
        <f t="shared" si="23"/>
        <v>3.6513545347467612E-2</v>
      </c>
      <c r="K60" s="44">
        <f t="shared" si="23"/>
        <v>1.2283358573111223E-2</v>
      </c>
      <c r="L60" s="44">
        <f t="shared" si="23"/>
        <v>1.144203264344607E-2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L58" zoomScale="66" zoomScaleSheetLayoutView="66" workbookViewId="0">
      <selection activeCell="AB77" sqref="AB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'28.07 Kawempe-Bwaise'!C3:G3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169</v>
      </c>
      <c r="E5" s="66"/>
      <c r="F5" s="41" t="s">
        <v>1</v>
      </c>
      <c r="G5" s="63" t="str">
        <f>'28.07 Bwaise-Kawempe'!G5:H5</f>
        <v>Before Steel and Tube</v>
      </c>
      <c r="H5" s="64"/>
      <c r="I5" s="14"/>
      <c r="J5" s="2" t="s">
        <v>5</v>
      </c>
      <c r="K5" s="63" t="str">
        <f>'28.07 Bwaise-Kawempe'!K5:L5</f>
        <v>Kajjubi Eddie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'28.07 Bwaise-Kawempe'!D6:E6</f>
        <v>Bwaise</v>
      </c>
      <c r="E6" s="64"/>
      <c r="F6" s="2" t="s">
        <v>2</v>
      </c>
      <c r="G6" s="63" t="str">
        <f>'28.07 Bwaise-Kawempe'!G6:H6</f>
        <v>Kawempe</v>
      </c>
      <c r="H6" s="64"/>
      <c r="J6" s="2" t="s">
        <v>21</v>
      </c>
      <c r="K6" s="63" t="str">
        <f>'28.07 Bwaise-Kawempe'!K6:L6</f>
        <v>Salima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Bwaise-Kawempe'!C10,'23.07 Bwaise-Kawempe'!C10,'24.07 Bwaise-Kawempe'!C10,'25.07 Bwaise-Kawempe'!C10,'26.07 Bwaise-Kawempe-24h'!C10,'27.07 Bwaise-Kawempe-24h'!C10,'28.07 Bwaise-Kawempe'!C10)</f>
        <v>21.285714285714285</v>
      </c>
      <c r="D10" s="49">
        <f>AVERAGE('22.07 Bwaise-Kawempe'!D10,'23.07 Bwaise-Kawempe'!D10,'24.07 Bwaise-Kawempe'!D10,'25.07 Bwaise-Kawempe'!D10,'26.07 Bwaise-Kawempe-24h'!D10,'27.07 Bwaise-Kawempe-24h'!D10,'28.07 Bwaise-Kawempe'!D10)</f>
        <v>3.1428571428571428</v>
      </c>
      <c r="E10" s="49">
        <f>AVERAGE('22.07 Bwaise-Kawempe'!E10,'23.07 Bwaise-Kawempe'!E10,'24.07 Bwaise-Kawempe'!E10,'25.07 Bwaise-Kawempe'!E10,'26.07 Bwaise-Kawempe-24h'!E10,'27.07 Bwaise-Kawempe-24h'!E10,'28.07 Bwaise-Kawempe'!E10)</f>
        <v>2.7142857142857144</v>
      </c>
      <c r="F10" s="49">
        <f>AVERAGE('22.07 Bwaise-Kawempe'!F10,'23.07 Bwaise-Kawempe'!F10,'24.07 Bwaise-Kawempe'!F10,'25.07 Bwaise-Kawempe'!F10,'26.07 Bwaise-Kawempe-24h'!F10,'27.07 Bwaise-Kawempe-24h'!F10,'28.07 Bwaise-Kawempe'!F10)</f>
        <v>26.428571428571427</v>
      </c>
      <c r="G10" s="49">
        <f>AVERAGE('22.07 Bwaise-Kawempe'!G10,'23.07 Bwaise-Kawempe'!G10,'24.07 Bwaise-Kawempe'!G10,'25.07 Bwaise-Kawempe'!G10,'26.07 Bwaise-Kawempe-24h'!G10,'27.07 Bwaise-Kawempe-24h'!G10,'28.07 Bwaise-Kawempe'!G10)</f>
        <v>5.7142857142857144</v>
      </c>
      <c r="H10" s="49">
        <f>AVERAGE('22.07 Bwaise-Kawempe'!H10,'23.07 Bwaise-Kawempe'!H10,'24.07 Bwaise-Kawempe'!H10,'25.07 Bwaise-Kawempe'!H10,'26.07 Bwaise-Kawempe-24h'!H10,'27.07 Bwaise-Kawempe-24h'!H10,'28.07 Bwaise-Kawempe'!H10)</f>
        <v>1.1428571428571428</v>
      </c>
      <c r="I10" s="49">
        <f>AVERAGE('22.07 Bwaise-Kawempe'!I10,'23.07 Bwaise-Kawempe'!I10,'24.07 Bwaise-Kawempe'!I10,'25.07 Bwaise-Kawempe'!I10,'26.07 Bwaise-Kawempe-24h'!I10,'27.07 Bwaise-Kawempe-24h'!I10,'28.07 Bwaise-Kawempe'!I10)</f>
        <v>5.7142857142857144</v>
      </c>
      <c r="J10" s="49">
        <f>AVERAGE('22.07 Bwaise-Kawempe'!J10,'23.07 Bwaise-Kawempe'!J10,'24.07 Bwaise-Kawempe'!J10,'25.07 Bwaise-Kawempe'!J10,'26.07 Bwaise-Kawempe-24h'!J10,'27.07 Bwaise-Kawempe-24h'!J10,'28.07 Bwaise-Kawempe'!J10)</f>
        <v>3.4285714285714284</v>
      </c>
      <c r="K10" s="49">
        <f>AVERAGE('22.07 Bwaise-Kawempe'!K10,'23.07 Bwaise-Kawempe'!K10,'24.07 Bwaise-Kawempe'!K10,'25.07 Bwaise-Kawempe'!K10,'26.07 Bwaise-Kawempe-24h'!K10,'27.07 Bwaise-Kawempe-24h'!K10,'28.07 Bwaise-Kawempe'!K10)</f>
        <v>1.1428571428571428</v>
      </c>
      <c r="L10" s="49">
        <f>AVERAGE('22.07 Bwaise-Kawempe'!L10,'23.07 Bwaise-Kawempe'!L10,'24.07 Bwaise-Kawempe'!L10,'25.07 Bwaise-Kawempe'!L10,'26.07 Bwaise-Kawempe-24h'!L10,'27.07 Bwaise-Kawempe-24h'!L10,'28.07 Bwaise-Kawempe'!L10)</f>
        <v>1.7142857142857142</v>
      </c>
      <c r="M10" s="49">
        <f>AVERAGE('22.07 Bwaise-Kawempe'!M10,'23.07 Bwaise-Kawempe'!M10,'24.07 Bwaise-Kawempe'!M10,'25.07 Bwaise-Kawempe'!M10,'26.07 Bwaise-Kawempe-24h'!M10,'27.07 Bwaise-Kawempe-24h'!M10,'28.07 Bwaise-Kawempe'!M10)</f>
        <v>94</v>
      </c>
      <c r="N10" s="49">
        <f>AVERAGE('22.07 Bwaise-Kawempe'!N10,'23.07 Bwaise-Kawempe'!N10,'24.07 Bwaise-Kawempe'!N10,'25.07 Bwaise-Kawempe'!N10,'26.07 Bwaise-Kawempe-24h'!N10,'27.07 Bwaise-Kawempe-24h'!N10,'28.07 Bwaise-Kawempe'!N10)</f>
        <v>0</v>
      </c>
      <c r="O10" s="15">
        <f t="shared" ref="O10:O73" si="0">SUM(C10:L10,N10)</f>
        <v>72.428571428571416</v>
      </c>
      <c r="P10" s="15">
        <f t="shared" ref="P10:P73" si="1">SUM(C10:N10)</f>
        <v>166.42857142857142</v>
      </c>
      <c r="R10" s="1" t="s">
        <v>6</v>
      </c>
      <c r="S10" s="17">
        <f t="shared" ref="S10:AF10" si="2">SUM(C10:C13)</f>
        <v>94.428571428571416</v>
      </c>
      <c r="T10" s="17">
        <f t="shared" si="2"/>
        <v>14.142857142857142</v>
      </c>
      <c r="U10" s="17">
        <f t="shared" si="2"/>
        <v>12.857142857142858</v>
      </c>
      <c r="V10" s="17">
        <f t="shared" si="2"/>
        <v>131.71428571428572</v>
      </c>
      <c r="W10" s="17">
        <f t="shared" si="2"/>
        <v>26</v>
      </c>
      <c r="X10" s="17">
        <f t="shared" si="2"/>
        <v>3.8571428571428563</v>
      </c>
      <c r="Y10" s="17">
        <f t="shared" si="2"/>
        <v>24.571428571428569</v>
      </c>
      <c r="Z10" s="17">
        <f t="shared" si="2"/>
        <v>7.7142857142857144</v>
      </c>
      <c r="AA10" s="17">
        <f t="shared" si="2"/>
        <v>3.285714285714286</v>
      </c>
      <c r="AB10" s="17">
        <f t="shared" si="2"/>
        <v>5</v>
      </c>
      <c r="AC10" s="17">
        <f t="shared" si="2"/>
        <v>538.57142857142856</v>
      </c>
      <c r="AD10" s="17">
        <f t="shared" si="2"/>
        <v>0</v>
      </c>
      <c r="AE10" s="31">
        <f t="shared" si="2"/>
        <v>323.57142857142856</v>
      </c>
      <c r="AF10" s="31">
        <f t="shared" si="2"/>
        <v>862.14285714285711</v>
      </c>
    </row>
    <row r="11" spans="2:32" s="6" customFormat="1" ht="23.1" customHeight="1" x14ac:dyDescent="0.25">
      <c r="B11" s="23" t="s">
        <v>38</v>
      </c>
      <c r="C11" s="49">
        <f>AVERAGE('22.07 Bwaise-Kawempe'!C11,'23.07 Bwaise-Kawempe'!C11,'24.07 Bwaise-Kawempe'!C11,'25.07 Bwaise-Kawempe'!C11,'26.07 Bwaise-Kawempe-24h'!C11,'27.07 Bwaise-Kawempe-24h'!C11,'28.07 Bwaise-Kawempe'!C11)</f>
        <v>21.428571428571427</v>
      </c>
      <c r="D11" s="49">
        <f>AVERAGE('22.07 Bwaise-Kawempe'!D11,'23.07 Bwaise-Kawempe'!D11,'24.07 Bwaise-Kawempe'!D11,'25.07 Bwaise-Kawempe'!D11,'26.07 Bwaise-Kawempe-24h'!D11,'27.07 Bwaise-Kawempe-24h'!D11,'28.07 Bwaise-Kawempe'!D11)</f>
        <v>2.4285714285714284</v>
      </c>
      <c r="E11" s="49">
        <f>AVERAGE('22.07 Bwaise-Kawempe'!E11,'23.07 Bwaise-Kawempe'!E11,'24.07 Bwaise-Kawempe'!E11,'25.07 Bwaise-Kawempe'!E11,'26.07 Bwaise-Kawempe-24h'!E11,'27.07 Bwaise-Kawempe-24h'!E11,'28.07 Bwaise-Kawempe'!E11)</f>
        <v>2.2857142857142856</v>
      </c>
      <c r="F11" s="49">
        <f>AVERAGE('22.07 Bwaise-Kawempe'!F11,'23.07 Bwaise-Kawempe'!F11,'24.07 Bwaise-Kawempe'!F11,'25.07 Bwaise-Kawempe'!F11,'26.07 Bwaise-Kawempe-24h'!F11,'27.07 Bwaise-Kawempe-24h'!F11,'28.07 Bwaise-Kawempe'!F11)</f>
        <v>30.571428571428573</v>
      </c>
      <c r="G11" s="49">
        <f>AVERAGE('22.07 Bwaise-Kawempe'!G11,'23.07 Bwaise-Kawempe'!G11,'24.07 Bwaise-Kawempe'!G11,'25.07 Bwaise-Kawempe'!G11,'26.07 Bwaise-Kawempe-24h'!G11,'27.07 Bwaise-Kawempe-24h'!G11,'28.07 Bwaise-Kawempe'!G11)</f>
        <v>3.8571428571428572</v>
      </c>
      <c r="H11" s="49">
        <f>AVERAGE('22.07 Bwaise-Kawempe'!H11,'23.07 Bwaise-Kawempe'!H11,'24.07 Bwaise-Kawempe'!H11,'25.07 Bwaise-Kawempe'!H11,'26.07 Bwaise-Kawempe-24h'!H11,'27.07 Bwaise-Kawempe-24h'!H11,'28.07 Bwaise-Kawempe'!H11)</f>
        <v>1.7142857142857142</v>
      </c>
      <c r="I11" s="49">
        <f>AVERAGE('22.07 Bwaise-Kawempe'!I11,'23.07 Bwaise-Kawempe'!I11,'24.07 Bwaise-Kawempe'!I11,'25.07 Bwaise-Kawempe'!I11,'26.07 Bwaise-Kawempe-24h'!I11,'27.07 Bwaise-Kawempe-24h'!I11,'28.07 Bwaise-Kawempe'!I11)</f>
        <v>5.8571428571428568</v>
      </c>
      <c r="J11" s="49">
        <f>AVERAGE('22.07 Bwaise-Kawempe'!J11,'23.07 Bwaise-Kawempe'!J11,'24.07 Bwaise-Kawempe'!J11,'25.07 Bwaise-Kawempe'!J11,'26.07 Bwaise-Kawempe-24h'!J11,'27.07 Bwaise-Kawempe-24h'!J11,'28.07 Bwaise-Kawempe'!J11)</f>
        <v>1.2857142857142858</v>
      </c>
      <c r="K11" s="49">
        <f>AVERAGE('22.07 Bwaise-Kawempe'!K11,'23.07 Bwaise-Kawempe'!K11,'24.07 Bwaise-Kawempe'!K11,'25.07 Bwaise-Kawempe'!K11,'26.07 Bwaise-Kawempe-24h'!K11,'27.07 Bwaise-Kawempe-24h'!K11,'28.07 Bwaise-Kawempe'!K11)</f>
        <v>0.7142857142857143</v>
      </c>
      <c r="L11" s="49">
        <f>AVERAGE('22.07 Bwaise-Kawempe'!L11,'23.07 Bwaise-Kawempe'!L11,'24.07 Bwaise-Kawempe'!L11,'25.07 Bwaise-Kawempe'!L11,'26.07 Bwaise-Kawempe-24h'!L11,'27.07 Bwaise-Kawempe-24h'!L11,'28.07 Bwaise-Kawempe'!L11)</f>
        <v>1.4285714285714286</v>
      </c>
      <c r="M11" s="49">
        <f>AVERAGE('22.07 Bwaise-Kawempe'!M11,'23.07 Bwaise-Kawempe'!M11,'24.07 Bwaise-Kawempe'!M11,'25.07 Bwaise-Kawempe'!M11,'26.07 Bwaise-Kawempe-24h'!M11,'27.07 Bwaise-Kawempe-24h'!M11,'28.07 Bwaise-Kawempe'!M11)</f>
        <v>134.57142857142858</v>
      </c>
      <c r="N11" s="49">
        <f>AVERAGE('22.07 Bwaise-Kawempe'!N11,'23.07 Bwaise-Kawempe'!N11,'24.07 Bwaise-Kawempe'!N11,'25.07 Bwaise-Kawempe'!N11,'26.07 Bwaise-Kawempe-24h'!N11,'27.07 Bwaise-Kawempe-24h'!N11,'28.07 Bwaise-Kawempe'!N11)</f>
        <v>0</v>
      </c>
      <c r="O11" s="15">
        <f t="shared" si="0"/>
        <v>71.571428571428569</v>
      </c>
      <c r="P11" s="15">
        <f t="shared" si="1"/>
        <v>206.14285714285717</v>
      </c>
      <c r="R11" s="1" t="s">
        <v>7</v>
      </c>
      <c r="S11" s="17">
        <f t="shared" ref="S11:AF11" si="3">SUM(C14:C17)</f>
        <v>90.285714285714278</v>
      </c>
      <c r="T11" s="17">
        <f t="shared" si="3"/>
        <v>15.857142857142858</v>
      </c>
      <c r="U11" s="17">
        <f t="shared" si="3"/>
        <v>14</v>
      </c>
      <c r="V11" s="17">
        <f t="shared" si="3"/>
        <v>160.28571428571428</v>
      </c>
      <c r="W11" s="17">
        <f t="shared" si="3"/>
        <v>7.1428571428571423</v>
      </c>
      <c r="X11" s="17">
        <f t="shared" si="3"/>
        <v>3.5714285714285712</v>
      </c>
      <c r="Y11" s="17">
        <f t="shared" si="3"/>
        <v>24.285714285714285</v>
      </c>
      <c r="Z11" s="17">
        <f t="shared" si="3"/>
        <v>11.285714285714286</v>
      </c>
      <c r="AA11" s="17">
        <f t="shared" si="3"/>
        <v>5</v>
      </c>
      <c r="AB11" s="17">
        <f t="shared" si="3"/>
        <v>6.5714285714285712</v>
      </c>
      <c r="AC11" s="17">
        <f t="shared" si="3"/>
        <v>579.85714285714289</v>
      </c>
      <c r="AD11" s="17">
        <f t="shared" si="3"/>
        <v>0.2857142857142857</v>
      </c>
      <c r="AE11" s="31">
        <f t="shared" si="3"/>
        <v>338.57142857142856</v>
      </c>
      <c r="AF11" s="31">
        <f t="shared" si="3"/>
        <v>918.42857142857156</v>
      </c>
    </row>
    <row r="12" spans="2:32" ht="23.1" customHeight="1" x14ac:dyDescent="0.25">
      <c r="B12" s="23" t="s">
        <v>39</v>
      </c>
      <c r="C12" s="49">
        <f>AVERAGE('22.07 Bwaise-Kawempe'!C12,'23.07 Bwaise-Kawempe'!C12,'24.07 Bwaise-Kawempe'!C12,'25.07 Bwaise-Kawempe'!C12,'26.07 Bwaise-Kawempe-24h'!C12,'27.07 Bwaise-Kawempe-24h'!C12,'28.07 Bwaise-Kawempe'!C12)</f>
        <v>26.142857142857142</v>
      </c>
      <c r="D12" s="49">
        <f>AVERAGE('22.07 Bwaise-Kawempe'!D12,'23.07 Bwaise-Kawempe'!D12,'24.07 Bwaise-Kawempe'!D12,'25.07 Bwaise-Kawempe'!D12,'26.07 Bwaise-Kawempe-24h'!D12,'27.07 Bwaise-Kawempe-24h'!D12,'28.07 Bwaise-Kawempe'!D12)</f>
        <v>3.7142857142857144</v>
      </c>
      <c r="E12" s="49">
        <f>AVERAGE('22.07 Bwaise-Kawempe'!E12,'23.07 Bwaise-Kawempe'!E12,'24.07 Bwaise-Kawempe'!E12,'25.07 Bwaise-Kawempe'!E12,'26.07 Bwaise-Kawempe-24h'!E12,'27.07 Bwaise-Kawempe-24h'!E12,'28.07 Bwaise-Kawempe'!E12)</f>
        <v>3.4285714285714284</v>
      </c>
      <c r="F12" s="49">
        <f>AVERAGE('22.07 Bwaise-Kawempe'!F12,'23.07 Bwaise-Kawempe'!F12,'24.07 Bwaise-Kawempe'!F12,'25.07 Bwaise-Kawempe'!F12,'26.07 Bwaise-Kawempe-24h'!F12,'27.07 Bwaise-Kawempe-24h'!F12,'28.07 Bwaise-Kawempe'!F12)</f>
        <v>41.857142857142854</v>
      </c>
      <c r="G12" s="49">
        <f>AVERAGE('22.07 Bwaise-Kawempe'!G12,'23.07 Bwaise-Kawempe'!G12,'24.07 Bwaise-Kawempe'!G12,'25.07 Bwaise-Kawempe'!G12,'26.07 Bwaise-Kawempe-24h'!G12,'27.07 Bwaise-Kawempe-24h'!G12,'28.07 Bwaise-Kawempe'!G12)</f>
        <v>6.8571428571428568</v>
      </c>
      <c r="H12" s="49">
        <f>AVERAGE('22.07 Bwaise-Kawempe'!H12,'23.07 Bwaise-Kawempe'!H12,'24.07 Bwaise-Kawempe'!H12,'25.07 Bwaise-Kawempe'!H12,'26.07 Bwaise-Kawempe-24h'!H12,'27.07 Bwaise-Kawempe-24h'!H12,'28.07 Bwaise-Kawempe'!H12)</f>
        <v>0.5714285714285714</v>
      </c>
      <c r="I12" s="49">
        <f>AVERAGE('22.07 Bwaise-Kawempe'!I12,'23.07 Bwaise-Kawempe'!I12,'24.07 Bwaise-Kawempe'!I12,'25.07 Bwaise-Kawempe'!I12,'26.07 Bwaise-Kawempe-24h'!I12,'27.07 Bwaise-Kawempe-24h'!I12,'28.07 Bwaise-Kawempe'!I12)</f>
        <v>7</v>
      </c>
      <c r="J12" s="49">
        <f>AVERAGE('22.07 Bwaise-Kawempe'!J12,'23.07 Bwaise-Kawempe'!J12,'24.07 Bwaise-Kawempe'!J12,'25.07 Bwaise-Kawempe'!J12,'26.07 Bwaise-Kawempe-24h'!J12,'27.07 Bwaise-Kawempe-24h'!J12,'28.07 Bwaise-Kawempe'!J12)</f>
        <v>1.4285714285714286</v>
      </c>
      <c r="K12" s="49">
        <f>AVERAGE('22.07 Bwaise-Kawempe'!K12,'23.07 Bwaise-Kawempe'!K12,'24.07 Bwaise-Kawempe'!K12,'25.07 Bwaise-Kawempe'!K12,'26.07 Bwaise-Kawempe-24h'!K12,'27.07 Bwaise-Kawempe-24h'!K12,'28.07 Bwaise-Kawempe'!K12)</f>
        <v>0.7142857142857143</v>
      </c>
      <c r="L12" s="49">
        <f>AVERAGE('22.07 Bwaise-Kawempe'!L12,'23.07 Bwaise-Kawempe'!L12,'24.07 Bwaise-Kawempe'!L12,'25.07 Bwaise-Kawempe'!L12,'26.07 Bwaise-Kawempe-24h'!L12,'27.07 Bwaise-Kawempe-24h'!L12,'28.07 Bwaise-Kawempe'!L12)</f>
        <v>0.7142857142857143</v>
      </c>
      <c r="M12" s="49">
        <f>AVERAGE('22.07 Bwaise-Kawempe'!M12,'23.07 Bwaise-Kawempe'!M12,'24.07 Bwaise-Kawempe'!M12,'25.07 Bwaise-Kawempe'!M12,'26.07 Bwaise-Kawempe-24h'!M12,'27.07 Bwaise-Kawempe-24h'!M12,'28.07 Bwaise-Kawempe'!M12)</f>
        <v>149</v>
      </c>
      <c r="N12" s="49">
        <f>AVERAGE('22.07 Bwaise-Kawempe'!N12,'23.07 Bwaise-Kawempe'!N12,'24.07 Bwaise-Kawempe'!N12,'25.07 Bwaise-Kawempe'!N12,'26.07 Bwaise-Kawempe-24h'!N12,'27.07 Bwaise-Kawempe-24h'!N12,'28.07 Bwaise-Kawempe'!N12)</f>
        <v>0</v>
      </c>
      <c r="O12" s="15">
        <f t="shared" si="0"/>
        <v>92.428571428571416</v>
      </c>
      <c r="P12" s="15">
        <f t="shared" si="1"/>
        <v>241.42857142857142</v>
      </c>
      <c r="R12" s="1" t="s">
        <v>8</v>
      </c>
      <c r="S12" s="17">
        <f t="shared" ref="S12:AF12" si="4">SUM(C18:C21)</f>
        <v>119.57142857142857</v>
      </c>
      <c r="T12" s="17">
        <f t="shared" si="4"/>
        <v>23.142857142857142</v>
      </c>
      <c r="U12" s="17">
        <f t="shared" si="4"/>
        <v>36.714285714285708</v>
      </c>
      <c r="V12" s="17">
        <f t="shared" si="4"/>
        <v>158.57142857142858</v>
      </c>
      <c r="W12" s="17">
        <f t="shared" si="4"/>
        <v>5.7142857142857144</v>
      </c>
      <c r="X12" s="17">
        <f t="shared" si="4"/>
        <v>3.8571428571428568</v>
      </c>
      <c r="Y12" s="17">
        <f t="shared" si="4"/>
        <v>31.714285714285712</v>
      </c>
      <c r="Z12" s="17">
        <f t="shared" si="4"/>
        <v>7.8571428571428577</v>
      </c>
      <c r="AA12" s="17">
        <f t="shared" si="4"/>
        <v>5.4285714285714279</v>
      </c>
      <c r="AB12" s="17">
        <f t="shared" si="4"/>
        <v>7.2857142857142847</v>
      </c>
      <c r="AC12" s="17">
        <f t="shared" si="4"/>
        <v>643.57142857142867</v>
      </c>
      <c r="AD12" s="17">
        <f t="shared" si="4"/>
        <v>0.14285714285714285</v>
      </c>
      <c r="AE12" s="31">
        <f t="shared" si="4"/>
        <v>400</v>
      </c>
      <c r="AF12" s="31">
        <f t="shared" si="4"/>
        <v>1043.5714285714287</v>
      </c>
    </row>
    <row r="13" spans="2:32" ht="23.1" customHeight="1" x14ac:dyDescent="0.25">
      <c r="B13" s="23" t="s">
        <v>40</v>
      </c>
      <c r="C13" s="49">
        <f>AVERAGE('22.07 Bwaise-Kawempe'!C13,'23.07 Bwaise-Kawempe'!C13,'24.07 Bwaise-Kawempe'!C13,'25.07 Bwaise-Kawempe'!C13,'26.07 Bwaise-Kawempe-24h'!C13,'27.07 Bwaise-Kawempe-24h'!C13,'28.07 Bwaise-Kawempe'!C13)</f>
        <v>25.571428571428573</v>
      </c>
      <c r="D13" s="49">
        <f>AVERAGE('22.07 Bwaise-Kawempe'!D13,'23.07 Bwaise-Kawempe'!D13,'24.07 Bwaise-Kawempe'!D13,'25.07 Bwaise-Kawempe'!D13,'26.07 Bwaise-Kawempe-24h'!D13,'27.07 Bwaise-Kawempe-24h'!D13,'28.07 Bwaise-Kawempe'!D13)</f>
        <v>4.8571428571428568</v>
      </c>
      <c r="E13" s="49">
        <f>AVERAGE('22.07 Bwaise-Kawempe'!E13,'23.07 Bwaise-Kawempe'!E13,'24.07 Bwaise-Kawempe'!E13,'25.07 Bwaise-Kawempe'!E13,'26.07 Bwaise-Kawempe-24h'!E13,'27.07 Bwaise-Kawempe-24h'!E13,'28.07 Bwaise-Kawempe'!E13)</f>
        <v>4.4285714285714288</v>
      </c>
      <c r="F13" s="49">
        <f>AVERAGE('22.07 Bwaise-Kawempe'!F13,'23.07 Bwaise-Kawempe'!F13,'24.07 Bwaise-Kawempe'!F13,'25.07 Bwaise-Kawempe'!F13,'26.07 Bwaise-Kawempe-24h'!F13,'27.07 Bwaise-Kawempe-24h'!F13,'28.07 Bwaise-Kawempe'!F13)</f>
        <v>32.857142857142854</v>
      </c>
      <c r="G13" s="49">
        <f>AVERAGE('22.07 Bwaise-Kawempe'!G13,'23.07 Bwaise-Kawempe'!G13,'24.07 Bwaise-Kawempe'!G13,'25.07 Bwaise-Kawempe'!G13,'26.07 Bwaise-Kawempe-24h'!G13,'27.07 Bwaise-Kawempe-24h'!G13,'28.07 Bwaise-Kawempe'!G13)</f>
        <v>9.5714285714285712</v>
      </c>
      <c r="H13" s="49">
        <f>AVERAGE('22.07 Bwaise-Kawempe'!H13,'23.07 Bwaise-Kawempe'!H13,'24.07 Bwaise-Kawempe'!H13,'25.07 Bwaise-Kawempe'!H13,'26.07 Bwaise-Kawempe-24h'!H13,'27.07 Bwaise-Kawempe-24h'!H13,'28.07 Bwaise-Kawempe'!H13)</f>
        <v>0.42857142857142855</v>
      </c>
      <c r="I13" s="49">
        <f>AVERAGE('22.07 Bwaise-Kawempe'!I13,'23.07 Bwaise-Kawempe'!I13,'24.07 Bwaise-Kawempe'!I13,'25.07 Bwaise-Kawempe'!I13,'26.07 Bwaise-Kawempe-24h'!I13,'27.07 Bwaise-Kawempe-24h'!I13,'28.07 Bwaise-Kawempe'!I13)</f>
        <v>6</v>
      </c>
      <c r="J13" s="49">
        <f>AVERAGE('22.07 Bwaise-Kawempe'!J13,'23.07 Bwaise-Kawempe'!J13,'24.07 Bwaise-Kawempe'!J13,'25.07 Bwaise-Kawempe'!J13,'26.07 Bwaise-Kawempe-24h'!J13,'27.07 Bwaise-Kawempe-24h'!J13,'28.07 Bwaise-Kawempe'!J13)</f>
        <v>1.5714285714285714</v>
      </c>
      <c r="K13" s="49">
        <f>AVERAGE('22.07 Bwaise-Kawempe'!K13,'23.07 Bwaise-Kawempe'!K13,'24.07 Bwaise-Kawempe'!K13,'25.07 Bwaise-Kawempe'!K13,'26.07 Bwaise-Kawempe-24h'!K13,'27.07 Bwaise-Kawempe-24h'!K13,'28.07 Bwaise-Kawempe'!K13)</f>
        <v>0.7142857142857143</v>
      </c>
      <c r="L13" s="49">
        <f>AVERAGE('22.07 Bwaise-Kawempe'!L13,'23.07 Bwaise-Kawempe'!L13,'24.07 Bwaise-Kawempe'!L13,'25.07 Bwaise-Kawempe'!L13,'26.07 Bwaise-Kawempe-24h'!L13,'27.07 Bwaise-Kawempe-24h'!L13,'28.07 Bwaise-Kawempe'!L13)</f>
        <v>1.1428571428571428</v>
      </c>
      <c r="M13" s="49">
        <f>AVERAGE('22.07 Bwaise-Kawempe'!M13,'23.07 Bwaise-Kawempe'!M13,'24.07 Bwaise-Kawempe'!M13,'25.07 Bwaise-Kawempe'!M13,'26.07 Bwaise-Kawempe-24h'!M13,'27.07 Bwaise-Kawempe-24h'!M13,'28.07 Bwaise-Kawempe'!M13)</f>
        <v>161</v>
      </c>
      <c r="N13" s="49">
        <f>AVERAGE('22.07 Bwaise-Kawempe'!N13,'23.07 Bwaise-Kawempe'!N13,'24.07 Bwaise-Kawempe'!N13,'25.07 Bwaise-Kawempe'!N13,'26.07 Bwaise-Kawempe-24h'!N13,'27.07 Bwaise-Kawempe-24h'!N13,'28.07 Bwaise-Kawempe'!N13)</f>
        <v>0</v>
      </c>
      <c r="O13" s="15">
        <f t="shared" si="0"/>
        <v>87.142857142857139</v>
      </c>
      <c r="P13" s="15">
        <f t="shared" si="1"/>
        <v>248.14285714285714</v>
      </c>
      <c r="R13" s="1" t="s">
        <v>9</v>
      </c>
      <c r="S13" s="17">
        <f t="shared" ref="S13:AF13" si="5">SUM(C22:C25)</f>
        <v>124.14285714285714</v>
      </c>
      <c r="T13" s="17">
        <f t="shared" si="5"/>
        <v>22.857142857142858</v>
      </c>
      <c r="U13" s="17">
        <f t="shared" si="5"/>
        <v>23</v>
      </c>
      <c r="V13" s="17">
        <f t="shared" si="5"/>
        <v>154.14285714285714</v>
      </c>
      <c r="W13" s="17">
        <f t="shared" si="5"/>
        <v>6</v>
      </c>
      <c r="X13" s="17">
        <f t="shared" si="5"/>
        <v>1.1428571428571428</v>
      </c>
      <c r="Y13" s="17">
        <f t="shared" si="5"/>
        <v>47.714285714285715</v>
      </c>
      <c r="Z13" s="17">
        <f t="shared" si="5"/>
        <v>9.2857142857142865</v>
      </c>
      <c r="AA13" s="17">
        <f t="shared" si="5"/>
        <v>6.1428571428571432</v>
      </c>
      <c r="AB13" s="17">
        <f t="shared" si="5"/>
        <v>10.714285714285715</v>
      </c>
      <c r="AC13" s="17">
        <f t="shared" si="5"/>
        <v>556.71428571428567</v>
      </c>
      <c r="AD13" s="17">
        <f t="shared" si="5"/>
        <v>0</v>
      </c>
      <c r="AE13" s="31">
        <f t="shared" si="5"/>
        <v>405.14285714285722</v>
      </c>
      <c r="AF13" s="31">
        <f t="shared" si="5"/>
        <v>961.85714285714289</v>
      </c>
    </row>
    <row r="14" spans="2:32" ht="23.1" customHeight="1" x14ac:dyDescent="0.25">
      <c r="B14" s="23" t="s">
        <v>41</v>
      </c>
      <c r="C14" s="49">
        <f>AVERAGE('22.07 Bwaise-Kawempe'!C14,'23.07 Bwaise-Kawempe'!C14,'24.07 Bwaise-Kawempe'!C14,'25.07 Bwaise-Kawempe'!C14,'26.07 Bwaise-Kawempe-24h'!C14,'27.07 Bwaise-Kawempe-24h'!C14,'28.07 Bwaise-Kawempe'!C14)</f>
        <v>20.142857142857142</v>
      </c>
      <c r="D14" s="49">
        <f>AVERAGE('22.07 Bwaise-Kawempe'!D14,'23.07 Bwaise-Kawempe'!D14,'24.07 Bwaise-Kawempe'!D14,'25.07 Bwaise-Kawempe'!D14,'26.07 Bwaise-Kawempe-24h'!D14,'27.07 Bwaise-Kawempe-24h'!D14,'28.07 Bwaise-Kawempe'!D14)</f>
        <v>2.7142857142857144</v>
      </c>
      <c r="E14" s="49">
        <f>AVERAGE('22.07 Bwaise-Kawempe'!E14,'23.07 Bwaise-Kawempe'!E14,'24.07 Bwaise-Kawempe'!E14,'25.07 Bwaise-Kawempe'!E14,'26.07 Bwaise-Kawempe-24h'!E14,'27.07 Bwaise-Kawempe-24h'!E14,'28.07 Bwaise-Kawempe'!E14)</f>
        <v>3.5714285714285716</v>
      </c>
      <c r="F14" s="49">
        <f>AVERAGE('22.07 Bwaise-Kawempe'!F14,'23.07 Bwaise-Kawempe'!F14,'24.07 Bwaise-Kawempe'!F14,'25.07 Bwaise-Kawempe'!F14,'26.07 Bwaise-Kawempe-24h'!F14,'27.07 Bwaise-Kawempe-24h'!F14,'28.07 Bwaise-Kawempe'!F14)</f>
        <v>29.428571428571427</v>
      </c>
      <c r="G14" s="49">
        <f>AVERAGE('22.07 Bwaise-Kawempe'!G14,'23.07 Bwaise-Kawempe'!G14,'24.07 Bwaise-Kawempe'!G14,'25.07 Bwaise-Kawempe'!G14,'26.07 Bwaise-Kawempe-24h'!G14,'27.07 Bwaise-Kawempe-24h'!G14,'28.07 Bwaise-Kawempe'!G14)</f>
        <v>3.1428571428571428</v>
      </c>
      <c r="H14" s="49">
        <f>AVERAGE('22.07 Bwaise-Kawempe'!H14,'23.07 Bwaise-Kawempe'!H14,'24.07 Bwaise-Kawempe'!H14,'25.07 Bwaise-Kawempe'!H14,'26.07 Bwaise-Kawempe-24h'!H14,'27.07 Bwaise-Kawempe-24h'!H14,'28.07 Bwaise-Kawempe'!H14)</f>
        <v>1</v>
      </c>
      <c r="I14" s="49">
        <f>AVERAGE('22.07 Bwaise-Kawempe'!I14,'23.07 Bwaise-Kawempe'!I14,'24.07 Bwaise-Kawempe'!I14,'25.07 Bwaise-Kawempe'!I14,'26.07 Bwaise-Kawempe-24h'!I14,'27.07 Bwaise-Kawempe-24h'!I14,'28.07 Bwaise-Kawempe'!I14)</f>
        <v>4.8571428571428568</v>
      </c>
      <c r="J14" s="49">
        <f>AVERAGE('22.07 Bwaise-Kawempe'!J14,'23.07 Bwaise-Kawempe'!J14,'24.07 Bwaise-Kawempe'!J14,'25.07 Bwaise-Kawempe'!J14,'26.07 Bwaise-Kawempe-24h'!J14,'27.07 Bwaise-Kawempe-24h'!J14,'28.07 Bwaise-Kawempe'!J14)</f>
        <v>3.2857142857142856</v>
      </c>
      <c r="K14" s="49">
        <f>AVERAGE('22.07 Bwaise-Kawempe'!K14,'23.07 Bwaise-Kawempe'!K14,'24.07 Bwaise-Kawempe'!K14,'25.07 Bwaise-Kawempe'!K14,'26.07 Bwaise-Kawempe-24h'!K14,'27.07 Bwaise-Kawempe-24h'!K14,'28.07 Bwaise-Kawempe'!K14)</f>
        <v>1.1428571428571428</v>
      </c>
      <c r="L14" s="49">
        <f>AVERAGE('22.07 Bwaise-Kawempe'!L14,'23.07 Bwaise-Kawempe'!L14,'24.07 Bwaise-Kawempe'!L14,'25.07 Bwaise-Kawempe'!L14,'26.07 Bwaise-Kawempe-24h'!L14,'27.07 Bwaise-Kawempe-24h'!L14,'28.07 Bwaise-Kawempe'!L14)</f>
        <v>1.8571428571428572</v>
      </c>
      <c r="M14" s="49">
        <f>AVERAGE('22.07 Bwaise-Kawempe'!M14,'23.07 Bwaise-Kawempe'!M14,'24.07 Bwaise-Kawempe'!M14,'25.07 Bwaise-Kawempe'!M14,'26.07 Bwaise-Kawempe-24h'!M14,'27.07 Bwaise-Kawempe-24h'!M14,'28.07 Bwaise-Kawempe'!M14)</f>
        <v>129.42857142857142</v>
      </c>
      <c r="N14" s="49">
        <f>AVERAGE('22.07 Bwaise-Kawempe'!N14,'23.07 Bwaise-Kawempe'!N14,'24.07 Bwaise-Kawempe'!N14,'25.07 Bwaise-Kawempe'!N14,'26.07 Bwaise-Kawempe-24h'!N14,'27.07 Bwaise-Kawempe-24h'!N14,'28.07 Bwaise-Kawempe'!N14)</f>
        <v>0</v>
      </c>
      <c r="O14" s="15">
        <f t="shared" si="0"/>
        <v>71.142857142857153</v>
      </c>
      <c r="P14" s="15">
        <f t="shared" si="1"/>
        <v>200.57142857142856</v>
      </c>
      <c r="R14" s="1" t="s">
        <v>10</v>
      </c>
      <c r="S14" s="17">
        <f t="shared" ref="S14:AF14" si="6">SUM(C26:C29)</f>
        <v>154.57142857142858</v>
      </c>
      <c r="T14" s="17">
        <f t="shared" si="6"/>
        <v>26.571428571428569</v>
      </c>
      <c r="U14" s="17">
        <f t="shared" si="6"/>
        <v>26.285714285714285</v>
      </c>
      <c r="V14" s="17">
        <f t="shared" si="6"/>
        <v>148.85714285714286</v>
      </c>
      <c r="W14" s="17">
        <f t="shared" si="6"/>
        <v>4.2857142857142856</v>
      </c>
      <c r="X14" s="17">
        <f t="shared" si="6"/>
        <v>2.8571428571428568</v>
      </c>
      <c r="Y14" s="17">
        <f t="shared" si="6"/>
        <v>45.571428571428569</v>
      </c>
      <c r="Z14" s="17">
        <f t="shared" si="6"/>
        <v>9.2857142857142847</v>
      </c>
      <c r="AA14" s="17">
        <f t="shared" si="6"/>
        <v>5</v>
      </c>
      <c r="AB14" s="17">
        <f t="shared" si="6"/>
        <v>14.428571428571431</v>
      </c>
      <c r="AC14" s="17">
        <f t="shared" si="6"/>
        <v>534</v>
      </c>
      <c r="AD14" s="17">
        <f t="shared" si="6"/>
        <v>0</v>
      </c>
      <c r="AE14" s="31">
        <f t="shared" si="6"/>
        <v>437.71428571428572</v>
      </c>
      <c r="AF14" s="31">
        <f t="shared" si="6"/>
        <v>971.71428571428578</v>
      </c>
    </row>
    <row r="15" spans="2:32" ht="23.1" customHeight="1" x14ac:dyDescent="0.25">
      <c r="B15" s="23" t="s">
        <v>42</v>
      </c>
      <c r="C15" s="49">
        <f>AVERAGE('22.07 Bwaise-Kawempe'!C15,'23.07 Bwaise-Kawempe'!C15,'24.07 Bwaise-Kawempe'!C15,'25.07 Bwaise-Kawempe'!C15,'26.07 Bwaise-Kawempe-24h'!C15,'27.07 Bwaise-Kawempe-24h'!C15,'28.07 Bwaise-Kawempe'!C15)</f>
        <v>25.571428571428573</v>
      </c>
      <c r="D15" s="49">
        <f>AVERAGE('22.07 Bwaise-Kawempe'!D15,'23.07 Bwaise-Kawempe'!D15,'24.07 Bwaise-Kawempe'!D15,'25.07 Bwaise-Kawempe'!D15,'26.07 Bwaise-Kawempe-24h'!D15,'27.07 Bwaise-Kawempe-24h'!D15,'28.07 Bwaise-Kawempe'!D15)</f>
        <v>4.5714285714285712</v>
      </c>
      <c r="E15" s="49">
        <f>AVERAGE('22.07 Bwaise-Kawempe'!E15,'23.07 Bwaise-Kawempe'!E15,'24.07 Bwaise-Kawempe'!E15,'25.07 Bwaise-Kawempe'!E15,'26.07 Bwaise-Kawempe-24h'!E15,'27.07 Bwaise-Kawempe-24h'!E15,'28.07 Bwaise-Kawempe'!E15)</f>
        <v>3.5714285714285716</v>
      </c>
      <c r="F15" s="49">
        <f>AVERAGE('22.07 Bwaise-Kawempe'!F15,'23.07 Bwaise-Kawempe'!F15,'24.07 Bwaise-Kawempe'!F15,'25.07 Bwaise-Kawempe'!F15,'26.07 Bwaise-Kawempe-24h'!F15,'27.07 Bwaise-Kawempe-24h'!F15,'28.07 Bwaise-Kawempe'!F15)</f>
        <v>42.285714285714285</v>
      </c>
      <c r="G15" s="49">
        <f>AVERAGE('22.07 Bwaise-Kawempe'!G15,'23.07 Bwaise-Kawempe'!G15,'24.07 Bwaise-Kawempe'!G15,'25.07 Bwaise-Kawempe'!G15,'26.07 Bwaise-Kawempe-24h'!G15,'27.07 Bwaise-Kawempe-24h'!G15,'28.07 Bwaise-Kawempe'!G15)</f>
        <v>1.4285714285714286</v>
      </c>
      <c r="H15" s="49">
        <f>AVERAGE('22.07 Bwaise-Kawempe'!H15,'23.07 Bwaise-Kawempe'!H15,'24.07 Bwaise-Kawempe'!H15,'25.07 Bwaise-Kawempe'!H15,'26.07 Bwaise-Kawempe-24h'!H15,'27.07 Bwaise-Kawempe-24h'!H15,'28.07 Bwaise-Kawempe'!H15)</f>
        <v>0.8571428571428571</v>
      </c>
      <c r="I15" s="49">
        <f>AVERAGE('22.07 Bwaise-Kawempe'!I15,'23.07 Bwaise-Kawempe'!I15,'24.07 Bwaise-Kawempe'!I15,'25.07 Bwaise-Kawempe'!I15,'26.07 Bwaise-Kawempe-24h'!I15,'27.07 Bwaise-Kawempe-24h'!I15,'28.07 Bwaise-Kawempe'!I15)</f>
        <v>6.7142857142857144</v>
      </c>
      <c r="J15" s="49">
        <f>AVERAGE('22.07 Bwaise-Kawempe'!J15,'23.07 Bwaise-Kawempe'!J15,'24.07 Bwaise-Kawempe'!J15,'25.07 Bwaise-Kawempe'!J15,'26.07 Bwaise-Kawempe-24h'!J15,'27.07 Bwaise-Kawempe-24h'!J15,'28.07 Bwaise-Kawempe'!J15)</f>
        <v>3.5714285714285716</v>
      </c>
      <c r="K15" s="49">
        <f>AVERAGE('22.07 Bwaise-Kawempe'!K15,'23.07 Bwaise-Kawempe'!K15,'24.07 Bwaise-Kawempe'!K15,'25.07 Bwaise-Kawempe'!K15,'26.07 Bwaise-Kawempe-24h'!K15,'27.07 Bwaise-Kawempe-24h'!K15,'28.07 Bwaise-Kawempe'!K15)</f>
        <v>1.1428571428571428</v>
      </c>
      <c r="L15" s="49">
        <f>AVERAGE('22.07 Bwaise-Kawempe'!L15,'23.07 Bwaise-Kawempe'!L15,'24.07 Bwaise-Kawempe'!L15,'25.07 Bwaise-Kawempe'!L15,'26.07 Bwaise-Kawempe-24h'!L15,'27.07 Bwaise-Kawempe-24h'!L15,'28.07 Bwaise-Kawempe'!L15)</f>
        <v>2</v>
      </c>
      <c r="M15" s="49">
        <f>AVERAGE('22.07 Bwaise-Kawempe'!M15,'23.07 Bwaise-Kawempe'!M15,'24.07 Bwaise-Kawempe'!M15,'25.07 Bwaise-Kawempe'!M15,'26.07 Bwaise-Kawempe-24h'!M15,'27.07 Bwaise-Kawempe-24h'!M15,'28.07 Bwaise-Kawempe'!M15)</f>
        <v>149.57142857142858</v>
      </c>
      <c r="N15" s="49">
        <f>AVERAGE('22.07 Bwaise-Kawempe'!N15,'23.07 Bwaise-Kawempe'!N15,'24.07 Bwaise-Kawempe'!N15,'25.07 Bwaise-Kawempe'!N15,'26.07 Bwaise-Kawempe-24h'!N15,'27.07 Bwaise-Kawempe-24h'!N15,'28.07 Bwaise-Kawempe'!N15)</f>
        <v>0.14285714285714285</v>
      </c>
      <c r="O15" s="15">
        <f t="shared" si="0"/>
        <v>91.857142857142847</v>
      </c>
      <c r="P15" s="15">
        <f t="shared" si="1"/>
        <v>241.42857142857142</v>
      </c>
      <c r="R15" s="1" t="s">
        <v>11</v>
      </c>
      <c r="S15" s="17">
        <f t="shared" ref="S15:AF15" si="7">SUM(C30:C33)</f>
        <v>141.14285714285714</v>
      </c>
      <c r="T15" s="17">
        <f t="shared" si="7"/>
        <v>23.714285714285712</v>
      </c>
      <c r="U15" s="17">
        <f t="shared" si="7"/>
        <v>20.714285714285715</v>
      </c>
      <c r="V15" s="17">
        <f t="shared" si="7"/>
        <v>147.28571428571428</v>
      </c>
      <c r="W15" s="17">
        <f t="shared" si="7"/>
        <v>5.1428571428571423</v>
      </c>
      <c r="X15" s="17">
        <f t="shared" si="7"/>
        <v>5.4285714285714288</v>
      </c>
      <c r="Y15" s="17">
        <f t="shared" si="7"/>
        <v>49.714285714285715</v>
      </c>
      <c r="Z15" s="17">
        <f t="shared" si="7"/>
        <v>11.714285714285715</v>
      </c>
      <c r="AA15" s="17">
        <f t="shared" si="7"/>
        <v>6.4285714285714288</v>
      </c>
      <c r="AB15" s="17">
        <f t="shared" si="7"/>
        <v>10.142857142857142</v>
      </c>
      <c r="AC15" s="17">
        <f t="shared" si="7"/>
        <v>450.57142857142861</v>
      </c>
      <c r="AD15" s="17">
        <f t="shared" si="7"/>
        <v>0</v>
      </c>
      <c r="AE15" s="31">
        <f t="shared" si="7"/>
        <v>421.42857142857144</v>
      </c>
      <c r="AF15" s="31">
        <f t="shared" si="7"/>
        <v>872</v>
      </c>
    </row>
    <row r="16" spans="2:32" ht="23.1" customHeight="1" x14ac:dyDescent="0.25">
      <c r="B16" s="23" t="s">
        <v>43</v>
      </c>
      <c r="C16" s="49">
        <f>AVERAGE('22.07 Bwaise-Kawempe'!C16,'23.07 Bwaise-Kawempe'!C16,'24.07 Bwaise-Kawempe'!C16,'25.07 Bwaise-Kawempe'!C16,'26.07 Bwaise-Kawempe-24h'!C16,'27.07 Bwaise-Kawempe-24h'!C16,'28.07 Bwaise-Kawempe'!C16)</f>
        <v>20.285714285714285</v>
      </c>
      <c r="D16" s="49">
        <f>AVERAGE('22.07 Bwaise-Kawempe'!D16,'23.07 Bwaise-Kawempe'!D16,'24.07 Bwaise-Kawempe'!D16,'25.07 Bwaise-Kawempe'!D16,'26.07 Bwaise-Kawempe-24h'!D16,'27.07 Bwaise-Kawempe-24h'!D16,'28.07 Bwaise-Kawempe'!D16)</f>
        <v>4.4285714285714288</v>
      </c>
      <c r="E16" s="49">
        <f>AVERAGE('22.07 Bwaise-Kawempe'!E16,'23.07 Bwaise-Kawempe'!E16,'24.07 Bwaise-Kawempe'!E16,'25.07 Bwaise-Kawempe'!E16,'26.07 Bwaise-Kawempe-24h'!E16,'27.07 Bwaise-Kawempe-24h'!E16,'28.07 Bwaise-Kawempe'!E16)</f>
        <v>2</v>
      </c>
      <c r="F16" s="49">
        <f>AVERAGE('22.07 Bwaise-Kawempe'!F16,'23.07 Bwaise-Kawempe'!F16,'24.07 Bwaise-Kawempe'!F16,'25.07 Bwaise-Kawempe'!F16,'26.07 Bwaise-Kawempe-24h'!F16,'27.07 Bwaise-Kawempe-24h'!F16,'28.07 Bwaise-Kawempe'!F16)</f>
        <v>39.142857142857146</v>
      </c>
      <c r="G16" s="49">
        <f>AVERAGE('22.07 Bwaise-Kawempe'!G16,'23.07 Bwaise-Kawempe'!G16,'24.07 Bwaise-Kawempe'!G16,'25.07 Bwaise-Kawempe'!G16,'26.07 Bwaise-Kawempe-24h'!G16,'27.07 Bwaise-Kawempe-24h'!G16,'28.07 Bwaise-Kawempe'!G16)</f>
        <v>1.4285714285714286</v>
      </c>
      <c r="H16" s="49">
        <f>AVERAGE('22.07 Bwaise-Kawempe'!H16,'23.07 Bwaise-Kawempe'!H16,'24.07 Bwaise-Kawempe'!H16,'25.07 Bwaise-Kawempe'!H16,'26.07 Bwaise-Kawempe-24h'!H16,'27.07 Bwaise-Kawempe-24h'!H16,'28.07 Bwaise-Kawempe'!H16)</f>
        <v>0.2857142857142857</v>
      </c>
      <c r="I16" s="49">
        <f>AVERAGE('22.07 Bwaise-Kawempe'!I16,'23.07 Bwaise-Kawempe'!I16,'24.07 Bwaise-Kawempe'!I16,'25.07 Bwaise-Kawempe'!I16,'26.07 Bwaise-Kawempe-24h'!I16,'27.07 Bwaise-Kawempe-24h'!I16,'28.07 Bwaise-Kawempe'!I16)</f>
        <v>6.1428571428571432</v>
      </c>
      <c r="J16" s="49">
        <f>AVERAGE('22.07 Bwaise-Kawempe'!J16,'23.07 Bwaise-Kawempe'!J16,'24.07 Bwaise-Kawempe'!J16,'25.07 Bwaise-Kawempe'!J16,'26.07 Bwaise-Kawempe-24h'!J16,'27.07 Bwaise-Kawempe-24h'!J16,'28.07 Bwaise-Kawempe'!J16)</f>
        <v>2.5714285714285716</v>
      </c>
      <c r="K16" s="49">
        <f>AVERAGE('22.07 Bwaise-Kawempe'!K16,'23.07 Bwaise-Kawempe'!K16,'24.07 Bwaise-Kawempe'!K16,'25.07 Bwaise-Kawempe'!K16,'26.07 Bwaise-Kawempe-24h'!K16,'27.07 Bwaise-Kawempe-24h'!K16,'28.07 Bwaise-Kawempe'!K16)</f>
        <v>0.8571428571428571</v>
      </c>
      <c r="L16" s="49">
        <f>AVERAGE('22.07 Bwaise-Kawempe'!L16,'23.07 Bwaise-Kawempe'!L16,'24.07 Bwaise-Kawempe'!L16,'25.07 Bwaise-Kawempe'!L16,'26.07 Bwaise-Kawempe-24h'!L16,'27.07 Bwaise-Kawempe-24h'!L16,'28.07 Bwaise-Kawempe'!L16)</f>
        <v>0.8571428571428571</v>
      </c>
      <c r="M16" s="49">
        <f>AVERAGE('22.07 Bwaise-Kawempe'!M16,'23.07 Bwaise-Kawempe'!M16,'24.07 Bwaise-Kawempe'!M16,'25.07 Bwaise-Kawempe'!M16,'26.07 Bwaise-Kawempe-24h'!M16,'27.07 Bwaise-Kawempe-24h'!M16,'28.07 Bwaise-Kawempe'!M16)</f>
        <v>161.57142857142858</v>
      </c>
      <c r="N16" s="49">
        <f>AVERAGE('22.07 Bwaise-Kawempe'!N16,'23.07 Bwaise-Kawempe'!N16,'24.07 Bwaise-Kawempe'!N16,'25.07 Bwaise-Kawempe'!N16,'26.07 Bwaise-Kawempe-24h'!N16,'27.07 Bwaise-Kawempe-24h'!N16,'28.07 Bwaise-Kawempe'!N16)</f>
        <v>0</v>
      </c>
      <c r="O16" s="15">
        <f t="shared" si="0"/>
        <v>78.000000000000014</v>
      </c>
      <c r="P16" s="15">
        <f t="shared" si="1"/>
        <v>239.57142857142861</v>
      </c>
      <c r="R16" s="1" t="s">
        <v>12</v>
      </c>
      <c r="S16" s="17">
        <f t="shared" ref="S16:AF16" si="8">SUM(C34:C37)</f>
        <v>155.42857142857144</v>
      </c>
      <c r="T16" s="17">
        <f t="shared" si="8"/>
        <v>28.714285714285715</v>
      </c>
      <c r="U16" s="17">
        <f t="shared" si="8"/>
        <v>26.428571428571431</v>
      </c>
      <c r="V16" s="17">
        <f t="shared" si="8"/>
        <v>144.85714285714286</v>
      </c>
      <c r="W16" s="17">
        <f t="shared" si="8"/>
        <v>5</v>
      </c>
      <c r="X16" s="17">
        <f t="shared" si="8"/>
        <v>2.2857142857142856</v>
      </c>
      <c r="Y16" s="17">
        <f t="shared" si="8"/>
        <v>40.714285714285715</v>
      </c>
      <c r="Z16" s="17">
        <f t="shared" si="8"/>
        <v>20.142857142857146</v>
      </c>
      <c r="AA16" s="17">
        <f t="shared" si="8"/>
        <v>7.4285714285714279</v>
      </c>
      <c r="AB16" s="17">
        <f t="shared" si="8"/>
        <v>11.571428571428573</v>
      </c>
      <c r="AC16" s="17">
        <f t="shared" si="8"/>
        <v>435.28571428571428</v>
      </c>
      <c r="AD16" s="17">
        <f t="shared" si="8"/>
        <v>0</v>
      </c>
      <c r="AE16" s="31">
        <f t="shared" si="8"/>
        <v>442.57142857142861</v>
      </c>
      <c r="AF16" s="31">
        <f t="shared" si="8"/>
        <v>877.85714285714278</v>
      </c>
    </row>
    <row r="17" spans="2:32" ht="23.1" customHeight="1" x14ac:dyDescent="0.25">
      <c r="B17" s="23" t="s">
        <v>44</v>
      </c>
      <c r="C17" s="49">
        <f>AVERAGE('22.07 Bwaise-Kawempe'!C17,'23.07 Bwaise-Kawempe'!C17,'24.07 Bwaise-Kawempe'!C17,'25.07 Bwaise-Kawempe'!C17,'26.07 Bwaise-Kawempe-24h'!C17,'27.07 Bwaise-Kawempe-24h'!C17,'28.07 Bwaise-Kawempe'!C17)</f>
        <v>24.285714285714285</v>
      </c>
      <c r="D17" s="49">
        <f>AVERAGE('22.07 Bwaise-Kawempe'!D17,'23.07 Bwaise-Kawempe'!D17,'24.07 Bwaise-Kawempe'!D17,'25.07 Bwaise-Kawempe'!D17,'26.07 Bwaise-Kawempe-24h'!D17,'27.07 Bwaise-Kawempe-24h'!D17,'28.07 Bwaise-Kawempe'!D17)</f>
        <v>4.1428571428571432</v>
      </c>
      <c r="E17" s="49">
        <f>AVERAGE('22.07 Bwaise-Kawempe'!E17,'23.07 Bwaise-Kawempe'!E17,'24.07 Bwaise-Kawempe'!E17,'25.07 Bwaise-Kawempe'!E17,'26.07 Bwaise-Kawempe-24h'!E17,'27.07 Bwaise-Kawempe-24h'!E17,'28.07 Bwaise-Kawempe'!E17)</f>
        <v>4.8571428571428568</v>
      </c>
      <c r="F17" s="49">
        <f>AVERAGE('22.07 Bwaise-Kawempe'!F17,'23.07 Bwaise-Kawempe'!F17,'24.07 Bwaise-Kawempe'!F17,'25.07 Bwaise-Kawempe'!F17,'26.07 Bwaise-Kawempe-24h'!F17,'27.07 Bwaise-Kawempe-24h'!F17,'28.07 Bwaise-Kawempe'!F17)</f>
        <v>49.428571428571431</v>
      </c>
      <c r="G17" s="49">
        <f>AVERAGE('22.07 Bwaise-Kawempe'!G17,'23.07 Bwaise-Kawempe'!G17,'24.07 Bwaise-Kawempe'!G17,'25.07 Bwaise-Kawempe'!G17,'26.07 Bwaise-Kawempe-24h'!G17,'27.07 Bwaise-Kawempe-24h'!G17,'28.07 Bwaise-Kawempe'!G17)</f>
        <v>1.1428571428571428</v>
      </c>
      <c r="H17" s="49">
        <f>AVERAGE('22.07 Bwaise-Kawempe'!H17,'23.07 Bwaise-Kawempe'!H17,'24.07 Bwaise-Kawempe'!H17,'25.07 Bwaise-Kawempe'!H17,'26.07 Bwaise-Kawempe-24h'!H17,'27.07 Bwaise-Kawempe-24h'!H17,'28.07 Bwaise-Kawempe'!H17)</f>
        <v>1.4285714285714286</v>
      </c>
      <c r="I17" s="49">
        <f>AVERAGE('22.07 Bwaise-Kawempe'!I17,'23.07 Bwaise-Kawempe'!I17,'24.07 Bwaise-Kawempe'!I17,'25.07 Bwaise-Kawempe'!I17,'26.07 Bwaise-Kawempe-24h'!I17,'27.07 Bwaise-Kawempe-24h'!I17,'28.07 Bwaise-Kawempe'!I17)</f>
        <v>6.5714285714285712</v>
      </c>
      <c r="J17" s="49">
        <f>AVERAGE('22.07 Bwaise-Kawempe'!J17,'23.07 Bwaise-Kawempe'!J17,'24.07 Bwaise-Kawempe'!J17,'25.07 Bwaise-Kawempe'!J17,'26.07 Bwaise-Kawempe-24h'!J17,'27.07 Bwaise-Kawempe-24h'!J17,'28.07 Bwaise-Kawempe'!J17)</f>
        <v>1.8571428571428572</v>
      </c>
      <c r="K17" s="49">
        <f>AVERAGE('22.07 Bwaise-Kawempe'!K17,'23.07 Bwaise-Kawempe'!K17,'24.07 Bwaise-Kawempe'!K17,'25.07 Bwaise-Kawempe'!K17,'26.07 Bwaise-Kawempe-24h'!K17,'27.07 Bwaise-Kawempe-24h'!K17,'28.07 Bwaise-Kawempe'!K17)</f>
        <v>1.8571428571428572</v>
      </c>
      <c r="L17" s="49">
        <f>AVERAGE('22.07 Bwaise-Kawempe'!L17,'23.07 Bwaise-Kawempe'!L17,'24.07 Bwaise-Kawempe'!L17,'25.07 Bwaise-Kawempe'!L17,'26.07 Bwaise-Kawempe-24h'!L17,'27.07 Bwaise-Kawempe-24h'!L17,'28.07 Bwaise-Kawempe'!L17)</f>
        <v>1.8571428571428572</v>
      </c>
      <c r="M17" s="49">
        <f>AVERAGE('22.07 Bwaise-Kawempe'!M17,'23.07 Bwaise-Kawempe'!M17,'24.07 Bwaise-Kawempe'!M17,'25.07 Bwaise-Kawempe'!M17,'26.07 Bwaise-Kawempe-24h'!M17,'27.07 Bwaise-Kawempe-24h'!M17,'28.07 Bwaise-Kawempe'!M17)</f>
        <v>139.28571428571428</v>
      </c>
      <c r="N17" s="49">
        <f>AVERAGE('22.07 Bwaise-Kawempe'!N17,'23.07 Bwaise-Kawempe'!N17,'24.07 Bwaise-Kawempe'!N17,'25.07 Bwaise-Kawempe'!N17,'26.07 Bwaise-Kawempe-24h'!N17,'27.07 Bwaise-Kawempe-24h'!N17,'28.07 Bwaise-Kawempe'!N17)</f>
        <v>0.14285714285714285</v>
      </c>
      <c r="O17" s="15">
        <f t="shared" si="0"/>
        <v>97.571428571428584</v>
      </c>
      <c r="P17" s="15">
        <f t="shared" si="1"/>
        <v>236.85714285714286</v>
      </c>
      <c r="R17" s="1" t="s">
        <v>13</v>
      </c>
      <c r="S17" s="17">
        <f t="shared" ref="S17:AF17" si="9">SUM(C38:C41)</f>
        <v>132.14285714285714</v>
      </c>
      <c r="T17" s="17">
        <f t="shared" si="9"/>
        <v>24</v>
      </c>
      <c r="U17" s="17">
        <f t="shared" si="9"/>
        <v>23.857142857142858</v>
      </c>
      <c r="V17" s="17">
        <f t="shared" si="9"/>
        <v>130.71428571428569</v>
      </c>
      <c r="W17" s="17">
        <f t="shared" si="9"/>
        <v>4.8571428571428568</v>
      </c>
      <c r="X17" s="17">
        <f t="shared" si="9"/>
        <v>2.2857142857142856</v>
      </c>
      <c r="Y17" s="17">
        <f t="shared" si="9"/>
        <v>46.142857142857146</v>
      </c>
      <c r="Z17" s="17">
        <f t="shared" si="9"/>
        <v>13.428571428571429</v>
      </c>
      <c r="AA17" s="17">
        <f t="shared" si="9"/>
        <v>6.5714285714285712</v>
      </c>
      <c r="AB17" s="17">
        <f t="shared" si="9"/>
        <v>12.142857142857142</v>
      </c>
      <c r="AC17" s="17">
        <f t="shared" si="9"/>
        <v>359.14285714285711</v>
      </c>
      <c r="AD17" s="17">
        <f t="shared" si="9"/>
        <v>0</v>
      </c>
      <c r="AE17" s="31">
        <f t="shared" si="9"/>
        <v>396.14285714285722</v>
      </c>
      <c r="AF17" s="31">
        <f t="shared" si="9"/>
        <v>755.28571428571433</v>
      </c>
    </row>
    <row r="18" spans="2:32" ht="23.1" customHeight="1" x14ac:dyDescent="0.25">
      <c r="B18" s="23" t="s">
        <v>45</v>
      </c>
      <c r="C18" s="49">
        <f>AVERAGE('22.07 Bwaise-Kawempe'!C18,'23.07 Bwaise-Kawempe'!C18,'24.07 Bwaise-Kawempe'!C18,'25.07 Bwaise-Kawempe'!C18,'26.07 Bwaise-Kawempe-24h'!C18,'27.07 Bwaise-Kawempe-24h'!C18,'28.07 Bwaise-Kawempe'!C18)</f>
        <v>19.714285714285715</v>
      </c>
      <c r="D18" s="49">
        <f>AVERAGE('22.07 Bwaise-Kawempe'!D18,'23.07 Bwaise-Kawempe'!D18,'24.07 Bwaise-Kawempe'!D18,'25.07 Bwaise-Kawempe'!D18,'26.07 Bwaise-Kawempe-24h'!D18,'27.07 Bwaise-Kawempe-24h'!D18,'28.07 Bwaise-Kawempe'!D18)</f>
        <v>5</v>
      </c>
      <c r="E18" s="49">
        <f>AVERAGE('22.07 Bwaise-Kawempe'!E18,'23.07 Bwaise-Kawempe'!E18,'24.07 Bwaise-Kawempe'!E18,'25.07 Bwaise-Kawempe'!E18,'26.07 Bwaise-Kawempe-24h'!E18,'27.07 Bwaise-Kawempe-24h'!E18,'28.07 Bwaise-Kawempe'!E18)</f>
        <v>8.4285714285714288</v>
      </c>
      <c r="F18" s="49">
        <f>AVERAGE('22.07 Bwaise-Kawempe'!F18,'23.07 Bwaise-Kawempe'!F18,'24.07 Bwaise-Kawempe'!F18,'25.07 Bwaise-Kawempe'!F18,'26.07 Bwaise-Kawempe-24h'!F18,'27.07 Bwaise-Kawempe-24h'!F18,'28.07 Bwaise-Kawempe'!F18)</f>
        <v>30.285714285714285</v>
      </c>
      <c r="G18" s="49">
        <f>AVERAGE('22.07 Bwaise-Kawempe'!G18,'23.07 Bwaise-Kawempe'!G18,'24.07 Bwaise-Kawempe'!G18,'25.07 Bwaise-Kawempe'!G18,'26.07 Bwaise-Kawempe-24h'!G18,'27.07 Bwaise-Kawempe-24h'!G18,'28.07 Bwaise-Kawempe'!G18)</f>
        <v>1</v>
      </c>
      <c r="H18" s="49">
        <f>AVERAGE('22.07 Bwaise-Kawempe'!H18,'23.07 Bwaise-Kawempe'!H18,'24.07 Bwaise-Kawempe'!H18,'25.07 Bwaise-Kawempe'!H18,'26.07 Bwaise-Kawempe-24h'!H18,'27.07 Bwaise-Kawempe-24h'!H18,'28.07 Bwaise-Kawempe'!H18)</f>
        <v>1</v>
      </c>
      <c r="I18" s="49">
        <f>AVERAGE('22.07 Bwaise-Kawempe'!I18,'23.07 Bwaise-Kawempe'!I18,'24.07 Bwaise-Kawempe'!I18,'25.07 Bwaise-Kawempe'!I18,'26.07 Bwaise-Kawempe-24h'!I18,'27.07 Bwaise-Kawempe-24h'!I18,'28.07 Bwaise-Kawempe'!I18)</f>
        <v>7.7142857142857144</v>
      </c>
      <c r="J18" s="49">
        <f>AVERAGE('22.07 Bwaise-Kawempe'!J18,'23.07 Bwaise-Kawempe'!J18,'24.07 Bwaise-Kawempe'!J18,'25.07 Bwaise-Kawempe'!J18,'26.07 Bwaise-Kawempe-24h'!J18,'27.07 Bwaise-Kawempe-24h'!J18,'28.07 Bwaise-Kawempe'!J18)</f>
        <v>2</v>
      </c>
      <c r="K18" s="49">
        <f>AVERAGE('22.07 Bwaise-Kawempe'!K18,'23.07 Bwaise-Kawempe'!K18,'24.07 Bwaise-Kawempe'!K18,'25.07 Bwaise-Kawempe'!K18,'26.07 Bwaise-Kawempe-24h'!K18,'27.07 Bwaise-Kawempe-24h'!K18,'28.07 Bwaise-Kawempe'!K18)</f>
        <v>1.7142857142857142</v>
      </c>
      <c r="L18" s="49">
        <f>AVERAGE('22.07 Bwaise-Kawempe'!L18,'23.07 Bwaise-Kawempe'!L18,'24.07 Bwaise-Kawempe'!L18,'25.07 Bwaise-Kawempe'!L18,'26.07 Bwaise-Kawempe-24h'!L18,'27.07 Bwaise-Kawempe-24h'!L18,'28.07 Bwaise-Kawempe'!L18)</f>
        <v>2.2857142857142856</v>
      </c>
      <c r="M18" s="49">
        <f>AVERAGE('22.07 Bwaise-Kawempe'!M18,'23.07 Bwaise-Kawempe'!M18,'24.07 Bwaise-Kawempe'!M18,'25.07 Bwaise-Kawempe'!M18,'26.07 Bwaise-Kawempe-24h'!M18,'27.07 Bwaise-Kawempe-24h'!M18,'28.07 Bwaise-Kawempe'!M18)</f>
        <v>159</v>
      </c>
      <c r="N18" s="49">
        <f>AVERAGE('22.07 Bwaise-Kawempe'!N18,'23.07 Bwaise-Kawempe'!N18,'24.07 Bwaise-Kawempe'!N18,'25.07 Bwaise-Kawempe'!N18,'26.07 Bwaise-Kawempe-24h'!N18,'27.07 Bwaise-Kawempe-24h'!N18,'28.07 Bwaise-Kawempe'!N18)</f>
        <v>0</v>
      </c>
      <c r="O18" s="15">
        <f t="shared" si="0"/>
        <v>79.142857142857139</v>
      </c>
      <c r="P18" s="15">
        <f t="shared" si="1"/>
        <v>238.14285714285714</v>
      </c>
      <c r="R18" s="1" t="s">
        <v>14</v>
      </c>
      <c r="S18" s="17">
        <f t="shared" ref="S18:AF18" si="10">SUM(C42:C45)</f>
        <v>134.42857142857144</v>
      </c>
      <c r="T18" s="17">
        <f t="shared" si="10"/>
        <v>22.571428571428573</v>
      </c>
      <c r="U18" s="17">
        <f t="shared" si="10"/>
        <v>25.857142857142858</v>
      </c>
      <c r="V18" s="17">
        <f t="shared" si="10"/>
        <v>125.42857142857144</v>
      </c>
      <c r="W18" s="17">
        <f t="shared" si="10"/>
        <v>4.2857142857142856</v>
      </c>
      <c r="X18" s="17">
        <f t="shared" si="10"/>
        <v>1.5714285714285712</v>
      </c>
      <c r="Y18" s="17">
        <f t="shared" si="10"/>
        <v>44.285714285714292</v>
      </c>
      <c r="Z18" s="17">
        <f t="shared" si="10"/>
        <v>13.857142857142858</v>
      </c>
      <c r="AA18" s="17">
        <f t="shared" si="10"/>
        <v>5.7142857142857135</v>
      </c>
      <c r="AB18" s="17">
        <f t="shared" si="10"/>
        <v>12</v>
      </c>
      <c r="AC18" s="17">
        <f t="shared" si="10"/>
        <v>389.42857142857144</v>
      </c>
      <c r="AD18" s="17">
        <f t="shared" si="10"/>
        <v>0</v>
      </c>
      <c r="AE18" s="31">
        <f t="shared" si="10"/>
        <v>390</v>
      </c>
      <c r="AF18" s="31">
        <f t="shared" si="10"/>
        <v>779.42857142857156</v>
      </c>
    </row>
    <row r="19" spans="2:32" ht="23.1" customHeight="1" x14ac:dyDescent="0.25">
      <c r="B19" s="23" t="s">
        <v>46</v>
      </c>
      <c r="C19" s="49">
        <f>AVERAGE('22.07 Bwaise-Kawempe'!C19,'23.07 Bwaise-Kawempe'!C19,'24.07 Bwaise-Kawempe'!C19,'25.07 Bwaise-Kawempe'!C19,'26.07 Bwaise-Kawempe-24h'!C19,'27.07 Bwaise-Kawempe-24h'!C19,'28.07 Bwaise-Kawempe'!C19)</f>
        <v>33.714285714285715</v>
      </c>
      <c r="D19" s="49">
        <f>AVERAGE('22.07 Bwaise-Kawempe'!D19,'23.07 Bwaise-Kawempe'!D19,'24.07 Bwaise-Kawempe'!D19,'25.07 Bwaise-Kawempe'!D19,'26.07 Bwaise-Kawempe-24h'!D19,'27.07 Bwaise-Kawempe-24h'!D19,'28.07 Bwaise-Kawempe'!D19)</f>
        <v>5.5714285714285712</v>
      </c>
      <c r="E19" s="49">
        <f>AVERAGE('22.07 Bwaise-Kawempe'!E19,'23.07 Bwaise-Kawempe'!E19,'24.07 Bwaise-Kawempe'!E19,'25.07 Bwaise-Kawempe'!E19,'26.07 Bwaise-Kawempe-24h'!E19,'27.07 Bwaise-Kawempe-24h'!E19,'28.07 Bwaise-Kawempe'!E19)</f>
        <v>8.1428571428571423</v>
      </c>
      <c r="F19" s="49">
        <f>AVERAGE('22.07 Bwaise-Kawempe'!F19,'23.07 Bwaise-Kawempe'!F19,'24.07 Bwaise-Kawempe'!F19,'25.07 Bwaise-Kawempe'!F19,'26.07 Bwaise-Kawempe-24h'!F19,'27.07 Bwaise-Kawempe-24h'!F19,'28.07 Bwaise-Kawempe'!F19)</f>
        <v>44.571428571428569</v>
      </c>
      <c r="G19" s="49">
        <f>AVERAGE('22.07 Bwaise-Kawempe'!G19,'23.07 Bwaise-Kawempe'!G19,'24.07 Bwaise-Kawempe'!G19,'25.07 Bwaise-Kawempe'!G19,'26.07 Bwaise-Kawempe-24h'!G19,'27.07 Bwaise-Kawempe-24h'!G19,'28.07 Bwaise-Kawempe'!G19)</f>
        <v>2</v>
      </c>
      <c r="H19" s="49">
        <f>AVERAGE('22.07 Bwaise-Kawempe'!H19,'23.07 Bwaise-Kawempe'!H19,'24.07 Bwaise-Kawempe'!H19,'25.07 Bwaise-Kawempe'!H19,'26.07 Bwaise-Kawempe-24h'!H19,'27.07 Bwaise-Kawempe-24h'!H19,'28.07 Bwaise-Kawempe'!H19)</f>
        <v>0.42857142857142855</v>
      </c>
      <c r="I19" s="49">
        <f>AVERAGE('22.07 Bwaise-Kawempe'!I19,'23.07 Bwaise-Kawempe'!I19,'24.07 Bwaise-Kawempe'!I19,'25.07 Bwaise-Kawempe'!I19,'26.07 Bwaise-Kawempe-24h'!I19,'27.07 Bwaise-Kawempe-24h'!I19,'28.07 Bwaise-Kawempe'!I19)</f>
        <v>6.5714285714285712</v>
      </c>
      <c r="J19" s="49">
        <f>AVERAGE('22.07 Bwaise-Kawempe'!J19,'23.07 Bwaise-Kawempe'!J19,'24.07 Bwaise-Kawempe'!J19,'25.07 Bwaise-Kawempe'!J19,'26.07 Bwaise-Kawempe-24h'!J19,'27.07 Bwaise-Kawempe-24h'!J19,'28.07 Bwaise-Kawempe'!J19)</f>
        <v>1.4285714285714286</v>
      </c>
      <c r="K19" s="49">
        <f>AVERAGE('22.07 Bwaise-Kawempe'!K19,'23.07 Bwaise-Kawempe'!K19,'24.07 Bwaise-Kawempe'!K19,'25.07 Bwaise-Kawempe'!K19,'26.07 Bwaise-Kawempe-24h'!K19,'27.07 Bwaise-Kawempe-24h'!K19,'28.07 Bwaise-Kawempe'!K19)</f>
        <v>1.8571428571428572</v>
      </c>
      <c r="L19" s="49">
        <f>AVERAGE('22.07 Bwaise-Kawempe'!L19,'23.07 Bwaise-Kawempe'!L19,'24.07 Bwaise-Kawempe'!L19,'25.07 Bwaise-Kawempe'!L19,'26.07 Bwaise-Kawempe-24h'!L19,'27.07 Bwaise-Kawempe-24h'!L19,'28.07 Bwaise-Kawempe'!L19)</f>
        <v>1.5714285714285714</v>
      </c>
      <c r="M19" s="49">
        <f>AVERAGE('22.07 Bwaise-Kawempe'!M19,'23.07 Bwaise-Kawempe'!M19,'24.07 Bwaise-Kawempe'!M19,'25.07 Bwaise-Kawempe'!M19,'26.07 Bwaise-Kawempe-24h'!M19,'27.07 Bwaise-Kawempe-24h'!M19,'28.07 Bwaise-Kawempe'!M19)</f>
        <v>170</v>
      </c>
      <c r="N19" s="49">
        <f>AVERAGE('22.07 Bwaise-Kawempe'!N19,'23.07 Bwaise-Kawempe'!N19,'24.07 Bwaise-Kawempe'!N19,'25.07 Bwaise-Kawempe'!N19,'26.07 Bwaise-Kawempe-24h'!N19,'27.07 Bwaise-Kawempe-24h'!N19,'28.07 Bwaise-Kawempe'!N19)</f>
        <v>0</v>
      </c>
      <c r="O19" s="15">
        <f t="shared" si="0"/>
        <v>105.85714285714286</v>
      </c>
      <c r="P19" s="15">
        <f t="shared" si="1"/>
        <v>275.85714285714289</v>
      </c>
      <c r="R19" s="1" t="s">
        <v>15</v>
      </c>
      <c r="S19" s="17">
        <f t="shared" ref="S19:AF19" si="11">SUM(C46:C49)</f>
        <v>165</v>
      </c>
      <c r="T19" s="17">
        <f t="shared" si="11"/>
        <v>24.285714285714285</v>
      </c>
      <c r="U19" s="17">
        <f t="shared" si="11"/>
        <v>19.714285714285715</v>
      </c>
      <c r="V19" s="17">
        <f t="shared" si="11"/>
        <v>143.14285714285717</v>
      </c>
      <c r="W19" s="17">
        <f t="shared" si="11"/>
        <v>6</v>
      </c>
      <c r="X19" s="17">
        <f t="shared" si="11"/>
        <v>2.8571428571428572</v>
      </c>
      <c r="Y19" s="17">
        <f t="shared" si="11"/>
        <v>43.142857142857139</v>
      </c>
      <c r="Z19" s="17">
        <f t="shared" si="11"/>
        <v>13.285714285714285</v>
      </c>
      <c r="AA19" s="17">
        <f t="shared" si="11"/>
        <v>8.2857142857142865</v>
      </c>
      <c r="AB19" s="17">
        <f t="shared" si="11"/>
        <v>14.142857142857141</v>
      </c>
      <c r="AC19" s="17">
        <f t="shared" si="11"/>
        <v>526.42857142857144</v>
      </c>
      <c r="AD19" s="17">
        <f t="shared" si="11"/>
        <v>0</v>
      </c>
      <c r="AE19" s="31">
        <f t="shared" si="11"/>
        <v>439.85714285714289</v>
      </c>
      <c r="AF19" s="31">
        <f t="shared" si="11"/>
        <v>966.28571428571433</v>
      </c>
    </row>
    <row r="20" spans="2:32" ht="23.1" customHeight="1" x14ac:dyDescent="0.25">
      <c r="B20" s="23" t="s">
        <v>47</v>
      </c>
      <c r="C20" s="49">
        <f>AVERAGE('22.07 Bwaise-Kawempe'!C20,'23.07 Bwaise-Kawempe'!C20,'24.07 Bwaise-Kawempe'!C20,'25.07 Bwaise-Kawempe'!C20,'26.07 Bwaise-Kawempe-24h'!C20,'27.07 Bwaise-Kawempe-24h'!C20,'28.07 Bwaise-Kawempe'!C20)</f>
        <v>37.571428571428569</v>
      </c>
      <c r="D20" s="49">
        <f>AVERAGE('22.07 Bwaise-Kawempe'!D20,'23.07 Bwaise-Kawempe'!D20,'24.07 Bwaise-Kawempe'!D20,'25.07 Bwaise-Kawempe'!D20,'26.07 Bwaise-Kawempe-24h'!D20,'27.07 Bwaise-Kawempe-24h'!D20,'28.07 Bwaise-Kawempe'!D20)</f>
        <v>6.2857142857142856</v>
      </c>
      <c r="E20" s="49">
        <f>AVERAGE('22.07 Bwaise-Kawempe'!E20,'23.07 Bwaise-Kawempe'!E20,'24.07 Bwaise-Kawempe'!E20,'25.07 Bwaise-Kawempe'!E20,'26.07 Bwaise-Kawempe-24h'!E20,'27.07 Bwaise-Kawempe-24h'!E20,'28.07 Bwaise-Kawempe'!E20)</f>
        <v>13.142857142857142</v>
      </c>
      <c r="F20" s="49">
        <f>AVERAGE('22.07 Bwaise-Kawempe'!F20,'23.07 Bwaise-Kawempe'!F20,'24.07 Bwaise-Kawempe'!F20,'25.07 Bwaise-Kawempe'!F20,'26.07 Bwaise-Kawempe-24h'!F20,'27.07 Bwaise-Kawempe-24h'!F20,'28.07 Bwaise-Kawempe'!F20)</f>
        <v>46.857142857142854</v>
      </c>
      <c r="G20" s="49">
        <f>AVERAGE('22.07 Bwaise-Kawempe'!G20,'23.07 Bwaise-Kawempe'!G20,'24.07 Bwaise-Kawempe'!G20,'25.07 Bwaise-Kawempe'!G20,'26.07 Bwaise-Kawempe-24h'!G20,'27.07 Bwaise-Kawempe-24h'!G20,'28.07 Bwaise-Kawempe'!G20)</f>
        <v>1.7142857142857142</v>
      </c>
      <c r="H20" s="49">
        <f>AVERAGE('22.07 Bwaise-Kawempe'!H20,'23.07 Bwaise-Kawempe'!H20,'24.07 Bwaise-Kawempe'!H20,'25.07 Bwaise-Kawempe'!H20,'26.07 Bwaise-Kawempe-24h'!H20,'27.07 Bwaise-Kawempe-24h'!H20,'28.07 Bwaise-Kawempe'!H20)</f>
        <v>1.8571428571428572</v>
      </c>
      <c r="I20" s="49">
        <f>AVERAGE('22.07 Bwaise-Kawempe'!I20,'23.07 Bwaise-Kawempe'!I20,'24.07 Bwaise-Kawempe'!I20,'25.07 Bwaise-Kawempe'!I20,'26.07 Bwaise-Kawempe-24h'!I20,'27.07 Bwaise-Kawempe-24h'!I20,'28.07 Bwaise-Kawempe'!I20)</f>
        <v>8.5714285714285712</v>
      </c>
      <c r="J20" s="49">
        <f>AVERAGE('22.07 Bwaise-Kawempe'!J20,'23.07 Bwaise-Kawempe'!J20,'24.07 Bwaise-Kawempe'!J20,'25.07 Bwaise-Kawempe'!J20,'26.07 Bwaise-Kawempe-24h'!J20,'27.07 Bwaise-Kawempe-24h'!J20,'28.07 Bwaise-Kawempe'!J20)</f>
        <v>2</v>
      </c>
      <c r="K20" s="49">
        <f>AVERAGE('22.07 Bwaise-Kawempe'!K20,'23.07 Bwaise-Kawempe'!K20,'24.07 Bwaise-Kawempe'!K20,'25.07 Bwaise-Kawempe'!K20,'26.07 Bwaise-Kawempe-24h'!K20,'27.07 Bwaise-Kawempe-24h'!K20,'28.07 Bwaise-Kawempe'!K20)</f>
        <v>1.1428571428571428</v>
      </c>
      <c r="L20" s="49">
        <f>AVERAGE('22.07 Bwaise-Kawempe'!L20,'23.07 Bwaise-Kawempe'!L20,'24.07 Bwaise-Kawempe'!L20,'25.07 Bwaise-Kawempe'!L20,'26.07 Bwaise-Kawempe-24h'!L20,'27.07 Bwaise-Kawempe-24h'!L20,'28.07 Bwaise-Kawempe'!L20)</f>
        <v>1.8571428571428572</v>
      </c>
      <c r="M20" s="49">
        <f>AVERAGE('22.07 Bwaise-Kawempe'!M20,'23.07 Bwaise-Kawempe'!M20,'24.07 Bwaise-Kawempe'!M20,'25.07 Bwaise-Kawempe'!M20,'26.07 Bwaise-Kawempe-24h'!M20,'27.07 Bwaise-Kawempe-24h'!M20,'28.07 Bwaise-Kawempe'!M20)</f>
        <v>180.85714285714286</v>
      </c>
      <c r="N20" s="49">
        <f>AVERAGE('22.07 Bwaise-Kawempe'!N20,'23.07 Bwaise-Kawempe'!N20,'24.07 Bwaise-Kawempe'!N20,'25.07 Bwaise-Kawempe'!N20,'26.07 Bwaise-Kawempe-24h'!N20,'27.07 Bwaise-Kawempe-24h'!N20,'28.07 Bwaise-Kawempe'!N20)</f>
        <v>0</v>
      </c>
      <c r="O20" s="15">
        <f t="shared" si="0"/>
        <v>121</v>
      </c>
      <c r="P20" s="15">
        <f t="shared" si="1"/>
        <v>301.85714285714289</v>
      </c>
      <c r="R20" s="1" t="s">
        <v>16</v>
      </c>
      <c r="S20" s="17">
        <f t="shared" ref="S20:AF20" si="12">SUM(C50:C53)</f>
        <v>169.71428571428572</v>
      </c>
      <c r="T20" s="17">
        <f t="shared" si="12"/>
        <v>20.428571428571431</v>
      </c>
      <c r="U20" s="17">
        <f t="shared" si="12"/>
        <v>19.142857142857142</v>
      </c>
      <c r="V20" s="17">
        <f t="shared" si="12"/>
        <v>138.85714285714286</v>
      </c>
      <c r="W20" s="17">
        <f t="shared" si="12"/>
        <v>5.2857142857142865</v>
      </c>
      <c r="X20" s="17">
        <f t="shared" si="12"/>
        <v>1.4285714285714286</v>
      </c>
      <c r="Y20" s="17">
        <f t="shared" si="12"/>
        <v>42.285714285714285</v>
      </c>
      <c r="Z20" s="17">
        <f t="shared" si="12"/>
        <v>12.714285714285715</v>
      </c>
      <c r="AA20" s="17">
        <f t="shared" si="12"/>
        <v>6.4285714285714288</v>
      </c>
      <c r="AB20" s="17">
        <f t="shared" si="12"/>
        <v>13.285714285714285</v>
      </c>
      <c r="AC20" s="17">
        <f t="shared" si="12"/>
        <v>498.42857142857139</v>
      </c>
      <c r="AD20" s="17">
        <f t="shared" si="12"/>
        <v>0</v>
      </c>
      <c r="AE20" s="31">
        <f t="shared" si="12"/>
        <v>429.57142857142856</v>
      </c>
      <c r="AF20" s="31">
        <f t="shared" si="12"/>
        <v>928</v>
      </c>
    </row>
    <row r="21" spans="2:32" ht="23.1" customHeight="1" x14ac:dyDescent="0.25">
      <c r="B21" s="23" t="s">
        <v>48</v>
      </c>
      <c r="C21" s="49">
        <f>AVERAGE('22.07 Bwaise-Kawempe'!C21,'23.07 Bwaise-Kawempe'!C21,'24.07 Bwaise-Kawempe'!C21,'25.07 Bwaise-Kawempe'!C21,'26.07 Bwaise-Kawempe-24h'!C21,'27.07 Bwaise-Kawempe-24h'!C21,'28.07 Bwaise-Kawempe'!C21)</f>
        <v>28.571428571428573</v>
      </c>
      <c r="D21" s="49">
        <f>AVERAGE('22.07 Bwaise-Kawempe'!D21,'23.07 Bwaise-Kawempe'!D21,'24.07 Bwaise-Kawempe'!D21,'25.07 Bwaise-Kawempe'!D21,'26.07 Bwaise-Kawempe-24h'!D21,'27.07 Bwaise-Kawempe-24h'!D21,'28.07 Bwaise-Kawempe'!D21)</f>
        <v>6.2857142857142856</v>
      </c>
      <c r="E21" s="49">
        <f>AVERAGE('22.07 Bwaise-Kawempe'!E21,'23.07 Bwaise-Kawempe'!E21,'24.07 Bwaise-Kawempe'!E21,'25.07 Bwaise-Kawempe'!E21,'26.07 Bwaise-Kawempe-24h'!E21,'27.07 Bwaise-Kawempe-24h'!E21,'28.07 Bwaise-Kawempe'!E21)</f>
        <v>7</v>
      </c>
      <c r="F21" s="49">
        <f>AVERAGE('22.07 Bwaise-Kawempe'!F21,'23.07 Bwaise-Kawempe'!F21,'24.07 Bwaise-Kawempe'!F21,'25.07 Bwaise-Kawempe'!F21,'26.07 Bwaise-Kawempe-24h'!F21,'27.07 Bwaise-Kawempe-24h'!F21,'28.07 Bwaise-Kawempe'!F21)</f>
        <v>36.857142857142854</v>
      </c>
      <c r="G21" s="49">
        <f>AVERAGE('22.07 Bwaise-Kawempe'!G21,'23.07 Bwaise-Kawempe'!G21,'24.07 Bwaise-Kawempe'!G21,'25.07 Bwaise-Kawempe'!G21,'26.07 Bwaise-Kawempe-24h'!G21,'27.07 Bwaise-Kawempe-24h'!G21,'28.07 Bwaise-Kawempe'!G21)</f>
        <v>1</v>
      </c>
      <c r="H21" s="49">
        <f>AVERAGE('22.07 Bwaise-Kawempe'!H21,'23.07 Bwaise-Kawempe'!H21,'24.07 Bwaise-Kawempe'!H21,'25.07 Bwaise-Kawempe'!H21,'26.07 Bwaise-Kawempe-24h'!H21,'27.07 Bwaise-Kawempe-24h'!H21,'28.07 Bwaise-Kawempe'!H21)</f>
        <v>0.5714285714285714</v>
      </c>
      <c r="I21" s="49">
        <f>AVERAGE('22.07 Bwaise-Kawempe'!I21,'23.07 Bwaise-Kawempe'!I21,'24.07 Bwaise-Kawempe'!I21,'25.07 Bwaise-Kawempe'!I21,'26.07 Bwaise-Kawempe-24h'!I21,'27.07 Bwaise-Kawempe-24h'!I21,'28.07 Bwaise-Kawempe'!I21)</f>
        <v>8.8571428571428577</v>
      </c>
      <c r="J21" s="49">
        <f>AVERAGE('22.07 Bwaise-Kawempe'!J21,'23.07 Bwaise-Kawempe'!J21,'24.07 Bwaise-Kawempe'!J21,'25.07 Bwaise-Kawempe'!J21,'26.07 Bwaise-Kawempe-24h'!J21,'27.07 Bwaise-Kawempe-24h'!J21,'28.07 Bwaise-Kawempe'!J21)</f>
        <v>2.4285714285714284</v>
      </c>
      <c r="K21" s="49">
        <f>AVERAGE('22.07 Bwaise-Kawempe'!K21,'23.07 Bwaise-Kawempe'!K21,'24.07 Bwaise-Kawempe'!K21,'25.07 Bwaise-Kawempe'!K21,'26.07 Bwaise-Kawempe-24h'!K21,'27.07 Bwaise-Kawempe-24h'!K21,'28.07 Bwaise-Kawempe'!K21)</f>
        <v>0.7142857142857143</v>
      </c>
      <c r="L21" s="49">
        <f>AVERAGE('22.07 Bwaise-Kawempe'!L21,'23.07 Bwaise-Kawempe'!L21,'24.07 Bwaise-Kawempe'!L21,'25.07 Bwaise-Kawempe'!L21,'26.07 Bwaise-Kawempe-24h'!L21,'27.07 Bwaise-Kawempe-24h'!L21,'28.07 Bwaise-Kawempe'!L21)</f>
        <v>1.5714285714285714</v>
      </c>
      <c r="M21" s="49">
        <f>AVERAGE('22.07 Bwaise-Kawempe'!M21,'23.07 Bwaise-Kawempe'!M21,'24.07 Bwaise-Kawempe'!M21,'25.07 Bwaise-Kawempe'!M21,'26.07 Bwaise-Kawempe-24h'!M21,'27.07 Bwaise-Kawempe-24h'!M21,'28.07 Bwaise-Kawempe'!M21)</f>
        <v>133.71428571428572</v>
      </c>
      <c r="N21" s="49">
        <f>AVERAGE('22.07 Bwaise-Kawempe'!N21,'23.07 Bwaise-Kawempe'!N21,'24.07 Bwaise-Kawempe'!N21,'25.07 Bwaise-Kawempe'!N21,'26.07 Bwaise-Kawempe-24h'!N21,'27.07 Bwaise-Kawempe-24h'!N21,'28.07 Bwaise-Kawempe'!N21)</f>
        <v>0.14285714285714285</v>
      </c>
      <c r="O21" s="15">
        <f t="shared" si="0"/>
        <v>94</v>
      </c>
      <c r="P21" s="15">
        <f t="shared" si="1"/>
        <v>227.71428571428572</v>
      </c>
      <c r="R21" s="36" t="s">
        <v>20</v>
      </c>
      <c r="S21" s="34">
        <f t="shared" ref="S21:AF21" si="13">SUM(C54:C57)</f>
        <v>178</v>
      </c>
      <c r="T21" s="17">
        <f t="shared" si="13"/>
        <v>21.142857142857146</v>
      </c>
      <c r="U21" s="17">
        <f t="shared" si="13"/>
        <v>16</v>
      </c>
      <c r="V21" s="17">
        <f t="shared" si="13"/>
        <v>134.71428571428572</v>
      </c>
      <c r="W21" s="17">
        <f t="shared" si="13"/>
        <v>6.8571428571428568</v>
      </c>
      <c r="X21" s="17">
        <f t="shared" si="13"/>
        <v>1.2857142857142856</v>
      </c>
      <c r="Y21" s="17">
        <f t="shared" si="13"/>
        <v>40.428571428571431</v>
      </c>
      <c r="Z21" s="17">
        <f t="shared" si="13"/>
        <v>11</v>
      </c>
      <c r="AA21" s="17">
        <f t="shared" si="13"/>
        <v>7.1428571428571423</v>
      </c>
      <c r="AB21" s="17">
        <f t="shared" si="13"/>
        <v>10.142857142857142</v>
      </c>
      <c r="AC21" s="17">
        <f t="shared" si="13"/>
        <v>626.85714285714289</v>
      </c>
      <c r="AD21" s="17">
        <f t="shared" si="13"/>
        <v>0</v>
      </c>
      <c r="AE21" s="31">
        <f t="shared" si="13"/>
        <v>426.71428571428572</v>
      </c>
      <c r="AF21" s="31">
        <f t="shared" si="13"/>
        <v>1053.5714285714284</v>
      </c>
    </row>
    <row r="22" spans="2:32" ht="23.1" customHeight="1" x14ac:dyDescent="0.25">
      <c r="B22" s="23" t="s">
        <v>49</v>
      </c>
      <c r="C22" s="49">
        <f>AVERAGE('22.07 Bwaise-Kawempe'!C22,'23.07 Bwaise-Kawempe'!C22,'24.07 Bwaise-Kawempe'!C22,'25.07 Bwaise-Kawempe'!C22,'26.07 Bwaise-Kawempe-24h'!C22,'27.07 Bwaise-Kawempe-24h'!C22,'28.07 Bwaise-Kawempe'!C22)</f>
        <v>27.285714285714285</v>
      </c>
      <c r="D22" s="49">
        <f>AVERAGE('22.07 Bwaise-Kawempe'!D22,'23.07 Bwaise-Kawempe'!D22,'24.07 Bwaise-Kawempe'!D22,'25.07 Bwaise-Kawempe'!D22,'26.07 Bwaise-Kawempe-24h'!D22,'27.07 Bwaise-Kawempe-24h'!D22,'28.07 Bwaise-Kawempe'!D22)</f>
        <v>4.4285714285714288</v>
      </c>
      <c r="E22" s="49">
        <f>AVERAGE('22.07 Bwaise-Kawempe'!E22,'23.07 Bwaise-Kawempe'!E22,'24.07 Bwaise-Kawempe'!E22,'25.07 Bwaise-Kawempe'!E22,'26.07 Bwaise-Kawempe-24h'!E22,'27.07 Bwaise-Kawempe-24h'!E22,'28.07 Bwaise-Kawempe'!E22)</f>
        <v>5.1428571428571432</v>
      </c>
      <c r="F22" s="49">
        <f>AVERAGE('22.07 Bwaise-Kawempe'!F22,'23.07 Bwaise-Kawempe'!F22,'24.07 Bwaise-Kawempe'!F22,'25.07 Bwaise-Kawempe'!F22,'26.07 Bwaise-Kawempe-24h'!F22,'27.07 Bwaise-Kawempe-24h'!F22,'28.07 Bwaise-Kawempe'!F22)</f>
        <v>33.428571428571431</v>
      </c>
      <c r="G22" s="49">
        <f>AVERAGE('22.07 Bwaise-Kawempe'!G22,'23.07 Bwaise-Kawempe'!G22,'24.07 Bwaise-Kawempe'!G22,'25.07 Bwaise-Kawempe'!G22,'26.07 Bwaise-Kawempe-24h'!G22,'27.07 Bwaise-Kawempe-24h'!G22,'28.07 Bwaise-Kawempe'!G22)</f>
        <v>1.8571428571428572</v>
      </c>
      <c r="H22" s="49">
        <f>AVERAGE('22.07 Bwaise-Kawempe'!H22,'23.07 Bwaise-Kawempe'!H22,'24.07 Bwaise-Kawempe'!H22,'25.07 Bwaise-Kawempe'!H22,'26.07 Bwaise-Kawempe-24h'!H22,'27.07 Bwaise-Kawempe-24h'!H22,'28.07 Bwaise-Kawempe'!H22)</f>
        <v>0.2857142857142857</v>
      </c>
      <c r="I22" s="49">
        <f>AVERAGE('22.07 Bwaise-Kawempe'!I22,'23.07 Bwaise-Kawempe'!I22,'24.07 Bwaise-Kawempe'!I22,'25.07 Bwaise-Kawempe'!I22,'26.07 Bwaise-Kawempe-24h'!I22,'27.07 Bwaise-Kawempe-24h'!I22,'28.07 Bwaise-Kawempe'!I22)</f>
        <v>11.714285714285714</v>
      </c>
      <c r="J22" s="49">
        <f>AVERAGE('22.07 Bwaise-Kawempe'!J22,'23.07 Bwaise-Kawempe'!J22,'24.07 Bwaise-Kawempe'!J22,'25.07 Bwaise-Kawempe'!J22,'26.07 Bwaise-Kawempe-24h'!J22,'27.07 Bwaise-Kawempe-24h'!J22,'28.07 Bwaise-Kawempe'!J22)</f>
        <v>1.2857142857142858</v>
      </c>
      <c r="K22" s="49">
        <f>AVERAGE('22.07 Bwaise-Kawempe'!K22,'23.07 Bwaise-Kawempe'!K22,'24.07 Bwaise-Kawempe'!K22,'25.07 Bwaise-Kawempe'!K22,'26.07 Bwaise-Kawempe-24h'!K22,'27.07 Bwaise-Kawempe-24h'!K22,'28.07 Bwaise-Kawempe'!K22)</f>
        <v>1</v>
      </c>
      <c r="L22" s="49">
        <f>AVERAGE('22.07 Bwaise-Kawempe'!L22,'23.07 Bwaise-Kawempe'!L22,'24.07 Bwaise-Kawempe'!L22,'25.07 Bwaise-Kawempe'!L22,'26.07 Bwaise-Kawempe-24h'!L22,'27.07 Bwaise-Kawempe-24h'!L22,'28.07 Bwaise-Kawempe'!L22)</f>
        <v>2.1428571428571428</v>
      </c>
      <c r="M22" s="49">
        <f>AVERAGE('22.07 Bwaise-Kawempe'!M22,'23.07 Bwaise-Kawempe'!M22,'24.07 Bwaise-Kawempe'!M22,'25.07 Bwaise-Kawempe'!M22,'26.07 Bwaise-Kawempe-24h'!M22,'27.07 Bwaise-Kawempe-24h'!M22,'28.07 Bwaise-Kawempe'!M22)</f>
        <v>129.28571428571428</v>
      </c>
      <c r="N22" s="49">
        <f>AVERAGE('22.07 Bwaise-Kawempe'!N22,'23.07 Bwaise-Kawempe'!N22,'24.07 Bwaise-Kawempe'!N22,'25.07 Bwaise-Kawempe'!N22,'26.07 Bwaise-Kawempe-24h'!N22,'27.07 Bwaise-Kawempe-24h'!N22,'28.07 Bwaise-Kawempe'!N22)</f>
        <v>0</v>
      </c>
      <c r="O22" s="15">
        <f t="shared" si="0"/>
        <v>88.571428571428584</v>
      </c>
      <c r="P22" s="15">
        <f t="shared" si="1"/>
        <v>217.85714285714286</v>
      </c>
      <c r="R22" s="1" t="s">
        <v>146</v>
      </c>
      <c r="S22" s="34">
        <f>SUM(C58:C61)</f>
        <v>56.5</v>
      </c>
      <c r="T22" s="34">
        <f t="shared" ref="T22:AF22" si="14">SUM(D58:D61)</f>
        <v>4.5</v>
      </c>
      <c r="U22" s="34">
        <f t="shared" si="14"/>
        <v>4.5</v>
      </c>
      <c r="V22" s="34">
        <f t="shared" si="14"/>
        <v>60.5</v>
      </c>
      <c r="W22" s="34">
        <f t="shared" si="14"/>
        <v>5.5</v>
      </c>
      <c r="X22" s="34">
        <f t="shared" si="14"/>
        <v>2</v>
      </c>
      <c r="Y22" s="34">
        <f t="shared" si="14"/>
        <v>10.5</v>
      </c>
      <c r="Z22" s="34">
        <f t="shared" si="14"/>
        <v>7</v>
      </c>
      <c r="AA22" s="34">
        <f t="shared" si="14"/>
        <v>5.5</v>
      </c>
      <c r="AB22" s="34">
        <f t="shared" si="14"/>
        <v>2</v>
      </c>
      <c r="AC22" s="34">
        <f t="shared" si="14"/>
        <v>332</v>
      </c>
      <c r="AD22" s="34">
        <f t="shared" si="14"/>
        <v>0</v>
      </c>
      <c r="AE22" s="31">
        <f t="shared" si="14"/>
        <v>158.5</v>
      </c>
      <c r="AF22" s="31">
        <f t="shared" si="14"/>
        <v>490.5</v>
      </c>
    </row>
    <row r="23" spans="2:32" ht="23.1" customHeight="1" x14ac:dyDescent="0.25">
      <c r="B23" s="23" t="s">
        <v>50</v>
      </c>
      <c r="C23" s="49">
        <f>AVERAGE('22.07 Bwaise-Kawempe'!C23,'23.07 Bwaise-Kawempe'!C23,'24.07 Bwaise-Kawempe'!C23,'25.07 Bwaise-Kawempe'!C23,'26.07 Bwaise-Kawempe-24h'!C23,'27.07 Bwaise-Kawempe-24h'!C23,'28.07 Bwaise-Kawempe'!C23)</f>
        <v>28.285714285714285</v>
      </c>
      <c r="D23" s="49">
        <f>AVERAGE('22.07 Bwaise-Kawempe'!D23,'23.07 Bwaise-Kawempe'!D23,'24.07 Bwaise-Kawempe'!D23,'25.07 Bwaise-Kawempe'!D23,'26.07 Bwaise-Kawempe-24h'!D23,'27.07 Bwaise-Kawempe-24h'!D23,'28.07 Bwaise-Kawempe'!D23)</f>
        <v>6.7142857142857144</v>
      </c>
      <c r="E23" s="49">
        <f>AVERAGE('22.07 Bwaise-Kawempe'!E23,'23.07 Bwaise-Kawempe'!E23,'24.07 Bwaise-Kawempe'!E23,'25.07 Bwaise-Kawempe'!E23,'26.07 Bwaise-Kawempe-24h'!E23,'27.07 Bwaise-Kawempe-24h'!E23,'28.07 Bwaise-Kawempe'!E23)</f>
        <v>5</v>
      </c>
      <c r="F23" s="49">
        <f>AVERAGE('22.07 Bwaise-Kawempe'!F23,'23.07 Bwaise-Kawempe'!F23,'24.07 Bwaise-Kawempe'!F23,'25.07 Bwaise-Kawempe'!F23,'26.07 Bwaise-Kawempe-24h'!F23,'27.07 Bwaise-Kawempe-24h'!F23,'28.07 Bwaise-Kawempe'!F23)</f>
        <v>42</v>
      </c>
      <c r="G23" s="49">
        <f>AVERAGE('22.07 Bwaise-Kawempe'!G23,'23.07 Bwaise-Kawempe'!G23,'24.07 Bwaise-Kawempe'!G23,'25.07 Bwaise-Kawempe'!G23,'26.07 Bwaise-Kawempe-24h'!G23,'27.07 Bwaise-Kawempe-24h'!G23,'28.07 Bwaise-Kawempe'!G23)</f>
        <v>2</v>
      </c>
      <c r="H23" s="49">
        <f>AVERAGE('22.07 Bwaise-Kawempe'!H23,'23.07 Bwaise-Kawempe'!H23,'24.07 Bwaise-Kawempe'!H23,'25.07 Bwaise-Kawempe'!H23,'26.07 Bwaise-Kawempe-24h'!H23,'27.07 Bwaise-Kawempe-24h'!H23,'28.07 Bwaise-Kawempe'!H23)</f>
        <v>0.42857142857142855</v>
      </c>
      <c r="I23" s="49">
        <f>AVERAGE('22.07 Bwaise-Kawempe'!I23,'23.07 Bwaise-Kawempe'!I23,'24.07 Bwaise-Kawempe'!I23,'25.07 Bwaise-Kawempe'!I23,'26.07 Bwaise-Kawempe-24h'!I23,'27.07 Bwaise-Kawempe-24h'!I23,'28.07 Bwaise-Kawempe'!I23)</f>
        <v>12.714285714285714</v>
      </c>
      <c r="J23" s="49">
        <f>AVERAGE('22.07 Bwaise-Kawempe'!J23,'23.07 Bwaise-Kawempe'!J23,'24.07 Bwaise-Kawempe'!J23,'25.07 Bwaise-Kawempe'!J23,'26.07 Bwaise-Kawempe-24h'!J23,'27.07 Bwaise-Kawempe-24h'!J23,'28.07 Bwaise-Kawempe'!J23)</f>
        <v>2.4285714285714284</v>
      </c>
      <c r="K23" s="49">
        <f>AVERAGE('22.07 Bwaise-Kawempe'!K23,'23.07 Bwaise-Kawempe'!K23,'24.07 Bwaise-Kawempe'!K23,'25.07 Bwaise-Kawempe'!K23,'26.07 Bwaise-Kawempe-24h'!K23,'27.07 Bwaise-Kawempe-24h'!K23,'28.07 Bwaise-Kawempe'!K23)</f>
        <v>1.7142857142857142</v>
      </c>
      <c r="L23" s="49">
        <f>AVERAGE('22.07 Bwaise-Kawempe'!L23,'23.07 Bwaise-Kawempe'!L23,'24.07 Bwaise-Kawempe'!L23,'25.07 Bwaise-Kawempe'!L23,'26.07 Bwaise-Kawempe-24h'!L23,'27.07 Bwaise-Kawempe-24h'!L23,'28.07 Bwaise-Kawempe'!L23)</f>
        <v>2.2857142857142856</v>
      </c>
      <c r="M23" s="49">
        <f>AVERAGE('22.07 Bwaise-Kawempe'!M23,'23.07 Bwaise-Kawempe'!M23,'24.07 Bwaise-Kawempe'!M23,'25.07 Bwaise-Kawempe'!M23,'26.07 Bwaise-Kawempe-24h'!M23,'27.07 Bwaise-Kawempe-24h'!M23,'28.07 Bwaise-Kawempe'!M23)</f>
        <v>143.71428571428572</v>
      </c>
      <c r="N23" s="49">
        <f>AVERAGE('22.07 Bwaise-Kawempe'!N23,'23.07 Bwaise-Kawempe'!N23,'24.07 Bwaise-Kawempe'!N23,'25.07 Bwaise-Kawempe'!N23,'26.07 Bwaise-Kawempe-24h'!N23,'27.07 Bwaise-Kawempe-24h'!N23,'28.07 Bwaise-Kawempe'!N23)</f>
        <v>0</v>
      </c>
      <c r="O23" s="15">
        <f t="shared" si="0"/>
        <v>103.57142857142857</v>
      </c>
      <c r="P23" s="15">
        <f t="shared" si="1"/>
        <v>247.28571428571428</v>
      </c>
      <c r="R23" s="1" t="s">
        <v>147</v>
      </c>
      <c r="S23" s="34">
        <f>SUM(C62:C65)</f>
        <v>150</v>
      </c>
      <c r="T23" s="34">
        <f t="shared" ref="T23:AF23" si="15">SUM(D62:D65)</f>
        <v>9</v>
      </c>
      <c r="U23" s="34">
        <f t="shared" si="15"/>
        <v>10</v>
      </c>
      <c r="V23" s="34">
        <f t="shared" si="15"/>
        <v>88.5</v>
      </c>
      <c r="W23" s="34">
        <f t="shared" si="15"/>
        <v>4</v>
      </c>
      <c r="X23" s="34">
        <f t="shared" si="15"/>
        <v>2</v>
      </c>
      <c r="Y23" s="34">
        <f t="shared" si="15"/>
        <v>24</v>
      </c>
      <c r="Z23" s="34">
        <f t="shared" si="15"/>
        <v>13</v>
      </c>
      <c r="AA23" s="34">
        <f t="shared" si="15"/>
        <v>8</v>
      </c>
      <c r="AB23" s="34">
        <f t="shared" si="15"/>
        <v>7.5</v>
      </c>
      <c r="AC23" s="34">
        <f t="shared" si="15"/>
        <v>642.5</v>
      </c>
      <c r="AD23" s="34">
        <f t="shared" si="15"/>
        <v>0</v>
      </c>
      <c r="AE23" s="31">
        <f t="shared" si="15"/>
        <v>316</v>
      </c>
      <c r="AF23" s="31">
        <f t="shared" si="15"/>
        <v>958.5</v>
      </c>
    </row>
    <row r="24" spans="2:32" ht="23.1" customHeight="1" x14ac:dyDescent="0.25">
      <c r="B24" s="23" t="s">
        <v>51</v>
      </c>
      <c r="C24" s="49">
        <f>AVERAGE('22.07 Bwaise-Kawempe'!C24,'23.07 Bwaise-Kawempe'!C24,'24.07 Bwaise-Kawempe'!C24,'25.07 Bwaise-Kawempe'!C24,'26.07 Bwaise-Kawempe-24h'!C24,'27.07 Bwaise-Kawempe-24h'!C24,'28.07 Bwaise-Kawempe'!C24)</f>
        <v>33.857142857142854</v>
      </c>
      <c r="D24" s="49">
        <f>AVERAGE('22.07 Bwaise-Kawempe'!D24,'23.07 Bwaise-Kawempe'!D24,'24.07 Bwaise-Kawempe'!D24,'25.07 Bwaise-Kawempe'!D24,'26.07 Bwaise-Kawempe-24h'!D24,'27.07 Bwaise-Kawempe-24h'!D24,'28.07 Bwaise-Kawempe'!D24)</f>
        <v>5.8571428571428568</v>
      </c>
      <c r="E24" s="49">
        <f>AVERAGE('22.07 Bwaise-Kawempe'!E24,'23.07 Bwaise-Kawempe'!E24,'24.07 Bwaise-Kawempe'!E24,'25.07 Bwaise-Kawempe'!E24,'26.07 Bwaise-Kawempe-24h'!E24,'27.07 Bwaise-Kawempe-24h'!E24,'28.07 Bwaise-Kawempe'!E24)</f>
        <v>6.7142857142857144</v>
      </c>
      <c r="F24" s="49">
        <f>AVERAGE('22.07 Bwaise-Kawempe'!F24,'23.07 Bwaise-Kawempe'!F24,'24.07 Bwaise-Kawempe'!F24,'25.07 Bwaise-Kawempe'!F24,'26.07 Bwaise-Kawempe-24h'!F24,'27.07 Bwaise-Kawempe-24h'!F24,'28.07 Bwaise-Kawempe'!F24)</f>
        <v>40.571428571428569</v>
      </c>
      <c r="G24" s="49">
        <f>AVERAGE('22.07 Bwaise-Kawempe'!G24,'23.07 Bwaise-Kawempe'!G24,'24.07 Bwaise-Kawempe'!G24,'25.07 Bwaise-Kawempe'!G24,'26.07 Bwaise-Kawempe-24h'!G24,'27.07 Bwaise-Kawempe-24h'!G24,'28.07 Bwaise-Kawempe'!G24)</f>
        <v>1.2857142857142858</v>
      </c>
      <c r="H24" s="49">
        <f>AVERAGE('22.07 Bwaise-Kawempe'!H24,'23.07 Bwaise-Kawempe'!H24,'24.07 Bwaise-Kawempe'!H24,'25.07 Bwaise-Kawempe'!H24,'26.07 Bwaise-Kawempe-24h'!H24,'27.07 Bwaise-Kawempe-24h'!H24,'28.07 Bwaise-Kawempe'!H24)</f>
        <v>0.2857142857142857</v>
      </c>
      <c r="I24" s="49">
        <f>AVERAGE('22.07 Bwaise-Kawempe'!I24,'23.07 Bwaise-Kawempe'!I24,'24.07 Bwaise-Kawempe'!I24,'25.07 Bwaise-Kawempe'!I24,'26.07 Bwaise-Kawempe-24h'!I24,'27.07 Bwaise-Kawempe-24h'!I24,'28.07 Bwaise-Kawempe'!I24)</f>
        <v>15.285714285714286</v>
      </c>
      <c r="J24" s="49">
        <f>AVERAGE('22.07 Bwaise-Kawempe'!J24,'23.07 Bwaise-Kawempe'!J24,'24.07 Bwaise-Kawempe'!J24,'25.07 Bwaise-Kawempe'!J24,'26.07 Bwaise-Kawempe-24h'!J24,'27.07 Bwaise-Kawempe-24h'!J24,'28.07 Bwaise-Kawempe'!J24)</f>
        <v>2.5714285714285716</v>
      </c>
      <c r="K24" s="49">
        <f>AVERAGE('22.07 Bwaise-Kawempe'!K24,'23.07 Bwaise-Kawempe'!K24,'24.07 Bwaise-Kawempe'!K24,'25.07 Bwaise-Kawempe'!K24,'26.07 Bwaise-Kawempe-24h'!K24,'27.07 Bwaise-Kawempe-24h'!K24,'28.07 Bwaise-Kawempe'!K24)</f>
        <v>2.1428571428571428</v>
      </c>
      <c r="L24" s="49">
        <f>AVERAGE('22.07 Bwaise-Kawempe'!L24,'23.07 Bwaise-Kawempe'!L24,'24.07 Bwaise-Kawempe'!L24,'25.07 Bwaise-Kawempe'!L24,'26.07 Bwaise-Kawempe-24h'!L24,'27.07 Bwaise-Kawempe-24h'!L24,'28.07 Bwaise-Kawempe'!L24)</f>
        <v>4.2857142857142856</v>
      </c>
      <c r="M24" s="49">
        <f>AVERAGE('22.07 Bwaise-Kawempe'!M24,'23.07 Bwaise-Kawempe'!M24,'24.07 Bwaise-Kawempe'!M24,'25.07 Bwaise-Kawempe'!M24,'26.07 Bwaise-Kawempe-24h'!M24,'27.07 Bwaise-Kawempe-24h'!M24,'28.07 Bwaise-Kawempe'!M24)</f>
        <v>132.14285714285714</v>
      </c>
      <c r="N24" s="49">
        <f>AVERAGE('22.07 Bwaise-Kawempe'!N24,'23.07 Bwaise-Kawempe'!N24,'24.07 Bwaise-Kawempe'!N24,'25.07 Bwaise-Kawempe'!N24,'26.07 Bwaise-Kawempe-24h'!N24,'27.07 Bwaise-Kawempe-24h'!N24,'28.07 Bwaise-Kawempe'!N24)</f>
        <v>0</v>
      </c>
      <c r="O24" s="15">
        <f t="shared" si="0"/>
        <v>112.85714285714288</v>
      </c>
      <c r="P24" s="15">
        <f t="shared" si="1"/>
        <v>245</v>
      </c>
      <c r="R24" s="1" t="s">
        <v>148</v>
      </c>
      <c r="S24" s="34">
        <f>SUM(C66:C69)</f>
        <v>171.5</v>
      </c>
      <c r="T24" s="34">
        <f t="shared" ref="T24:AF24" si="16">SUM(D66:D69)</f>
        <v>6</v>
      </c>
      <c r="U24" s="34">
        <f t="shared" si="16"/>
        <v>17.5</v>
      </c>
      <c r="V24" s="34">
        <f t="shared" si="16"/>
        <v>114.5</v>
      </c>
      <c r="W24" s="34">
        <f t="shared" si="16"/>
        <v>8.5</v>
      </c>
      <c r="X24" s="34">
        <f t="shared" si="16"/>
        <v>2</v>
      </c>
      <c r="Y24" s="34">
        <f t="shared" si="16"/>
        <v>17</v>
      </c>
      <c r="Z24" s="34">
        <f t="shared" si="16"/>
        <v>15</v>
      </c>
      <c r="AA24" s="34">
        <f t="shared" si="16"/>
        <v>6</v>
      </c>
      <c r="AB24" s="34">
        <f t="shared" si="16"/>
        <v>5</v>
      </c>
      <c r="AC24" s="34">
        <f t="shared" si="16"/>
        <v>654.5</v>
      </c>
      <c r="AD24" s="34">
        <f t="shared" si="16"/>
        <v>0</v>
      </c>
      <c r="AE24" s="31">
        <f t="shared" si="16"/>
        <v>363</v>
      </c>
      <c r="AF24" s="31">
        <f t="shared" si="16"/>
        <v>1017.5</v>
      </c>
    </row>
    <row r="25" spans="2:32" ht="23.1" customHeight="1" x14ac:dyDescent="0.25">
      <c r="B25" s="23" t="s">
        <v>52</v>
      </c>
      <c r="C25" s="49">
        <f>AVERAGE('22.07 Bwaise-Kawempe'!C25,'23.07 Bwaise-Kawempe'!C25,'24.07 Bwaise-Kawempe'!C25,'25.07 Bwaise-Kawempe'!C25,'26.07 Bwaise-Kawempe-24h'!C25,'27.07 Bwaise-Kawempe-24h'!C25,'28.07 Bwaise-Kawempe'!C25)</f>
        <v>34.714285714285715</v>
      </c>
      <c r="D25" s="49">
        <f>AVERAGE('22.07 Bwaise-Kawempe'!D25,'23.07 Bwaise-Kawempe'!D25,'24.07 Bwaise-Kawempe'!D25,'25.07 Bwaise-Kawempe'!D25,'26.07 Bwaise-Kawempe-24h'!D25,'27.07 Bwaise-Kawempe-24h'!D25,'28.07 Bwaise-Kawempe'!D25)</f>
        <v>5.8571428571428568</v>
      </c>
      <c r="E25" s="49">
        <f>AVERAGE('22.07 Bwaise-Kawempe'!E25,'23.07 Bwaise-Kawempe'!E25,'24.07 Bwaise-Kawempe'!E25,'25.07 Bwaise-Kawempe'!E25,'26.07 Bwaise-Kawempe-24h'!E25,'27.07 Bwaise-Kawempe-24h'!E25,'28.07 Bwaise-Kawempe'!E25)</f>
        <v>6.1428571428571432</v>
      </c>
      <c r="F25" s="49">
        <f>AVERAGE('22.07 Bwaise-Kawempe'!F25,'23.07 Bwaise-Kawempe'!F25,'24.07 Bwaise-Kawempe'!F25,'25.07 Bwaise-Kawempe'!F25,'26.07 Bwaise-Kawempe-24h'!F25,'27.07 Bwaise-Kawempe-24h'!F25,'28.07 Bwaise-Kawempe'!F25)</f>
        <v>38.142857142857146</v>
      </c>
      <c r="G25" s="49">
        <f>AVERAGE('22.07 Bwaise-Kawempe'!G25,'23.07 Bwaise-Kawempe'!G25,'24.07 Bwaise-Kawempe'!G25,'25.07 Bwaise-Kawempe'!G25,'26.07 Bwaise-Kawempe-24h'!G25,'27.07 Bwaise-Kawempe-24h'!G25,'28.07 Bwaise-Kawempe'!G25)</f>
        <v>0.8571428571428571</v>
      </c>
      <c r="H25" s="49">
        <f>AVERAGE('22.07 Bwaise-Kawempe'!H25,'23.07 Bwaise-Kawempe'!H25,'24.07 Bwaise-Kawempe'!H25,'25.07 Bwaise-Kawempe'!H25,'26.07 Bwaise-Kawempe-24h'!H25,'27.07 Bwaise-Kawempe-24h'!H25,'28.07 Bwaise-Kawempe'!H25)</f>
        <v>0.14285714285714285</v>
      </c>
      <c r="I25" s="49">
        <f>AVERAGE('22.07 Bwaise-Kawempe'!I25,'23.07 Bwaise-Kawempe'!I25,'24.07 Bwaise-Kawempe'!I25,'25.07 Bwaise-Kawempe'!I25,'26.07 Bwaise-Kawempe-24h'!I25,'27.07 Bwaise-Kawempe-24h'!I25,'28.07 Bwaise-Kawempe'!I25)</f>
        <v>8</v>
      </c>
      <c r="J25" s="49">
        <f>AVERAGE('22.07 Bwaise-Kawempe'!J25,'23.07 Bwaise-Kawempe'!J25,'24.07 Bwaise-Kawempe'!J25,'25.07 Bwaise-Kawempe'!J25,'26.07 Bwaise-Kawempe-24h'!J25,'27.07 Bwaise-Kawempe-24h'!J25,'28.07 Bwaise-Kawempe'!J25)</f>
        <v>3</v>
      </c>
      <c r="K25" s="49">
        <f>AVERAGE('22.07 Bwaise-Kawempe'!K25,'23.07 Bwaise-Kawempe'!K25,'24.07 Bwaise-Kawempe'!K25,'25.07 Bwaise-Kawempe'!K25,'26.07 Bwaise-Kawempe-24h'!K25,'27.07 Bwaise-Kawempe-24h'!K25,'28.07 Bwaise-Kawempe'!K25)</f>
        <v>1.2857142857142858</v>
      </c>
      <c r="L25" s="49">
        <f>AVERAGE('22.07 Bwaise-Kawempe'!L25,'23.07 Bwaise-Kawempe'!L25,'24.07 Bwaise-Kawempe'!L25,'25.07 Bwaise-Kawempe'!L25,'26.07 Bwaise-Kawempe-24h'!L25,'27.07 Bwaise-Kawempe-24h'!L25,'28.07 Bwaise-Kawempe'!L25)</f>
        <v>2</v>
      </c>
      <c r="M25" s="49">
        <f>AVERAGE('22.07 Bwaise-Kawempe'!M25,'23.07 Bwaise-Kawempe'!M25,'24.07 Bwaise-Kawempe'!M25,'25.07 Bwaise-Kawempe'!M25,'26.07 Bwaise-Kawempe-24h'!M25,'27.07 Bwaise-Kawempe-24h'!M25,'28.07 Bwaise-Kawempe'!M25)</f>
        <v>151.57142857142858</v>
      </c>
      <c r="N25" s="49">
        <f>AVERAGE('22.07 Bwaise-Kawempe'!N25,'23.07 Bwaise-Kawempe'!N25,'24.07 Bwaise-Kawempe'!N25,'25.07 Bwaise-Kawempe'!N25,'26.07 Bwaise-Kawempe-24h'!N25,'27.07 Bwaise-Kawempe-24h'!N25,'28.07 Bwaise-Kawempe'!N25)</f>
        <v>0</v>
      </c>
      <c r="O25" s="15">
        <f t="shared" si="0"/>
        <v>100.14285714285715</v>
      </c>
      <c r="P25" s="15">
        <f t="shared" si="1"/>
        <v>251.71428571428572</v>
      </c>
      <c r="R25" s="1" t="s">
        <v>149</v>
      </c>
      <c r="S25" s="34">
        <f>SUM(C70:C73)</f>
        <v>202</v>
      </c>
      <c r="T25" s="34">
        <f t="shared" ref="T25:AF25" si="17">SUM(D70:D73)</f>
        <v>7</v>
      </c>
      <c r="U25" s="34">
        <f t="shared" si="17"/>
        <v>11</v>
      </c>
      <c r="V25" s="34">
        <f t="shared" si="17"/>
        <v>119</v>
      </c>
      <c r="W25" s="34">
        <f t="shared" si="17"/>
        <v>10</v>
      </c>
      <c r="X25" s="34">
        <f t="shared" si="17"/>
        <v>2.5</v>
      </c>
      <c r="Y25" s="34">
        <f t="shared" si="17"/>
        <v>22</v>
      </c>
      <c r="Z25" s="34">
        <f t="shared" si="17"/>
        <v>9.5</v>
      </c>
      <c r="AA25" s="34">
        <f t="shared" si="17"/>
        <v>11</v>
      </c>
      <c r="AB25" s="34">
        <f t="shared" si="17"/>
        <v>3.5</v>
      </c>
      <c r="AC25" s="34">
        <f t="shared" si="17"/>
        <v>620</v>
      </c>
      <c r="AD25" s="34">
        <f t="shared" si="17"/>
        <v>0</v>
      </c>
      <c r="AE25" s="31">
        <f t="shared" si="17"/>
        <v>397.5</v>
      </c>
      <c r="AF25" s="31">
        <f t="shared" si="17"/>
        <v>1017.5</v>
      </c>
    </row>
    <row r="26" spans="2:32" ht="23.1" customHeight="1" x14ac:dyDescent="0.25">
      <c r="B26" s="23" t="s">
        <v>53</v>
      </c>
      <c r="C26" s="49">
        <f>AVERAGE('22.07 Bwaise-Kawempe'!C26,'23.07 Bwaise-Kawempe'!C26,'24.07 Bwaise-Kawempe'!C26,'25.07 Bwaise-Kawempe'!C26,'26.07 Bwaise-Kawempe-24h'!C26,'27.07 Bwaise-Kawempe-24h'!C26,'28.07 Bwaise-Kawempe'!C26)</f>
        <v>40</v>
      </c>
      <c r="D26" s="49">
        <f>AVERAGE('22.07 Bwaise-Kawempe'!D26,'23.07 Bwaise-Kawempe'!D26,'24.07 Bwaise-Kawempe'!D26,'25.07 Bwaise-Kawempe'!D26,'26.07 Bwaise-Kawempe-24h'!D26,'27.07 Bwaise-Kawempe-24h'!D26,'28.07 Bwaise-Kawempe'!D26)</f>
        <v>7.1428571428571432</v>
      </c>
      <c r="E26" s="49">
        <f>AVERAGE('22.07 Bwaise-Kawempe'!E26,'23.07 Bwaise-Kawempe'!E26,'24.07 Bwaise-Kawempe'!E26,'25.07 Bwaise-Kawempe'!E26,'26.07 Bwaise-Kawempe-24h'!E26,'27.07 Bwaise-Kawempe-24h'!E26,'28.07 Bwaise-Kawempe'!E26)</f>
        <v>7.1428571428571432</v>
      </c>
      <c r="F26" s="49">
        <f>AVERAGE('22.07 Bwaise-Kawempe'!F26,'23.07 Bwaise-Kawempe'!F26,'24.07 Bwaise-Kawempe'!F26,'25.07 Bwaise-Kawempe'!F26,'26.07 Bwaise-Kawempe-24h'!F26,'27.07 Bwaise-Kawempe-24h'!F26,'28.07 Bwaise-Kawempe'!F26)</f>
        <v>35.285714285714285</v>
      </c>
      <c r="G26" s="49">
        <f>AVERAGE('22.07 Bwaise-Kawempe'!G26,'23.07 Bwaise-Kawempe'!G26,'24.07 Bwaise-Kawempe'!G26,'25.07 Bwaise-Kawempe'!G26,'26.07 Bwaise-Kawempe-24h'!G26,'27.07 Bwaise-Kawempe-24h'!G26,'28.07 Bwaise-Kawempe'!G26)</f>
        <v>1</v>
      </c>
      <c r="H26" s="49">
        <f>AVERAGE('22.07 Bwaise-Kawempe'!H26,'23.07 Bwaise-Kawempe'!H26,'24.07 Bwaise-Kawempe'!H26,'25.07 Bwaise-Kawempe'!H26,'26.07 Bwaise-Kawempe-24h'!H26,'27.07 Bwaise-Kawempe-24h'!H26,'28.07 Bwaise-Kawempe'!H26)</f>
        <v>0.2857142857142857</v>
      </c>
      <c r="I26" s="49">
        <f>AVERAGE('22.07 Bwaise-Kawempe'!I26,'23.07 Bwaise-Kawempe'!I26,'24.07 Bwaise-Kawempe'!I26,'25.07 Bwaise-Kawempe'!I26,'26.07 Bwaise-Kawempe-24h'!I26,'27.07 Bwaise-Kawempe-24h'!I26,'28.07 Bwaise-Kawempe'!I26)</f>
        <v>14</v>
      </c>
      <c r="J26" s="49">
        <f>AVERAGE('22.07 Bwaise-Kawempe'!J26,'23.07 Bwaise-Kawempe'!J26,'24.07 Bwaise-Kawempe'!J26,'25.07 Bwaise-Kawempe'!J26,'26.07 Bwaise-Kawempe-24h'!J26,'27.07 Bwaise-Kawempe-24h'!J26,'28.07 Bwaise-Kawempe'!J26)</f>
        <v>1.5714285714285714</v>
      </c>
      <c r="K26" s="49">
        <f>AVERAGE('22.07 Bwaise-Kawempe'!K26,'23.07 Bwaise-Kawempe'!K26,'24.07 Bwaise-Kawempe'!K26,'25.07 Bwaise-Kawempe'!K26,'26.07 Bwaise-Kawempe-24h'!K26,'27.07 Bwaise-Kawempe-24h'!K26,'28.07 Bwaise-Kawempe'!K26)</f>
        <v>1.8571428571428572</v>
      </c>
      <c r="L26" s="49">
        <f>AVERAGE('22.07 Bwaise-Kawempe'!L26,'23.07 Bwaise-Kawempe'!L26,'24.07 Bwaise-Kawempe'!L26,'25.07 Bwaise-Kawempe'!L26,'26.07 Bwaise-Kawempe-24h'!L26,'27.07 Bwaise-Kawempe-24h'!L26,'28.07 Bwaise-Kawempe'!L26)</f>
        <v>3.1428571428571428</v>
      </c>
      <c r="M26" s="49">
        <f>AVERAGE('22.07 Bwaise-Kawempe'!M26,'23.07 Bwaise-Kawempe'!M26,'24.07 Bwaise-Kawempe'!M26,'25.07 Bwaise-Kawempe'!M26,'26.07 Bwaise-Kawempe-24h'!M26,'27.07 Bwaise-Kawempe-24h'!M26,'28.07 Bwaise-Kawempe'!M26)</f>
        <v>132.85714285714286</v>
      </c>
      <c r="N26" s="49">
        <f>AVERAGE('22.07 Bwaise-Kawempe'!N26,'23.07 Bwaise-Kawempe'!N26,'24.07 Bwaise-Kawempe'!N26,'25.07 Bwaise-Kawempe'!N26,'26.07 Bwaise-Kawempe-24h'!N26,'27.07 Bwaise-Kawempe-24h'!N26,'28.07 Bwaise-Kawempe'!N26)</f>
        <v>0</v>
      </c>
      <c r="O26" s="15">
        <f t="shared" si="0"/>
        <v>111.42857142857144</v>
      </c>
      <c r="P26" s="15">
        <f t="shared" si="1"/>
        <v>244.28571428571431</v>
      </c>
      <c r="R26" s="1" t="s">
        <v>150</v>
      </c>
      <c r="S26" s="34">
        <f>SUM(C74:C77)</f>
        <v>177</v>
      </c>
      <c r="T26" s="34">
        <f t="shared" ref="T26:AF26" si="18">SUM(D74:D77)</f>
        <v>12</v>
      </c>
      <c r="U26" s="34">
        <f t="shared" si="18"/>
        <v>10</v>
      </c>
      <c r="V26" s="34">
        <f t="shared" si="18"/>
        <v>84.5</v>
      </c>
      <c r="W26" s="34">
        <f t="shared" si="18"/>
        <v>5</v>
      </c>
      <c r="X26" s="34">
        <f t="shared" si="18"/>
        <v>8</v>
      </c>
      <c r="Y26" s="34">
        <f t="shared" si="18"/>
        <v>17</v>
      </c>
      <c r="Z26" s="34">
        <f t="shared" si="18"/>
        <v>15.5</v>
      </c>
      <c r="AA26" s="34">
        <f t="shared" si="18"/>
        <v>12.5</v>
      </c>
      <c r="AB26" s="34">
        <f t="shared" si="18"/>
        <v>3</v>
      </c>
      <c r="AC26" s="34">
        <f t="shared" si="18"/>
        <v>505</v>
      </c>
      <c r="AD26" s="34">
        <f t="shared" si="18"/>
        <v>0</v>
      </c>
      <c r="AE26" s="31">
        <f t="shared" si="18"/>
        <v>344.5</v>
      </c>
      <c r="AF26" s="31">
        <f t="shared" si="18"/>
        <v>849.5</v>
      </c>
    </row>
    <row r="27" spans="2:32" ht="23.1" customHeight="1" x14ac:dyDescent="0.25">
      <c r="B27" s="23" t="s">
        <v>54</v>
      </c>
      <c r="C27" s="49">
        <f>AVERAGE('22.07 Bwaise-Kawempe'!C27,'23.07 Bwaise-Kawempe'!C27,'24.07 Bwaise-Kawempe'!C27,'25.07 Bwaise-Kawempe'!C27,'26.07 Bwaise-Kawempe-24h'!C27,'27.07 Bwaise-Kawempe-24h'!C27,'28.07 Bwaise-Kawempe'!C27)</f>
        <v>32.428571428571431</v>
      </c>
      <c r="D27" s="49">
        <f>AVERAGE('22.07 Bwaise-Kawempe'!D27,'23.07 Bwaise-Kawempe'!D27,'24.07 Bwaise-Kawempe'!D27,'25.07 Bwaise-Kawempe'!D27,'26.07 Bwaise-Kawempe-24h'!D27,'27.07 Bwaise-Kawempe-24h'!D27,'28.07 Bwaise-Kawempe'!D27)</f>
        <v>6.2857142857142856</v>
      </c>
      <c r="E27" s="49">
        <f>AVERAGE('22.07 Bwaise-Kawempe'!E27,'23.07 Bwaise-Kawempe'!E27,'24.07 Bwaise-Kawempe'!E27,'25.07 Bwaise-Kawempe'!E27,'26.07 Bwaise-Kawempe-24h'!E27,'27.07 Bwaise-Kawempe-24h'!E27,'28.07 Bwaise-Kawempe'!E27)</f>
        <v>6.8571428571428568</v>
      </c>
      <c r="F27" s="49">
        <f>AVERAGE('22.07 Bwaise-Kawempe'!F27,'23.07 Bwaise-Kawempe'!F27,'24.07 Bwaise-Kawempe'!F27,'25.07 Bwaise-Kawempe'!F27,'26.07 Bwaise-Kawempe-24h'!F27,'27.07 Bwaise-Kawempe-24h'!F27,'28.07 Bwaise-Kawempe'!F27)</f>
        <v>41.428571428571431</v>
      </c>
      <c r="G27" s="49">
        <f>AVERAGE('22.07 Bwaise-Kawempe'!G27,'23.07 Bwaise-Kawempe'!G27,'24.07 Bwaise-Kawempe'!G27,'25.07 Bwaise-Kawempe'!G27,'26.07 Bwaise-Kawempe-24h'!G27,'27.07 Bwaise-Kawempe-24h'!G27,'28.07 Bwaise-Kawempe'!G27)</f>
        <v>0.8571428571428571</v>
      </c>
      <c r="H27" s="49">
        <f>AVERAGE('22.07 Bwaise-Kawempe'!H27,'23.07 Bwaise-Kawempe'!H27,'24.07 Bwaise-Kawempe'!H27,'25.07 Bwaise-Kawempe'!H27,'26.07 Bwaise-Kawempe-24h'!H27,'27.07 Bwaise-Kawempe-24h'!H27,'28.07 Bwaise-Kawempe'!H27)</f>
        <v>0.8571428571428571</v>
      </c>
      <c r="I27" s="49">
        <f>AVERAGE('22.07 Bwaise-Kawempe'!I27,'23.07 Bwaise-Kawempe'!I27,'24.07 Bwaise-Kawempe'!I27,'25.07 Bwaise-Kawempe'!I27,'26.07 Bwaise-Kawempe-24h'!I27,'27.07 Bwaise-Kawempe-24h'!I27,'28.07 Bwaise-Kawempe'!I27)</f>
        <v>11.714285714285714</v>
      </c>
      <c r="J27" s="49">
        <f>AVERAGE('22.07 Bwaise-Kawempe'!J27,'23.07 Bwaise-Kawempe'!J27,'24.07 Bwaise-Kawempe'!J27,'25.07 Bwaise-Kawempe'!J27,'26.07 Bwaise-Kawempe-24h'!J27,'27.07 Bwaise-Kawempe-24h'!J27,'28.07 Bwaise-Kawempe'!J27)</f>
        <v>2.2857142857142856</v>
      </c>
      <c r="K27" s="49">
        <f>AVERAGE('22.07 Bwaise-Kawempe'!K27,'23.07 Bwaise-Kawempe'!K27,'24.07 Bwaise-Kawempe'!K27,'25.07 Bwaise-Kawempe'!K27,'26.07 Bwaise-Kawempe-24h'!K27,'27.07 Bwaise-Kawempe-24h'!K27,'28.07 Bwaise-Kawempe'!K27)</f>
        <v>1</v>
      </c>
      <c r="L27" s="49">
        <f>AVERAGE('22.07 Bwaise-Kawempe'!L27,'23.07 Bwaise-Kawempe'!L27,'24.07 Bwaise-Kawempe'!L27,'25.07 Bwaise-Kawempe'!L27,'26.07 Bwaise-Kawempe-24h'!L27,'27.07 Bwaise-Kawempe-24h'!L27,'28.07 Bwaise-Kawempe'!L27)</f>
        <v>5.1428571428571432</v>
      </c>
      <c r="M27" s="49">
        <f>AVERAGE('22.07 Bwaise-Kawempe'!M27,'23.07 Bwaise-Kawempe'!M27,'24.07 Bwaise-Kawempe'!M27,'25.07 Bwaise-Kawempe'!M27,'26.07 Bwaise-Kawempe-24h'!M27,'27.07 Bwaise-Kawempe-24h'!M27,'28.07 Bwaise-Kawempe'!M27)</f>
        <v>149.14285714285714</v>
      </c>
      <c r="N27" s="49">
        <f>AVERAGE('22.07 Bwaise-Kawempe'!N27,'23.07 Bwaise-Kawempe'!N27,'24.07 Bwaise-Kawempe'!N27,'25.07 Bwaise-Kawempe'!N27,'26.07 Bwaise-Kawempe-24h'!N27,'27.07 Bwaise-Kawempe-24h'!N27,'28.07 Bwaise-Kawempe'!N27)</f>
        <v>0</v>
      </c>
      <c r="O27" s="15">
        <f t="shared" si="0"/>
        <v>108.85714285714286</v>
      </c>
      <c r="P27" s="15">
        <f t="shared" si="1"/>
        <v>258</v>
      </c>
      <c r="R27" s="1" t="s">
        <v>151</v>
      </c>
      <c r="S27" s="34">
        <f>SUM(C78:C81)</f>
        <v>54.5</v>
      </c>
      <c r="T27" s="34">
        <f t="shared" ref="T27:AF27" si="19">SUM(D78:D81)</f>
        <v>3.5</v>
      </c>
      <c r="U27" s="34">
        <f t="shared" si="19"/>
        <v>5</v>
      </c>
      <c r="V27" s="34">
        <f t="shared" si="19"/>
        <v>33.5</v>
      </c>
      <c r="W27" s="34">
        <f t="shared" si="19"/>
        <v>1.5</v>
      </c>
      <c r="X27" s="34">
        <f t="shared" si="19"/>
        <v>3</v>
      </c>
      <c r="Y27" s="34">
        <f t="shared" si="19"/>
        <v>10.5</v>
      </c>
      <c r="Z27" s="34">
        <f t="shared" si="19"/>
        <v>9</v>
      </c>
      <c r="AA27" s="34">
        <f t="shared" si="19"/>
        <v>5</v>
      </c>
      <c r="AB27" s="34">
        <f t="shared" si="19"/>
        <v>2</v>
      </c>
      <c r="AC27" s="34">
        <f t="shared" si="19"/>
        <v>169</v>
      </c>
      <c r="AD27" s="34">
        <f t="shared" si="19"/>
        <v>0</v>
      </c>
      <c r="AE27" s="31">
        <f t="shared" si="19"/>
        <v>127.5</v>
      </c>
      <c r="AF27" s="31">
        <f t="shared" si="19"/>
        <v>296.5</v>
      </c>
    </row>
    <row r="28" spans="2:32" ht="23.1" customHeight="1" x14ac:dyDescent="0.25">
      <c r="B28" s="23" t="s">
        <v>55</v>
      </c>
      <c r="C28" s="49">
        <f>AVERAGE('22.07 Bwaise-Kawempe'!C28,'23.07 Bwaise-Kawempe'!C28,'24.07 Bwaise-Kawempe'!C28,'25.07 Bwaise-Kawempe'!C28,'26.07 Bwaise-Kawempe-24h'!C28,'27.07 Bwaise-Kawempe-24h'!C28,'28.07 Bwaise-Kawempe'!C28)</f>
        <v>41.142857142857146</v>
      </c>
      <c r="D28" s="49">
        <f>AVERAGE('22.07 Bwaise-Kawempe'!D28,'23.07 Bwaise-Kawempe'!D28,'24.07 Bwaise-Kawempe'!D28,'25.07 Bwaise-Kawempe'!D28,'26.07 Bwaise-Kawempe-24h'!D28,'27.07 Bwaise-Kawempe-24h'!D28,'28.07 Bwaise-Kawempe'!D28)</f>
        <v>6.8571428571428568</v>
      </c>
      <c r="E28" s="49">
        <f>AVERAGE('22.07 Bwaise-Kawempe'!E28,'23.07 Bwaise-Kawempe'!E28,'24.07 Bwaise-Kawempe'!E28,'25.07 Bwaise-Kawempe'!E28,'26.07 Bwaise-Kawempe-24h'!E28,'27.07 Bwaise-Kawempe-24h'!E28,'28.07 Bwaise-Kawempe'!E28)</f>
        <v>6.1428571428571432</v>
      </c>
      <c r="F28" s="49">
        <f>AVERAGE('22.07 Bwaise-Kawempe'!F28,'23.07 Bwaise-Kawempe'!F28,'24.07 Bwaise-Kawempe'!F28,'25.07 Bwaise-Kawempe'!F28,'26.07 Bwaise-Kawempe-24h'!F28,'27.07 Bwaise-Kawempe-24h'!F28,'28.07 Bwaise-Kawempe'!F28)</f>
        <v>35.285714285714285</v>
      </c>
      <c r="G28" s="49">
        <f>AVERAGE('22.07 Bwaise-Kawempe'!G28,'23.07 Bwaise-Kawempe'!G28,'24.07 Bwaise-Kawempe'!G28,'25.07 Bwaise-Kawempe'!G28,'26.07 Bwaise-Kawempe-24h'!G28,'27.07 Bwaise-Kawempe-24h'!G28,'28.07 Bwaise-Kawempe'!G28)</f>
        <v>0.7142857142857143</v>
      </c>
      <c r="H28" s="49">
        <f>AVERAGE('22.07 Bwaise-Kawempe'!H28,'23.07 Bwaise-Kawempe'!H28,'24.07 Bwaise-Kawempe'!H28,'25.07 Bwaise-Kawempe'!H28,'26.07 Bwaise-Kawempe-24h'!H28,'27.07 Bwaise-Kawempe-24h'!H28,'28.07 Bwaise-Kawempe'!H28)</f>
        <v>1.1428571428571428</v>
      </c>
      <c r="I28" s="49">
        <f>AVERAGE('22.07 Bwaise-Kawempe'!I28,'23.07 Bwaise-Kawempe'!I28,'24.07 Bwaise-Kawempe'!I28,'25.07 Bwaise-Kawempe'!I28,'26.07 Bwaise-Kawempe-24h'!I28,'27.07 Bwaise-Kawempe-24h'!I28,'28.07 Bwaise-Kawempe'!I28)</f>
        <v>11</v>
      </c>
      <c r="J28" s="49">
        <f>AVERAGE('22.07 Bwaise-Kawempe'!J28,'23.07 Bwaise-Kawempe'!J28,'24.07 Bwaise-Kawempe'!J28,'25.07 Bwaise-Kawempe'!J28,'26.07 Bwaise-Kawempe-24h'!J28,'27.07 Bwaise-Kawempe-24h'!J28,'28.07 Bwaise-Kawempe'!J28)</f>
        <v>2.2857142857142856</v>
      </c>
      <c r="K28" s="49">
        <f>AVERAGE('22.07 Bwaise-Kawempe'!K28,'23.07 Bwaise-Kawempe'!K28,'24.07 Bwaise-Kawempe'!K28,'25.07 Bwaise-Kawempe'!K28,'26.07 Bwaise-Kawempe-24h'!K28,'27.07 Bwaise-Kawempe-24h'!K28,'28.07 Bwaise-Kawempe'!K28)</f>
        <v>1</v>
      </c>
      <c r="L28" s="49">
        <f>AVERAGE('22.07 Bwaise-Kawempe'!L28,'23.07 Bwaise-Kawempe'!L28,'24.07 Bwaise-Kawempe'!L28,'25.07 Bwaise-Kawempe'!L28,'26.07 Bwaise-Kawempe-24h'!L28,'27.07 Bwaise-Kawempe-24h'!L28,'28.07 Bwaise-Kawempe'!L28)</f>
        <v>4.2857142857142856</v>
      </c>
      <c r="M28" s="49">
        <f>AVERAGE('22.07 Bwaise-Kawempe'!M28,'23.07 Bwaise-Kawempe'!M28,'24.07 Bwaise-Kawempe'!M28,'25.07 Bwaise-Kawempe'!M28,'26.07 Bwaise-Kawempe-24h'!M28,'27.07 Bwaise-Kawempe-24h'!M28,'28.07 Bwaise-Kawempe'!M28)</f>
        <v>128</v>
      </c>
      <c r="N28" s="49">
        <f>AVERAGE('22.07 Bwaise-Kawempe'!N28,'23.07 Bwaise-Kawempe'!N28,'24.07 Bwaise-Kawempe'!N28,'25.07 Bwaise-Kawempe'!N28,'26.07 Bwaise-Kawempe-24h'!N28,'27.07 Bwaise-Kawempe-24h'!N28,'28.07 Bwaise-Kawempe'!N28)</f>
        <v>0</v>
      </c>
      <c r="O28" s="15">
        <f t="shared" si="0"/>
        <v>109.85714285714286</v>
      </c>
      <c r="P28" s="15">
        <f t="shared" si="1"/>
        <v>237.85714285714286</v>
      </c>
      <c r="R28" s="1" t="s">
        <v>152</v>
      </c>
      <c r="S28" s="34">
        <f>SUM(C82:C85)</f>
        <v>48</v>
      </c>
      <c r="T28" s="34">
        <f t="shared" ref="T28:AF28" si="20">SUM(D82:D85)</f>
        <v>4</v>
      </c>
      <c r="U28" s="34">
        <f t="shared" si="20"/>
        <v>5.5</v>
      </c>
      <c r="V28" s="34">
        <f t="shared" si="20"/>
        <v>12</v>
      </c>
      <c r="W28" s="34">
        <f t="shared" si="20"/>
        <v>0</v>
      </c>
      <c r="X28" s="34">
        <f t="shared" si="20"/>
        <v>0</v>
      </c>
      <c r="Y28" s="34">
        <f t="shared" si="20"/>
        <v>4.5</v>
      </c>
      <c r="Z28" s="34">
        <f t="shared" si="20"/>
        <v>14</v>
      </c>
      <c r="AA28" s="34">
        <f t="shared" si="20"/>
        <v>16.5</v>
      </c>
      <c r="AB28" s="34">
        <f t="shared" si="20"/>
        <v>2.5</v>
      </c>
      <c r="AC28" s="34">
        <f t="shared" si="20"/>
        <v>174</v>
      </c>
      <c r="AD28" s="34">
        <f t="shared" si="20"/>
        <v>0</v>
      </c>
      <c r="AE28" s="31">
        <f t="shared" si="20"/>
        <v>107</v>
      </c>
      <c r="AF28" s="31">
        <f t="shared" si="20"/>
        <v>281</v>
      </c>
    </row>
    <row r="29" spans="2:32" ht="23.1" customHeight="1" x14ac:dyDescent="0.25">
      <c r="B29" s="23" t="s">
        <v>56</v>
      </c>
      <c r="C29" s="49">
        <f>AVERAGE('22.07 Bwaise-Kawempe'!C29,'23.07 Bwaise-Kawempe'!C29,'24.07 Bwaise-Kawempe'!C29,'25.07 Bwaise-Kawempe'!C29,'26.07 Bwaise-Kawempe-24h'!C29,'27.07 Bwaise-Kawempe-24h'!C29,'28.07 Bwaise-Kawempe'!C29)</f>
        <v>41</v>
      </c>
      <c r="D29" s="49">
        <f>AVERAGE('22.07 Bwaise-Kawempe'!D29,'23.07 Bwaise-Kawempe'!D29,'24.07 Bwaise-Kawempe'!D29,'25.07 Bwaise-Kawempe'!D29,'26.07 Bwaise-Kawempe-24h'!D29,'27.07 Bwaise-Kawempe-24h'!D29,'28.07 Bwaise-Kawempe'!D29)</f>
        <v>6.2857142857142856</v>
      </c>
      <c r="E29" s="49">
        <f>AVERAGE('22.07 Bwaise-Kawempe'!E29,'23.07 Bwaise-Kawempe'!E29,'24.07 Bwaise-Kawempe'!E29,'25.07 Bwaise-Kawempe'!E29,'26.07 Bwaise-Kawempe-24h'!E29,'27.07 Bwaise-Kawempe-24h'!E29,'28.07 Bwaise-Kawempe'!E29)</f>
        <v>6.1428571428571432</v>
      </c>
      <c r="F29" s="49">
        <f>AVERAGE('22.07 Bwaise-Kawempe'!F29,'23.07 Bwaise-Kawempe'!F29,'24.07 Bwaise-Kawempe'!F29,'25.07 Bwaise-Kawempe'!F29,'26.07 Bwaise-Kawempe-24h'!F29,'27.07 Bwaise-Kawempe-24h'!F29,'28.07 Bwaise-Kawempe'!F29)</f>
        <v>36.857142857142854</v>
      </c>
      <c r="G29" s="49">
        <f>AVERAGE('22.07 Bwaise-Kawempe'!G29,'23.07 Bwaise-Kawempe'!G29,'24.07 Bwaise-Kawempe'!G29,'25.07 Bwaise-Kawempe'!G29,'26.07 Bwaise-Kawempe-24h'!G29,'27.07 Bwaise-Kawempe-24h'!G29,'28.07 Bwaise-Kawempe'!G29)</f>
        <v>1.7142857142857142</v>
      </c>
      <c r="H29" s="49">
        <f>AVERAGE('22.07 Bwaise-Kawempe'!H29,'23.07 Bwaise-Kawempe'!H29,'24.07 Bwaise-Kawempe'!H29,'25.07 Bwaise-Kawempe'!H29,'26.07 Bwaise-Kawempe-24h'!H29,'27.07 Bwaise-Kawempe-24h'!H29,'28.07 Bwaise-Kawempe'!H29)</f>
        <v>0.5714285714285714</v>
      </c>
      <c r="I29" s="49">
        <f>AVERAGE('22.07 Bwaise-Kawempe'!I29,'23.07 Bwaise-Kawempe'!I29,'24.07 Bwaise-Kawempe'!I29,'25.07 Bwaise-Kawempe'!I29,'26.07 Bwaise-Kawempe-24h'!I29,'27.07 Bwaise-Kawempe-24h'!I29,'28.07 Bwaise-Kawempe'!I29)</f>
        <v>8.8571428571428577</v>
      </c>
      <c r="J29" s="49">
        <f>AVERAGE('22.07 Bwaise-Kawempe'!J29,'23.07 Bwaise-Kawempe'!J29,'24.07 Bwaise-Kawempe'!J29,'25.07 Bwaise-Kawempe'!J29,'26.07 Bwaise-Kawempe-24h'!J29,'27.07 Bwaise-Kawempe-24h'!J29,'28.07 Bwaise-Kawempe'!J29)</f>
        <v>3.1428571428571428</v>
      </c>
      <c r="K29" s="49">
        <f>AVERAGE('22.07 Bwaise-Kawempe'!K29,'23.07 Bwaise-Kawempe'!K29,'24.07 Bwaise-Kawempe'!K29,'25.07 Bwaise-Kawempe'!K29,'26.07 Bwaise-Kawempe-24h'!K29,'27.07 Bwaise-Kawempe-24h'!K29,'28.07 Bwaise-Kawempe'!K29)</f>
        <v>1.1428571428571428</v>
      </c>
      <c r="L29" s="49">
        <f>AVERAGE('22.07 Bwaise-Kawempe'!L29,'23.07 Bwaise-Kawempe'!L29,'24.07 Bwaise-Kawempe'!L29,'25.07 Bwaise-Kawempe'!L29,'26.07 Bwaise-Kawempe-24h'!L29,'27.07 Bwaise-Kawempe-24h'!L29,'28.07 Bwaise-Kawempe'!L29)</f>
        <v>1.8571428571428572</v>
      </c>
      <c r="M29" s="49">
        <f>AVERAGE('22.07 Bwaise-Kawempe'!M29,'23.07 Bwaise-Kawempe'!M29,'24.07 Bwaise-Kawempe'!M29,'25.07 Bwaise-Kawempe'!M29,'26.07 Bwaise-Kawempe-24h'!M29,'27.07 Bwaise-Kawempe-24h'!M29,'28.07 Bwaise-Kawempe'!M29)</f>
        <v>124</v>
      </c>
      <c r="N29" s="49">
        <f>AVERAGE('22.07 Bwaise-Kawempe'!N29,'23.07 Bwaise-Kawempe'!N29,'24.07 Bwaise-Kawempe'!N29,'25.07 Bwaise-Kawempe'!N29,'26.07 Bwaise-Kawempe-24h'!N29,'27.07 Bwaise-Kawempe-24h'!N29,'28.07 Bwaise-Kawempe'!N29)</f>
        <v>0</v>
      </c>
      <c r="O29" s="15">
        <f t="shared" si="0"/>
        <v>107.57142857142856</v>
      </c>
      <c r="P29" s="15">
        <f t="shared" si="1"/>
        <v>231.57142857142856</v>
      </c>
      <c r="R29" s="1" t="s">
        <v>153</v>
      </c>
      <c r="S29" s="34">
        <f>SUM(C86:C89)</f>
        <v>40</v>
      </c>
      <c r="T29" s="34">
        <f t="shared" ref="T29:AF29" si="21">SUM(D86:D89)</f>
        <v>3</v>
      </c>
      <c r="U29" s="34">
        <f t="shared" si="21"/>
        <v>2.5</v>
      </c>
      <c r="V29" s="34">
        <f t="shared" si="21"/>
        <v>4</v>
      </c>
      <c r="W29" s="34">
        <f t="shared" si="21"/>
        <v>0</v>
      </c>
      <c r="X29" s="34">
        <f t="shared" si="21"/>
        <v>0.5</v>
      </c>
      <c r="Y29" s="34">
        <f t="shared" si="21"/>
        <v>5</v>
      </c>
      <c r="Z29" s="34">
        <f t="shared" si="21"/>
        <v>8.5</v>
      </c>
      <c r="AA29" s="34">
        <f t="shared" si="21"/>
        <v>10.5</v>
      </c>
      <c r="AB29" s="34">
        <f t="shared" si="21"/>
        <v>0.5</v>
      </c>
      <c r="AC29" s="34">
        <f t="shared" si="21"/>
        <v>114.5</v>
      </c>
      <c r="AD29" s="34">
        <f t="shared" si="21"/>
        <v>0</v>
      </c>
      <c r="AE29" s="31">
        <f t="shared" si="21"/>
        <v>74.5</v>
      </c>
      <c r="AF29" s="31">
        <f t="shared" si="21"/>
        <v>189</v>
      </c>
    </row>
    <row r="30" spans="2:32" ht="23.1" customHeight="1" x14ac:dyDescent="0.25">
      <c r="B30" s="23" t="s">
        <v>57</v>
      </c>
      <c r="C30" s="49">
        <f>AVERAGE('22.07 Bwaise-Kawempe'!C30,'23.07 Bwaise-Kawempe'!C30,'24.07 Bwaise-Kawempe'!C30,'25.07 Bwaise-Kawempe'!C30,'26.07 Bwaise-Kawempe-24h'!C30,'27.07 Bwaise-Kawempe-24h'!C30,'28.07 Bwaise-Kawempe'!C30)</f>
        <v>40</v>
      </c>
      <c r="D30" s="49">
        <f>AVERAGE('22.07 Bwaise-Kawempe'!D30,'23.07 Bwaise-Kawempe'!D30,'24.07 Bwaise-Kawempe'!D30,'25.07 Bwaise-Kawempe'!D30,'26.07 Bwaise-Kawempe-24h'!D30,'27.07 Bwaise-Kawempe-24h'!D30,'28.07 Bwaise-Kawempe'!D30)</f>
        <v>5.8571428571428568</v>
      </c>
      <c r="E30" s="49">
        <f>AVERAGE('22.07 Bwaise-Kawempe'!E30,'23.07 Bwaise-Kawempe'!E30,'24.07 Bwaise-Kawempe'!E30,'25.07 Bwaise-Kawempe'!E30,'26.07 Bwaise-Kawempe-24h'!E30,'27.07 Bwaise-Kawempe-24h'!E30,'28.07 Bwaise-Kawempe'!E30)</f>
        <v>7.1428571428571432</v>
      </c>
      <c r="F30" s="49">
        <f>AVERAGE('22.07 Bwaise-Kawempe'!F30,'23.07 Bwaise-Kawempe'!F30,'24.07 Bwaise-Kawempe'!F30,'25.07 Bwaise-Kawempe'!F30,'26.07 Bwaise-Kawempe-24h'!F30,'27.07 Bwaise-Kawempe-24h'!F30,'28.07 Bwaise-Kawempe'!F30)</f>
        <v>38.857142857142854</v>
      </c>
      <c r="G30" s="49">
        <f>AVERAGE('22.07 Bwaise-Kawempe'!G30,'23.07 Bwaise-Kawempe'!G30,'24.07 Bwaise-Kawempe'!G30,'25.07 Bwaise-Kawempe'!G30,'26.07 Bwaise-Kawempe-24h'!G30,'27.07 Bwaise-Kawempe-24h'!G30,'28.07 Bwaise-Kawempe'!G30)</f>
        <v>1.4285714285714286</v>
      </c>
      <c r="H30" s="49">
        <f>AVERAGE('22.07 Bwaise-Kawempe'!H30,'23.07 Bwaise-Kawempe'!H30,'24.07 Bwaise-Kawempe'!H30,'25.07 Bwaise-Kawempe'!H30,'26.07 Bwaise-Kawempe-24h'!H30,'27.07 Bwaise-Kawempe-24h'!H30,'28.07 Bwaise-Kawempe'!H30)</f>
        <v>0.8571428571428571</v>
      </c>
      <c r="I30" s="49">
        <f>AVERAGE('22.07 Bwaise-Kawempe'!I30,'23.07 Bwaise-Kawempe'!I30,'24.07 Bwaise-Kawempe'!I30,'25.07 Bwaise-Kawempe'!I30,'26.07 Bwaise-Kawempe-24h'!I30,'27.07 Bwaise-Kawempe-24h'!I30,'28.07 Bwaise-Kawempe'!I30)</f>
        <v>14.142857142857142</v>
      </c>
      <c r="J30" s="49">
        <f>AVERAGE('22.07 Bwaise-Kawempe'!J30,'23.07 Bwaise-Kawempe'!J30,'24.07 Bwaise-Kawempe'!J30,'25.07 Bwaise-Kawempe'!J30,'26.07 Bwaise-Kawempe-24h'!J30,'27.07 Bwaise-Kawempe-24h'!J30,'28.07 Bwaise-Kawempe'!J30)</f>
        <v>3.5714285714285716</v>
      </c>
      <c r="K30" s="49">
        <f>AVERAGE('22.07 Bwaise-Kawempe'!K30,'23.07 Bwaise-Kawempe'!K30,'24.07 Bwaise-Kawempe'!K30,'25.07 Bwaise-Kawempe'!K30,'26.07 Bwaise-Kawempe-24h'!K30,'27.07 Bwaise-Kawempe-24h'!K30,'28.07 Bwaise-Kawempe'!K30)</f>
        <v>1.8571428571428572</v>
      </c>
      <c r="L30" s="49">
        <f>AVERAGE('22.07 Bwaise-Kawempe'!L30,'23.07 Bwaise-Kawempe'!L30,'24.07 Bwaise-Kawempe'!L30,'25.07 Bwaise-Kawempe'!L30,'26.07 Bwaise-Kawempe-24h'!L30,'27.07 Bwaise-Kawempe-24h'!L30,'28.07 Bwaise-Kawempe'!L30)</f>
        <v>3.4285714285714284</v>
      </c>
      <c r="M30" s="49">
        <f>AVERAGE('22.07 Bwaise-Kawempe'!M30,'23.07 Bwaise-Kawempe'!M30,'24.07 Bwaise-Kawempe'!M30,'25.07 Bwaise-Kawempe'!M30,'26.07 Bwaise-Kawempe-24h'!M30,'27.07 Bwaise-Kawempe-24h'!M30,'28.07 Bwaise-Kawempe'!M30)</f>
        <v>121.28571428571429</v>
      </c>
      <c r="N30" s="49">
        <f>AVERAGE('22.07 Bwaise-Kawempe'!N30,'23.07 Bwaise-Kawempe'!N30,'24.07 Bwaise-Kawempe'!N30,'25.07 Bwaise-Kawempe'!N30,'26.07 Bwaise-Kawempe-24h'!N30,'27.07 Bwaise-Kawempe-24h'!N30,'28.07 Bwaise-Kawempe'!N30)</f>
        <v>0</v>
      </c>
      <c r="O30" s="15">
        <f t="shared" si="0"/>
        <v>117.14285714285715</v>
      </c>
      <c r="P30" s="15">
        <f t="shared" si="1"/>
        <v>238.42857142857144</v>
      </c>
      <c r="R30" s="1" t="s">
        <v>154</v>
      </c>
      <c r="S30" s="34">
        <f>SUM(C90:C93)</f>
        <v>33.5</v>
      </c>
      <c r="T30" s="34">
        <f t="shared" ref="T30:AF30" si="22">SUM(D90:D93)</f>
        <v>1.5</v>
      </c>
      <c r="U30" s="34">
        <f t="shared" si="22"/>
        <v>2.5</v>
      </c>
      <c r="V30" s="34">
        <f t="shared" si="22"/>
        <v>5</v>
      </c>
      <c r="W30" s="34">
        <f t="shared" si="22"/>
        <v>0.5</v>
      </c>
      <c r="X30" s="34">
        <f t="shared" si="22"/>
        <v>0</v>
      </c>
      <c r="Y30" s="34">
        <f t="shared" si="22"/>
        <v>3</v>
      </c>
      <c r="Z30" s="34">
        <f t="shared" si="22"/>
        <v>9</v>
      </c>
      <c r="AA30" s="34">
        <f t="shared" si="22"/>
        <v>10</v>
      </c>
      <c r="AB30" s="34">
        <f t="shared" si="22"/>
        <v>0.5</v>
      </c>
      <c r="AC30" s="34">
        <f t="shared" si="22"/>
        <v>80</v>
      </c>
      <c r="AD30" s="34">
        <f t="shared" si="22"/>
        <v>0</v>
      </c>
      <c r="AE30" s="31">
        <f t="shared" si="22"/>
        <v>65.5</v>
      </c>
      <c r="AF30" s="31">
        <f t="shared" si="22"/>
        <v>145.5</v>
      </c>
    </row>
    <row r="31" spans="2:32" ht="23.1" customHeight="1" x14ac:dyDescent="0.25">
      <c r="B31" s="24" t="s">
        <v>58</v>
      </c>
      <c r="C31" s="49">
        <f>AVERAGE('22.07 Bwaise-Kawempe'!C31,'23.07 Bwaise-Kawempe'!C31,'24.07 Bwaise-Kawempe'!C31,'25.07 Bwaise-Kawempe'!C31,'26.07 Bwaise-Kawempe-24h'!C31,'27.07 Bwaise-Kawempe-24h'!C31,'28.07 Bwaise-Kawempe'!C31)</f>
        <v>37.142857142857146</v>
      </c>
      <c r="D31" s="49">
        <f>AVERAGE('22.07 Bwaise-Kawempe'!D31,'23.07 Bwaise-Kawempe'!D31,'24.07 Bwaise-Kawempe'!D31,'25.07 Bwaise-Kawempe'!D31,'26.07 Bwaise-Kawempe-24h'!D31,'27.07 Bwaise-Kawempe-24h'!D31,'28.07 Bwaise-Kawempe'!D31)</f>
        <v>6.8571428571428568</v>
      </c>
      <c r="E31" s="49">
        <f>AVERAGE('22.07 Bwaise-Kawempe'!E31,'23.07 Bwaise-Kawempe'!E31,'24.07 Bwaise-Kawempe'!E31,'25.07 Bwaise-Kawempe'!E31,'26.07 Bwaise-Kawempe-24h'!E31,'27.07 Bwaise-Kawempe-24h'!E31,'28.07 Bwaise-Kawempe'!E31)</f>
        <v>4.2857142857142856</v>
      </c>
      <c r="F31" s="49">
        <f>AVERAGE('22.07 Bwaise-Kawempe'!F31,'23.07 Bwaise-Kawempe'!F31,'24.07 Bwaise-Kawempe'!F31,'25.07 Bwaise-Kawempe'!F31,'26.07 Bwaise-Kawempe-24h'!F31,'27.07 Bwaise-Kawempe-24h'!F31,'28.07 Bwaise-Kawempe'!F31)</f>
        <v>41.428571428571431</v>
      </c>
      <c r="G31" s="49">
        <f>AVERAGE('22.07 Bwaise-Kawempe'!G31,'23.07 Bwaise-Kawempe'!G31,'24.07 Bwaise-Kawempe'!G31,'25.07 Bwaise-Kawempe'!G31,'26.07 Bwaise-Kawempe-24h'!G31,'27.07 Bwaise-Kawempe-24h'!G31,'28.07 Bwaise-Kawempe'!G31)</f>
        <v>1.5714285714285714</v>
      </c>
      <c r="H31" s="49">
        <f>AVERAGE('22.07 Bwaise-Kawempe'!H31,'23.07 Bwaise-Kawempe'!H31,'24.07 Bwaise-Kawempe'!H31,'25.07 Bwaise-Kawempe'!H31,'26.07 Bwaise-Kawempe-24h'!H31,'27.07 Bwaise-Kawempe-24h'!H31,'28.07 Bwaise-Kawempe'!H31)</f>
        <v>3.8571428571428572</v>
      </c>
      <c r="I31" s="49">
        <f>AVERAGE('22.07 Bwaise-Kawempe'!I31,'23.07 Bwaise-Kawempe'!I31,'24.07 Bwaise-Kawempe'!I31,'25.07 Bwaise-Kawempe'!I31,'26.07 Bwaise-Kawempe-24h'!I31,'27.07 Bwaise-Kawempe-24h'!I31,'28.07 Bwaise-Kawempe'!I31)</f>
        <v>14.571428571428571</v>
      </c>
      <c r="J31" s="49">
        <f>AVERAGE('22.07 Bwaise-Kawempe'!J31,'23.07 Bwaise-Kawempe'!J31,'24.07 Bwaise-Kawempe'!J31,'25.07 Bwaise-Kawempe'!J31,'26.07 Bwaise-Kawempe-24h'!J31,'27.07 Bwaise-Kawempe-24h'!J31,'28.07 Bwaise-Kawempe'!J31)</f>
        <v>2.1428571428571428</v>
      </c>
      <c r="K31" s="49">
        <f>AVERAGE('22.07 Bwaise-Kawempe'!K31,'23.07 Bwaise-Kawempe'!K31,'24.07 Bwaise-Kawempe'!K31,'25.07 Bwaise-Kawempe'!K31,'26.07 Bwaise-Kawempe-24h'!K31,'27.07 Bwaise-Kawempe-24h'!K31,'28.07 Bwaise-Kawempe'!K31)</f>
        <v>1.5714285714285714</v>
      </c>
      <c r="L31" s="49">
        <f>AVERAGE('22.07 Bwaise-Kawempe'!L31,'23.07 Bwaise-Kawempe'!L31,'24.07 Bwaise-Kawempe'!L31,'25.07 Bwaise-Kawempe'!L31,'26.07 Bwaise-Kawempe-24h'!L31,'27.07 Bwaise-Kawempe-24h'!L31,'28.07 Bwaise-Kawempe'!L31)</f>
        <v>2.4285714285714284</v>
      </c>
      <c r="M31" s="49">
        <f>AVERAGE('22.07 Bwaise-Kawempe'!M31,'23.07 Bwaise-Kawempe'!M31,'24.07 Bwaise-Kawempe'!M31,'25.07 Bwaise-Kawempe'!M31,'26.07 Bwaise-Kawempe-24h'!M31,'27.07 Bwaise-Kawempe-24h'!M31,'28.07 Bwaise-Kawempe'!M31)</f>
        <v>129.85714285714286</v>
      </c>
      <c r="N31" s="49">
        <f>AVERAGE('22.07 Bwaise-Kawempe'!N31,'23.07 Bwaise-Kawempe'!N31,'24.07 Bwaise-Kawempe'!N31,'25.07 Bwaise-Kawempe'!N31,'26.07 Bwaise-Kawempe-24h'!N31,'27.07 Bwaise-Kawempe-24h'!N31,'28.07 Bwaise-Kawempe'!N31)</f>
        <v>0</v>
      </c>
      <c r="O31" s="15">
        <f t="shared" si="0"/>
        <v>115.85714285714286</v>
      </c>
      <c r="P31" s="15">
        <f t="shared" si="1"/>
        <v>245.71428571428572</v>
      </c>
      <c r="R31" s="1" t="s">
        <v>155</v>
      </c>
      <c r="S31" s="34">
        <f>SUM(C94:C97)</f>
        <v>28.5</v>
      </c>
      <c r="T31" s="34">
        <f t="shared" ref="T31:AF31" si="23">SUM(D94:D97)</f>
        <v>2</v>
      </c>
      <c r="U31" s="34">
        <f t="shared" si="23"/>
        <v>2</v>
      </c>
      <c r="V31" s="34">
        <f t="shared" si="23"/>
        <v>9</v>
      </c>
      <c r="W31" s="34">
        <f t="shared" si="23"/>
        <v>0</v>
      </c>
      <c r="X31" s="34">
        <f t="shared" si="23"/>
        <v>0</v>
      </c>
      <c r="Y31" s="34">
        <f t="shared" si="23"/>
        <v>7</v>
      </c>
      <c r="Z31" s="34">
        <f t="shared" si="23"/>
        <v>6</v>
      </c>
      <c r="AA31" s="34">
        <f t="shared" si="23"/>
        <v>7</v>
      </c>
      <c r="AB31" s="34">
        <f t="shared" si="23"/>
        <v>1</v>
      </c>
      <c r="AC31" s="34">
        <f t="shared" si="23"/>
        <v>80.5</v>
      </c>
      <c r="AD31" s="34">
        <f t="shared" si="23"/>
        <v>0</v>
      </c>
      <c r="AE31" s="31">
        <f t="shared" si="23"/>
        <v>62.5</v>
      </c>
      <c r="AF31" s="31">
        <f t="shared" si="23"/>
        <v>143</v>
      </c>
    </row>
    <row r="32" spans="2:32" ht="23.1" customHeight="1" x14ac:dyDescent="0.25">
      <c r="B32" s="24" t="s">
        <v>59</v>
      </c>
      <c r="C32" s="49">
        <f>AVERAGE('22.07 Bwaise-Kawempe'!C32,'23.07 Bwaise-Kawempe'!C32,'24.07 Bwaise-Kawempe'!C32,'25.07 Bwaise-Kawempe'!C32,'26.07 Bwaise-Kawempe-24h'!C32,'27.07 Bwaise-Kawempe-24h'!C32,'28.07 Bwaise-Kawempe'!C32)</f>
        <v>29.142857142857142</v>
      </c>
      <c r="D32" s="49">
        <f>AVERAGE('22.07 Bwaise-Kawempe'!D32,'23.07 Bwaise-Kawempe'!D32,'24.07 Bwaise-Kawempe'!D32,'25.07 Bwaise-Kawempe'!D32,'26.07 Bwaise-Kawempe-24h'!D32,'27.07 Bwaise-Kawempe-24h'!D32,'28.07 Bwaise-Kawempe'!D32)</f>
        <v>4.7142857142857144</v>
      </c>
      <c r="E32" s="49">
        <f>AVERAGE('22.07 Bwaise-Kawempe'!E32,'23.07 Bwaise-Kawempe'!E32,'24.07 Bwaise-Kawempe'!E32,'25.07 Bwaise-Kawempe'!E32,'26.07 Bwaise-Kawempe-24h'!E32,'27.07 Bwaise-Kawempe-24h'!E32,'28.07 Bwaise-Kawempe'!E32)</f>
        <v>5.2857142857142856</v>
      </c>
      <c r="F32" s="49">
        <f>AVERAGE('22.07 Bwaise-Kawempe'!F32,'23.07 Bwaise-Kawempe'!F32,'24.07 Bwaise-Kawempe'!F32,'25.07 Bwaise-Kawempe'!F32,'26.07 Bwaise-Kawempe-24h'!F32,'27.07 Bwaise-Kawempe-24h'!F32,'28.07 Bwaise-Kawempe'!F32)</f>
        <v>34.285714285714285</v>
      </c>
      <c r="G32" s="49">
        <f>AVERAGE('22.07 Bwaise-Kawempe'!G32,'23.07 Bwaise-Kawempe'!G32,'24.07 Bwaise-Kawempe'!G32,'25.07 Bwaise-Kawempe'!G32,'26.07 Bwaise-Kawempe-24h'!G32,'27.07 Bwaise-Kawempe-24h'!G32,'28.07 Bwaise-Kawempe'!G32)</f>
        <v>1</v>
      </c>
      <c r="H32" s="49">
        <f>AVERAGE('22.07 Bwaise-Kawempe'!H32,'23.07 Bwaise-Kawempe'!H32,'24.07 Bwaise-Kawempe'!H32,'25.07 Bwaise-Kawempe'!H32,'26.07 Bwaise-Kawempe-24h'!H32,'27.07 Bwaise-Kawempe-24h'!H32,'28.07 Bwaise-Kawempe'!H32)</f>
        <v>0.5714285714285714</v>
      </c>
      <c r="I32" s="49">
        <f>AVERAGE('22.07 Bwaise-Kawempe'!I32,'23.07 Bwaise-Kawempe'!I32,'24.07 Bwaise-Kawempe'!I32,'25.07 Bwaise-Kawempe'!I32,'26.07 Bwaise-Kawempe-24h'!I32,'27.07 Bwaise-Kawempe-24h'!I32,'28.07 Bwaise-Kawempe'!I32)</f>
        <v>8.7142857142857135</v>
      </c>
      <c r="J32" s="49">
        <f>AVERAGE('22.07 Bwaise-Kawempe'!J32,'23.07 Bwaise-Kawempe'!J32,'24.07 Bwaise-Kawempe'!J32,'25.07 Bwaise-Kawempe'!J32,'26.07 Bwaise-Kawempe-24h'!J32,'27.07 Bwaise-Kawempe-24h'!J32,'28.07 Bwaise-Kawempe'!J32)</f>
        <v>4.1428571428571432</v>
      </c>
      <c r="K32" s="49">
        <f>AVERAGE('22.07 Bwaise-Kawempe'!K32,'23.07 Bwaise-Kawempe'!K32,'24.07 Bwaise-Kawempe'!K32,'25.07 Bwaise-Kawempe'!K32,'26.07 Bwaise-Kawempe-24h'!K32,'27.07 Bwaise-Kawempe-24h'!K32,'28.07 Bwaise-Kawempe'!K32)</f>
        <v>1.5714285714285714</v>
      </c>
      <c r="L32" s="49">
        <f>AVERAGE('22.07 Bwaise-Kawempe'!L32,'23.07 Bwaise-Kawempe'!L32,'24.07 Bwaise-Kawempe'!L32,'25.07 Bwaise-Kawempe'!L32,'26.07 Bwaise-Kawempe-24h'!L32,'27.07 Bwaise-Kawempe-24h'!L32,'28.07 Bwaise-Kawempe'!L32)</f>
        <v>1.4285714285714286</v>
      </c>
      <c r="M32" s="49">
        <f>AVERAGE('22.07 Bwaise-Kawempe'!M32,'23.07 Bwaise-Kawempe'!M32,'24.07 Bwaise-Kawempe'!M32,'25.07 Bwaise-Kawempe'!M32,'26.07 Bwaise-Kawempe-24h'!M32,'27.07 Bwaise-Kawempe-24h'!M32,'28.07 Bwaise-Kawempe'!M32)</f>
        <v>87</v>
      </c>
      <c r="N32" s="49">
        <f>AVERAGE('22.07 Bwaise-Kawempe'!N32,'23.07 Bwaise-Kawempe'!N32,'24.07 Bwaise-Kawempe'!N32,'25.07 Bwaise-Kawempe'!N32,'26.07 Bwaise-Kawempe-24h'!N32,'27.07 Bwaise-Kawempe-24h'!N32,'28.07 Bwaise-Kawempe'!N32)</f>
        <v>0</v>
      </c>
      <c r="O32" s="15">
        <f t="shared" si="0"/>
        <v>90.857142857142833</v>
      </c>
      <c r="P32" s="15">
        <f t="shared" si="1"/>
        <v>177.85714285714283</v>
      </c>
      <c r="R32" s="1" t="s">
        <v>156</v>
      </c>
      <c r="S32" s="34">
        <f>SUM(C98:C101)</f>
        <v>40</v>
      </c>
      <c r="T32" s="34">
        <f t="shared" ref="T32:AF32" si="24">SUM(D98:D101)</f>
        <v>4</v>
      </c>
      <c r="U32" s="34">
        <f t="shared" si="24"/>
        <v>2.5</v>
      </c>
      <c r="V32" s="34">
        <f t="shared" si="24"/>
        <v>28.5</v>
      </c>
      <c r="W32" s="34">
        <f t="shared" si="24"/>
        <v>1</v>
      </c>
      <c r="X32" s="34">
        <f t="shared" si="24"/>
        <v>0.5</v>
      </c>
      <c r="Y32" s="34">
        <f t="shared" si="24"/>
        <v>8.5</v>
      </c>
      <c r="Z32" s="34">
        <f t="shared" si="24"/>
        <v>11.5</v>
      </c>
      <c r="AA32" s="34">
        <f t="shared" si="24"/>
        <v>8.5</v>
      </c>
      <c r="AB32" s="34">
        <f t="shared" si="24"/>
        <v>3.5</v>
      </c>
      <c r="AC32" s="34">
        <f t="shared" si="24"/>
        <v>108</v>
      </c>
      <c r="AD32" s="34">
        <f t="shared" si="24"/>
        <v>0</v>
      </c>
      <c r="AE32" s="31">
        <f t="shared" si="24"/>
        <v>108.5</v>
      </c>
      <c r="AF32" s="31">
        <f t="shared" si="24"/>
        <v>216.5</v>
      </c>
    </row>
    <row r="33" spans="2:32" ht="23.1" customHeight="1" x14ac:dyDescent="0.25">
      <c r="B33" s="23" t="s">
        <v>60</v>
      </c>
      <c r="C33" s="49">
        <f>AVERAGE('22.07 Bwaise-Kawempe'!C33,'23.07 Bwaise-Kawempe'!C33,'24.07 Bwaise-Kawempe'!C33,'25.07 Bwaise-Kawempe'!C33,'26.07 Bwaise-Kawempe-24h'!C33,'27.07 Bwaise-Kawempe-24h'!C33,'28.07 Bwaise-Kawempe'!C33)</f>
        <v>34.857142857142854</v>
      </c>
      <c r="D33" s="49">
        <f>AVERAGE('22.07 Bwaise-Kawempe'!D33,'23.07 Bwaise-Kawempe'!D33,'24.07 Bwaise-Kawempe'!D33,'25.07 Bwaise-Kawempe'!D33,'26.07 Bwaise-Kawempe-24h'!D33,'27.07 Bwaise-Kawempe-24h'!D33,'28.07 Bwaise-Kawempe'!D33)</f>
        <v>6.2857142857142856</v>
      </c>
      <c r="E33" s="49">
        <f>AVERAGE('22.07 Bwaise-Kawempe'!E33,'23.07 Bwaise-Kawempe'!E33,'24.07 Bwaise-Kawempe'!E33,'25.07 Bwaise-Kawempe'!E33,'26.07 Bwaise-Kawempe-24h'!E33,'27.07 Bwaise-Kawempe-24h'!E33,'28.07 Bwaise-Kawempe'!E33)</f>
        <v>4</v>
      </c>
      <c r="F33" s="49">
        <f>AVERAGE('22.07 Bwaise-Kawempe'!F33,'23.07 Bwaise-Kawempe'!F33,'24.07 Bwaise-Kawempe'!F33,'25.07 Bwaise-Kawempe'!F33,'26.07 Bwaise-Kawempe-24h'!F33,'27.07 Bwaise-Kawempe-24h'!F33,'28.07 Bwaise-Kawempe'!F33)</f>
        <v>32.714285714285715</v>
      </c>
      <c r="G33" s="49">
        <f>AVERAGE('22.07 Bwaise-Kawempe'!G33,'23.07 Bwaise-Kawempe'!G33,'24.07 Bwaise-Kawempe'!G33,'25.07 Bwaise-Kawempe'!G33,'26.07 Bwaise-Kawempe-24h'!G33,'27.07 Bwaise-Kawempe-24h'!G33,'28.07 Bwaise-Kawempe'!G33)</f>
        <v>1.1428571428571428</v>
      </c>
      <c r="H33" s="49">
        <f>AVERAGE('22.07 Bwaise-Kawempe'!H33,'23.07 Bwaise-Kawempe'!H33,'24.07 Bwaise-Kawempe'!H33,'25.07 Bwaise-Kawempe'!H33,'26.07 Bwaise-Kawempe-24h'!H33,'27.07 Bwaise-Kawempe-24h'!H33,'28.07 Bwaise-Kawempe'!H33)</f>
        <v>0.14285714285714285</v>
      </c>
      <c r="I33" s="49">
        <f>AVERAGE('22.07 Bwaise-Kawempe'!I33,'23.07 Bwaise-Kawempe'!I33,'24.07 Bwaise-Kawempe'!I33,'25.07 Bwaise-Kawempe'!I33,'26.07 Bwaise-Kawempe-24h'!I33,'27.07 Bwaise-Kawempe-24h'!I33,'28.07 Bwaise-Kawempe'!I33)</f>
        <v>12.285714285714286</v>
      </c>
      <c r="J33" s="49">
        <f>AVERAGE('22.07 Bwaise-Kawempe'!J33,'23.07 Bwaise-Kawempe'!J33,'24.07 Bwaise-Kawempe'!J33,'25.07 Bwaise-Kawempe'!J33,'26.07 Bwaise-Kawempe-24h'!J33,'27.07 Bwaise-Kawempe-24h'!J33,'28.07 Bwaise-Kawempe'!J33)</f>
        <v>1.8571428571428572</v>
      </c>
      <c r="K33" s="49">
        <f>AVERAGE('22.07 Bwaise-Kawempe'!K33,'23.07 Bwaise-Kawempe'!K33,'24.07 Bwaise-Kawempe'!K33,'25.07 Bwaise-Kawempe'!K33,'26.07 Bwaise-Kawempe-24h'!K33,'27.07 Bwaise-Kawempe-24h'!K33,'28.07 Bwaise-Kawempe'!K33)</f>
        <v>1.4285714285714286</v>
      </c>
      <c r="L33" s="49">
        <f>AVERAGE('22.07 Bwaise-Kawempe'!L33,'23.07 Bwaise-Kawempe'!L33,'24.07 Bwaise-Kawempe'!L33,'25.07 Bwaise-Kawempe'!L33,'26.07 Bwaise-Kawempe-24h'!L33,'27.07 Bwaise-Kawempe-24h'!L33,'28.07 Bwaise-Kawempe'!L33)</f>
        <v>2.8571428571428572</v>
      </c>
      <c r="M33" s="49">
        <f>AVERAGE('22.07 Bwaise-Kawempe'!M33,'23.07 Bwaise-Kawempe'!M33,'24.07 Bwaise-Kawempe'!M33,'25.07 Bwaise-Kawempe'!M33,'26.07 Bwaise-Kawempe-24h'!M33,'27.07 Bwaise-Kawempe-24h'!M33,'28.07 Bwaise-Kawempe'!M33)</f>
        <v>112.42857142857143</v>
      </c>
      <c r="N33" s="49">
        <f>AVERAGE('22.07 Bwaise-Kawempe'!N33,'23.07 Bwaise-Kawempe'!N33,'24.07 Bwaise-Kawempe'!N33,'25.07 Bwaise-Kawempe'!N33,'26.07 Bwaise-Kawempe-24h'!N33,'27.07 Bwaise-Kawempe-24h'!N33,'28.07 Bwaise-Kawempe'!N33)</f>
        <v>0</v>
      </c>
      <c r="O33" s="15">
        <f t="shared" si="0"/>
        <v>97.571428571428584</v>
      </c>
      <c r="P33" s="15">
        <f t="shared" si="1"/>
        <v>210</v>
      </c>
      <c r="R33" s="1" t="s">
        <v>157</v>
      </c>
      <c r="S33" s="34">
        <f>SUM(C102:C105)</f>
        <v>68.5</v>
      </c>
      <c r="T33" s="34">
        <f t="shared" ref="T33:AF33" si="25">SUM(D102:D105)</f>
        <v>5</v>
      </c>
      <c r="U33" s="34">
        <f t="shared" si="25"/>
        <v>8</v>
      </c>
      <c r="V33" s="34">
        <f t="shared" si="25"/>
        <v>77.5</v>
      </c>
      <c r="W33" s="34">
        <f t="shared" si="25"/>
        <v>1.5</v>
      </c>
      <c r="X33" s="34">
        <f t="shared" si="25"/>
        <v>4</v>
      </c>
      <c r="Y33" s="34">
        <f t="shared" si="25"/>
        <v>12.5</v>
      </c>
      <c r="Z33" s="34">
        <f t="shared" si="25"/>
        <v>16</v>
      </c>
      <c r="AA33" s="34">
        <f t="shared" si="25"/>
        <v>11</v>
      </c>
      <c r="AB33" s="34">
        <f t="shared" si="25"/>
        <v>11.5</v>
      </c>
      <c r="AC33" s="34">
        <f t="shared" si="25"/>
        <v>208</v>
      </c>
      <c r="AD33" s="34">
        <f t="shared" si="25"/>
        <v>0</v>
      </c>
      <c r="AE33" s="31">
        <f t="shared" si="25"/>
        <v>215.5</v>
      </c>
      <c r="AF33" s="31">
        <f t="shared" si="25"/>
        <v>423.5</v>
      </c>
    </row>
    <row r="34" spans="2:32" ht="23.1" customHeight="1" x14ac:dyDescent="0.25">
      <c r="B34" s="24" t="s">
        <v>61</v>
      </c>
      <c r="C34" s="49">
        <f>AVERAGE('22.07 Bwaise-Kawempe'!C34,'23.07 Bwaise-Kawempe'!C34,'24.07 Bwaise-Kawempe'!C34,'25.07 Bwaise-Kawempe'!C34,'26.07 Bwaise-Kawempe-24h'!C34,'27.07 Bwaise-Kawempe-24h'!C34,'28.07 Bwaise-Kawempe'!C34)</f>
        <v>40</v>
      </c>
      <c r="D34" s="49">
        <f>AVERAGE('22.07 Bwaise-Kawempe'!D34,'23.07 Bwaise-Kawempe'!D34,'24.07 Bwaise-Kawempe'!D34,'25.07 Bwaise-Kawempe'!D34,'26.07 Bwaise-Kawempe-24h'!D34,'27.07 Bwaise-Kawempe-24h'!D34,'28.07 Bwaise-Kawempe'!D34)</f>
        <v>8.2857142857142865</v>
      </c>
      <c r="E34" s="49">
        <f>AVERAGE('22.07 Bwaise-Kawempe'!E34,'23.07 Bwaise-Kawempe'!E34,'24.07 Bwaise-Kawempe'!E34,'25.07 Bwaise-Kawempe'!E34,'26.07 Bwaise-Kawempe-24h'!E34,'27.07 Bwaise-Kawempe-24h'!E34,'28.07 Bwaise-Kawempe'!E34)</f>
        <v>6.1428571428571432</v>
      </c>
      <c r="F34" s="49">
        <f>AVERAGE('22.07 Bwaise-Kawempe'!F34,'23.07 Bwaise-Kawempe'!F34,'24.07 Bwaise-Kawempe'!F34,'25.07 Bwaise-Kawempe'!F34,'26.07 Bwaise-Kawempe-24h'!F34,'27.07 Bwaise-Kawempe-24h'!F34,'28.07 Bwaise-Kawempe'!F34)</f>
        <v>41.142857142857146</v>
      </c>
      <c r="G34" s="49">
        <f>AVERAGE('22.07 Bwaise-Kawempe'!G34,'23.07 Bwaise-Kawempe'!G34,'24.07 Bwaise-Kawempe'!G34,'25.07 Bwaise-Kawempe'!G34,'26.07 Bwaise-Kawempe-24h'!G34,'27.07 Bwaise-Kawempe-24h'!G34,'28.07 Bwaise-Kawempe'!G34)</f>
        <v>1</v>
      </c>
      <c r="H34" s="49">
        <f>AVERAGE('22.07 Bwaise-Kawempe'!H34,'23.07 Bwaise-Kawempe'!H34,'24.07 Bwaise-Kawempe'!H34,'25.07 Bwaise-Kawempe'!H34,'26.07 Bwaise-Kawempe-24h'!H34,'27.07 Bwaise-Kawempe-24h'!H34,'28.07 Bwaise-Kawempe'!H34)</f>
        <v>0.2857142857142857</v>
      </c>
      <c r="I34" s="49">
        <f>AVERAGE('22.07 Bwaise-Kawempe'!I34,'23.07 Bwaise-Kawempe'!I34,'24.07 Bwaise-Kawempe'!I34,'25.07 Bwaise-Kawempe'!I34,'26.07 Bwaise-Kawempe-24h'!I34,'27.07 Bwaise-Kawempe-24h'!I34,'28.07 Bwaise-Kawempe'!I34)</f>
        <v>12</v>
      </c>
      <c r="J34" s="49">
        <f>AVERAGE('22.07 Bwaise-Kawempe'!J34,'23.07 Bwaise-Kawempe'!J34,'24.07 Bwaise-Kawempe'!J34,'25.07 Bwaise-Kawempe'!J34,'26.07 Bwaise-Kawempe-24h'!J34,'27.07 Bwaise-Kawempe-24h'!J34,'28.07 Bwaise-Kawempe'!J34)</f>
        <v>4.4285714285714288</v>
      </c>
      <c r="K34" s="49">
        <f>AVERAGE('22.07 Bwaise-Kawempe'!K34,'23.07 Bwaise-Kawempe'!K34,'24.07 Bwaise-Kawempe'!K34,'25.07 Bwaise-Kawempe'!K34,'26.07 Bwaise-Kawempe-24h'!K34,'27.07 Bwaise-Kawempe-24h'!K34,'28.07 Bwaise-Kawempe'!K34)</f>
        <v>1.7142857142857142</v>
      </c>
      <c r="L34" s="49">
        <f>AVERAGE('22.07 Bwaise-Kawempe'!L34,'23.07 Bwaise-Kawempe'!L34,'24.07 Bwaise-Kawempe'!L34,'25.07 Bwaise-Kawempe'!L34,'26.07 Bwaise-Kawempe-24h'!L34,'27.07 Bwaise-Kawempe-24h'!L34,'28.07 Bwaise-Kawempe'!L34)</f>
        <v>2.8571428571428572</v>
      </c>
      <c r="M34" s="49">
        <f>AVERAGE('22.07 Bwaise-Kawempe'!M34,'23.07 Bwaise-Kawempe'!M34,'24.07 Bwaise-Kawempe'!M34,'25.07 Bwaise-Kawempe'!M34,'26.07 Bwaise-Kawempe-24h'!M34,'27.07 Bwaise-Kawempe-24h'!M34,'28.07 Bwaise-Kawempe'!M34)</f>
        <v>133</v>
      </c>
      <c r="N34" s="49">
        <f>AVERAGE('22.07 Bwaise-Kawempe'!N34,'23.07 Bwaise-Kawempe'!N34,'24.07 Bwaise-Kawempe'!N34,'25.07 Bwaise-Kawempe'!N34,'26.07 Bwaise-Kawempe-24h'!N34,'27.07 Bwaise-Kawempe-24h'!N34,'28.07 Bwaise-Kawempe'!N34)</f>
        <v>0</v>
      </c>
      <c r="O34" s="15">
        <f t="shared" si="0"/>
        <v>117.85714285714288</v>
      </c>
      <c r="P34" s="15">
        <f t="shared" si="1"/>
        <v>250.85714285714289</v>
      </c>
      <c r="R34" s="38" t="s">
        <v>90</v>
      </c>
      <c r="S34" s="39">
        <f t="shared" ref="S34:AF34" si="26">MAX(S10:S12)</f>
        <v>119.57142857142857</v>
      </c>
      <c r="T34" s="39">
        <f t="shared" si="26"/>
        <v>23.142857142857142</v>
      </c>
      <c r="U34" s="39">
        <f t="shared" si="26"/>
        <v>36.714285714285708</v>
      </c>
      <c r="V34" s="39">
        <f t="shared" si="26"/>
        <v>160.28571428571428</v>
      </c>
      <c r="W34" s="39">
        <f t="shared" si="26"/>
        <v>26</v>
      </c>
      <c r="X34" s="39">
        <f t="shared" si="26"/>
        <v>3.8571428571428568</v>
      </c>
      <c r="Y34" s="39">
        <f t="shared" si="26"/>
        <v>31.714285714285712</v>
      </c>
      <c r="Z34" s="39">
        <f t="shared" si="26"/>
        <v>11.285714285714286</v>
      </c>
      <c r="AA34" s="39">
        <f t="shared" si="26"/>
        <v>5.4285714285714279</v>
      </c>
      <c r="AB34" s="39">
        <f t="shared" si="26"/>
        <v>7.2857142857142847</v>
      </c>
      <c r="AC34" s="39">
        <f t="shared" si="26"/>
        <v>643.57142857142867</v>
      </c>
      <c r="AD34" s="39">
        <f t="shared" si="26"/>
        <v>0.2857142857142857</v>
      </c>
      <c r="AE34" s="40">
        <f t="shared" si="26"/>
        <v>400</v>
      </c>
      <c r="AF34" s="40">
        <f t="shared" si="26"/>
        <v>1043.5714285714287</v>
      </c>
    </row>
    <row r="35" spans="2:32" ht="23.1" customHeight="1" x14ac:dyDescent="0.25">
      <c r="B35" s="24" t="s">
        <v>62</v>
      </c>
      <c r="C35" s="49">
        <f>AVERAGE('22.07 Bwaise-Kawempe'!C35,'23.07 Bwaise-Kawempe'!C35,'24.07 Bwaise-Kawempe'!C35,'25.07 Bwaise-Kawempe'!C35,'26.07 Bwaise-Kawempe-24h'!C35,'27.07 Bwaise-Kawempe-24h'!C35,'28.07 Bwaise-Kawempe'!C35)</f>
        <v>39</v>
      </c>
      <c r="D35" s="49">
        <f>AVERAGE('22.07 Bwaise-Kawempe'!D35,'23.07 Bwaise-Kawempe'!D35,'24.07 Bwaise-Kawempe'!D35,'25.07 Bwaise-Kawempe'!D35,'26.07 Bwaise-Kawempe-24h'!D35,'27.07 Bwaise-Kawempe-24h'!D35,'28.07 Bwaise-Kawempe'!D35)</f>
        <v>6.5714285714285712</v>
      </c>
      <c r="E35" s="49">
        <f>AVERAGE('22.07 Bwaise-Kawempe'!E35,'23.07 Bwaise-Kawempe'!E35,'24.07 Bwaise-Kawempe'!E35,'25.07 Bwaise-Kawempe'!E35,'26.07 Bwaise-Kawempe-24h'!E35,'27.07 Bwaise-Kawempe-24h'!E35,'28.07 Bwaise-Kawempe'!E35)</f>
        <v>7.5714285714285712</v>
      </c>
      <c r="F35" s="49">
        <f>AVERAGE('22.07 Bwaise-Kawempe'!F35,'23.07 Bwaise-Kawempe'!F35,'24.07 Bwaise-Kawempe'!F35,'25.07 Bwaise-Kawempe'!F35,'26.07 Bwaise-Kawempe-24h'!F35,'27.07 Bwaise-Kawempe-24h'!F35,'28.07 Bwaise-Kawempe'!F35)</f>
        <v>31.428571428571427</v>
      </c>
      <c r="G35" s="49">
        <f>AVERAGE('22.07 Bwaise-Kawempe'!G35,'23.07 Bwaise-Kawempe'!G35,'24.07 Bwaise-Kawempe'!G35,'25.07 Bwaise-Kawempe'!G35,'26.07 Bwaise-Kawempe-24h'!G35,'27.07 Bwaise-Kawempe-24h'!G35,'28.07 Bwaise-Kawempe'!G35)</f>
        <v>1.4285714285714286</v>
      </c>
      <c r="H35" s="49">
        <f>AVERAGE('22.07 Bwaise-Kawempe'!H35,'23.07 Bwaise-Kawempe'!H35,'24.07 Bwaise-Kawempe'!H35,'25.07 Bwaise-Kawempe'!H35,'26.07 Bwaise-Kawempe-24h'!H35,'27.07 Bwaise-Kawempe-24h'!H35,'28.07 Bwaise-Kawempe'!H35)</f>
        <v>0.42857142857142855</v>
      </c>
      <c r="I35" s="49">
        <f>AVERAGE('22.07 Bwaise-Kawempe'!I35,'23.07 Bwaise-Kawempe'!I35,'24.07 Bwaise-Kawempe'!I35,'25.07 Bwaise-Kawempe'!I35,'26.07 Bwaise-Kawempe-24h'!I35,'27.07 Bwaise-Kawempe-24h'!I35,'28.07 Bwaise-Kawempe'!I35)</f>
        <v>10.857142857142858</v>
      </c>
      <c r="J35" s="49">
        <f>AVERAGE('22.07 Bwaise-Kawempe'!J35,'23.07 Bwaise-Kawempe'!J35,'24.07 Bwaise-Kawempe'!J35,'25.07 Bwaise-Kawempe'!J35,'26.07 Bwaise-Kawempe-24h'!J35,'27.07 Bwaise-Kawempe-24h'!J35,'28.07 Bwaise-Kawempe'!J35)</f>
        <v>5.5714285714285712</v>
      </c>
      <c r="K35" s="49">
        <f>AVERAGE('22.07 Bwaise-Kawempe'!K35,'23.07 Bwaise-Kawempe'!K35,'24.07 Bwaise-Kawempe'!K35,'25.07 Bwaise-Kawempe'!K35,'26.07 Bwaise-Kawempe-24h'!K35,'27.07 Bwaise-Kawempe-24h'!K35,'28.07 Bwaise-Kawempe'!K35)</f>
        <v>1.7142857142857142</v>
      </c>
      <c r="L35" s="49">
        <f>AVERAGE('22.07 Bwaise-Kawempe'!L35,'23.07 Bwaise-Kawempe'!L35,'24.07 Bwaise-Kawempe'!L35,'25.07 Bwaise-Kawempe'!L35,'26.07 Bwaise-Kawempe-24h'!L35,'27.07 Bwaise-Kawempe-24h'!L35,'28.07 Bwaise-Kawempe'!L35)</f>
        <v>2.4285714285714284</v>
      </c>
      <c r="M35" s="49">
        <f>AVERAGE('22.07 Bwaise-Kawempe'!M35,'23.07 Bwaise-Kawempe'!M35,'24.07 Bwaise-Kawempe'!M35,'25.07 Bwaise-Kawempe'!M35,'26.07 Bwaise-Kawempe-24h'!M35,'27.07 Bwaise-Kawempe-24h'!M35,'28.07 Bwaise-Kawempe'!M35)</f>
        <v>114.28571428571429</v>
      </c>
      <c r="N35" s="49">
        <f>AVERAGE('22.07 Bwaise-Kawempe'!N35,'23.07 Bwaise-Kawempe'!N35,'24.07 Bwaise-Kawempe'!N35,'25.07 Bwaise-Kawempe'!N35,'26.07 Bwaise-Kawempe-24h'!N35,'27.07 Bwaise-Kawempe-24h'!N35,'28.07 Bwaise-Kawempe'!N35)</f>
        <v>0</v>
      </c>
      <c r="O35" s="15">
        <f t="shared" si="0"/>
        <v>107</v>
      </c>
      <c r="P35" s="15">
        <f t="shared" si="1"/>
        <v>221.28571428571428</v>
      </c>
      <c r="R35" s="38" t="s">
        <v>91</v>
      </c>
      <c r="S35" s="39">
        <f t="shared" ref="S35:AF35" si="27">MAX(S13:S18)</f>
        <v>155.42857142857144</v>
      </c>
      <c r="T35" s="39">
        <f t="shared" si="27"/>
        <v>28.714285714285715</v>
      </c>
      <c r="U35" s="39">
        <f t="shared" si="27"/>
        <v>26.428571428571431</v>
      </c>
      <c r="V35" s="39">
        <f t="shared" si="27"/>
        <v>154.14285714285714</v>
      </c>
      <c r="W35" s="39">
        <f t="shared" si="27"/>
        <v>6</v>
      </c>
      <c r="X35" s="39">
        <f t="shared" si="27"/>
        <v>5.4285714285714288</v>
      </c>
      <c r="Y35" s="39">
        <f t="shared" si="27"/>
        <v>49.714285714285715</v>
      </c>
      <c r="Z35" s="39">
        <f t="shared" si="27"/>
        <v>20.142857142857146</v>
      </c>
      <c r="AA35" s="39">
        <f t="shared" si="27"/>
        <v>7.4285714285714279</v>
      </c>
      <c r="AB35" s="39">
        <f t="shared" si="27"/>
        <v>14.428571428571431</v>
      </c>
      <c r="AC35" s="39">
        <f t="shared" si="27"/>
        <v>556.71428571428567</v>
      </c>
      <c r="AD35" s="39">
        <f t="shared" si="27"/>
        <v>0</v>
      </c>
      <c r="AE35" s="40">
        <f t="shared" si="27"/>
        <v>442.57142857142861</v>
      </c>
      <c r="AF35" s="40">
        <f t="shared" si="27"/>
        <v>971.71428571428578</v>
      </c>
    </row>
    <row r="36" spans="2:32" ht="23.1" customHeight="1" x14ac:dyDescent="0.25">
      <c r="B36" s="24" t="s">
        <v>63</v>
      </c>
      <c r="C36" s="49">
        <f>AVERAGE('22.07 Bwaise-Kawempe'!C36,'23.07 Bwaise-Kawempe'!C36,'24.07 Bwaise-Kawempe'!C36,'25.07 Bwaise-Kawempe'!C36,'26.07 Bwaise-Kawempe-24h'!C36,'27.07 Bwaise-Kawempe-24h'!C36,'28.07 Bwaise-Kawempe'!C36)</f>
        <v>36.714285714285715</v>
      </c>
      <c r="D36" s="49">
        <f>AVERAGE('22.07 Bwaise-Kawempe'!D36,'23.07 Bwaise-Kawempe'!D36,'24.07 Bwaise-Kawempe'!D36,'25.07 Bwaise-Kawempe'!D36,'26.07 Bwaise-Kawempe-24h'!D36,'27.07 Bwaise-Kawempe-24h'!D36,'28.07 Bwaise-Kawempe'!D36)</f>
        <v>6.8571428571428568</v>
      </c>
      <c r="E36" s="49">
        <f>AVERAGE('22.07 Bwaise-Kawempe'!E36,'23.07 Bwaise-Kawempe'!E36,'24.07 Bwaise-Kawempe'!E36,'25.07 Bwaise-Kawempe'!E36,'26.07 Bwaise-Kawempe-24h'!E36,'27.07 Bwaise-Kawempe-24h'!E36,'28.07 Bwaise-Kawempe'!E36)</f>
        <v>8.2857142857142865</v>
      </c>
      <c r="F36" s="49">
        <f>AVERAGE('22.07 Bwaise-Kawempe'!F36,'23.07 Bwaise-Kawempe'!F36,'24.07 Bwaise-Kawempe'!F36,'25.07 Bwaise-Kawempe'!F36,'26.07 Bwaise-Kawempe-24h'!F36,'27.07 Bwaise-Kawempe-24h'!F36,'28.07 Bwaise-Kawempe'!F36)</f>
        <v>36.428571428571431</v>
      </c>
      <c r="G36" s="49">
        <f>AVERAGE('22.07 Bwaise-Kawempe'!G36,'23.07 Bwaise-Kawempe'!G36,'24.07 Bwaise-Kawempe'!G36,'25.07 Bwaise-Kawempe'!G36,'26.07 Bwaise-Kawempe-24h'!G36,'27.07 Bwaise-Kawempe-24h'!G36,'28.07 Bwaise-Kawempe'!G36)</f>
        <v>1.2857142857142858</v>
      </c>
      <c r="H36" s="49">
        <f>AVERAGE('22.07 Bwaise-Kawempe'!H36,'23.07 Bwaise-Kawempe'!H36,'24.07 Bwaise-Kawempe'!H36,'25.07 Bwaise-Kawempe'!H36,'26.07 Bwaise-Kawempe-24h'!H36,'27.07 Bwaise-Kawempe-24h'!H36,'28.07 Bwaise-Kawempe'!H36)</f>
        <v>0.5714285714285714</v>
      </c>
      <c r="I36" s="49">
        <f>AVERAGE('22.07 Bwaise-Kawempe'!I36,'23.07 Bwaise-Kawempe'!I36,'24.07 Bwaise-Kawempe'!I36,'25.07 Bwaise-Kawempe'!I36,'26.07 Bwaise-Kawempe-24h'!I36,'27.07 Bwaise-Kawempe-24h'!I36,'28.07 Bwaise-Kawempe'!I36)</f>
        <v>9.4285714285714288</v>
      </c>
      <c r="J36" s="49">
        <f>AVERAGE('22.07 Bwaise-Kawempe'!J36,'23.07 Bwaise-Kawempe'!J36,'24.07 Bwaise-Kawempe'!J36,'25.07 Bwaise-Kawempe'!J36,'26.07 Bwaise-Kawempe-24h'!J36,'27.07 Bwaise-Kawempe-24h'!J36,'28.07 Bwaise-Kawempe'!J36)</f>
        <v>5.7142857142857144</v>
      </c>
      <c r="K36" s="49">
        <f>AVERAGE('22.07 Bwaise-Kawempe'!K36,'23.07 Bwaise-Kawempe'!K36,'24.07 Bwaise-Kawempe'!K36,'25.07 Bwaise-Kawempe'!K36,'26.07 Bwaise-Kawempe-24h'!K36,'27.07 Bwaise-Kawempe-24h'!K36,'28.07 Bwaise-Kawempe'!K36)</f>
        <v>1.7142857142857142</v>
      </c>
      <c r="L36" s="49">
        <f>AVERAGE('22.07 Bwaise-Kawempe'!L36,'23.07 Bwaise-Kawempe'!L36,'24.07 Bwaise-Kawempe'!L36,'25.07 Bwaise-Kawempe'!L36,'26.07 Bwaise-Kawempe-24h'!L36,'27.07 Bwaise-Kawempe-24h'!L36,'28.07 Bwaise-Kawempe'!L36)</f>
        <v>3.5714285714285716</v>
      </c>
      <c r="M36" s="49">
        <f>AVERAGE('22.07 Bwaise-Kawempe'!M36,'23.07 Bwaise-Kawempe'!M36,'24.07 Bwaise-Kawempe'!M36,'25.07 Bwaise-Kawempe'!M36,'26.07 Bwaise-Kawempe-24h'!M36,'27.07 Bwaise-Kawempe-24h'!M36,'28.07 Bwaise-Kawempe'!M36)</f>
        <v>110.57142857142857</v>
      </c>
      <c r="N36" s="49">
        <f>AVERAGE('22.07 Bwaise-Kawempe'!N36,'23.07 Bwaise-Kawempe'!N36,'24.07 Bwaise-Kawempe'!N36,'25.07 Bwaise-Kawempe'!N36,'26.07 Bwaise-Kawempe-24h'!N36,'27.07 Bwaise-Kawempe-24h'!N36,'28.07 Bwaise-Kawempe'!N36)</f>
        <v>0</v>
      </c>
      <c r="O36" s="15">
        <f t="shared" si="0"/>
        <v>110.57142857142856</v>
      </c>
      <c r="P36" s="15">
        <f t="shared" si="1"/>
        <v>221.14285714285711</v>
      </c>
      <c r="R36" s="38" t="s">
        <v>92</v>
      </c>
      <c r="S36" s="39">
        <f t="shared" ref="S36:AF36" si="28">MAX(S19:S21)</f>
        <v>178</v>
      </c>
      <c r="T36" s="39">
        <f t="shared" si="28"/>
        <v>24.285714285714285</v>
      </c>
      <c r="U36" s="39">
        <f t="shared" si="28"/>
        <v>19.714285714285715</v>
      </c>
      <c r="V36" s="39">
        <f t="shared" si="28"/>
        <v>143.14285714285717</v>
      </c>
      <c r="W36" s="39">
        <f t="shared" si="28"/>
        <v>6.8571428571428568</v>
      </c>
      <c r="X36" s="39">
        <f t="shared" si="28"/>
        <v>2.8571428571428572</v>
      </c>
      <c r="Y36" s="39">
        <f t="shared" si="28"/>
        <v>43.142857142857139</v>
      </c>
      <c r="Z36" s="39">
        <f t="shared" si="28"/>
        <v>13.285714285714285</v>
      </c>
      <c r="AA36" s="39">
        <f t="shared" si="28"/>
        <v>8.2857142857142865</v>
      </c>
      <c r="AB36" s="39">
        <f t="shared" si="28"/>
        <v>14.142857142857141</v>
      </c>
      <c r="AC36" s="39">
        <f t="shared" si="28"/>
        <v>626.85714285714289</v>
      </c>
      <c r="AD36" s="39">
        <f t="shared" si="28"/>
        <v>0</v>
      </c>
      <c r="AE36" s="40">
        <f t="shared" si="28"/>
        <v>439.85714285714289</v>
      </c>
      <c r="AF36" s="40">
        <f t="shared" si="28"/>
        <v>1053.5714285714284</v>
      </c>
    </row>
    <row r="37" spans="2:32" ht="23.1" customHeight="1" x14ac:dyDescent="0.25">
      <c r="B37" s="23" t="s">
        <v>64</v>
      </c>
      <c r="C37" s="49">
        <f>AVERAGE('22.07 Bwaise-Kawempe'!C37,'23.07 Bwaise-Kawempe'!C37,'24.07 Bwaise-Kawempe'!C37,'25.07 Bwaise-Kawempe'!C37,'26.07 Bwaise-Kawempe-24h'!C37,'27.07 Bwaise-Kawempe-24h'!C37,'28.07 Bwaise-Kawempe'!C37)</f>
        <v>39.714285714285715</v>
      </c>
      <c r="D37" s="49">
        <f>AVERAGE('22.07 Bwaise-Kawempe'!D37,'23.07 Bwaise-Kawempe'!D37,'24.07 Bwaise-Kawempe'!D37,'25.07 Bwaise-Kawempe'!D37,'26.07 Bwaise-Kawempe-24h'!D37,'27.07 Bwaise-Kawempe-24h'!D37,'28.07 Bwaise-Kawempe'!D37)</f>
        <v>7</v>
      </c>
      <c r="E37" s="49">
        <f>AVERAGE('22.07 Bwaise-Kawempe'!E37,'23.07 Bwaise-Kawempe'!E37,'24.07 Bwaise-Kawempe'!E37,'25.07 Bwaise-Kawempe'!E37,'26.07 Bwaise-Kawempe-24h'!E37,'27.07 Bwaise-Kawempe-24h'!E37,'28.07 Bwaise-Kawempe'!E37)</f>
        <v>4.4285714285714288</v>
      </c>
      <c r="F37" s="49">
        <f>AVERAGE('22.07 Bwaise-Kawempe'!F37,'23.07 Bwaise-Kawempe'!F37,'24.07 Bwaise-Kawempe'!F37,'25.07 Bwaise-Kawempe'!F37,'26.07 Bwaise-Kawempe-24h'!F37,'27.07 Bwaise-Kawempe-24h'!F37,'28.07 Bwaise-Kawempe'!F37)</f>
        <v>35.857142857142854</v>
      </c>
      <c r="G37" s="49">
        <f>AVERAGE('22.07 Bwaise-Kawempe'!G37,'23.07 Bwaise-Kawempe'!G37,'24.07 Bwaise-Kawempe'!G37,'25.07 Bwaise-Kawempe'!G37,'26.07 Bwaise-Kawempe-24h'!G37,'27.07 Bwaise-Kawempe-24h'!G37,'28.07 Bwaise-Kawempe'!G37)</f>
        <v>1.2857142857142858</v>
      </c>
      <c r="H37" s="49">
        <f>AVERAGE('22.07 Bwaise-Kawempe'!H37,'23.07 Bwaise-Kawempe'!H37,'24.07 Bwaise-Kawempe'!H37,'25.07 Bwaise-Kawempe'!H37,'26.07 Bwaise-Kawempe-24h'!H37,'27.07 Bwaise-Kawempe-24h'!H37,'28.07 Bwaise-Kawempe'!H37)</f>
        <v>1</v>
      </c>
      <c r="I37" s="49">
        <f>AVERAGE('22.07 Bwaise-Kawempe'!I37,'23.07 Bwaise-Kawempe'!I37,'24.07 Bwaise-Kawempe'!I37,'25.07 Bwaise-Kawempe'!I37,'26.07 Bwaise-Kawempe-24h'!I37,'27.07 Bwaise-Kawempe-24h'!I37,'28.07 Bwaise-Kawempe'!I37)</f>
        <v>8.4285714285714288</v>
      </c>
      <c r="J37" s="49">
        <f>AVERAGE('22.07 Bwaise-Kawempe'!J37,'23.07 Bwaise-Kawempe'!J37,'24.07 Bwaise-Kawempe'!J37,'25.07 Bwaise-Kawempe'!J37,'26.07 Bwaise-Kawempe-24h'!J37,'27.07 Bwaise-Kawempe-24h'!J37,'28.07 Bwaise-Kawempe'!J37)</f>
        <v>4.4285714285714288</v>
      </c>
      <c r="K37" s="49">
        <f>AVERAGE('22.07 Bwaise-Kawempe'!K37,'23.07 Bwaise-Kawempe'!K37,'24.07 Bwaise-Kawempe'!K37,'25.07 Bwaise-Kawempe'!K37,'26.07 Bwaise-Kawempe-24h'!K37,'27.07 Bwaise-Kawempe-24h'!K37,'28.07 Bwaise-Kawempe'!K37)</f>
        <v>2.2857142857142856</v>
      </c>
      <c r="L37" s="49">
        <f>AVERAGE('22.07 Bwaise-Kawempe'!L37,'23.07 Bwaise-Kawempe'!L37,'24.07 Bwaise-Kawempe'!L37,'25.07 Bwaise-Kawempe'!L37,'26.07 Bwaise-Kawempe-24h'!L37,'27.07 Bwaise-Kawempe-24h'!L37,'28.07 Bwaise-Kawempe'!L37)</f>
        <v>2.7142857142857144</v>
      </c>
      <c r="M37" s="49">
        <f>AVERAGE('22.07 Bwaise-Kawempe'!M37,'23.07 Bwaise-Kawempe'!M37,'24.07 Bwaise-Kawempe'!M37,'25.07 Bwaise-Kawempe'!M37,'26.07 Bwaise-Kawempe-24h'!M37,'27.07 Bwaise-Kawempe-24h'!M37,'28.07 Bwaise-Kawempe'!M37)</f>
        <v>77.428571428571431</v>
      </c>
      <c r="N37" s="49">
        <f>AVERAGE('22.07 Bwaise-Kawempe'!N37,'23.07 Bwaise-Kawempe'!N37,'24.07 Bwaise-Kawempe'!N37,'25.07 Bwaise-Kawempe'!N37,'26.07 Bwaise-Kawempe-24h'!N37,'27.07 Bwaise-Kawempe-24h'!N37,'28.07 Bwaise-Kawempe'!N37)</f>
        <v>0</v>
      </c>
      <c r="O37" s="15">
        <f t="shared" si="0"/>
        <v>107.14285714285715</v>
      </c>
      <c r="P37" s="15">
        <f t="shared" si="1"/>
        <v>184.57142857142858</v>
      </c>
      <c r="R37" s="37" t="s">
        <v>85</v>
      </c>
      <c r="S37" s="35">
        <f t="shared" ref="S37:AF37" si="29">SUM(S10:S12)</f>
        <v>304.28571428571428</v>
      </c>
      <c r="T37" s="16">
        <f t="shared" si="29"/>
        <v>53.142857142857139</v>
      </c>
      <c r="U37" s="16">
        <f t="shared" si="29"/>
        <v>63.571428571428569</v>
      </c>
      <c r="V37" s="16">
        <f t="shared" si="29"/>
        <v>450.57142857142856</v>
      </c>
      <c r="W37" s="16">
        <f t="shared" si="29"/>
        <v>38.857142857142854</v>
      </c>
      <c r="X37" s="16">
        <f t="shared" si="29"/>
        <v>11.285714285714285</v>
      </c>
      <c r="Y37" s="16">
        <f t="shared" si="29"/>
        <v>80.571428571428569</v>
      </c>
      <c r="Z37" s="16">
        <f t="shared" si="29"/>
        <v>26.857142857142858</v>
      </c>
      <c r="AA37" s="16">
        <f t="shared" si="29"/>
        <v>13.714285714285715</v>
      </c>
      <c r="AB37" s="16">
        <f t="shared" si="29"/>
        <v>18.857142857142854</v>
      </c>
      <c r="AC37" s="16">
        <f t="shared" si="29"/>
        <v>1762.0000000000002</v>
      </c>
      <c r="AD37" s="16">
        <f t="shared" si="29"/>
        <v>0.42857142857142855</v>
      </c>
      <c r="AE37" s="32">
        <f t="shared" si="29"/>
        <v>1062.1428571428571</v>
      </c>
      <c r="AF37" s="32">
        <f t="shared" si="29"/>
        <v>2824.1428571428573</v>
      </c>
    </row>
    <row r="38" spans="2:32" ht="23.1" customHeight="1" x14ac:dyDescent="0.25">
      <c r="B38" s="24" t="s">
        <v>65</v>
      </c>
      <c r="C38" s="49">
        <f>AVERAGE('22.07 Bwaise-Kawempe'!C38,'23.07 Bwaise-Kawempe'!C38,'24.07 Bwaise-Kawempe'!C38,'25.07 Bwaise-Kawempe'!C38,'26.07 Bwaise-Kawempe-24h'!C38,'27.07 Bwaise-Kawempe-24h'!C38,'28.07 Bwaise-Kawempe'!C38)</f>
        <v>36.714285714285715</v>
      </c>
      <c r="D38" s="49">
        <f>AVERAGE('22.07 Bwaise-Kawempe'!D38,'23.07 Bwaise-Kawempe'!D38,'24.07 Bwaise-Kawempe'!D38,'25.07 Bwaise-Kawempe'!D38,'26.07 Bwaise-Kawempe-24h'!D38,'27.07 Bwaise-Kawempe-24h'!D38,'28.07 Bwaise-Kawempe'!D38)</f>
        <v>6.2857142857142856</v>
      </c>
      <c r="E38" s="49">
        <f>AVERAGE('22.07 Bwaise-Kawempe'!E38,'23.07 Bwaise-Kawempe'!E38,'24.07 Bwaise-Kawempe'!E38,'25.07 Bwaise-Kawempe'!E38,'26.07 Bwaise-Kawempe-24h'!E38,'27.07 Bwaise-Kawempe-24h'!E38,'28.07 Bwaise-Kawempe'!E38)</f>
        <v>6.4285714285714288</v>
      </c>
      <c r="F38" s="49">
        <f>AVERAGE('22.07 Bwaise-Kawempe'!F38,'23.07 Bwaise-Kawempe'!F38,'24.07 Bwaise-Kawempe'!F38,'25.07 Bwaise-Kawempe'!F38,'26.07 Bwaise-Kawempe-24h'!F38,'27.07 Bwaise-Kawempe-24h'!F38,'28.07 Bwaise-Kawempe'!F38)</f>
        <v>32</v>
      </c>
      <c r="G38" s="49">
        <f>AVERAGE('22.07 Bwaise-Kawempe'!G38,'23.07 Bwaise-Kawempe'!G38,'24.07 Bwaise-Kawempe'!G38,'25.07 Bwaise-Kawempe'!G38,'26.07 Bwaise-Kawempe-24h'!G38,'27.07 Bwaise-Kawempe-24h'!G38,'28.07 Bwaise-Kawempe'!G38)</f>
        <v>1.7142857142857142</v>
      </c>
      <c r="H38" s="49">
        <f>AVERAGE('22.07 Bwaise-Kawempe'!H38,'23.07 Bwaise-Kawempe'!H38,'24.07 Bwaise-Kawempe'!H38,'25.07 Bwaise-Kawempe'!H38,'26.07 Bwaise-Kawempe-24h'!H38,'27.07 Bwaise-Kawempe-24h'!H38,'28.07 Bwaise-Kawempe'!H38)</f>
        <v>0.42857142857142855</v>
      </c>
      <c r="I38" s="49">
        <f>AVERAGE('22.07 Bwaise-Kawempe'!I38,'23.07 Bwaise-Kawempe'!I38,'24.07 Bwaise-Kawempe'!I38,'25.07 Bwaise-Kawempe'!I38,'26.07 Bwaise-Kawempe-24h'!I38,'27.07 Bwaise-Kawempe-24h'!I38,'28.07 Bwaise-Kawempe'!I38)</f>
        <v>12.714285714285714</v>
      </c>
      <c r="J38" s="49">
        <f>AVERAGE('22.07 Bwaise-Kawempe'!J38,'23.07 Bwaise-Kawempe'!J38,'24.07 Bwaise-Kawempe'!J38,'25.07 Bwaise-Kawempe'!J38,'26.07 Bwaise-Kawempe-24h'!J38,'27.07 Bwaise-Kawempe-24h'!J38,'28.07 Bwaise-Kawempe'!J38)</f>
        <v>2</v>
      </c>
      <c r="K38" s="49">
        <f>AVERAGE('22.07 Bwaise-Kawempe'!K38,'23.07 Bwaise-Kawempe'!K38,'24.07 Bwaise-Kawempe'!K38,'25.07 Bwaise-Kawempe'!K38,'26.07 Bwaise-Kawempe-24h'!K38,'27.07 Bwaise-Kawempe-24h'!K38,'28.07 Bwaise-Kawempe'!K38)</f>
        <v>0.8571428571428571</v>
      </c>
      <c r="L38" s="49">
        <f>AVERAGE('22.07 Bwaise-Kawempe'!L38,'23.07 Bwaise-Kawempe'!L38,'24.07 Bwaise-Kawempe'!L38,'25.07 Bwaise-Kawempe'!L38,'26.07 Bwaise-Kawempe-24h'!L38,'27.07 Bwaise-Kawempe-24h'!L38,'28.07 Bwaise-Kawempe'!L38)</f>
        <v>2.2857142857142856</v>
      </c>
      <c r="M38" s="49">
        <f>AVERAGE('22.07 Bwaise-Kawempe'!M38,'23.07 Bwaise-Kawempe'!M38,'24.07 Bwaise-Kawempe'!M38,'25.07 Bwaise-Kawempe'!M38,'26.07 Bwaise-Kawempe-24h'!M38,'27.07 Bwaise-Kawempe-24h'!M38,'28.07 Bwaise-Kawempe'!M38)</f>
        <v>86.142857142857139</v>
      </c>
      <c r="N38" s="49">
        <f>AVERAGE('22.07 Bwaise-Kawempe'!N38,'23.07 Bwaise-Kawempe'!N38,'24.07 Bwaise-Kawempe'!N38,'25.07 Bwaise-Kawempe'!N38,'26.07 Bwaise-Kawempe-24h'!N38,'27.07 Bwaise-Kawempe-24h'!N38,'28.07 Bwaise-Kawempe'!N38)</f>
        <v>0</v>
      </c>
      <c r="O38" s="15">
        <f t="shared" si="0"/>
        <v>101.42857142857143</v>
      </c>
      <c r="P38" s="15">
        <f t="shared" si="1"/>
        <v>187.57142857142856</v>
      </c>
      <c r="R38" s="28" t="s">
        <v>86</v>
      </c>
      <c r="S38" s="16">
        <f t="shared" ref="S38:AF38" si="30">SUM(S13:S18)</f>
        <v>841.85714285714289</v>
      </c>
      <c r="T38" s="16">
        <f t="shared" si="30"/>
        <v>148.42857142857144</v>
      </c>
      <c r="U38" s="16">
        <f t="shared" si="30"/>
        <v>146.14285714285714</v>
      </c>
      <c r="V38" s="16">
        <f t="shared" si="30"/>
        <v>851.28571428571422</v>
      </c>
      <c r="W38" s="16">
        <f t="shared" si="30"/>
        <v>29.571428571428569</v>
      </c>
      <c r="X38" s="16">
        <f t="shared" si="30"/>
        <v>15.571428571428571</v>
      </c>
      <c r="Y38" s="16">
        <f t="shared" si="30"/>
        <v>274.14285714285717</v>
      </c>
      <c r="Z38" s="16">
        <f t="shared" si="30"/>
        <v>77.714285714285722</v>
      </c>
      <c r="AA38" s="16">
        <f t="shared" si="30"/>
        <v>37.285714285714285</v>
      </c>
      <c r="AB38" s="16">
        <f t="shared" si="30"/>
        <v>71</v>
      </c>
      <c r="AC38" s="16">
        <f t="shared" si="30"/>
        <v>2725.1428571428573</v>
      </c>
      <c r="AD38" s="16">
        <f t="shared" si="30"/>
        <v>0</v>
      </c>
      <c r="AE38" s="32">
        <f t="shared" si="30"/>
        <v>2493</v>
      </c>
      <c r="AF38" s="32">
        <f t="shared" si="30"/>
        <v>5218.1428571428569</v>
      </c>
    </row>
    <row r="39" spans="2:32" ht="23.1" customHeight="1" x14ac:dyDescent="0.25">
      <c r="B39" s="24" t="s">
        <v>66</v>
      </c>
      <c r="C39" s="49">
        <f>AVERAGE('22.07 Bwaise-Kawempe'!C39,'23.07 Bwaise-Kawempe'!C39,'24.07 Bwaise-Kawempe'!C39,'25.07 Bwaise-Kawempe'!C39,'26.07 Bwaise-Kawempe-24h'!C39,'27.07 Bwaise-Kawempe-24h'!C39,'28.07 Bwaise-Kawempe'!C39)</f>
        <v>27.857142857142858</v>
      </c>
      <c r="D39" s="49">
        <f>AVERAGE('22.07 Bwaise-Kawempe'!D39,'23.07 Bwaise-Kawempe'!D39,'24.07 Bwaise-Kawempe'!D39,'25.07 Bwaise-Kawempe'!D39,'26.07 Bwaise-Kawempe-24h'!D39,'27.07 Bwaise-Kawempe-24h'!D39,'28.07 Bwaise-Kawempe'!D39)</f>
        <v>6</v>
      </c>
      <c r="E39" s="49">
        <f>AVERAGE('22.07 Bwaise-Kawempe'!E39,'23.07 Bwaise-Kawempe'!E39,'24.07 Bwaise-Kawempe'!E39,'25.07 Bwaise-Kawempe'!E39,'26.07 Bwaise-Kawempe-24h'!E39,'27.07 Bwaise-Kawempe-24h'!E39,'28.07 Bwaise-Kawempe'!E39)</f>
        <v>5</v>
      </c>
      <c r="F39" s="49">
        <f>AVERAGE('22.07 Bwaise-Kawempe'!F39,'23.07 Bwaise-Kawempe'!F39,'24.07 Bwaise-Kawempe'!F39,'25.07 Bwaise-Kawempe'!F39,'26.07 Bwaise-Kawempe-24h'!F39,'27.07 Bwaise-Kawempe-24h'!F39,'28.07 Bwaise-Kawempe'!F39)</f>
        <v>32.285714285714285</v>
      </c>
      <c r="G39" s="49">
        <f>AVERAGE('22.07 Bwaise-Kawempe'!G39,'23.07 Bwaise-Kawempe'!G39,'24.07 Bwaise-Kawempe'!G39,'25.07 Bwaise-Kawempe'!G39,'26.07 Bwaise-Kawempe-24h'!G39,'27.07 Bwaise-Kawempe-24h'!G39,'28.07 Bwaise-Kawempe'!G39)</f>
        <v>0.42857142857142855</v>
      </c>
      <c r="H39" s="49">
        <f>AVERAGE('22.07 Bwaise-Kawempe'!H39,'23.07 Bwaise-Kawempe'!H39,'24.07 Bwaise-Kawempe'!H39,'25.07 Bwaise-Kawempe'!H39,'26.07 Bwaise-Kawempe-24h'!H39,'27.07 Bwaise-Kawempe-24h'!H39,'28.07 Bwaise-Kawempe'!H39)</f>
        <v>0.14285714285714285</v>
      </c>
      <c r="I39" s="49">
        <f>AVERAGE('22.07 Bwaise-Kawempe'!I39,'23.07 Bwaise-Kawempe'!I39,'24.07 Bwaise-Kawempe'!I39,'25.07 Bwaise-Kawempe'!I39,'26.07 Bwaise-Kawempe-24h'!I39,'27.07 Bwaise-Kawempe-24h'!I39,'28.07 Bwaise-Kawempe'!I39)</f>
        <v>11.285714285714286</v>
      </c>
      <c r="J39" s="49">
        <f>AVERAGE('22.07 Bwaise-Kawempe'!J39,'23.07 Bwaise-Kawempe'!J39,'24.07 Bwaise-Kawempe'!J39,'25.07 Bwaise-Kawempe'!J39,'26.07 Bwaise-Kawempe-24h'!J39,'27.07 Bwaise-Kawempe-24h'!J39,'28.07 Bwaise-Kawempe'!J39)</f>
        <v>6</v>
      </c>
      <c r="K39" s="49">
        <f>AVERAGE('22.07 Bwaise-Kawempe'!K39,'23.07 Bwaise-Kawempe'!K39,'24.07 Bwaise-Kawempe'!K39,'25.07 Bwaise-Kawempe'!K39,'26.07 Bwaise-Kawempe-24h'!K39,'27.07 Bwaise-Kawempe-24h'!K39,'28.07 Bwaise-Kawempe'!K39)</f>
        <v>2</v>
      </c>
      <c r="L39" s="49">
        <f>AVERAGE('22.07 Bwaise-Kawempe'!L39,'23.07 Bwaise-Kawempe'!L39,'24.07 Bwaise-Kawempe'!L39,'25.07 Bwaise-Kawempe'!L39,'26.07 Bwaise-Kawempe-24h'!L39,'27.07 Bwaise-Kawempe-24h'!L39,'28.07 Bwaise-Kawempe'!L39)</f>
        <v>2.2857142857142856</v>
      </c>
      <c r="M39" s="49">
        <f>AVERAGE('22.07 Bwaise-Kawempe'!M39,'23.07 Bwaise-Kawempe'!M39,'24.07 Bwaise-Kawempe'!M39,'25.07 Bwaise-Kawempe'!M39,'26.07 Bwaise-Kawempe-24h'!M39,'27.07 Bwaise-Kawempe-24h'!M39,'28.07 Bwaise-Kawempe'!M39)</f>
        <v>85.428571428571431</v>
      </c>
      <c r="N39" s="49">
        <f>AVERAGE('22.07 Bwaise-Kawempe'!N39,'23.07 Bwaise-Kawempe'!N39,'24.07 Bwaise-Kawempe'!N39,'25.07 Bwaise-Kawempe'!N39,'26.07 Bwaise-Kawempe-24h'!N39,'27.07 Bwaise-Kawempe-24h'!N39,'28.07 Bwaise-Kawempe'!N39)</f>
        <v>0</v>
      </c>
      <c r="O39" s="15">
        <f t="shared" si="0"/>
        <v>93.285714285714292</v>
      </c>
      <c r="P39" s="15">
        <f t="shared" si="1"/>
        <v>178.71428571428572</v>
      </c>
      <c r="R39" s="29" t="s">
        <v>87</v>
      </c>
      <c r="S39" s="16">
        <f t="shared" ref="S39:AF39" si="31">SUM(S19:S21)</f>
        <v>512.71428571428578</v>
      </c>
      <c r="T39" s="16">
        <f t="shared" si="31"/>
        <v>65.857142857142861</v>
      </c>
      <c r="U39" s="16">
        <f t="shared" si="31"/>
        <v>54.857142857142861</v>
      </c>
      <c r="V39" s="16">
        <f t="shared" si="31"/>
        <v>416.71428571428572</v>
      </c>
      <c r="W39" s="16">
        <f t="shared" si="31"/>
        <v>18.142857142857142</v>
      </c>
      <c r="X39" s="16">
        <f t="shared" si="31"/>
        <v>5.5714285714285712</v>
      </c>
      <c r="Y39" s="16">
        <f t="shared" si="31"/>
        <v>125.85714285714285</v>
      </c>
      <c r="Z39" s="16">
        <f t="shared" si="31"/>
        <v>37</v>
      </c>
      <c r="AA39" s="16">
        <f t="shared" si="31"/>
        <v>21.857142857142858</v>
      </c>
      <c r="AB39" s="16">
        <f t="shared" si="31"/>
        <v>37.571428571428569</v>
      </c>
      <c r="AC39" s="16">
        <f t="shared" si="31"/>
        <v>1651.7142857142858</v>
      </c>
      <c r="AD39" s="16">
        <f t="shared" si="31"/>
        <v>0</v>
      </c>
      <c r="AE39" s="32">
        <f t="shared" si="31"/>
        <v>1296.1428571428571</v>
      </c>
      <c r="AF39" s="32">
        <f t="shared" si="31"/>
        <v>2947.8571428571427</v>
      </c>
    </row>
    <row r="40" spans="2:32" ht="23.1" customHeight="1" x14ac:dyDescent="0.25">
      <c r="B40" s="24" t="s">
        <v>67</v>
      </c>
      <c r="C40" s="49">
        <f>AVERAGE('22.07 Bwaise-Kawempe'!C40,'23.07 Bwaise-Kawempe'!C40,'24.07 Bwaise-Kawempe'!C40,'25.07 Bwaise-Kawempe'!C40,'26.07 Bwaise-Kawempe-24h'!C40,'27.07 Bwaise-Kawempe-24h'!C40,'28.07 Bwaise-Kawempe'!C40)</f>
        <v>32</v>
      </c>
      <c r="D40" s="49">
        <f>AVERAGE('22.07 Bwaise-Kawempe'!D40,'23.07 Bwaise-Kawempe'!D40,'24.07 Bwaise-Kawempe'!D40,'25.07 Bwaise-Kawempe'!D40,'26.07 Bwaise-Kawempe-24h'!D40,'27.07 Bwaise-Kawempe-24h'!D40,'28.07 Bwaise-Kawempe'!D40)</f>
        <v>6.8571428571428568</v>
      </c>
      <c r="E40" s="49">
        <f>AVERAGE('22.07 Bwaise-Kawempe'!E40,'23.07 Bwaise-Kawempe'!E40,'24.07 Bwaise-Kawempe'!E40,'25.07 Bwaise-Kawempe'!E40,'26.07 Bwaise-Kawempe-24h'!E40,'27.07 Bwaise-Kawempe-24h'!E40,'28.07 Bwaise-Kawempe'!E40)</f>
        <v>6.7142857142857144</v>
      </c>
      <c r="F40" s="49">
        <f>AVERAGE('22.07 Bwaise-Kawempe'!F40,'23.07 Bwaise-Kawempe'!F40,'24.07 Bwaise-Kawempe'!F40,'25.07 Bwaise-Kawempe'!F40,'26.07 Bwaise-Kawempe-24h'!F40,'27.07 Bwaise-Kawempe-24h'!F40,'28.07 Bwaise-Kawempe'!F40)</f>
        <v>33.285714285714285</v>
      </c>
      <c r="G40" s="49">
        <f>AVERAGE('22.07 Bwaise-Kawempe'!G40,'23.07 Bwaise-Kawempe'!G40,'24.07 Bwaise-Kawempe'!G40,'25.07 Bwaise-Kawempe'!G40,'26.07 Bwaise-Kawempe-24h'!G40,'27.07 Bwaise-Kawempe-24h'!G40,'28.07 Bwaise-Kawempe'!G40)</f>
        <v>1.4285714285714286</v>
      </c>
      <c r="H40" s="49">
        <f>AVERAGE('22.07 Bwaise-Kawempe'!H40,'23.07 Bwaise-Kawempe'!H40,'24.07 Bwaise-Kawempe'!H40,'25.07 Bwaise-Kawempe'!H40,'26.07 Bwaise-Kawempe-24h'!H40,'27.07 Bwaise-Kawempe-24h'!H40,'28.07 Bwaise-Kawempe'!H40)</f>
        <v>0.42857142857142855</v>
      </c>
      <c r="I40" s="49">
        <f>AVERAGE('22.07 Bwaise-Kawempe'!I40,'23.07 Bwaise-Kawempe'!I40,'24.07 Bwaise-Kawempe'!I40,'25.07 Bwaise-Kawempe'!I40,'26.07 Bwaise-Kawempe-24h'!I40,'27.07 Bwaise-Kawempe-24h'!I40,'28.07 Bwaise-Kawempe'!I40)</f>
        <v>11.714285714285714</v>
      </c>
      <c r="J40" s="49">
        <f>AVERAGE('22.07 Bwaise-Kawempe'!J40,'23.07 Bwaise-Kawempe'!J40,'24.07 Bwaise-Kawempe'!J40,'25.07 Bwaise-Kawempe'!J40,'26.07 Bwaise-Kawempe-24h'!J40,'27.07 Bwaise-Kawempe-24h'!J40,'28.07 Bwaise-Kawempe'!J40)</f>
        <v>3</v>
      </c>
      <c r="K40" s="49">
        <f>AVERAGE('22.07 Bwaise-Kawempe'!K40,'23.07 Bwaise-Kawempe'!K40,'24.07 Bwaise-Kawempe'!K40,'25.07 Bwaise-Kawempe'!K40,'26.07 Bwaise-Kawempe-24h'!K40,'27.07 Bwaise-Kawempe-24h'!K40,'28.07 Bwaise-Kawempe'!K40)</f>
        <v>1.8571428571428572</v>
      </c>
      <c r="L40" s="49">
        <f>AVERAGE('22.07 Bwaise-Kawempe'!L40,'23.07 Bwaise-Kawempe'!L40,'24.07 Bwaise-Kawempe'!L40,'25.07 Bwaise-Kawempe'!L40,'26.07 Bwaise-Kawempe-24h'!L40,'27.07 Bwaise-Kawempe-24h'!L40,'28.07 Bwaise-Kawempe'!L40)</f>
        <v>4.2857142857142856</v>
      </c>
      <c r="M40" s="49">
        <f>AVERAGE('22.07 Bwaise-Kawempe'!M40,'23.07 Bwaise-Kawempe'!M40,'24.07 Bwaise-Kawempe'!M40,'25.07 Bwaise-Kawempe'!M40,'26.07 Bwaise-Kawempe-24h'!M40,'27.07 Bwaise-Kawempe-24h'!M40,'28.07 Bwaise-Kawempe'!M40)</f>
        <v>91.571428571428569</v>
      </c>
      <c r="N40" s="49">
        <f>AVERAGE('22.07 Bwaise-Kawempe'!N40,'23.07 Bwaise-Kawempe'!N40,'24.07 Bwaise-Kawempe'!N40,'25.07 Bwaise-Kawempe'!N40,'26.07 Bwaise-Kawempe-24h'!N40,'27.07 Bwaise-Kawempe-24h'!N40,'28.07 Bwaise-Kawempe'!N40)</f>
        <v>0</v>
      </c>
      <c r="O40" s="15">
        <f t="shared" si="0"/>
        <v>101.57142857142858</v>
      </c>
      <c r="P40" s="15">
        <f t="shared" si="1"/>
        <v>193.14285714285717</v>
      </c>
      <c r="R40" s="5" t="s">
        <v>17</v>
      </c>
      <c r="S40" s="16">
        <f t="shared" ref="S40:AF40" si="32">SUM(S10:S21)</f>
        <v>1658.8571428571429</v>
      </c>
      <c r="T40" s="16">
        <f t="shared" si="32"/>
        <v>267.42857142857144</v>
      </c>
      <c r="U40" s="16">
        <f t="shared" si="32"/>
        <v>264.57142857142856</v>
      </c>
      <c r="V40" s="16">
        <f t="shared" si="32"/>
        <v>1718.5714285714289</v>
      </c>
      <c r="W40" s="16">
        <f t="shared" si="32"/>
        <v>86.571428571428584</v>
      </c>
      <c r="X40" s="16">
        <f t="shared" si="32"/>
        <v>32.428571428571423</v>
      </c>
      <c r="Y40" s="16">
        <f t="shared" si="32"/>
        <v>480.57142857142861</v>
      </c>
      <c r="Z40" s="16">
        <f t="shared" si="32"/>
        <v>141.57142857142858</v>
      </c>
      <c r="AA40" s="16">
        <f t="shared" si="32"/>
        <v>72.857142857142847</v>
      </c>
      <c r="AB40" s="16">
        <f t="shared" si="32"/>
        <v>127.42857142857142</v>
      </c>
      <c r="AC40" s="16">
        <f t="shared" si="32"/>
        <v>6138.8571428571431</v>
      </c>
      <c r="AD40" s="16">
        <f t="shared" si="32"/>
        <v>0.42857142857142855</v>
      </c>
      <c r="AE40" s="32">
        <f t="shared" si="32"/>
        <v>4851.2857142857138</v>
      </c>
      <c r="AF40" s="32">
        <f t="shared" si="32"/>
        <v>10990.142857142859</v>
      </c>
    </row>
    <row r="41" spans="2:32" ht="23.1" customHeight="1" x14ac:dyDescent="0.25">
      <c r="B41" s="23" t="s">
        <v>68</v>
      </c>
      <c r="C41" s="49">
        <f>AVERAGE('22.07 Bwaise-Kawempe'!C41,'23.07 Bwaise-Kawempe'!C41,'24.07 Bwaise-Kawempe'!C41,'25.07 Bwaise-Kawempe'!C41,'26.07 Bwaise-Kawempe-24h'!C41,'27.07 Bwaise-Kawempe-24h'!C41,'28.07 Bwaise-Kawempe'!C41)</f>
        <v>35.571428571428569</v>
      </c>
      <c r="D41" s="49">
        <f>AVERAGE('22.07 Bwaise-Kawempe'!D41,'23.07 Bwaise-Kawempe'!D41,'24.07 Bwaise-Kawempe'!D41,'25.07 Bwaise-Kawempe'!D41,'26.07 Bwaise-Kawempe-24h'!D41,'27.07 Bwaise-Kawempe-24h'!D41,'28.07 Bwaise-Kawempe'!D41)</f>
        <v>4.8571428571428568</v>
      </c>
      <c r="E41" s="49">
        <f>AVERAGE('22.07 Bwaise-Kawempe'!E41,'23.07 Bwaise-Kawempe'!E41,'24.07 Bwaise-Kawempe'!E41,'25.07 Bwaise-Kawempe'!E41,'26.07 Bwaise-Kawempe-24h'!E41,'27.07 Bwaise-Kawempe-24h'!E41,'28.07 Bwaise-Kawempe'!E41)</f>
        <v>5.7142857142857144</v>
      </c>
      <c r="F41" s="49">
        <f>AVERAGE('22.07 Bwaise-Kawempe'!F41,'23.07 Bwaise-Kawempe'!F41,'24.07 Bwaise-Kawempe'!F41,'25.07 Bwaise-Kawempe'!F41,'26.07 Bwaise-Kawempe-24h'!F41,'27.07 Bwaise-Kawempe-24h'!F41,'28.07 Bwaise-Kawempe'!F41)</f>
        <v>33.142857142857146</v>
      </c>
      <c r="G41" s="49">
        <f>AVERAGE('22.07 Bwaise-Kawempe'!G41,'23.07 Bwaise-Kawempe'!G41,'24.07 Bwaise-Kawempe'!G41,'25.07 Bwaise-Kawempe'!G41,'26.07 Bwaise-Kawempe-24h'!G41,'27.07 Bwaise-Kawempe-24h'!G41,'28.07 Bwaise-Kawempe'!G41)</f>
        <v>1.2857142857142858</v>
      </c>
      <c r="H41" s="49">
        <f>AVERAGE('22.07 Bwaise-Kawempe'!H41,'23.07 Bwaise-Kawempe'!H41,'24.07 Bwaise-Kawempe'!H41,'25.07 Bwaise-Kawempe'!H41,'26.07 Bwaise-Kawempe-24h'!H41,'27.07 Bwaise-Kawempe-24h'!H41,'28.07 Bwaise-Kawempe'!H41)</f>
        <v>1.2857142857142858</v>
      </c>
      <c r="I41" s="49">
        <f>AVERAGE('22.07 Bwaise-Kawempe'!I41,'23.07 Bwaise-Kawempe'!I41,'24.07 Bwaise-Kawempe'!I41,'25.07 Bwaise-Kawempe'!I41,'26.07 Bwaise-Kawempe-24h'!I41,'27.07 Bwaise-Kawempe-24h'!I41,'28.07 Bwaise-Kawempe'!I41)</f>
        <v>10.428571428571429</v>
      </c>
      <c r="J41" s="49">
        <f>AVERAGE('22.07 Bwaise-Kawempe'!J41,'23.07 Bwaise-Kawempe'!J41,'24.07 Bwaise-Kawempe'!J41,'25.07 Bwaise-Kawempe'!J41,'26.07 Bwaise-Kawempe-24h'!J41,'27.07 Bwaise-Kawempe-24h'!J41,'28.07 Bwaise-Kawempe'!J41)</f>
        <v>2.4285714285714284</v>
      </c>
      <c r="K41" s="49">
        <f>AVERAGE('22.07 Bwaise-Kawempe'!K41,'23.07 Bwaise-Kawempe'!K41,'24.07 Bwaise-Kawempe'!K41,'25.07 Bwaise-Kawempe'!K41,'26.07 Bwaise-Kawempe-24h'!K41,'27.07 Bwaise-Kawempe-24h'!K41,'28.07 Bwaise-Kawempe'!K41)</f>
        <v>1.8571428571428572</v>
      </c>
      <c r="L41" s="49">
        <f>AVERAGE('22.07 Bwaise-Kawempe'!L41,'23.07 Bwaise-Kawempe'!L41,'24.07 Bwaise-Kawempe'!L41,'25.07 Bwaise-Kawempe'!L41,'26.07 Bwaise-Kawempe-24h'!L41,'27.07 Bwaise-Kawempe-24h'!L41,'28.07 Bwaise-Kawempe'!L41)</f>
        <v>3.2857142857142856</v>
      </c>
      <c r="M41" s="49">
        <f>AVERAGE('22.07 Bwaise-Kawempe'!M41,'23.07 Bwaise-Kawempe'!M41,'24.07 Bwaise-Kawempe'!M41,'25.07 Bwaise-Kawempe'!M41,'26.07 Bwaise-Kawempe-24h'!M41,'27.07 Bwaise-Kawempe-24h'!M41,'28.07 Bwaise-Kawempe'!M41)</f>
        <v>96</v>
      </c>
      <c r="N41" s="49">
        <f>AVERAGE('22.07 Bwaise-Kawempe'!N41,'23.07 Bwaise-Kawempe'!N41,'24.07 Bwaise-Kawempe'!N41,'25.07 Bwaise-Kawempe'!N41,'26.07 Bwaise-Kawempe-24h'!N41,'27.07 Bwaise-Kawempe-24h'!N41,'28.07 Bwaise-Kawempe'!N41)</f>
        <v>0</v>
      </c>
      <c r="O41" s="15">
        <f t="shared" si="0"/>
        <v>99.857142857142875</v>
      </c>
      <c r="P41" s="15">
        <f t="shared" si="1"/>
        <v>195.85714285714289</v>
      </c>
      <c r="R41" s="5" t="s">
        <v>186</v>
      </c>
      <c r="S41" s="16">
        <f>SUM(S10:S33)</f>
        <v>2728.8571428571431</v>
      </c>
      <c r="T41" s="16">
        <f t="shared" ref="T41:AD41" si="33">SUM(T10:T33)</f>
        <v>328.92857142857144</v>
      </c>
      <c r="U41" s="16">
        <f t="shared" si="33"/>
        <v>345.57142857142856</v>
      </c>
      <c r="V41" s="16">
        <f t="shared" si="33"/>
        <v>2355.0714285714289</v>
      </c>
      <c r="W41" s="16">
        <f t="shared" si="33"/>
        <v>124.07142857142858</v>
      </c>
      <c r="X41" s="16">
        <f t="shared" si="33"/>
        <v>56.928571428571423</v>
      </c>
      <c r="Y41" s="16">
        <f t="shared" si="33"/>
        <v>622.07142857142867</v>
      </c>
      <c r="Z41" s="16">
        <f t="shared" si="33"/>
        <v>275.57142857142856</v>
      </c>
      <c r="AA41" s="16">
        <f t="shared" si="33"/>
        <v>184.35714285714283</v>
      </c>
      <c r="AB41" s="16">
        <f t="shared" si="33"/>
        <v>169.92857142857142</v>
      </c>
      <c r="AC41" s="16">
        <f t="shared" si="33"/>
        <v>9826.8571428571431</v>
      </c>
      <c r="AD41" s="16">
        <f t="shared" si="33"/>
        <v>0.42857142857142855</v>
      </c>
      <c r="AE41" s="32">
        <f>SUM(AE10:AE33)</f>
        <v>7191.7857142857138</v>
      </c>
      <c r="AF41" s="32">
        <f>SUM(AF10:AF33)</f>
        <v>17018.642857142859</v>
      </c>
    </row>
    <row r="42" spans="2:32" ht="23.1" customHeight="1" x14ac:dyDescent="0.25">
      <c r="B42" s="24" t="s">
        <v>69</v>
      </c>
      <c r="C42" s="49">
        <f>AVERAGE('22.07 Bwaise-Kawempe'!C42,'23.07 Bwaise-Kawempe'!C42,'24.07 Bwaise-Kawempe'!C42,'25.07 Bwaise-Kawempe'!C42,'26.07 Bwaise-Kawempe-24h'!C42,'27.07 Bwaise-Kawempe-24h'!C42,'28.07 Bwaise-Kawempe'!C42)</f>
        <v>35.714285714285715</v>
      </c>
      <c r="D42" s="49">
        <f>AVERAGE('22.07 Bwaise-Kawempe'!D42,'23.07 Bwaise-Kawempe'!D42,'24.07 Bwaise-Kawempe'!D42,'25.07 Bwaise-Kawempe'!D42,'26.07 Bwaise-Kawempe-24h'!D42,'27.07 Bwaise-Kawempe-24h'!D42,'28.07 Bwaise-Kawempe'!D42)</f>
        <v>6.2857142857142856</v>
      </c>
      <c r="E42" s="49">
        <f>AVERAGE('22.07 Bwaise-Kawempe'!E42,'23.07 Bwaise-Kawempe'!E42,'24.07 Bwaise-Kawempe'!E42,'25.07 Bwaise-Kawempe'!E42,'26.07 Bwaise-Kawempe-24h'!E42,'27.07 Bwaise-Kawempe-24h'!E42,'28.07 Bwaise-Kawempe'!E42)</f>
        <v>7</v>
      </c>
      <c r="F42" s="49">
        <f>AVERAGE('22.07 Bwaise-Kawempe'!F42,'23.07 Bwaise-Kawempe'!F42,'24.07 Bwaise-Kawempe'!F42,'25.07 Bwaise-Kawempe'!F42,'26.07 Bwaise-Kawempe-24h'!F42,'27.07 Bwaise-Kawempe-24h'!F42,'28.07 Bwaise-Kawempe'!F42)</f>
        <v>33.714285714285715</v>
      </c>
      <c r="G42" s="49">
        <f>AVERAGE('22.07 Bwaise-Kawempe'!G42,'23.07 Bwaise-Kawempe'!G42,'24.07 Bwaise-Kawempe'!G42,'25.07 Bwaise-Kawempe'!G42,'26.07 Bwaise-Kawempe-24h'!G42,'27.07 Bwaise-Kawempe-24h'!G42,'28.07 Bwaise-Kawempe'!G42)</f>
        <v>1</v>
      </c>
      <c r="H42" s="49">
        <f>AVERAGE('22.07 Bwaise-Kawempe'!H42,'23.07 Bwaise-Kawempe'!H42,'24.07 Bwaise-Kawempe'!H42,'25.07 Bwaise-Kawempe'!H42,'26.07 Bwaise-Kawempe-24h'!H42,'27.07 Bwaise-Kawempe-24h'!H42,'28.07 Bwaise-Kawempe'!H42)</f>
        <v>0.14285714285714285</v>
      </c>
      <c r="I42" s="49">
        <f>AVERAGE('22.07 Bwaise-Kawempe'!I42,'23.07 Bwaise-Kawempe'!I42,'24.07 Bwaise-Kawempe'!I42,'25.07 Bwaise-Kawempe'!I42,'26.07 Bwaise-Kawempe-24h'!I42,'27.07 Bwaise-Kawempe-24h'!I42,'28.07 Bwaise-Kawempe'!I42)</f>
        <v>11.857142857142858</v>
      </c>
      <c r="J42" s="49">
        <f>AVERAGE('22.07 Bwaise-Kawempe'!J42,'23.07 Bwaise-Kawempe'!J42,'24.07 Bwaise-Kawempe'!J42,'25.07 Bwaise-Kawempe'!J42,'26.07 Bwaise-Kawempe-24h'!J42,'27.07 Bwaise-Kawempe-24h'!J42,'28.07 Bwaise-Kawempe'!J42)</f>
        <v>3.5714285714285716</v>
      </c>
      <c r="K42" s="49">
        <f>AVERAGE('22.07 Bwaise-Kawempe'!K42,'23.07 Bwaise-Kawempe'!K42,'24.07 Bwaise-Kawempe'!K42,'25.07 Bwaise-Kawempe'!K42,'26.07 Bwaise-Kawempe-24h'!K42,'27.07 Bwaise-Kawempe-24h'!K42,'28.07 Bwaise-Kawempe'!K42)</f>
        <v>1.5714285714285714</v>
      </c>
      <c r="L42" s="49">
        <f>AVERAGE('22.07 Bwaise-Kawempe'!L42,'23.07 Bwaise-Kawempe'!L42,'24.07 Bwaise-Kawempe'!L42,'25.07 Bwaise-Kawempe'!L42,'26.07 Bwaise-Kawempe-24h'!L42,'27.07 Bwaise-Kawempe-24h'!L42,'28.07 Bwaise-Kawempe'!L42)</f>
        <v>3.1428571428571428</v>
      </c>
      <c r="M42" s="49">
        <f>AVERAGE('22.07 Bwaise-Kawempe'!M42,'23.07 Bwaise-Kawempe'!M42,'24.07 Bwaise-Kawempe'!M42,'25.07 Bwaise-Kawempe'!M42,'26.07 Bwaise-Kawempe-24h'!M42,'27.07 Bwaise-Kawempe-24h'!M42,'28.07 Bwaise-Kawempe'!M42)</f>
        <v>97</v>
      </c>
      <c r="N42" s="49">
        <f>AVERAGE('22.07 Bwaise-Kawempe'!N42,'23.07 Bwaise-Kawempe'!N42,'24.07 Bwaise-Kawempe'!N42,'25.07 Bwaise-Kawempe'!N42,'26.07 Bwaise-Kawempe-24h'!N42,'27.07 Bwaise-Kawempe-24h'!N42,'28.07 Bwaise-Kawempe'!N42)</f>
        <v>0</v>
      </c>
      <c r="O42" s="15">
        <f t="shared" si="0"/>
        <v>104</v>
      </c>
      <c r="P42" s="15">
        <f t="shared" si="1"/>
        <v>201</v>
      </c>
      <c r="R42" s="5" t="s">
        <v>160</v>
      </c>
      <c r="S42" s="48">
        <f>S41/S40</f>
        <v>1.6450223906303825</v>
      </c>
      <c r="T42" s="48">
        <f t="shared" ref="T42:AF42" si="34">T41/T40</f>
        <v>1.2299679487179487</v>
      </c>
      <c r="U42" s="48">
        <f t="shared" si="34"/>
        <v>1.3061555075593954</v>
      </c>
      <c r="V42" s="48">
        <f t="shared" si="34"/>
        <v>1.3703657522859518</v>
      </c>
      <c r="W42" s="48">
        <f t="shared" si="34"/>
        <v>1.4331683168316831</v>
      </c>
      <c r="X42" s="48">
        <f t="shared" si="34"/>
        <v>1.7555066079295156</v>
      </c>
      <c r="Y42" s="48">
        <f t="shared" si="34"/>
        <v>1.2944411414982164</v>
      </c>
      <c r="Z42" s="48">
        <f t="shared" si="34"/>
        <v>1.9465186680121087</v>
      </c>
      <c r="AA42" s="48">
        <f t="shared" si="34"/>
        <v>2.530392156862745</v>
      </c>
      <c r="AB42" s="48">
        <f t="shared" si="34"/>
        <v>1.3335201793721974</v>
      </c>
      <c r="AC42" s="48">
        <f t="shared" si="34"/>
        <v>1.6007632877222377</v>
      </c>
      <c r="AD42" s="48">
        <f t="shared" si="34"/>
        <v>1</v>
      </c>
      <c r="AE42" s="51">
        <f t="shared" si="34"/>
        <v>1.4824494243057806</v>
      </c>
      <c r="AF42" s="51">
        <f t="shared" si="34"/>
        <v>1.548537000688929</v>
      </c>
    </row>
    <row r="43" spans="2:32" ht="23.1" customHeight="1" x14ac:dyDescent="0.25">
      <c r="B43" s="23" t="s">
        <v>70</v>
      </c>
      <c r="C43" s="49">
        <f>AVERAGE('22.07 Bwaise-Kawempe'!C43,'23.07 Bwaise-Kawempe'!C43,'24.07 Bwaise-Kawempe'!C43,'25.07 Bwaise-Kawempe'!C43,'26.07 Bwaise-Kawempe-24h'!C43,'27.07 Bwaise-Kawempe-24h'!C43,'28.07 Bwaise-Kawempe'!C43)</f>
        <v>28.714285714285715</v>
      </c>
      <c r="D43" s="49">
        <f>AVERAGE('22.07 Bwaise-Kawempe'!D43,'23.07 Bwaise-Kawempe'!D43,'24.07 Bwaise-Kawempe'!D43,'25.07 Bwaise-Kawempe'!D43,'26.07 Bwaise-Kawempe-24h'!D43,'27.07 Bwaise-Kawempe-24h'!D43,'28.07 Bwaise-Kawempe'!D43)</f>
        <v>5.5714285714285712</v>
      </c>
      <c r="E43" s="49">
        <f>AVERAGE('22.07 Bwaise-Kawempe'!E43,'23.07 Bwaise-Kawempe'!E43,'24.07 Bwaise-Kawempe'!E43,'25.07 Bwaise-Kawempe'!E43,'26.07 Bwaise-Kawempe-24h'!E43,'27.07 Bwaise-Kawempe-24h'!E43,'28.07 Bwaise-Kawempe'!E43)</f>
        <v>5.8571428571428568</v>
      </c>
      <c r="F43" s="49">
        <f>AVERAGE('22.07 Bwaise-Kawempe'!F43,'23.07 Bwaise-Kawempe'!F43,'24.07 Bwaise-Kawempe'!F43,'25.07 Bwaise-Kawempe'!F43,'26.07 Bwaise-Kawempe-24h'!F43,'27.07 Bwaise-Kawempe-24h'!F43,'28.07 Bwaise-Kawempe'!F43)</f>
        <v>28.571428571428573</v>
      </c>
      <c r="G43" s="49">
        <f>AVERAGE('22.07 Bwaise-Kawempe'!G43,'23.07 Bwaise-Kawempe'!G43,'24.07 Bwaise-Kawempe'!G43,'25.07 Bwaise-Kawempe'!G43,'26.07 Bwaise-Kawempe-24h'!G43,'27.07 Bwaise-Kawempe-24h'!G43,'28.07 Bwaise-Kawempe'!G43)</f>
        <v>0.8571428571428571</v>
      </c>
      <c r="H43" s="49">
        <f>AVERAGE('22.07 Bwaise-Kawempe'!H43,'23.07 Bwaise-Kawempe'!H43,'24.07 Bwaise-Kawempe'!H43,'25.07 Bwaise-Kawempe'!H43,'26.07 Bwaise-Kawempe-24h'!H43,'27.07 Bwaise-Kawempe-24h'!H43,'28.07 Bwaise-Kawempe'!H43)</f>
        <v>0.2857142857142857</v>
      </c>
      <c r="I43" s="49">
        <f>AVERAGE('22.07 Bwaise-Kawempe'!I43,'23.07 Bwaise-Kawempe'!I43,'24.07 Bwaise-Kawempe'!I43,'25.07 Bwaise-Kawempe'!I43,'26.07 Bwaise-Kawempe-24h'!I43,'27.07 Bwaise-Kawempe-24h'!I43,'28.07 Bwaise-Kawempe'!I43)</f>
        <v>10.857142857142858</v>
      </c>
      <c r="J43" s="49">
        <f>AVERAGE('22.07 Bwaise-Kawempe'!J43,'23.07 Bwaise-Kawempe'!J43,'24.07 Bwaise-Kawempe'!J43,'25.07 Bwaise-Kawempe'!J43,'26.07 Bwaise-Kawempe-24h'!J43,'27.07 Bwaise-Kawempe-24h'!J43,'28.07 Bwaise-Kawempe'!J43)</f>
        <v>2.8571428571428572</v>
      </c>
      <c r="K43" s="49">
        <f>AVERAGE('22.07 Bwaise-Kawempe'!K43,'23.07 Bwaise-Kawempe'!K43,'24.07 Bwaise-Kawempe'!K43,'25.07 Bwaise-Kawempe'!K43,'26.07 Bwaise-Kawempe-24h'!K43,'27.07 Bwaise-Kawempe-24h'!K43,'28.07 Bwaise-Kawempe'!K43)</f>
        <v>1.4285714285714286</v>
      </c>
      <c r="L43" s="49">
        <f>AVERAGE('22.07 Bwaise-Kawempe'!L43,'23.07 Bwaise-Kawempe'!L43,'24.07 Bwaise-Kawempe'!L43,'25.07 Bwaise-Kawempe'!L43,'26.07 Bwaise-Kawempe-24h'!L43,'27.07 Bwaise-Kawempe-24h'!L43,'28.07 Bwaise-Kawempe'!L43)</f>
        <v>2.5714285714285716</v>
      </c>
      <c r="M43" s="49">
        <f>AVERAGE('22.07 Bwaise-Kawempe'!M43,'23.07 Bwaise-Kawempe'!M43,'24.07 Bwaise-Kawempe'!M43,'25.07 Bwaise-Kawempe'!M43,'26.07 Bwaise-Kawempe-24h'!M43,'27.07 Bwaise-Kawempe-24h'!M43,'28.07 Bwaise-Kawempe'!M43)</f>
        <v>97.571428571428569</v>
      </c>
      <c r="N43" s="49">
        <f>AVERAGE('22.07 Bwaise-Kawempe'!N43,'23.07 Bwaise-Kawempe'!N43,'24.07 Bwaise-Kawempe'!N43,'25.07 Bwaise-Kawempe'!N43,'26.07 Bwaise-Kawempe-24h'!N43,'27.07 Bwaise-Kawempe-24h'!N43,'28.07 Bwaise-Kawempe'!N43)</f>
        <v>0</v>
      </c>
      <c r="O43" s="15">
        <f t="shared" si="0"/>
        <v>87.571428571428584</v>
      </c>
      <c r="P43" s="15">
        <f t="shared" si="1"/>
        <v>185.14285714285717</v>
      </c>
    </row>
    <row r="44" spans="2:32" ht="23.1" customHeight="1" x14ac:dyDescent="0.25">
      <c r="B44" s="25" t="s">
        <v>71</v>
      </c>
      <c r="C44" s="49">
        <f>AVERAGE('22.07 Bwaise-Kawempe'!C44,'23.07 Bwaise-Kawempe'!C44,'24.07 Bwaise-Kawempe'!C44,'25.07 Bwaise-Kawempe'!C44,'26.07 Bwaise-Kawempe-24h'!C44,'27.07 Bwaise-Kawempe-24h'!C44,'28.07 Bwaise-Kawempe'!C44)</f>
        <v>38.428571428571431</v>
      </c>
      <c r="D44" s="49">
        <f>AVERAGE('22.07 Bwaise-Kawempe'!D44,'23.07 Bwaise-Kawempe'!D44,'24.07 Bwaise-Kawempe'!D44,'25.07 Bwaise-Kawempe'!D44,'26.07 Bwaise-Kawempe-24h'!D44,'27.07 Bwaise-Kawempe-24h'!D44,'28.07 Bwaise-Kawempe'!D44)</f>
        <v>5.7142857142857144</v>
      </c>
      <c r="E44" s="49">
        <f>AVERAGE('22.07 Bwaise-Kawempe'!E44,'23.07 Bwaise-Kawempe'!E44,'24.07 Bwaise-Kawempe'!E44,'25.07 Bwaise-Kawempe'!E44,'26.07 Bwaise-Kawempe-24h'!E44,'27.07 Bwaise-Kawempe-24h'!E44,'28.07 Bwaise-Kawempe'!E44)</f>
        <v>6.7142857142857144</v>
      </c>
      <c r="F44" s="49">
        <f>AVERAGE('22.07 Bwaise-Kawempe'!F44,'23.07 Bwaise-Kawempe'!F44,'24.07 Bwaise-Kawempe'!F44,'25.07 Bwaise-Kawempe'!F44,'26.07 Bwaise-Kawempe-24h'!F44,'27.07 Bwaise-Kawempe-24h'!F44,'28.07 Bwaise-Kawempe'!F44)</f>
        <v>31.857142857142858</v>
      </c>
      <c r="G44" s="49">
        <f>AVERAGE('22.07 Bwaise-Kawempe'!G44,'23.07 Bwaise-Kawempe'!G44,'24.07 Bwaise-Kawempe'!G44,'25.07 Bwaise-Kawempe'!G44,'26.07 Bwaise-Kawempe-24h'!G44,'27.07 Bwaise-Kawempe-24h'!G44,'28.07 Bwaise-Kawempe'!G44)</f>
        <v>1</v>
      </c>
      <c r="H44" s="49">
        <f>AVERAGE('22.07 Bwaise-Kawempe'!H44,'23.07 Bwaise-Kawempe'!H44,'24.07 Bwaise-Kawempe'!H44,'25.07 Bwaise-Kawempe'!H44,'26.07 Bwaise-Kawempe-24h'!H44,'27.07 Bwaise-Kawempe-24h'!H44,'28.07 Bwaise-Kawempe'!H44)</f>
        <v>0.2857142857142857</v>
      </c>
      <c r="I44" s="49">
        <f>AVERAGE('22.07 Bwaise-Kawempe'!I44,'23.07 Bwaise-Kawempe'!I44,'24.07 Bwaise-Kawempe'!I44,'25.07 Bwaise-Kawempe'!I44,'26.07 Bwaise-Kawempe-24h'!I44,'27.07 Bwaise-Kawempe-24h'!I44,'28.07 Bwaise-Kawempe'!I44)</f>
        <v>10.714285714285714</v>
      </c>
      <c r="J44" s="49">
        <f>AVERAGE('22.07 Bwaise-Kawempe'!J44,'23.07 Bwaise-Kawempe'!J44,'24.07 Bwaise-Kawempe'!J44,'25.07 Bwaise-Kawempe'!J44,'26.07 Bwaise-Kawempe-24h'!J44,'27.07 Bwaise-Kawempe-24h'!J44,'28.07 Bwaise-Kawempe'!J44)</f>
        <v>3.1428571428571428</v>
      </c>
      <c r="K44" s="49">
        <f>AVERAGE('22.07 Bwaise-Kawempe'!K44,'23.07 Bwaise-Kawempe'!K44,'24.07 Bwaise-Kawempe'!K44,'25.07 Bwaise-Kawempe'!K44,'26.07 Bwaise-Kawempe-24h'!K44,'27.07 Bwaise-Kawempe-24h'!K44,'28.07 Bwaise-Kawempe'!K44)</f>
        <v>1.5714285714285714</v>
      </c>
      <c r="L44" s="49">
        <f>AVERAGE('22.07 Bwaise-Kawempe'!L44,'23.07 Bwaise-Kawempe'!L44,'24.07 Bwaise-Kawempe'!L44,'25.07 Bwaise-Kawempe'!L44,'26.07 Bwaise-Kawempe-24h'!L44,'27.07 Bwaise-Kawempe-24h'!L44,'28.07 Bwaise-Kawempe'!L44)</f>
        <v>3</v>
      </c>
      <c r="M44" s="49">
        <f>AVERAGE('22.07 Bwaise-Kawempe'!M44,'23.07 Bwaise-Kawempe'!M44,'24.07 Bwaise-Kawempe'!M44,'25.07 Bwaise-Kawempe'!M44,'26.07 Bwaise-Kawempe-24h'!M44,'27.07 Bwaise-Kawempe-24h'!M44,'28.07 Bwaise-Kawempe'!M44)</f>
        <v>101</v>
      </c>
      <c r="N44" s="49">
        <f>AVERAGE('22.07 Bwaise-Kawempe'!N44,'23.07 Bwaise-Kawempe'!N44,'24.07 Bwaise-Kawempe'!N44,'25.07 Bwaise-Kawempe'!N44,'26.07 Bwaise-Kawempe-24h'!N44,'27.07 Bwaise-Kawempe-24h'!N44,'28.07 Bwaise-Kawempe'!N44)</f>
        <v>0</v>
      </c>
      <c r="O44" s="15">
        <f t="shared" si="0"/>
        <v>102.42857142857143</v>
      </c>
      <c r="P44" s="15">
        <f t="shared" si="1"/>
        <v>203.42857142857144</v>
      </c>
    </row>
    <row r="45" spans="2:32" ht="23.1" customHeight="1" x14ac:dyDescent="0.25">
      <c r="B45" s="23" t="s">
        <v>72</v>
      </c>
      <c r="C45" s="49">
        <f>AVERAGE('22.07 Bwaise-Kawempe'!C45,'23.07 Bwaise-Kawempe'!C45,'24.07 Bwaise-Kawempe'!C45,'25.07 Bwaise-Kawempe'!C45,'26.07 Bwaise-Kawempe-24h'!C45,'27.07 Bwaise-Kawempe-24h'!C45,'28.07 Bwaise-Kawempe'!C45)</f>
        <v>31.571428571428573</v>
      </c>
      <c r="D45" s="49">
        <f>AVERAGE('22.07 Bwaise-Kawempe'!D45,'23.07 Bwaise-Kawempe'!D45,'24.07 Bwaise-Kawempe'!D45,'25.07 Bwaise-Kawempe'!D45,'26.07 Bwaise-Kawempe-24h'!D45,'27.07 Bwaise-Kawempe-24h'!D45,'28.07 Bwaise-Kawempe'!D45)</f>
        <v>5</v>
      </c>
      <c r="E45" s="49">
        <f>AVERAGE('22.07 Bwaise-Kawempe'!E45,'23.07 Bwaise-Kawempe'!E45,'24.07 Bwaise-Kawempe'!E45,'25.07 Bwaise-Kawempe'!E45,'26.07 Bwaise-Kawempe-24h'!E45,'27.07 Bwaise-Kawempe-24h'!E45,'28.07 Bwaise-Kawempe'!E45)</f>
        <v>6.2857142857142856</v>
      </c>
      <c r="F45" s="49">
        <f>AVERAGE('22.07 Bwaise-Kawempe'!F45,'23.07 Bwaise-Kawempe'!F45,'24.07 Bwaise-Kawempe'!F45,'25.07 Bwaise-Kawempe'!F45,'26.07 Bwaise-Kawempe-24h'!F45,'27.07 Bwaise-Kawempe-24h'!F45,'28.07 Bwaise-Kawempe'!F45)</f>
        <v>31.285714285714285</v>
      </c>
      <c r="G45" s="49">
        <f>AVERAGE('22.07 Bwaise-Kawempe'!G45,'23.07 Bwaise-Kawempe'!G45,'24.07 Bwaise-Kawempe'!G45,'25.07 Bwaise-Kawempe'!G45,'26.07 Bwaise-Kawempe-24h'!G45,'27.07 Bwaise-Kawempe-24h'!G45,'28.07 Bwaise-Kawempe'!G45)</f>
        <v>1.4285714285714286</v>
      </c>
      <c r="H45" s="49">
        <f>AVERAGE('22.07 Bwaise-Kawempe'!H45,'23.07 Bwaise-Kawempe'!H45,'24.07 Bwaise-Kawempe'!H45,'25.07 Bwaise-Kawempe'!H45,'26.07 Bwaise-Kawempe-24h'!H45,'27.07 Bwaise-Kawempe-24h'!H45,'28.07 Bwaise-Kawempe'!H45)</f>
        <v>0.8571428571428571</v>
      </c>
      <c r="I45" s="49">
        <f>AVERAGE('22.07 Bwaise-Kawempe'!I45,'23.07 Bwaise-Kawempe'!I45,'24.07 Bwaise-Kawempe'!I45,'25.07 Bwaise-Kawempe'!I45,'26.07 Bwaise-Kawempe-24h'!I45,'27.07 Bwaise-Kawempe-24h'!I45,'28.07 Bwaise-Kawempe'!I45)</f>
        <v>10.857142857142858</v>
      </c>
      <c r="J45" s="49">
        <f>AVERAGE('22.07 Bwaise-Kawempe'!J45,'23.07 Bwaise-Kawempe'!J45,'24.07 Bwaise-Kawempe'!J45,'25.07 Bwaise-Kawempe'!J45,'26.07 Bwaise-Kawempe-24h'!J45,'27.07 Bwaise-Kawempe-24h'!J45,'28.07 Bwaise-Kawempe'!J45)</f>
        <v>4.2857142857142856</v>
      </c>
      <c r="K45" s="49">
        <f>AVERAGE('22.07 Bwaise-Kawempe'!K45,'23.07 Bwaise-Kawempe'!K45,'24.07 Bwaise-Kawempe'!K45,'25.07 Bwaise-Kawempe'!K45,'26.07 Bwaise-Kawempe-24h'!K45,'27.07 Bwaise-Kawempe-24h'!K45,'28.07 Bwaise-Kawempe'!K45)</f>
        <v>1.1428571428571428</v>
      </c>
      <c r="L45" s="49">
        <f>AVERAGE('22.07 Bwaise-Kawempe'!L45,'23.07 Bwaise-Kawempe'!L45,'24.07 Bwaise-Kawempe'!L45,'25.07 Bwaise-Kawempe'!L45,'26.07 Bwaise-Kawempe-24h'!L45,'27.07 Bwaise-Kawempe-24h'!L45,'28.07 Bwaise-Kawempe'!L45)</f>
        <v>3.2857142857142856</v>
      </c>
      <c r="M45" s="49">
        <f>AVERAGE('22.07 Bwaise-Kawempe'!M45,'23.07 Bwaise-Kawempe'!M45,'24.07 Bwaise-Kawempe'!M45,'25.07 Bwaise-Kawempe'!M45,'26.07 Bwaise-Kawempe-24h'!M45,'27.07 Bwaise-Kawempe-24h'!M45,'28.07 Bwaise-Kawempe'!M45)</f>
        <v>93.857142857142861</v>
      </c>
      <c r="N45" s="49">
        <f>AVERAGE('22.07 Bwaise-Kawempe'!N45,'23.07 Bwaise-Kawempe'!N45,'24.07 Bwaise-Kawempe'!N45,'25.07 Bwaise-Kawempe'!N45,'26.07 Bwaise-Kawempe-24h'!N45,'27.07 Bwaise-Kawempe-24h'!N45,'28.07 Bwaise-Kawempe'!N45)</f>
        <v>0</v>
      </c>
      <c r="O45" s="15">
        <f t="shared" si="0"/>
        <v>96.000000000000014</v>
      </c>
      <c r="P45" s="15">
        <f t="shared" si="1"/>
        <v>189.85714285714289</v>
      </c>
    </row>
    <row r="46" spans="2:32" ht="23.1" customHeight="1" x14ac:dyDescent="0.25">
      <c r="B46" s="24" t="s">
        <v>73</v>
      </c>
      <c r="C46" s="49">
        <f>AVERAGE('22.07 Bwaise-Kawempe'!C46,'23.07 Bwaise-Kawempe'!C46,'24.07 Bwaise-Kawempe'!C46,'25.07 Bwaise-Kawempe'!C46,'26.07 Bwaise-Kawempe-24h'!C46,'27.07 Bwaise-Kawempe-24h'!C46,'28.07 Bwaise-Kawempe'!C46)</f>
        <v>41.285714285714285</v>
      </c>
      <c r="D46" s="49">
        <f>AVERAGE('22.07 Bwaise-Kawempe'!D46,'23.07 Bwaise-Kawempe'!D46,'24.07 Bwaise-Kawempe'!D46,'25.07 Bwaise-Kawempe'!D46,'26.07 Bwaise-Kawempe-24h'!D46,'27.07 Bwaise-Kawempe-24h'!D46,'28.07 Bwaise-Kawempe'!D46)</f>
        <v>8.1428571428571423</v>
      </c>
      <c r="E46" s="49">
        <f>AVERAGE('22.07 Bwaise-Kawempe'!E46,'23.07 Bwaise-Kawempe'!E46,'24.07 Bwaise-Kawempe'!E46,'25.07 Bwaise-Kawempe'!E46,'26.07 Bwaise-Kawempe-24h'!E46,'27.07 Bwaise-Kawempe-24h'!E46,'28.07 Bwaise-Kawempe'!E46)</f>
        <v>4.2857142857142856</v>
      </c>
      <c r="F46" s="49">
        <f>AVERAGE('22.07 Bwaise-Kawempe'!F46,'23.07 Bwaise-Kawempe'!F46,'24.07 Bwaise-Kawempe'!F46,'25.07 Bwaise-Kawempe'!F46,'26.07 Bwaise-Kawempe-24h'!F46,'27.07 Bwaise-Kawempe-24h'!F46,'28.07 Bwaise-Kawempe'!F46)</f>
        <v>37.428571428571431</v>
      </c>
      <c r="G46" s="49">
        <f>AVERAGE('22.07 Bwaise-Kawempe'!G46,'23.07 Bwaise-Kawempe'!G46,'24.07 Bwaise-Kawempe'!G46,'25.07 Bwaise-Kawempe'!G46,'26.07 Bwaise-Kawempe-24h'!G46,'27.07 Bwaise-Kawempe-24h'!G46,'28.07 Bwaise-Kawempe'!G46)</f>
        <v>2</v>
      </c>
      <c r="H46" s="49">
        <f>AVERAGE('22.07 Bwaise-Kawempe'!H46,'23.07 Bwaise-Kawempe'!H46,'24.07 Bwaise-Kawempe'!H46,'25.07 Bwaise-Kawempe'!H46,'26.07 Bwaise-Kawempe-24h'!H46,'27.07 Bwaise-Kawempe-24h'!H46,'28.07 Bwaise-Kawempe'!H46)</f>
        <v>0.42857142857142855</v>
      </c>
      <c r="I46" s="49">
        <f>AVERAGE('22.07 Bwaise-Kawempe'!I46,'23.07 Bwaise-Kawempe'!I46,'24.07 Bwaise-Kawempe'!I46,'25.07 Bwaise-Kawempe'!I46,'26.07 Bwaise-Kawempe-24h'!I46,'27.07 Bwaise-Kawempe-24h'!I46,'28.07 Bwaise-Kawempe'!I46)</f>
        <v>10.714285714285714</v>
      </c>
      <c r="J46" s="49">
        <f>AVERAGE('22.07 Bwaise-Kawempe'!J46,'23.07 Bwaise-Kawempe'!J46,'24.07 Bwaise-Kawempe'!J46,'25.07 Bwaise-Kawempe'!J46,'26.07 Bwaise-Kawempe-24h'!J46,'27.07 Bwaise-Kawempe-24h'!J46,'28.07 Bwaise-Kawempe'!J46)</f>
        <v>3.4285714285714284</v>
      </c>
      <c r="K46" s="49">
        <f>AVERAGE('22.07 Bwaise-Kawempe'!K46,'23.07 Bwaise-Kawempe'!K46,'24.07 Bwaise-Kawempe'!K46,'25.07 Bwaise-Kawempe'!K46,'26.07 Bwaise-Kawempe-24h'!K46,'27.07 Bwaise-Kawempe-24h'!K46,'28.07 Bwaise-Kawempe'!K46)</f>
        <v>2</v>
      </c>
      <c r="L46" s="49">
        <f>AVERAGE('22.07 Bwaise-Kawempe'!L46,'23.07 Bwaise-Kawempe'!L46,'24.07 Bwaise-Kawempe'!L46,'25.07 Bwaise-Kawempe'!L46,'26.07 Bwaise-Kawempe-24h'!L46,'27.07 Bwaise-Kawempe-24h'!L46,'28.07 Bwaise-Kawempe'!L46)</f>
        <v>5</v>
      </c>
      <c r="M46" s="49">
        <f>AVERAGE('22.07 Bwaise-Kawempe'!M46,'23.07 Bwaise-Kawempe'!M46,'24.07 Bwaise-Kawempe'!M46,'25.07 Bwaise-Kawempe'!M46,'26.07 Bwaise-Kawempe-24h'!M46,'27.07 Bwaise-Kawempe-24h'!M46,'28.07 Bwaise-Kawempe'!M46)</f>
        <v>129.85714285714286</v>
      </c>
      <c r="N46" s="49">
        <f>AVERAGE('22.07 Bwaise-Kawempe'!N46,'23.07 Bwaise-Kawempe'!N46,'24.07 Bwaise-Kawempe'!N46,'25.07 Bwaise-Kawempe'!N46,'26.07 Bwaise-Kawempe-24h'!N46,'27.07 Bwaise-Kawempe-24h'!N46,'28.07 Bwaise-Kawempe'!N46)</f>
        <v>0</v>
      </c>
      <c r="O46" s="15">
        <f t="shared" si="0"/>
        <v>114.71428571428571</v>
      </c>
      <c r="P46" s="15">
        <f t="shared" si="1"/>
        <v>244.57142857142856</v>
      </c>
    </row>
    <row r="47" spans="2:32" ht="23.1" customHeight="1" x14ac:dyDescent="0.25">
      <c r="B47" s="24" t="s">
        <v>74</v>
      </c>
      <c r="C47" s="49">
        <f>AVERAGE('22.07 Bwaise-Kawempe'!C47,'23.07 Bwaise-Kawempe'!C47,'24.07 Bwaise-Kawempe'!C47,'25.07 Bwaise-Kawempe'!C47,'26.07 Bwaise-Kawempe-24h'!C47,'27.07 Bwaise-Kawempe-24h'!C47,'28.07 Bwaise-Kawempe'!C47)</f>
        <v>43.142857142857146</v>
      </c>
      <c r="D47" s="49">
        <f>AVERAGE('22.07 Bwaise-Kawempe'!D47,'23.07 Bwaise-Kawempe'!D47,'24.07 Bwaise-Kawempe'!D47,'25.07 Bwaise-Kawempe'!D47,'26.07 Bwaise-Kawempe-24h'!D47,'27.07 Bwaise-Kawempe-24h'!D47,'28.07 Bwaise-Kawempe'!D47)</f>
        <v>4.5714285714285712</v>
      </c>
      <c r="E47" s="49">
        <f>AVERAGE('22.07 Bwaise-Kawempe'!E47,'23.07 Bwaise-Kawempe'!E47,'24.07 Bwaise-Kawempe'!E47,'25.07 Bwaise-Kawempe'!E47,'26.07 Bwaise-Kawempe-24h'!E47,'27.07 Bwaise-Kawempe-24h'!E47,'28.07 Bwaise-Kawempe'!E47)</f>
        <v>5.2857142857142856</v>
      </c>
      <c r="F47" s="49">
        <f>AVERAGE('22.07 Bwaise-Kawempe'!F47,'23.07 Bwaise-Kawempe'!F47,'24.07 Bwaise-Kawempe'!F47,'25.07 Bwaise-Kawempe'!F47,'26.07 Bwaise-Kawempe-24h'!F47,'27.07 Bwaise-Kawempe-24h'!F47,'28.07 Bwaise-Kawempe'!F47)</f>
        <v>33.142857142857146</v>
      </c>
      <c r="G47" s="49">
        <f>AVERAGE('22.07 Bwaise-Kawempe'!G47,'23.07 Bwaise-Kawempe'!G47,'24.07 Bwaise-Kawempe'!G47,'25.07 Bwaise-Kawempe'!G47,'26.07 Bwaise-Kawempe-24h'!G47,'27.07 Bwaise-Kawempe-24h'!G47,'28.07 Bwaise-Kawempe'!G47)</f>
        <v>0.5714285714285714</v>
      </c>
      <c r="H47" s="49">
        <f>AVERAGE('22.07 Bwaise-Kawempe'!H47,'23.07 Bwaise-Kawempe'!H47,'24.07 Bwaise-Kawempe'!H47,'25.07 Bwaise-Kawempe'!H47,'26.07 Bwaise-Kawempe-24h'!H47,'27.07 Bwaise-Kawempe-24h'!H47,'28.07 Bwaise-Kawempe'!H47)</f>
        <v>0.8571428571428571</v>
      </c>
      <c r="I47" s="49">
        <f>AVERAGE('22.07 Bwaise-Kawempe'!I47,'23.07 Bwaise-Kawempe'!I47,'24.07 Bwaise-Kawempe'!I47,'25.07 Bwaise-Kawempe'!I47,'26.07 Bwaise-Kawempe-24h'!I47,'27.07 Bwaise-Kawempe-24h'!I47,'28.07 Bwaise-Kawempe'!I47)</f>
        <v>11.142857142857142</v>
      </c>
      <c r="J47" s="49">
        <f>AVERAGE('22.07 Bwaise-Kawempe'!J47,'23.07 Bwaise-Kawempe'!J47,'24.07 Bwaise-Kawempe'!J47,'25.07 Bwaise-Kawempe'!J47,'26.07 Bwaise-Kawempe-24h'!J47,'27.07 Bwaise-Kawempe-24h'!J47,'28.07 Bwaise-Kawempe'!J47)</f>
        <v>4.2857142857142856</v>
      </c>
      <c r="K47" s="49">
        <f>AVERAGE('22.07 Bwaise-Kawempe'!K47,'23.07 Bwaise-Kawempe'!K47,'24.07 Bwaise-Kawempe'!K47,'25.07 Bwaise-Kawempe'!K47,'26.07 Bwaise-Kawempe-24h'!K47,'27.07 Bwaise-Kawempe-24h'!K47,'28.07 Bwaise-Kawempe'!K47)</f>
        <v>2.7142857142857144</v>
      </c>
      <c r="L47" s="49">
        <f>AVERAGE('22.07 Bwaise-Kawempe'!L47,'23.07 Bwaise-Kawempe'!L47,'24.07 Bwaise-Kawempe'!L47,'25.07 Bwaise-Kawempe'!L47,'26.07 Bwaise-Kawempe-24h'!L47,'27.07 Bwaise-Kawempe-24h'!L47,'28.07 Bwaise-Kawempe'!L47)</f>
        <v>3.2857142857142856</v>
      </c>
      <c r="M47" s="49">
        <f>AVERAGE('22.07 Bwaise-Kawempe'!M47,'23.07 Bwaise-Kawempe'!M47,'24.07 Bwaise-Kawempe'!M47,'25.07 Bwaise-Kawempe'!M47,'26.07 Bwaise-Kawempe-24h'!M47,'27.07 Bwaise-Kawempe-24h'!M47,'28.07 Bwaise-Kawempe'!M47)</f>
        <v>125.71428571428571</v>
      </c>
      <c r="N47" s="49">
        <f>AVERAGE('22.07 Bwaise-Kawempe'!N47,'23.07 Bwaise-Kawempe'!N47,'24.07 Bwaise-Kawempe'!N47,'25.07 Bwaise-Kawempe'!N47,'26.07 Bwaise-Kawempe-24h'!N47,'27.07 Bwaise-Kawempe-24h'!N47,'28.07 Bwaise-Kawempe'!N47)</f>
        <v>0</v>
      </c>
      <c r="O47" s="15">
        <f t="shared" si="0"/>
        <v>109</v>
      </c>
      <c r="P47" s="15">
        <f t="shared" si="1"/>
        <v>234.71428571428572</v>
      </c>
      <c r="R47" s="8"/>
      <c r="T47"/>
    </row>
    <row r="48" spans="2:32" ht="23.1" customHeight="1" x14ac:dyDescent="0.25">
      <c r="B48" s="24" t="s">
        <v>75</v>
      </c>
      <c r="C48" s="49">
        <f>AVERAGE('22.07 Bwaise-Kawempe'!C48,'23.07 Bwaise-Kawempe'!C48,'24.07 Bwaise-Kawempe'!C48,'25.07 Bwaise-Kawempe'!C48,'26.07 Bwaise-Kawempe-24h'!C48,'27.07 Bwaise-Kawempe-24h'!C48,'28.07 Bwaise-Kawempe'!C48)</f>
        <v>41.571428571428569</v>
      </c>
      <c r="D48" s="49">
        <f>AVERAGE('22.07 Bwaise-Kawempe'!D48,'23.07 Bwaise-Kawempe'!D48,'24.07 Bwaise-Kawempe'!D48,'25.07 Bwaise-Kawempe'!D48,'26.07 Bwaise-Kawempe-24h'!D48,'27.07 Bwaise-Kawempe-24h'!D48,'28.07 Bwaise-Kawempe'!D48)</f>
        <v>5.7142857142857144</v>
      </c>
      <c r="E48" s="49">
        <f>AVERAGE('22.07 Bwaise-Kawempe'!E48,'23.07 Bwaise-Kawempe'!E48,'24.07 Bwaise-Kawempe'!E48,'25.07 Bwaise-Kawempe'!E48,'26.07 Bwaise-Kawempe-24h'!E48,'27.07 Bwaise-Kawempe-24h'!E48,'28.07 Bwaise-Kawempe'!E48)</f>
        <v>4.5714285714285712</v>
      </c>
      <c r="F48" s="49">
        <f>AVERAGE('22.07 Bwaise-Kawempe'!F48,'23.07 Bwaise-Kawempe'!F48,'24.07 Bwaise-Kawempe'!F48,'25.07 Bwaise-Kawempe'!F48,'26.07 Bwaise-Kawempe-24h'!F48,'27.07 Bwaise-Kawempe-24h'!F48,'28.07 Bwaise-Kawempe'!F48)</f>
        <v>39</v>
      </c>
      <c r="G48" s="49">
        <f>AVERAGE('22.07 Bwaise-Kawempe'!G48,'23.07 Bwaise-Kawempe'!G48,'24.07 Bwaise-Kawempe'!G48,'25.07 Bwaise-Kawempe'!G48,'26.07 Bwaise-Kawempe-24h'!G48,'27.07 Bwaise-Kawempe-24h'!G48,'28.07 Bwaise-Kawempe'!G48)</f>
        <v>1.5714285714285714</v>
      </c>
      <c r="H48" s="49">
        <f>AVERAGE('22.07 Bwaise-Kawempe'!H48,'23.07 Bwaise-Kawempe'!H48,'24.07 Bwaise-Kawempe'!H48,'25.07 Bwaise-Kawempe'!H48,'26.07 Bwaise-Kawempe-24h'!H48,'27.07 Bwaise-Kawempe-24h'!H48,'28.07 Bwaise-Kawempe'!H48)</f>
        <v>0.7142857142857143</v>
      </c>
      <c r="I48" s="49">
        <f>AVERAGE('22.07 Bwaise-Kawempe'!I48,'23.07 Bwaise-Kawempe'!I48,'24.07 Bwaise-Kawempe'!I48,'25.07 Bwaise-Kawempe'!I48,'26.07 Bwaise-Kawempe-24h'!I48,'27.07 Bwaise-Kawempe-24h'!I48,'28.07 Bwaise-Kawempe'!I48)</f>
        <v>11.857142857142858</v>
      </c>
      <c r="J48" s="49">
        <f>AVERAGE('22.07 Bwaise-Kawempe'!J48,'23.07 Bwaise-Kawempe'!J48,'24.07 Bwaise-Kawempe'!J48,'25.07 Bwaise-Kawempe'!J48,'26.07 Bwaise-Kawempe-24h'!J48,'27.07 Bwaise-Kawempe-24h'!J48,'28.07 Bwaise-Kawempe'!J48)</f>
        <v>2.7142857142857144</v>
      </c>
      <c r="K48" s="49">
        <f>AVERAGE('22.07 Bwaise-Kawempe'!K48,'23.07 Bwaise-Kawempe'!K48,'24.07 Bwaise-Kawempe'!K48,'25.07 Bwaise-Kawempe'!K48,'26.07 Bwaise-Kawempe-24h'!K48,'27.07 Bwaise-Kawempe-24h'!K48,'28.07 Bwaise-Kawempe'!K48)</f>
        <v>1.7142857142857142</v>
      </c>
      <c r="L48" s="49">
        <f>AVERAGE('22.07 Bwaise-Kawempe'!L48,'23.07 Bwaise-Kawempe'!L48,'24.07 Bwaise-Kawempe'!L48,'25.07 Bwaise-Kawempe'!L48,'26.07 Bwaise-Kawempe-24h'!L48,'27.07 Bwaise-Kawempe-24h'!L48,'28.07 Bwaise-Kawempe'!L48)</f>
        <v>3.2857142857142856</v>
      </c>
      <c r="M48" s="49">
        <f>AVERAGE('22.07 Bwaise-Kawempe'!M48,'23.07 Bwaise-Kawempe'!M48,'24.07 Bwaise-Kawempe'!M48,'25.07 Bwaise-Kawempe'!M48,'26.07 Bwaise-Kawempe-24h'!M48,'27.07 Bwaise-Kawempe-24h'!M48,'28.07 Bwaise-Kawempe'!M48)</f>
        <v>143.71428571428572</v>
      </c>
      <c r="N48" s="49">
        <f>AVERAGE('22.07 Bwaise-Kawempe'!N48,'23.07 Bwaise-Kawempe'!N48,'24.07 Bwaise-Kawempe'!N48,'25.07 Bwaise-Kawempe'!N48,'26.07 Bwaise-Kawempe-24h'!N48,'27.07 Bwaise-Kawempe-24h'!N48,'28.07 Bwaise-Kawempe'!N48)</f>
        <v>0</v>
      </c>
      <c r="O48" s="15">
        <f t="shared" si="0"/>
        <v>112.71428571428571</v>
      </c>
      <c r="P48" s="15">
        <f t="shared" si="1"/>
        <v>256.42857142857144</v>
      </c>
      <c r="R48" s="8"/>
      <c r="T48"/>
    </row>
    <row r="49" spans="2:20" ht="23.1" customHeight="1" x14ac:dyDescent="0.25">
      <c r="B49" s="23" t="s">
        <v>76</v>
      </c>
      <c r="C49" s="49">
        <f>AVERAGE('22.07 Bwaise-Kawempe'!C49,'23.07 Bwaise-Kawempe'!C49,'24.07 Bwaise-Kawempe'!C49,'25.07 Bwaise-Kawempe'!C49,'26.07 Bwaise-Kawempe-24h'!C49,'27.07 Bwaise-Kawempe-24h'!C49,'28.07 Bwaise-Kawempe'!C49)</f>
        <v>39</v>
      </c>
      <c r="D49" s="49">
        <f>AVERAGE('22.07 Bwaise-Kawempe'!D49,'23.07 Bwaise-Kawempe'!D49,'24.07 Bwaise-Kawempe'!D49,'25.07 Bwaise-Kawempe'!D49,'26.07 Bwaise-Kawempe-24h'!D49,'27.07 Bwaise-Kawempe-24h'!D49,'28.07 Bwaise-Kawempe'!D49)</f>
        <v>5.8571428571428568</v>
      </c>
      <c r="E49" s="49">
        <f>AVERAGE('22.07 Bwaise-Kawempe'!E49,'23.07 Bwaise-Kawempe'!E49,'24.07 Bwaise-Kawempe'!E49,'25.07 Bwaise-Kawempe'!E49,'26.07 Bwaise-Kawempe-24h'!E49,'27.07 Bwaise-Kawempe-24h'!E49,'28.07 Bwaise-Kawempe'!E49)</f>
        <v>5.5714285714285712</v>
      </c>
      <c r="F49" s="49">
        <f>AVERAGE('22.07 Bwaise-Kawempe'!F49,'23.07 Bwaise-Kawempe'!F49,'24.07 Bwaise-Kawempe'!F49,'25.07 Bwaise-Kawempe'!F49,'26.07 Bwaise-Kawempe-24h'!F49,'27.07 Bwaise-Kawempe-24h'!F49,'28.07 Bwaise-Kawempe'!F49)</f>
        <v>33.571428571428569</v>
      </c>
      <c r="G49" s="49">
        <f>AVERAGE('22.07 Bwaise-Kawempe'!G49,'23.07 Bwaise-Kawempe'!G49,'24.07 Bwaise-Kawempe'!G49,'25.07 Bwaise-Kawempe'!G49,'26.07 Bwaise-Kawempe-24h'!G49,'27.07 Bwaise-Kawempe-24h'!G49,'28.07 Bwaise-Kawempe'!G49)</f>
        <v>1.8571428571428572</v>
      </c>
      <c r="H49" s="49">
        <f>AVERAGE('22.07 Bwaise-Kawempe'!H49,'23.07 Bwaise-Kawempe'!H49,'24.07 Bwaise-Kawempe'!H49,'25.07 Bwaise-Kawempe'!H49,'26.07 Bwaise-Kawempe-24h'!H49,'27.07 Bwaise-Kawempe-24h'!H49,'28.07 Bwaise-Kawempe'!H49)</f>
        <v>0.8571428571428571</v>
      </c>
      <c r="I49" s="49">
        <f>AVERAGE('22.07 Bwaise-Kawempe'!I49,'23.07 Bwaise-Kawempe'!I49,'24.07 Bwaise-Kawempe'!I49,'25.07 Bwaise-Kawempe'!I49,'26.07 Bwaise-Kawempe-24h'!I49,'27.07 Bwaise-Kawempe-24h'!I49,'28.07 Bwaise-Kawempe'!I49)</f>
        <v>9.4285714285714288</v>
      </c>
      <c r="J49" s="49">
        <f>AVERAGE('22.07 Bwaise-Kawempe'!J49,'23.07 Bwaise-Kawempe'!J49,'24.07 Bwaise-Kawempe'!J49,'25.07 Bwaise-Kawempe'!J49,'26.07 Bwaise-Kawempe-24h'!J49,'27.07 Bwaise-Kawempe-24h'!J49,'28.07 Bwaise-Kawempe'!J49)</f>
        <v>2.8571428571428572</v>
      </c>
      <c r="K49" s="49">
        <f>AVERAGE('22.07 Bwaise-Kawempe'!K49,'23.07 Bwaise-Kawempe'!K49,'24.07 Bwaise-Kawempe'!K49,'25.07 Bwaise-Kawempe'!K49,'26.07 Bwaise-Kawempe-24h'!K49,'27.07 Bwaise-Kawempe-24h'!K49,'28.07 Bwaise-Kawempe'!K49)</f>
        <v>1.8571428571428572</v>
      </c>
      <c r="L49" s="49">
        <f>AVERAGE('22.07 Bwaise-Kawempe'!L49,'23.07 Bwaise-Kawempe'!L49,'24.07 Bwaise-Kawempe'!L49,'25.07 Bwaise-Kawempe'!L49,'26.07 Bwaise-Kawempe-24h'!L49,'27.07 Bwaise-Kawempe-24h'!L49,'28.07 Bwaise-Kawempe'!L49)</f>
        <v>2.5714285714285716</v>
      </c>
      <c r="M49" s="49">
        <f>AVERAGE('22.07 Bwaise-Kawempe'!M49,'23.07 Bwaise-Kawempe'!M49,'24.07 Bwaise-Kawempe'!M49,'25.07 Bwaise-Kawempe'!M49,'26.07 Bwaise-Kawempe-24h'!M49,'27.07 Bwaise-Kawempe-24h'!M49,'28.07 Bwaise-Kawempe'!M49)</f>
        <v>127.14285714285714</v>
      </c>
      <c r="N49" s="49">
        <f>AVERAGE('22.07 Bwaise-Kawempe'!N49,'23.07 Bwaise-Kawempe'!N49,'24.07 Bwaise-Kawempe'!N49,'25.07 Bwaise-Kawempe'!N49,'26.07 Bwaise-Kawempe-24h'!N49,'27.07 Bwaise-Kawempe-24h'!N49,'28.07 Bwaise-Kawempe'!N49)</f>
        <v>0</v>
      </c>
      <c r="O49" s="15">
        <f t="shared" si="0"/>
        <v>103.42857142857144</v>
      </c>
      <c r="P49" s="15">
        <f t="shared" si="1"/>
        <v>230.57142857142858</v>
      </c>
      <c r="R49" s="8"/>
      <c r="T49"/>
    </row>
    <row r="50" spans="2:20" ht="23.1" customHeight="1" x14ac:dyDescent="0.25">
      <c r="B50" s="24" t="s">
        <v>77</v>
      </c>
      <c r="C50" s="49">
        <f>AVERAGE('22.07 Bwaise-Kawempe'!C50,'23.07 Bwaise-Kawempe'!C50,'24.07 Bwaise-Kawempe'!C50,'25.07 Bwaise-Kawempe'!C50,'26.07 Bwaise-Kawempe-24h'!C50,'27.07 Bwaise-Kawempe-24h'!C50,'28.07 Bwaise-Kawempe'!C50)</f>
        <v>43.142857142857146</v>
      </c>
      <c r="D50" s="49">
        <f>AVERAGE('22.07 Bwaise-Kawempe'!D50,'23.07 Bwaise-Kawempe'!D50,'24.07 Bwaise-Kawempe'!D50,'25.07 Bwaise-Kawempe'!D50,'26.07 Bwaise-Kawempe-24h'!D50,'27.07 Bwaise-Kawempe-24h'!D50,'28.07 Bwaise-Kawempe'!D50)</f>
        <v>3.7142857142857144</v>
      </c>
      <c r="E50" s="49">
        <f>AVERAGE('22.07 Bwaise-Kawempe'!E50,'23.07 Bwaise-Kawempe'!E50,'24.07 Bwaise-Kawempe'!E50,'25.07 Bwaise-Kawempe'!E50,'26.07 Bwaise-Kawempe-24h'!E50,'27.07 Bwaise-Kawempe-24h'!E50,'28.07 Bwaise-Kawempe'!E50)</f>
        <v>6.2857142857142856</v>
      </c>
      <c r="F50" s="49">
        <f>AVERAGE('22.07 Bwaise-Kawempe'!F50,'23.07 Bwaise-Kawempe'!F50,'24.07 Bwaise-Kawempe'!F50,'25.07 Bwaise-Kawempe'!F50,'26.07 Bwaise-Kawempe-24h'!F50,'27.07 Bwaise-Kawempe-24h'!F50,'28.07 Bwaise-Kawempe'!F50)</f>
        <v>35.857142857142854</v>
      </c>
      <c r="G50" s="49">
        <f>AVERAGE('22.07 Bwaise-Kawempe'!G50,'23.07 Bwaise-Kawempe'!G50,'24.07 Bwaise-Kawempe'!G50,'25.07 Bwaise-Kawempe'!G50,'26.07 Bwaise-Kawempe-24h'!G50,'27.07 Bwaise-Kawempe-24h'!G50,'28.07 Bwaise-Kawempe'!G50)</f>
        <v>0.7142857142857143</v>
      </c>
      <c r="H50" s="49">
        <f>AVERAGE('22.07 Bwaise-Kawempe'!H50,'23.07 Bwaise-Kawempe'!H50,'24.07 Bwaise-Kawempe'!H50,'25.07 Bwaise-Kawempe'!H50,'26.07 Bwaise-Kawempe-24h'!H50,'27.07 Bwaise-Kawempe-24h'!H50,'28.07 Bwaise-Kawempe'!H50)</f>
        <v>0.7142857142857143</v>
      </c>
      <c r="I50" s="49">
        <f>AVERAGE('22.07 Bwaise-Kawempe'!I50,'23.07 Bwaise-Kawempe'!I50,'24.07 Bwaise-Kawempe'!I50,'25.07 Bwaise-Kawempe'!I50,'26.07 Bwaise-Kawempe-24h'!I50,'27.07 Bwaise-Kawempe-24h'!I50,'28.07 Bwaise-Kawempe'!I50)</f>
        <v>11.428571428571429</v>
      </c>
      <c r="J50" s="49">
        <f>AVERAGE('22.07 Bwaise-Kawempe'!J50,'23.07 Bwaise-Kawempe'!J50,'24.07 Bwaise-Kawempe'!J50,'25.07 Bwaise-Kawempe'!J50,'26.07 Bwaise-Kawempe-24h'!J50,'27.07 Bwaise-Kawempe-24h'!J50,'28.07 Bwaise-Kawempe'!J50)</f>
        <v>2.4285714285714284</v>
      </c>
      <c r="K50" s="49">
        <f>AVERAGE('22.07 Bwaise-Kawempe'!K50,'23.07 Bwaise-Kawempe'!K50,'24.07 Bwaise-Kawempe'!K50,'25.07 Bwaise-Kawempe'!K50,'26.07 Bwaise-Kawempe-24h'!K50,'27.07 Bwaise-Kawempe-24h'!K50,'28.07 Bwaise-Kawempe'!K50)</f>
        <v>2.1428571428571428</v>
      </c>
      <c r="L50" s="49">
        <f>AVERAGE('22.07 Bwaise-Kawempe'!L50,'23.07 Bwaise-Kawempe'!L50,'24.07 Bwaise-Kawempe'!L50,'25.07 Bwaise-Kawempe'!L50,'26.07 Bwaise-Kawempe-24h'!L50,'27.07 Bwaise-Kawempe-24h'!L50,'28.07 Bwaise-Kawempe'!L50)</f>
        <v>2.7142857142857144</v>
      </c>
      <c r="M50" s="49">
        <f>AVERAGE('22.07 Bwaise-Kawempe'!M50,'23.07 Bwaise-Kawempe'!M50,'24.07 Bwaise-Kawempe'!M50,'25.07 Bwaise-Kawempe'!M50,'26.07 Bwaise-Kawempe-24h'!M50,'27.07 Bwaise-Kawempe-24h'!M50,'28.07 Bwaise-Kawempe'!M50)</f>
        <v>107.42857142857143</v>
      </c>
      <c r="N50" s="49">
        <f>AVERAGE('22.07 Bwaise-Kawempe'!N50,'23.07 Bwaise-Kawempe'!N50,'24.07 Bwaise-Kawempe'!N50,'25.07 Bwaise-Kawempe'!N50,'26.07 Bwaise-Kawempe-24h'!N50,'27.07 Bwaise-Kawempe-24h'!N50,'28.07 Bwaise-Kawempe'!N50)</f>
        <v>0</v>
      </c>
      <c r="O50" s="15">
        <f t="shared" si="0"/>
        <v>109.14285714285712</v>
      </c>
      <c r="P50" s="15">
        <f t="shared" si="1"/>
        <v>216.57142857142856</v>
      </c>
      <c r="R50" s="8"/>
      <c r="T50"/>
    </row>
    <row r="51" spans="2:20" ht="23.1" customHeight="1" x14ac:dyDescent="0.25">
      <c r="B51" s="24" t="s">
        <v>78</v>
      </c>
      <c r="C51" s="49">
        <f>AVERAGE('22.07 Bwaise-Kawempe'!C51,'23.07 Bwaise-Kawempe'!C51,'24.07 Bwaise-Kawempe'!C51,'25.07 Bwaise-Kawempe'!C51,'26.07 Bwaise-Kawempe-24h'!C51,'27.07 Bwaise-Kawempe-24h'!C51,'28.07 Bwaise-Kawempe'!C51)</f>
        <v>41.571428571428569</v>
      </c>
      <c r="D51" s="49">
        <f>AVERAGE('22.07 Bwaise-Kawempe'!D51,'23.07 Bwaise-Kawempe'!D51,'24.07 Bwaise-Kawempe'!D51,'25.07 Bwaise-Kawempe'!D51,'26.07 Bwaise-Kawempe-24h'!D51,'27.07 Bwaise-Kawempe-24h'!D51,'28.07 Bwaise-Kawempe'!D51)</f>
        <v>4.8571428571428568</v>
      </c>
      <c r="E51" s="49">
        <f>AVERAGE('22.07 Bwaise-Kawempe'!E51,'23.07 Bwaise-Kawempe'!E51,'24.07 Bwaise-Kawempe'!E51,'25.07 Bwaise-Kawempe'!E51,'26.07 Bwaise-Kawempe-24h'!E51,'27.07 Bwaise-Kawempe-24h'!E51,'28.07 Bwaise-Kawempe'!E51)</f>
        <v>4.1428571428571432</v>
      </c>
      <c r="F51" s="49">
        <f>AVERAGE('22.07 Bwaise-Kawempe'!F51,'23.07 Bwaise-Kawempe'!F51,'24.07 Bwaise-Kawempe'!F51,'25.07 Bwaise-Kawempe'!F51,'26.07 Bwaise-Kawempe-24h'!F51,'27.07 Bwaise-Kawempe-24h'!F51,'28.07 Bwaise-Kawempe'!F51)</f>
        <v>34.285714285714285</v>
      </c>
      <c r="G51" s="49">
        <f>AVERAGE('22.07 Bwaise-Kawempe'!G51,'23.07 Bwaise-Kawempe'!G51,'24.07 Bwaise-Kawempe'!G51,'25.07 Bwaise-Kawempe'!G51,'26.07 Bwaise-Kawempe-24h'!G51,'27.07 Bwaise-Kawempe-24h'!G51,'28.07 Bwaise-Kawempe'!G51)</f>
        <v>2.1428571428571428</v>
      </c>
      <c r="H51" s="49">
        <f>AVERAGE('22.07 Bwaise-Kawempe'!H51,'23.07 Bwaise-Kawempe'!H51,'24.07 Bwaise-Kawempe'!H51,'25.07 Bwaise-Kawempe'!H51,'26.07 Bwaise-Kawempe-24h'!H51,'27.07 Bwaise-Kawempe-24h'!H51,'28.07 Bwaise-Kawempe'!H51)</f>
        <v>0.2857142857142857</v>
      </c>
      <c r="I51" s="49">
        <f>AVERAGE('22.07 Bwaise-Kawempe'!I51,'23.07 Bwaise-Kawempe'!I51,'24.07 Bwaise-Kawempe'!I51,'25.07 Bwaise-Kawempe'!I51,'26.07 Bwaise-Kawempe-24h'!I51,'27.07 Bwaise-Kawempe-24h'!I51,'28.07 Bwaise-Kawempe'!I51)</f>
        <v>10.714285714285714</v>
      </c>
      <c r="J51" s="49">
        <f>AVERAGE('22.07 Bwaise-Kawempe'!J51,'23.07 Bwaise-Kawempe'!J51,'24.07 Bwaise-Kawempe'!J51,'25.07 Bwaise-Kawempe'!J51,'26.07 Bwaise-Kawempe-24h'!J51,'27.07 Bwaise-Kawempe-24h'!J51,'28.07 Bwaise-Kawempe'!J51)</f>
        <v>3</v>
      </c>
      <c r="K51" s="49">
        <f>AVERAGE('22.07 Bwaise-Kawempe'!K51,'23.07 Bwaise-Kawempe'!K51,'24.07 Bwaise-Kawempe'!K51,'25.07 Bwaise-Kawempe'!K51,'26.07 Bwaise-Kawempe-24h'!K51,'27.07 Bwaise-Kawempe-24h'!K51,'28.07 Bwaise-Kawempe'!K51)</f>
        <v>1.2857142857142858</v>
      </c>
      <c r="L51" s="49">
        <f>AVERAGE('22.07 Bwaise-Kawempe'!L51,'23.07 Bwaise-Kawempe'!L51,'24.07 Bwaise-Kawempe'!L51,'25.07 Bwaise-Kawempe'!L51,'26.07 Bwaise-Kawempe-24h'!L51,'27.07 Bwaise-Kawempe-24h'!L51,'28.07 Bwaise-Kawempe'!L51)</f>
        <v>2.8571428571428572</v>
      </c>
      <c r="M51" s="49">
        <f>AVERAGE('22.07 Bwaise-Kawempe'!M51,'23.07 Bwaise-Kawempe'!M51,'24.07 Bwaise-Kawempe'!M51,'25.07 Bwaise-Kawempe'!M51,'26.07 Bwaise-Kawempe-24h'!M51,'27.07 Bwaise-Kawempe-24h'!M51,'28.07 Bwaise-Kawempe'!M51)</f>
        <v>130.14285714285714</v>
      </c>
      <c r="N51" s="49">
        <f>AVERAGE('22.07 Bwaise-Kawempe'!N51,'23.07 Bwaise-Kawempe'!N51,'24.07 Bwaise-Kawempe'!N51,'25.07 Bwaise-Kawempe'!N51,'26.07 Bwaise-Kawempe-24h'!N51,'27.07 Bwaise-Kawempe-24h'!N51,'28.07 Bwaise-Kawempe'!N51)</f>
        <v>0</v>
      </c>
      <c r="O51" s="15">
        <f t="shared" si="0"/>
        <v>105.14285714285715</v>
      </c>
      <c r="P51" s="15">
        <f t="shared" si="1"/>
        <v>235.28571428571428</v>
      </c>
      <c r="R51" s="8"/>
      <c r="T51"/>
    </row>
    <row r="52" spans="2:20" ht="23.1" customHeight="1" x14ac:dyDescent="0.25">
      <c r="B52" s="24" t="s">
        <v>79</v>
      </c>
      <c r="C52" s="49">
        <f>AVERAGE('22.07 Bwaise-Kawempe'!C52,'23.07 Bwaise-Kawempe'!C52,'24.07 Bwaise-Kawempe'!C52,'25.07 Bwaise-Kawempe'!C52,'26.07 Bwaise-Kawempe-24h'!C52,'27.07 Bwaise-Kawempe-24h'!C52,'28.07 Bwaise-Kawempe'!C52)</f>
        <v>43.428571428571431</v>
      </c>
      <c r="D52" s="49">
        <f>AVERAGE('22.07 Bwaise-Kawempe'!D52,'23.07 Bwaise-Kawempe'!D52,'24.07 Bwaise-Kawempe'!D52,'25.07 Bwaise-Kawempe'!D52,'26.07 Bwaise-Kawempe-24h'!D52,'27.07 Bwaise-Kawempe-24h'!D52,'28.07 Bwaise-Kawempe'!D52)</f>
        <v>6.4285714285714288</v>
      </c>
      <c r="E52" s="49">
        <f>AVERAGE('22.07 Bwaise-Kawempe'!E52,'23.07 Bwaise-Kawempe'!E52,'24.07 Bwaise-Kawempe'!E52,'25.07 Bwaise-Kawempe'!E52,'26.07 Bwaise-Kawempe-24h'!E52,'27.07 Bwaise-Kawempe-24h'!E52,'28.07 Bwaise-Kawempe'!E52)</f>
        <v>3.5714285714285716</v>
      </c>
      <c r="F52" s="49">
        <f>AVERAGE('22.07 Bwaise-Kawempe'!F52,'23.07 Bwaise-Kawempe'!F52,'24.07 Bwaise-Kawempe'!F52,'25.07 Bwaise-Kawempe'!F52,'26.07 Bwaise-Kawempe-24h'!F52,'27.07 Bwaise-Kawempe-24h'!F52,'28.07 Bwaise-Kawempe'!F52)</f>
        <v>34.571428571428569</v>
      </c>
      <c r="G52" s="49">
        <f>AVERAGE('22.07 Bwaise-Kawempe'!G52,'23.07 Bwaise-Kawempe'!G52,'24.07 Bwaise-Kawempe'!G52,'25.07 Bwaise-Kawempe'!G52,'26.07 Bwaise-Kawempe-24h'!G52,'27.07 Bwaise-Kawempe-24h'!G52,'28.07 Bwaise-Kawempe'!G52)</f>
        <v>0.5714285714285714</v>
      </c>
      <c r="H52" s="49">
        <f>AVERAGE('22.07 Bwaise-Kawempe'!H52,'23.07 Bwaise-Kawempe'!H52,'24.07 Bwaise-Kawempe'!H52,'25.07 Bwaise-Kawempe'!H52,'26.07 Bwaise-Kawempe-24h'!H52,'27.07 Bwaise-Kawempe-24h'!H52,'28.07 Bwaise-Kawempe'!H52)</f>
        <v>0</v>
      </c>
      <c r="I52" s="49">
        <f>AVERAGE('22.07 Bwaise-Kawempe'!I52,'23.07 Bwaise-Kawempe'!I52,'24.07 Bwaise-Kawempe'!I52,'25.07 Bwaise-Kawempe'!I52,'26.07 Bwaise-Kawempe-24h'!I52,'27.07 Bwaise-Kawempe-24h'!I52,'28.07 Bwaise-Kawempe'!I52)</f>
        <v>9.7142857142857135</v>
      </c>
      <c r="J52" s="49">
        <f>AVERAGE('22.07 Bwaise-Kawempe'!J52,'23.07 Bwaise-Kawempe'!J52,'24.07 Bwaise-Kawempe'!J52,'25.07 Bwaise-Kawempe'!J52,'26.07 Bwaise-Kawempe-24h'!J52,'27.07 Bwaise-Kawempe-24h'!J52,'28.07 Bwaise-Kawempe'!J52)</f>
        <v>3</v>
      </c>
      <c r="K52" s="49">
        <f>AVERAGE('22.07 Bwaise-Kawempe'!K52,'23.07 Bwaise-Kawempe'!K52,'24.07 Bwaise-Kawempe'!K52,'25.07 Bwaise-Kawempe'!K52,'26.07 Bwaise-Kawempe-24h'!K52,'27.07 Bwaise-Kawempe-24h'!K52,'28.07 Bwaise-Kawempe'!K52)</f>
        <v>1.2857142857142858</v>
      </c>
      <c r="L52" s="49">
        <f>AVERAGE('22.07 Bwaise-Kawempe'!L52,'23.07 Bwaise-Kawempe'!L52,'24.07 Bwaise-Kawempe'!L52,'25.07 Bwaise-Kawempe'!L52,'26.07 Bwaise-Kawempe-24h'!L52,'27.07 Bwaise-Kawempe-24h'!L52,'28.07 Bwaise-Kawempe'!L52)</f>
        <v>3</v>
      </c>
      <c r="M52" s="49">
        <f>AVERAGE('22.07 Bwaise-Kawempe'!M52,'23.07 Bwaise-Kawempe'!M52,'24.07 Bwaise-Kawempe'!M52,'25.07 Bwaise-Kawempe'!M52,'26.07 Bwaise-Kawempe-24h'!M52,'27.07 Bwaise-Kawempe-24h'!M52,'28.07 Bwaise-Kawempe'!M52)</f>
        <v>133.57142857142858</v>
      </c>
      <c r="N52" s="49">
        <f>AVERAGE('22.07 Bwaise-Kawempe'!N52,'23.07 Bwaise-Kawempe'!N52,'24.07 Bwaise-Kawempe'!N52,'25.07 Bwaise-Kawempe'!N52,'26.07 Bwaise-Kawempe-24h'!N52,'27.07 Bwaise-Kawempe-24h'!N52,'28.07 Bwaise-Kawempe'!N52)</f>
        <v>0</v>
      </c>
      <c r="O52" s="15">
        <f t="shared" si="0"/>
        <v>105.57142857142857</v>
      </c>
      <c r="P52" s="15">
        <f t="shared" si="1"/>
        <v>239.14285714285717</v>
      </c>
      <c r="R52" s="8"/>
      <c r="T52"/>
    </row>
    <row r="53" spans="2:20" ht="23.1" customHeight="1" x14ac:dyDescent="0.25">
      <c r="B53" s="23" t="s">
        <v>80</v>
      </c>
      <c r="C53" s="49">
        <f>AVERAGE('22.07 Bwaise-Kawempe'!C53,'23.07 Bwaise-Kawempe'!C53,'24.07 Bwaise-Kawempe'!C53,'25.07 Bwaise-Kawempe'!C53,'26.07 Bwaise-Kawempe-24h'!C53,'27.07 Bwaise-Kawempe-24h'!C53,'28.07 Bwaise-Kawempe'!C53)</f>
        <v>41.571428571428569</v>
      </c>
      <c r="D53" s="49">
        <f>AVERAGE('22.07 Bwaise-Kawempe'!D53,'23.07 Bwaise-Kawempe'!D53,'24.07 Bwaise-Kawempe'!D53,'25.07 Bwaise-Kawempe'!D53,'26.07 Bwaise-Kawempe-24h'!D53,'27.07 Bwaise-Kawempe-24h'!D53,'28.07 Bwaise-Kawempe'!D53)</f>
        <v>5.4285714285714288</v>
      </c>
      <c r="E53" s="49">
        <f>AVERAGE('22.07 Bwaise-Kawempe'!E53,'23.07 Bwaise-Kawempe'!E53,'24.07 Bwaise-Kawempe'!E53,'25.07 Bwaise-Kawempe'!E53,'26.07 Bwaise-Kawempe-24h'!E53,'27.07 Bwaise-Kawempe-24h'!E53,'28.07 Bwaise-Kawempe'!E53)</f>
        <v>5.1428571428571432</v>
      </c>
      <c r="F53" s="49">
        <f>AVERAGE('22.07 Bwaise-Kawempe'!F53,'23.07 Bwaise-Kawempe'!F53,'24.07 Bwaise-Kawempe'!F53,'25.07 Bwaise-Kawempe'!F53,'26.07 Bwaise-Kawempe-24h'!F53,'27.07 Bwaise-Kawempe-24h'!F53,'28.07 Bwaise-Kawempe'!F53)</f>
        <v>34.142857142857146</v>
      </c>
      <c r="G53" s="49">
        <f>AVERAGE('22.07 Bwaise-Kawempe'!G53,'23.07 Bwaise-Kawempe'!G53,'24.07 Bwaise-Kawempe'!G53,'25.07 Bwaise-Kawempe'!G53,'26.07 Bwaise-Kawempe-24h'!G53,'27.07 Bwaise-Kawempe-24h'!G53,'28.07 Bwaise-Kawempe'!G53)</f>
        <v>1.8571428571428572</v>
      </c>
      <c r="H53" s="49">
        <f>AVERAGE('22.07 Bwaise-Kawempe'!H53,'23.07 Bwaise-Kawempe'!H53,'24.07 Bwaise-Kawempe'!H53,'25.07 Bwaise-Kawempe'!H53,'26.07 Bwaise-Kawempe-24h'!H53,'27.07 Bwaise-Kawempe-24h'!H53,'28.07 Bwaise-Kawempe'!H53)</f>
        <v>0.42857142857142855</v>
      </c>
      <c r="I53" s="49">
        <f>AVERAGE('22.07 Bwaise-Kawempe'!I53,'23.07 Bwaise-Kawempe'!I53,'24.07 Bwaise-Kawempe'!I53,'25.07 Bwaise-Kawempe'!I53,'26.07 Bwaise-Kawempe-24h'!I53,'27.07 Bwaise-Kawempe-24h'!I53,'28.07 Bwaise-Kawempe'!I53)</f>
        <v>10.428571428571429</v>
      </c>
      <c r="J53" s="49">
        <f>AVERAGE('22.07 Bwaise-Kawempe'!J53,'23.07 Bwaise-Kawempe'!J53,'24.07 Bwaise-Kawempe'!J53,'25.07 Bwaise-Kawempe'!J53,'26.07 Bwaise-Kawempe-24h'!J53,'27.07 Bwaise-Kawempe-24h'!J53,'28.07 Bwaise-Kawempe'!J53)</f>
        <v>4.2857142857142856</v>
      </c>
      <c r="K53" s="49">
        <f>AVERAGE('22.07 Bwaise-Kawempe'!K53,'23.07 Bwaise-Kawempe'!K53,'24.07 Bwaise-Kawempe'!K53,'25.07 Bwaise-Kawempe'!K53,'26.07 Bwaise-Kawempe-24h'!K53,'27.07 Bwaise-Kawempe-24h'!K53,'28.07 Bwaise-Kawempe'!K53)</f>
        <v>1.7142857142857142</v>
      </c>
      <c r="L53" s="49">
        <f>AVERAGE('22.07 Bwaise-Kawempe'!L53,'23.07 Bwaise-Kawempe'!L53,'24.07 Bwaise-Kawempe'!L53,'25.07 Bwaise-Kawempe'!L53,'26.07 Bwaise-Kawempe-24h'!L53,'27.07 Bwaise-Kawempe-24h'!L53,'28.07 Bwaise-Kawempe'!L53)</f>
        <v>4.7142857142857144</v>
      </c>
      <c r="M53" s="49">
        <f>AVERAGE('22.07 Bwaise-Kawempe'!M53,'23.07 Bwaise-Kawempe'!M53,'24.07 Bwaise-Kawempe'!M53,'25.07 Bwaise-Kawempe'!M53,'26.07 Bwaise-Kawempe-24h'!M53,'27.07 Bwaise-Kawempe-24h'!M53,'28.07 Bwaise-Kawempe'!M53)</f>
        <v>127.28571428571429</v>
      </c>
      <c r="N53" s="49">
        <f>AVERAGE('22.07 Bwaise-Kawempe'!N53,'23.07 Bwaise-Kawempe'!N53,'24.07 Bwaise-Kawempe'!N53,'25.07 Bwaise-Kawempe'!N53,'26.07 Bwaise-Kawempe-24h'!N53,'27.07 Bwaise-Kawempe-24h'!N53,'28.07 Bwaise-Kawempe'!N53)</f>
        <v>0</v>
      </c>
      <c r="O53" s="15">
        <f t="shared" si="0"/>
        <v>109.71428571428572</v>
      </c>
      <c r="P53" s="15">
        <f t="shared" si="1"/>
        <v>237</v>
      </c>
      <c r="R53" s="8"/>
      <c r="T53"/>
    </row>
    <row r="54" spans="2:20" ht="23.1" customHeight="1" x14ac:dyDescent="0.25">
      <c r="B54" s="23" t="s">
        <v>81</v>
      </c>
      <c r="C54" s="49">
        <f>AVERAGE('22.07 Bwaise-Kawempe'!C54,'23.07 Bwaise-Kawempe'!C54,'24.07 Bwaise-Kawempe'!C54,'25.07 Bwaise-Kawempe'!C54,'26.07 Bwaise-Kawempe-24h'!C54,'27.07 Bwaise-Kawempe-24h'!C54,'28.07 Bwaise-Kawempe'!C54)</f>
        <v>52.428571428571431</v>
      </c>
      <c r="D54" s="49">
        <f>AVERAGE('22.07 Bwaise-Kawempe'!D54,'23.07 Bwaise-Kawempe'!D54,'24.07 Bwaise-Kawempe'!D54,'25.07 Bwaise-Kawempe'!D54,'26.07 Bwaise-Kawempe-24h'!D54,'27.07 Bwaise-Kawempe-24h'!D54,'28.07 Bwaise-Kawempe'!D54)</f>
        <v>6.2857142857142856</v>
      </c>
      <c r="E54" s="49">
        <f>AVERAGE('22.07 Bwaise-Kawempe'!E54,'23.07 Bwaise-Kawempe'!E54,'24.07 Bwaise-Kawempe'!E54,'25.07 Bwaise-Kawempe'!E54,'26.07 Bwaise-Kawempe-24h'!E54,'27.07 Bwaise-Kawempe-24h'!E54,'28.07 Bwaise-Kawempe'!E54)</f>
        <v>3.7142857142857144</v>
      </c>
      <c r="F54" s="49">
        <f>AVERAGE('22.07 Bwaise-Kawempe'!F54,'23.07 Bwaise-Kawempe'!F54,'24.07 Bwaise-Kawempe'!F54,'25.07 Bwaise-Kawempe'!F54,'26.07 Bwaise-Kawempe-24h'!F54,'27.07 Bwaise-Kawempe-24h'!F54,'28.07 Bwaise-Kawempe'!F54)</f>
        <v>42.428571428571431</v>
      </c>
      <c r="G54" s="49">
        <f>AVERAGE('22.07 Bwaise-Kawempe'!G54,'23.07 Bwaise-Kawempe'!G54,'24.07 Bwaise-Kawempe'!G54,'25.07 Bwaise-Kawempe'!G54,'26.07 Bwaise-Kawempe-24h'!G54,'27.07 Bwaise-Kawempe-24h'!G54,'28.07 Bwaise-Kawempe'!G54)</f>
        <v>2.4285714285714284</v>
      </c>
      <c r="H54" s="49">
        <f>AVERAGE('22.07 Bwaise-Kawempe'!H54,'23.07 Bwaise-Kawempe'!H54,'24.07 Bwaise-Kawempe'!H54,'25.07 Bwaise-Kawempe'!H54,'26.07 Bwaise-Kawempe-24h'!H54,'27.07 Bwaise-Kawempe-24h'!H54,'28.07 Bwaise-Kawempe'!H54)</f>
        <v>0</v>
      </c>
      <c r="I54" s="49">
        <f>AVERAGE('22.07 Bwaise-Kawempe'!I54,'23.07 Bwaise-Kawempe'!I54,'24.07 Bwaise-Kawempe'!I54,'25.07 Bwaise-Kawempe'!I54,'26.07 Bwaise-Kawempe-24h'!I54,'27.07 Bwaise-Kawempe-24h'!I54,'28.07 Bwaise-Kawempe'!I54)</f>
        <v>11.857142857142858</v>
      </c>
      <c r="J54" s="49">
        <f>AVERAGE('22.07 Bwaise-Kawempe'!J54,'23.07 Bwaise-Kawempe'!J54,'24.07 Bwaise-Kawempe'!J54,'25.07 Bwaise-Kawempe'!J54,'26.07 Bwaise-Kawempe-24h'!J54,'27.07 Bwaise-Kawempe-24h'!J54,'28.07 Bwaise-Kawempe'!J54)</f>
        <v>2.5714285714285716</v>
      </c>
      <c r="K54" s="49">
        <f>AVERAGE('22.07 Bwaise-Kawempe'!K54,'23.07 Bwaise-Kawempe'!K54,'24.07 Bwaise-Kawempe'!K54,'25.07 Bwaise-Kawempe'!K54,'26.07 Bwaise-Kawempe-24h'!K54,'27.07 Bwaise-Kawempe-24h'!K54,'28.07 Bwaise-Kawempe'!K54)</f>
        <v>2</v>
      </c>
      <c r="L54" s="49">
        <f>AVERAGE('22.07 Bwaise-Kawempe'!L54,'23.07 Bwaise-Kawempe'!L54,'24.07 Bwaise-Kawempe'!L54,'25.07 Bwaise-Kawempe'!L54,'26.07 Bwaise-Kawempe-24h'!L54,'27.07 Bwaise-Kawempe-24h'!L54,'28.07 Bwaise-Kawempe'!L54)</f>
        <v>1.4285714285714286</v>
      </c>
      <c r="M54" s="49">
        <f>AVERAGE('22.07 Bwaise-Kawempe'!M54,'23.07 Bwaise-Kawempe'!M54,'24.07 Bwaise-Kawempe'!M54,'25.07 Bwaise-Kawempe'!M54,'26.07 Bwaise-Kawempe-24h'!M54,'27.07 Bwaise-Kawempe-24h'!M54,'28.07 Bwaise-Kawempe'!M54)</f>
        <v>140.42857142857142</v>
      </c>
      <c r="N54" s="49">
        <f>AVERAGE('22.07 Bwaise-Kawempe'!N54,'23.07 Bwaise-Kawempe'!N54,'24.07 Bwaise-Kawempe'!N54,'25.07 Bwaise-Kawempe'!N54,'26.07 Bwaise-Kawempe-24h'!N54,'27.07 Bwaise-Kawempe-24h'!N54,'28.07 Bwaise-Kawempe'!N54)</f>
        <v>0</v>
      </c>
      <c r="O54" s="15">
        <f t="shared" si="0"/>
        <v>125.14285714285715</v>
      </c>
      <c r="P54" s="15">
        <f t="shared" si="1"/>
        <v>265.57142857142856</v>
      </c>
      <c r="R54" s="8"/>
      <c r="T54"/>
    </row>
    <row r="55" spans="2:20" ht="23.1" customHeight="1" x14ac:dyDescent="0.25">
      <c r="B55" s="23" t="s">
        <v>82</v>
      </c>
      <c r="C55" s="49">
        <f>AVERAGE('22.07 Bwaise-Kawempe'!C55,'23.07 Bwaise-Kawempe'!C55,'24.07 Bwaise-Kawempe'!C55,'25.07 Bwaise-Kawempe'!C55,'26.07 Bwaise-Kawempe-24h'!C55,'27.07 Bwaise-Kawempe-24h'!C55,'28.07 Bwaise-Kawempe'!C55)</f>
        <v>42.571428571428569</v>
      </c>
      <c r="D55" s="49">
        <f>AVERAGE('22.07 Bwaise-Kawempe'!D55,'23.07 Bwaise-Kawempe'!D55,'24.07 Bwaise-Kawempe'!D55,'25.07 Bwaise-Kawempe'!D55,'26.07 Bwaise-Kawempe-24h'!D55,'27.07 Bwaise-Kawempe-24h'!D55,'28.07 Bwaise-Kawempe'!D55)</f>
        <v>5.4285714285714288</v>
      </c>
      <c r="E55" s="49">
        <f>AVERAGE('22.07 Bwaise-Kawempe'!E55,'23.07 Bwaise-Kawempe'!E55,'24.07 Bwaise-Kawempe'!E55,'25.07 Bwaise-Kawempe'!E55,'26.07 Bwaise-Kawempe-24h'!E55,'27.07 Bwaise-Kawempe-24h'!E55,'28.07 Bwaise-Kawempe'!E55)</f>
        <v>3.1428571428571428</v>
      </c>
      <c r="F55" s="49">
        <f>AVERAGE('22.07 Bwaise-Kawempe'!F55,'23.07 Bwaise-Kawempe'!F55,'24.07 Bwaise-Kawempe'!F55,'25.07 Bwaise-Kawempe'!F55,'26.07 Bwaise-Kawempe-24h'!F55,'27.07 Bwaise-Kawempe-24h'!F55,'28.07 Bwaise-Kawempe'!F55)</f>
        <v>33.285714285714285</v>
      </c>
      <c r="G55" s="49">
        <f>AVERAGE('22.07 Bwaise-Kawempe'!G55,'23.07 Bwaise-Kawempe'!G55,'24.07 Bwaise-Kawempe'!G55,'25.07 Bwaise-Kawempe'!G55,'26.07 Bwaise-Kawempe-24h'!G55,'27.07 Bwaise-Kawempe-24h'!G55,'28.07 Bwaise-Kawempe'!G55)</f>
        <v>1.1428571428571428</v>
      </c>
      <c r="H55" s="49">
        <f>AVERAGE('22.07 Bwaise-Kawempe'!H55,'23.07 Bwaise-Kawempe'!H55,'24.07 Bwaise-Kawempe'!H55,'25.07 Bwaise-Kawempe'!H55,'26.07 Bwaise-Kawempe-24h'!H55,'27.07 Bwaise-Kawempe-24h'!H55,'28.07 Bwaise-Kawempe'!H55)</f>
        <v>0.42857142857142855</v>
      </c>
      <c r="I55" s="49">
        <f>AVERAGE('22.07 Bwaise-Kawempe'!I55,'23.07 Bwaise-Kawempe'!I55,'24.07 Bwaise-Kawempe'!I55,'25.07 Bwaise-Kawempe'!I55,'26.07 Bwaise-Kawempe-24h'!I55,'27.07 Bwaise-Kawempe-24h'!I55,'28.07 Bwaise-Kawempe'!I55)</f>
        <v>9.4285714285714288</v>
      </c>
      <c r="J55" s="49">
        <f>AVERAGE('22.07 Bwaise-Kawempe'!J55,'23.07 Bwaise-Kawempe'!J55,'24.07 Bwaise-Kawempe'!J55,'25.07 Bwaise-Kawempe'!J55,'26.07 Bwaise-Kawempe-24h'!J55,'27.07 Bwaise-Kawempe-24h'!J55,'28.07 Bwaise-Kawempe'!J55)</f>
        <v>2.7142857142857144</v>
      </c>
      <c r="K55" s="49">
        <f>AVERAGE('22.07 Bwaise-Kawempe'!K55,'23.07 Bwaise-Kawempe'!K55,'24.07 Bwaise-Kawempe'!K55,'25.07 Bwaise-Kawempe'!K55,'26.07 Bwaise-Kawempe-24h'!K55,'27.07 Bwaise-Kawempe-24h'!K55,'28.07 Bwaise-Kawempe'!K55)</f>
        <v>1.5714285714285714</v>
      </c>
      <c r="L55" s="49">
        <f>AVERAGE('22.07 Bwaise-Kawempe'!L55,'23.07 Bwaise-Kawempe'!L55,'24.07 Bwaise-Kawempe'!L55,'25.07 Bwaise-Kawempe'!L55,'26.07 Bwaise-Kawempe-24h'!L55,'27.07 Bwaise-Kawempe-24h'!L55,'28.07 Bwaise-Kawempe'!L55)</f>
        <v>2.1428571428571428</v>
      </c>
      <c r="M55" s="49">
        <f>AVERAGE('22.07 Bwaise-Kawempe'!M55,'23.07 Bwaise-Kawempe'!M55,'24.07 Bwaise-Kawempe'!M55,'25.07 Bwaise-Kawempe'!M55,'26.07 Bwaise-Kawempe-24h'!M55,'27.07 Bwaise-Kawempe-24h'!M55,'28.07 Bwaise-Kawempe'!M55)</f>
        <v>160</v>
      </c>
      <c r="N55" s="49">
        <f>AVERAGE('22.07 Bwaise-Kawempe'!N55,'23.07 Bwaise-Kawempe'!N55,'24.07 Bwaise-Kawempe'!N55,'25.07 Bwaise-Kawempe'!N55,'26.07 Bwaise-Kawempe-24h'!N55,'27.07 Bwaise-Kawempe-24h'!N55,'28.07 Bwaise-Kawempe'!N55)</f>
        <v>0</v>
      </c>
      <c r="O55" s="15">
        <f t="shared" si="0"/>
        <v>101.85714285714285</v>
      </c>
      <c r="P55" s="15">
        <f t="shared" si="1"/>
        <v>261.85714285714283</v>
      </c>
      <c r="R55" s="8"/>
      <c r="T55"/>
    </row>
    <row r="56" spans="2:20" ht="23.1" customHeight="1" x14ac:dyDescent="0.25">
      <c r="B56" s="23" t="s">
        <v>83</v>
      </c>
      <c r="C56" s="49">
        <f>AVERAGE('22.07 Bwaise-Kawempe'!C56,'23.07 Bwaise-Kawempe'!C56,'24.07 Bwaise-Kawempe'!C56,'25.07 Bwaise-Kawempe'!C56,'26.07 Bwaise-Kawempe-24h'!C56,'27.07 Bwaise-Kawempe-24h'!C56,'28.07 Bwaise-Kawempe'!C56)</f>
        <v>39.285714285714285</v>
      </c>
      <c r="D56" s="49">
        <f>AVERAGE('22.07 Bwaise-Kawempe'!D56,'23.07 Bwaise-Kawempe'!D56,'24.07 Bwaise-Kawempe'!D56,'25.07 Bwaise-Kawempe'!D56,'26.07 Bwaise-Kawempe-24h'!D56,'27.07 Bwaise-Kawempe-24h'!D56,'28.07 Bwaise-Kawempe'!D56)</f>
        <v>5.8571428571428568</v>
      </c>
      <c r="E56" s="49">
        <f>AVERAGE('22.07 Bwaise-Kawempe'!E56,'23.07 Bwaise-Kawempe'!E56,'24.07 Bwaise-Kawempe'!E56,'25.07 Bwaise-Kawempe'!E56,'26.07 Bwaise-Kawempe-24h'!E56,'27.07 Bwaise-Kawempe-24h'!E56,'28.07 Bwaise-Kawempe'!E56)</f>
        <v>5.1428571428571432</v>
      </c>
      <c r="F56" s="49">
        <f>AVERAGE('22.07 Bwaise-Kawempe'!F56,'23.07 Bwaise-Kawempe'!F56,'24.07 Bwaise-Kawempe'!F56,'25.07 Bwaise-Kawempe'!F56,'26.07 Bwaise-Kawempe-24h'!F56,'27.07 Bwaise-Kawempe-24h'!F56,'28.07 Bwaise-Kawempe'!F56)</f>
        <v>32.142857142857146</v>
      </c>
      <c r="G56" s="49">
        <f>AVERAGE('22.07 Bwaise-Kawempe'!G56,'23.07 Bwaise-Kawempe'!G56,'24.07 Bwaise-Kawempe'!G56,'25.07 Bwaise-Kawempe'!G56,'26.07 Bwaise-Kawempe-24h'!G56,'27.07 Bwaise-Kawempe-24h'!G56,'28.07 Bwaise-Kawempe'!G56)</f>
        <v>1.7142857142857142</v>
      </c>
      <c r="H56" s="49">
        <f>AVERAGE('22.07 Bwaise-Kawempe'!H56,'23.07 Bwaise-Kawempe'!H56,'24.07 Bwaise-Kawempe'!H56,'25.07 Bwaise-Kawempe'!H56,'26.07 Bwaise-Kawempe-24h'!H56,'27.07 Bwaise-Kawempe-24h'!H56,'28.07 Bwaise-Kawempe'!H56)</f>
        <v>0.2857142857142857</v>
      </c>
      <c r="I56" s="49">
        <f>AVERAGE('22.07 Bwaise-Kawempe'!I56,'23.07 Bwaise-Kawempe'!I56,'24.07 Bwaise-Kawempe'!I56,'25.07 Bwaise-Kawempe'!I56,'26.07 Bwaise-Kawempe-24h'!I56,'27.07 Bwaise-Kawempe-24h'!I56,'28.07 Bwaise-Kawempe'!I56)</f>
        <v>11</v>
      </c>
      <c r="J56" s="49">
        <f>AVERAGE('22.07 Bwaise-Kawempe'!J56,'23.07 Bwaise-Kawempe'!J56,'24.07 Bwaise-Kawempe'!J56,'25.07 Bwaise-Kawempe'!J56,'26.07 Bwaise-Kawempe-24h'!J56,'27.07 Bwaise-Kawempe-24h'!J56,'28.07 Bwaise-Kawempe'!J56)</f>
        <v>3.5714285714285716</v>
      </c>
      <c r="K56" s="49">
        <f>AVERAGE('22.07 Bwaise-Kawempe'!K56,'23.07 Bwaise-Kawempe'!K56,'24.07 Bwaise-Kawempe'!K56,'25.07 Bwaise-Kawempe'!K56,'26.07 Bwaise-Kawempe-24h'!K56,'27.07 Bwaise-Kawempe-24h'!K56,'28.07 Bwaise-Kawempe'!K56)</f>
        <v>1.2857142857142858</v>
      </c>
      <c r="L56" s="49">
        <f>AVERAGE('22.07 Bwaise-Kawempe'!L56,'23.07 Bwaise-Kawempe'!L56,'24.07 Bwaise-Kawempe'!L56,'25.07 Bwaise-Kawempe'!L56,'26.07 Bwaise-Kawempe-24h'!L56,'27.07 Bwaise-Kawempe-24h'!L56,'28.07 Bwaise-Kawempe'!L56)</f>
        <v>3.4285714285714284</v>
      </c>
      <c r="M56" s="49">
        <f>AVERAGE('22.07 Bwaise-Kawempe'!M56,'23.07 Bwaise-Kawempe'!M56,'24.07 Bwaise-Kawempe'!M56,'25.07 Bwaise-Kawempe'!M56,'26.07 Bwaise-Kawempe-24h'!M56,'27.07 Bwaise-Kawempe-24h'!M56,'28.07 Bwaise-Kawempe'!M56)</f>
        <v>149.28571428571428</v>
      </c>
      <c r="N56" s="49">
        <f>AVERAGE('22.07 Bwaise-Kawempe'!N56,'23.07 Bwaise-Kawempe'!N56,'24.07 Bwaise-Kawempe'!N56,'25.07 Bwaise-Kawempe'!N56,'26.07 Bwaise-Kawempe-24h'!N56,'27.07 Bwaise-Kawempe-24h'!N56,'28.07 Bwaise-Kawempe'!N56)</f>
        <v>0</v>
      </c>
      <c r="O56" s="15">
        <f t="shared" si="0"/>
        <v>103.71428571428572</v>
      </c>
      <c r="P56" s="15">
        <f t="shared" si="1"/>
        <v>253</v>
      </c>
      <c r="R56" s="8"/>
      <c r="T56"/>
    </row>
    <row r="57" spans="2:20" ht="23.1" customHeight="1" x14ac:dyDescent="0.25">
      <c r="B57" s="23" t="s">
        <v>84</v>
      </c>
      <c r="C57" s="49">
        <f>AVERAGE('22.07 Bwaise-Kawempe'!C57,'23.07 Bwaise-Kawempe'!C57,'24.07 Bwaise-Kawempe'!C57,'25.07 Bwaise-Kawempe'!C57,'26.07 Bwaise-Kawempe-24h'!C57,'27.07 Bwaise-Kawempe-24h'!C57,'28.07 Bwaise-Kawempe'!C57)</f>
        <v>43.714285714285715</v>
      </c>
      <c r="D57" s="49">
        <f>AVERAGE('22.07 Bwaise-Kawempe'!D57,'23.07 Bwaise-Kawempe'!D57,'24.07 Bwaise-Kawempe'!D57,'25.07 Bwaise-Kawempe'!D57,'26.07 Bwaise-Kawempe-24h'!D57,'27.07 Bwaise-Kawempe-24h'!D57,'28.07 Bwaise-Kawempe'!D57)</f>
        <v>3.5714285714285716</v>
      </c>
      <c r="E57" s="49">
        <f>AVERAGE('22.07 Bwaise-Kawempe'!E57,'23.07 Bwaise-Kawempe'!E57,'24.07 Bwaise-Kawempe'!E57,'25.07 Bwaise-Kawempe'!E57,'26.07 Bwaise-Kawempe-24h'!E57,'27.07 Bwaise-Kawempe-24h'!E57,'28.07 Bwaise-Kawempe'!E57)</f>
        <v>4</v>
      </c>
      <c r="F57" s="49">
        <f>AVERAGE('22.07 Bwaise-Kawempe'!F57,'23.07 Bwaise-Kawempe'!F57,'24.07 Bwaise-Kawempe'!F57,'25.07 Bwaise-Kawempe'!F57,'26.07 Bwaise-Kawempe-24h'!F57,'27.07 Bwaise-Kawempe-24h'!F57,'28.07 Bwaise-Kawempe'!F57)</f>
        <v>26.857142857142858</v>
      </c>
      <c r="G57" s="49">
        <f>AVERAGE('22.07 Bwaise-Kawempe'!G57,'23.07 Bwaise-Kawempe'!G57,'24.07 Bwaise-Kawempe'!G57,'25.07 Bwaise-Kawempe'!G57,'26.07 Bwaise-Kawempe-24h'!G57,'27.07 Bwaise-Kawempe-24h'!G57,'28.07 Bwaise-Kawempe'!G57)</f>
        <v>1.5714285714285714</v>
      </c>
      <c r="H57" s="49">
        <f>AVERAGE('22.07 Bwaise-Kawempe'!H57,'23.07 Bwaise-Kawempe'!H57,'24.07 Bwaise-Kawempe'!H57,'25.07 Bwaise-Kawempe'!H57,'26.07 Bwaise-Kawempe-24h'!H57,'27.07 Bwaise-Kawempe-24h'!H57,'28.07 Bwaise-Kawempe'!H57)</f>
        <v>0.5714285714285714</v>
      </c>
      <c r="I57" s="49">
        <f>AVERAGE('22.07 Bwaise-Kawempe'!I57,'23.07 Bwaise-Kawempe'!I57,'24.07 Bwaise-Kawempe'!I57,'25.07 Bwaise-Kawempe'!I57,'26.07 Bwaise-Kawempe-24h'!I57,'27.07 Bwaise-Kawempe-24h'!I57,'28.07 Bwaise-Kawempe'!I57)</f>
        <v>8.1428571428571423</v>
      </c>
      <c r="J57" s="49">
        <f>AVERAGE('22.07 Bwaise-Kawempe'!J57,'23.07 Bwaise-Kawempe'!J57,'24.07 Bwaise-Kawempe'!J57,'25.07 Bwaise-Kawempe'!J57,'26.07 Bwaise-Kawempe-24h'!J57,'27.07 Bwaise-Kawempe-24h'!J57,'28.07 Bwaise-Kawempe'!J57)</f>
        <v>2.1428571428571428</v>
      </c>
      <c r="K57" s="49">
        <f>AVERAGE('22.07 Bwaise-Kawempe'!K57,'23.07 Bwaise-Kawempe'!K57,'24.07 Bwaise-Kawempe'!K57,'25.07 Bwaise-Kawempe'!K57,'26.07 Bwaise-Kawempe-24h'!K57,'27.07 Bwaise-Kawempe-24h'!K57,'28.07 Bwaise-Kawempe'!K57)</f>
        <v>2.2857142857142856</v>
      </c>
      <c r="L57" s="49">
        <f>AVERAGE('22.07 Bwaise-Kawempe'!L57,'23.07 Bwaise-Kawempe'!L57,'24.07 Bwaise-Kawempe'!L57,'25.07 Bwaise-Kawempe'!L57,'26.07 Bwaise-Kawempe-24h'!L57,'27.07 Bwaise-Kawempe-24h'!L57,'28.07 Bwaise-Kawempe'!L57)</f>
        <v>3.1428571428571428</v>
      </c>
      <c r="M57" s="49">
        <f>AVERAGE('22.07 Bwaise-Kawempe'!M57,'23.07 Bwaise-Kawempe'!M57,'24.07 Bwaise-Kawempe'!M57,'25.07 Bwaise-Kawempe'!M57,'26.07 Bwaise-Kawempe-24h'!M57,'27.07 Bwaise-Kawempe-24h'!M57,'28.07 Bwaise-Kawempe'!M57)</f>
        <v>177.14285714285714</v>
      </c>
      <c r="N57" s="49">
        <f>AVERAGE('22.07 Bwaise-Kawempe'!N57,'23.07 Bwaise-Kawempe'!N57,'24.07 Bwaise-Kawempe'!N57,'25.07 Bwaise-Kawempe'!N57,'26.07 Bwaise-Kawempe-24h'!N57,'27.07 Bwaise-Kawempe-24h'!N57,'28.07 Bwaise-Kawempe'!N57)</f>
        <v>0</v>
      </c>
      <c r="O57" s="15">
        <f t="shared" si="0"/>
        <v>95.999999999999986</v>
      </c>
      <c r="P57" s="15">
        <f t="shared" si="1"/>
        <v>273.14285714285711</v>
      </c>
      <c r="R57" s="8"/>
      <c r="T57"/>
    </row>
    <row r="58" spans="2:20" ht="23.1" customHeight="1" x14ac:dyDescent="0.25">
      <c r="B58" s="23" t="s">
        <v>99</v>
      </c>
      <c r="C58" s="49">
        <f>AVERAGE('26.07 Bwaise-Kawempe-24h'!C58,'27.07 Bwaise-Kawempe-24h'!C58)</f>
        <v>8</v>
      </c>
      <c r="D58" s="49">
        <f>AVERAGE('26.07 Bwaise-Kawempe-24h'!D58,'27.07 Bwaise-Kawempe-24h'!D58)</f>
        <v>2.5</v>
      </c>
      <c r="E58" s="49">
        <f>AVERAGE('26.07 Bwaise-Kawempe-24h'!E58,'27.07 Bwaise-Kawempe-24h'!E58)</f>
        <v>0</v>
      </c>
      <c r="F58" s="49">
        <f>AVERAGE('26.07 Bwaise-Kawempe-24h'!F58,'27.07 Bwaise-Kawempe-24h'!F58)</f>
        <v>13</v>
      </c>
      <c r="G58" s="49">
        <f>AVERAGE('26.07 Bwaise-Kawempe-24h'!G58,'27.07 Bwaise-Kawempe-24h'!G58)</f>
        <v>4</v>
      </c>
      <c r="H58" s="49">
        <f>AVERAGE('26.07 Bwaise-Kawempe-24h'!H58,'27.07 Bwaise-Kawempe-24h'!H58)</f>
        <v>0.5</v>
      </c>
      <c r="I58" s="49">
        <f>AVERAGE('26.07 Bwaise-Kawempe-24h'!I58,'27.07 Bwaise-Kawempe-24h'!I58)</f>
        <v>1</v>
      </c>
      <c r="J58" s="49">
        <f>AVERAGE('26.07 Bwaise-Kawempe-24h'!J58,'27.07 Bwaise-Kawempe-24h'!J58)</f>
        <v>0.5</v>
      </c>
      <c r="K58" s="49">
        <f>AVERAGE('26.07 Bwaise-Kawempe-24h'!K58,'27.07 Bwaise-Kawempe-24h'!K58)</f>
        <v>0.5</v>
      </c>
      <c r="L58" s="49">
        <f>AVERAGE('26.07 Bwaise-Kawempe-24h'!L58,'27.07 Bwaise-Kawempe-24h'!L58)</f>
        <v>1</v>
      </c>
      <c r="M58" s="49">
        <f>AVERAGE('26.07 Bwaise-Kawempe-24h'!M58,'27.07 Bwaise-Kawempe-24h'!M58)</f>
        <v>41.5</v>
      </c>
      <c r="N58" s="49">
        <f>AVERAGE('26.07 Bwaise-Kawempe-24h'!N58,'27.07 Bwaise-Kawempe-24h'!N58)</f>
        <v>0</v>
      </c>
      <c r="O58" s="15">
        <f t="shared" si="0"/>
        <v>31</v>
      </c>
      <c r="P58" s="15">
        <f t="shared" si="1"/>
        <v>72.5</v>
      </c>
      <c r="R58" s="8"/>
      <c r="T58"/>
    </row>
    <row r="59" spans="2:20" ht="23.1" customHeight="1" x14ac:dyDescent="0.25">
      <c r="B59" s="23" t="s">
        <v>100</v>
      </c>
      <c r="C59" s="49">
        <f>AVERAGE('26.07 Bwaise-Kawempe-24h'!C59,'27.07 Bwaise-Kawempe-24h'!C59)</f>
        <v>5.5</v>
      </c>
      <c r="D59" s="49">
        <f>AVERAGE('26.07 Bwaise-Kawempe-24h'!D59,'27.07 Bwaise-Kawempe-24h'!D59)</f>
        <v>0.5</v>
      </c>
      <c r="E59" s="49">
        <f>AVERAGE('26.07 Bwaise-Kawempe-24h'!E59,'27.07 Bwaise-Kawempe-24h'!E59)</f>
        <v>0</v>
      </c>
      <c r="F59" s="49">
        <f>AVERAGE('26.07 Bwaise-Kawempe-24h'!F59,'27.07 Bwaise-Kawempe-24h'!F59)</f>
        <v>15.5</v>
      </c>
      <c r="G59" s="49">
        <f>AVERAGE('26.07 Bwaise-Kawempe-24h'!G59,'27.07 Bwaise-Kawempe-24h'!G59)</f>
        <v>0.5</v>
      </c>
      <c r="H59" s="49">
        <f>AVERAGE('26.07 Bwaise-Kawempe-24h'!H59,'27.07 Bwaise-Kawempe-24h'!H59)</f>
        <v>0.5</v>
      </c>
      <c r="I59" s="49">
        <f>AVERAGE('26.07 Bwaise-Kawempe-24h'!I59,'27.07 Bwaise-Kawempe-24h'!I59)</f>
        <v>0.5</v>
      </c>
      <c r="J59" s="49">
        <f>AVERAGE('26.07 Bwaise-Kawempe-24h'!J59,'27.07 Bwaise-Kawempe-24h'!J59)</f>
        <v>1.5</v>
      </c>
      <c r="K59" s="49">
        <f>AVERAGE('26.07 Bwaise-Kawempe-24h'!K59,'27.07 Bwaise-Kawempe-24h'!K59)</f>
        <v>2.5</v>
      </c>
      <c r="L59" s="49">
        <f>AVERAGE('26.07 Bwaise-Kawempe-24h'!L59,'27.07 Bwaise-Kawempe-24h'!L59)</f>
        <v>0.5</v>
      </c>
      <c r="M59" s="49">
        <f>AVERAGE('26.07 Bwaise-Kawempe-24h'!M59,'27.07 Bwaise-Kawempe-24h'!M59)</f>
        <v>60.5</v>
      </c>
      <c r="N59" s="49">
        <f>AVERAGE('26.07 Bwaise-Kawempe-24h'!N59,'27.07 Bwaise-Kawempe-24h'!N59)</f>
        <v>0</v>
      </c>
      <c r="O59" s="15">
        <f t="shared" si="0"/>
        <v>27.5</v>
      </c>
      <c r="P59" s="15">
        <f t="shared" si="1"/>
        <v>88</v>
      </c>
      <c r="R59" s="8"/>
      <c r="T59"/>
    </row>
    <row r="60" spans="2:20" ht="23.1" customHeight="1" x14ac:dyDescent="0.25">
      <c r="B60" s="23" t="s">
        <v>101</v>
      </c>
      <c r="C60" s="49">
        <f>AVERAGE('26.07 Bwaise-Kawempe-24h'!C60,'27.07 Bwaise-Kawempe-24h'!C60)</f>
        <v>6.5</v>
      </c>
      <c r="D60" s="49">
        <f>AVERAGE('26.07 Bwaise-Kawempe-24h'!D60,'27.07 Bwaise-Kawempe-24h'!D60)</f>
        <v>0.5</v>
      </c>
      <c r="E60" s="49">
        <f>AVERAGE('26.07 Bwaise-Kawempe-24h'!E60,'27.07 Bwaise-Kawempe-24h'!E60)</f>
        <v>0.5</v>
      </c>
      <c r="F60" s="49">
        <f>AVERAGE('26.07 Bwaise-Kawempe-24h'!F60,'27.07 Bwaise-Kawempe-24h'!F60)</f>
        <v>10.5</v>
      </c>
      <c r="G60" s="49">
        <f>AVERAGE('26.07 Bwaise-Kawempe-24h'!G60,'27.07 Bwaise-Kawempe-24h'!G60)</f>
        <v>0.5</v>
      </c>
      <c r="H60" s="49">
        <f>AVERAGE('26.07 Bwaise-Kawempe-24h'!H60,'27.07 Bwaise-Kawempe-24h'!H60)</f>
        <v>0.5</v>
      </c>
      <c r="I60" s="49">
        <f>AVERAGE('26.07 Bwaise-Kawempe-24h'!I60,'27.07 Bwaise-Kawempe-24h'!I60)</f>
        <v>0.5</v>
      </c>
      <c r="J60" s="49">
        <f>AVERAGE('26.07 Bwaise-Kawempe-24h'!J60,'27.07 Bwaise-Kawempe-24h'!J60)</f>
        <v>2</v>
      </c>
      <c r="K60" s="49">
        <f>AVERAGE('26.07 Bwaise-Kawempe-24h'!K60,'27.07 Bwaise-Kawempe-24h'!K60)</f>
        <v>1</v>
      </c>
      <c r="L60" s="49">
        <f>AVERAGE('26.07 Bwaise-Kawempe-24h'!L60,'27.07 Bwaise-Kawempe-24h'!L60)</f>
        <v>0</v>
      </c>
      <c r="M60" s="49">
        <f>AVERAGE('26.07 Bwaise-Kawempe-24h'!M60,'27.07 Bwaise-Kawempe-24h'!M60)</f>
        <v>52.5</v>
      </c>
      <c r="N60" s="49">
        <f>AVERAGE('26.07 Bwaise-Kawempe-24h'!N60,'27.07 Bwaise-Kawempe-24h'!N60)</f>
        <v>0</v>
      </c>
      <c r="O60" s="15">
        <f t="shared" si="0"/>
        <v>22.5</v>
      </c>
      <c r="P60" s="15">
        <f t="shared" si="1"/>
        <v>75</v>
      </c>
      <c r="R60" s="8"/>
      <c r="T60"/>
    </row>
    <row r="61" spans="2:20" ht="23.1" customHeight="1" x14ac:dyDescent="0.25">
      <c r="B61" s="23" t="s">
        <v>102</v>
      </c>
      <c r="C61" s="49">
        <f>AVERAGE('26.07 Bwaise-Kawempe-24h'!C61,'27.07 Bwaise-Kawempe-24h'!C61)</f>
        <v>36.5</v>
      </c>
      <c r="D61" s="49">
        <f>AVERAGE('26.07 Bwaise-Kawempe-24h'!D61,'27.07 Bwaise-Kawempe-24h'!D61)</f>
        <v>1</v>
      </c>
      <c r="E61" s="49">
        <f>AVERAGE('26.07 Bwaise-Kawempe-24h'!E61,'27.07 Bwaise-Kawempe-24h'!E61)</f>
        <v>4</v>
      </c>
      <c r="F61" s="49">
        <f>AVERAGE('26.07 Bwaise-Kawempe-24h'!F61,'27.07 Bwaise-Kawempe-24h'!F61)</f>
        <v>21.5</v>
      </c>
      <c r="G61" s="49">
        <f>AVERAGE('26.07 Bwaise-Kawempe-24h'!G61,'27.07 Bwaise-Kawempe-24h'!G61)</f>
        <v>0.5</v>
      </c>
      <c r="H61" s="49">
        <f>AVERAGE('26.07 Bwaise-Kawempe-24h'!H61,'27.07 Bwaise-Kawempe-24h'!H61)</f>
        <v>0.5</v>
      </c>
      <c r="I61" s="49">
        <f>AVERAGE('26.07 Bwaise-Kawempe-24h'!I61,'27.07 Bwaise-Kawempe-24h'!I61)</f>
        <v>8.5</v>
      </c>
      <c r="J61" s="49">
        <f>AVERAGE('26.07 Bwaise-Kawempe-24h'!J61,'27.07 Bwaise-Kawempe-24h'!J61)</f>
        <v>3</v>
      </c>
      <c r="K61" s="49">
        <f>AVERAGE('26.07 Bwaise-Kawempe-24h'!K61,'27.07 Bwaise-Kawempe-24h'!K61)</f>
        <v>1.5</v>
      </c>
      <c r="L61" s="49">
        <f>AVERAGE('26.07 Bwaise-Kawempe-24h'!L61,'27.07 Bwaise-Kawempe-24h'!L61)</f>
        <v>0.5</v>
      </c>
      <c r="M61" s="49">
        <f>AVERAGE('26.07 Bwaise-Kawempe-24h'!M61,'27.07 Bwaise-Kawempe-24h'!M61)</f>
        <v>177.5</v>
      </c>
      <c r="N61" s="49">
        <f>AVERAGE('26.07 Bwaise-Kawempe-24h'!N61,'27.07 Bwaise-Kawempe-24h'!N61)</f>
        <v>0</v>
      </c>
      <c r="O61" s="15">
        <f t="shared" si="0"/>
        <v>77.5</v>
      </c>
      <c r="P61" s="15">
        <f t="shared" si="1"/>
        <v>255</v>
      </c>
      <c r="R61" s="8"/>
      <c r="T61"/>
    </row>
    <row r="62" spans="2:20" ht="23.1" customHeight="1" x14ac:dyDescent="0.25">
      <c r="B62" s="23" t="s">
        <v>107</v>
      </c>
      <c r="C62" s="49">
        <f>AVERAGE('26.07 Bwaise-Kawempe-24h'!C62,'27.07 Bwaise-Kawempe-24h'!C62)</f>
        <v>35</v>
      </c>
      <c r="D62" s="49">
        <f>AVERAGE('26.07 Bwaise-Kawempe-24h'!D62,'27.07 Bwaise-Kawempe-24h'!D62)</f>
        <v>2</v>
      </c>
      <c r="E62" s="49">
        <f>AVERAGE('26.07 Bwaise-Kawempe-24h'!E62,'27.07 Bwaise-Kawempe-24h'!E62)</f>
        <v>1.5</v>
      </c>
      <c r="F62" s="49">
        <f>AVERAGE('26.07 Bwaise-Kawempe-24h'!F62,'27.07 Bwaise-Kawempe-24h'!F62)</f>
        <v>10.5</v>
      </c>
      <c r="G62" s="49">
        <f>AVERAGE('26.07 Bwaise-Kawempe-24h'!G62,'27.07 Bwaise-Kawempe-24h'!G62)</f>
        <v>0.5</v>
      </c>
      <c r="H62" s="49">
        <f>AVERAGE('26.07 Bwaise-Kawempe-24h'!H62,'27.07 Bwaise-Kawempe-24h'!H62)</f>
        <v>0</v>
      </c>
      <c r="I62" s="49">
        <f>AVERAGE('26.07 Bwaise-Kawempe-24h'!I62,'27.07 Bwaise-Kawempe-24h'!I62)</f>
        <v>3</v>
      </c>
      <c r="J62" s="49">
        <f>AVERAGE('26.07 Bwaise-Kawempe-24h'!J62,'27.07 Bwaise-Kawempe-24h'!J62)</f>
        <v>3</v>
      </c>
      <c r="K62" s="49">
        <f>AVERAGE('26.07 Bwaise-Kawempe-24h'!K62,'27.07 Bwaise-Kawempe-24h'!K62)</f>
        <v>3.5</v>
      </c>
      <c r="L62" s="49">
        <f>AVERAGE('26.07 Bwaise-Kawempe-24h'!L62,'27.07 Bwaise-Kawempe-24h'!L62)</f>
        <v>2.5</v>
      </c>
      <c r="M62" s="49">
        <f>AVERAGE('26.07 Bwaise-Kawempe-24h'!M62,'27.07 Bwaise-Kawempe-24h'!M62)</f>
        <v>117.5</v>
      </c>
      <c r="N62" s="49">
        <f>AVERAGE('26.07 Bwaise-Kawempe-24h'!N62,'27.07 Bwaise-Kawempe-24h'!N62)</f>
        <v>0</v>
      </c>
      <c r="O62" s="15">
        <f t="shared" si="0"/>
        <v>61.5</v>
      </c>
      <c r="P62" s="15">
        <f t="shared" si="1"/>
        <v>179</v>
      </c>
      <c r="R62" s="8"/>
      <c r="T62"/>
    </row>
    <row r="63" spans="2:20" ht="23.1" customHeight="1" x14ac:dyDescent="0.25">
      <c r="B63" s="23" t="s">
        <v>108</v>
      </c>
      <c r="C63" s="49">
        <f>AVERAGE('26.07 Bwaise-Kawempe-24h'!C63,'27.07 Bwaise-Kawempe-24h'!C63)</f>
        <v>31</v>
      </c>
      <c r="D63" s="49">
        <f>AVERAGE('26.07 Bwaise-Kawempe-24h'!D63,'27.07 Bwaise-Kawempe-24h'!D63)</f>
        <v>2</v>
      </c>
      <c r="E63" s="49">
        <f>AVERAGE('26.07 Bwaise-Kawempe-24h'!E63,'27.07 Bwaise-Kawempe-24h'!E63)</f>
        <v>2</v>
      </c>
      <c r="F63" s="49">
        <f>AVERAGE('26.07 Bwaise-Kawempe-24h'!F63,'27.07 Bwaise-Kawempe-24h'!F63)</f>
        <v>18.5</v>
      </c>
      <c r="G63" s="49">
        <f>AVERAGE('26.07 Bwaise-Kawempe-24h'!G63,'27.07 Bwaise-Kawempe-24h'!G63)</f>
        <v>1.5</v>
      </c>
      <c r="H63" s="49">
        <f>AVERAGE('26.07 Bwaise-Kawempe-24h'!H63,'27.07 Bwaise-Kawempe-24h'!H63)</f>
        <v>1.5</v>
      </c>
      <c r="I63" s="49">
        <f>AVERAGE('26.07 Bwaise-Kawempe-24h'!I63,'27.07 Bwaise-Kawempe-24h'!I63)</f>
        <v>4</v>
      </c>
      <c r="J63" s="49">
        <f>AVERAGE('26.07 Bwaise-Kawempe-24h'!J63,'27.07 Bwaise-Kawempe-24h'!J63)</f>
        <v>2</v>
      </c>
      <c r="K63" s="49">
        <f>AVERAGE('26.07 Bwaise-Kawempe-24h'!K63,'27.07 Bwaise-Kawempe-24h'!K63)</f>
        <v>0.5</v>
      </c>
      <c r="L63" s="49">
        <f>AVERAGE('26.07 Bwaise-Kawempe-24h'!L63,'27.07 Bwaise-Kawempe-24h'!L63)</f>
        <v>1</v>
      </c>
      <c r="M63" s="49">
        <f>AVERAGE('26.07 Bwaise-Kawempe-24h'!M63,'27.07 Bwaise-Kawempe-24h'!M63)</f>
        <v>190</v>
      </c>
      <c r="N63" s="49">
        <f>AVERAGE('26.07 Bwaise-Kawempe-24h'!N63,'27.07 Bwaise-Kawempe-24h'!N63)</f>
        <v>0</v>
      </c>
      <c r="O63" s="15">
        <f t="shared" si="0"/>
        <v>64</v>
      </c>
      <c r="P63" s="15">
        <f t="shared" si="1"/>
        <v>254</v>
      </c>
      <c r="R63" s="8"/>
      <c r="T63"/>
    </row>
    <row r="64" spans="2:20" ht="23.1" customHeight="1" x14ac:dyDescent="0.25">
      <c r="B64" s="23" t="s">
        <v>109</v>
      </c>
      <c r="C64" s="49">
        <f>AVERAGE('26.07 Bwaise-Kawempe-24h'!C64,'27.07 Bwaise-Kawempe-24h'!C64)</f>
        <v>32</v>
      </c>
      <c r="D64" s="49">
        <f>AVERAGE('26.07 Bwaise-Kawempe-24h'!D64,'27.07 Bwaise-Kawempe-24h'!D64)</f>
        <v>2.5</v>
      </c>
      <c r="E64" s="49">
        <f>AVERAGE('26.07 Bwaise-Kawempe-24h'!E64,'27.07 Bwaise-Kawempe-24h'!E64)</f>
        <v>1.5</v>
      </c>
      <c r="F64" s="49">
        <f>AVERAGE('26.07 Bwaise-Kawempe-24h'!F64,'27.07 Bwaise-Kawempe-24h'!F64)</f>
        <v>23</v>
      </c>
      <c r="G64" s="49">
        <f>AVERAGE('26.07 Bwaise-Kawempe-24h'!G64,'27.07 Bwaise-Kawempe-24h'!G64)</f>
        <v>1</v>
      </c>
      <c r="H64" s="49">
        <f>AVERAGE('26.07 Bwaise-Kawempe-24h'!H64,'27.07 Bwaise-Kawempe-24h'!H64)</f>
        <v>0</v>
      </c>
      <c r="I64" s="49">
        <f>AVERAGE('26.07 Bwaise-Kawempe-24h'!I64,'27.07 Bwaise-Kawempe-24h'!I64)</f>
        <v>6.5</v>
      </c>
      <c r="J64" s="49">
        <f>AVERAGE('26.07 Bwaise-Kawempe-24h'!J64,'27.07 Bwaise-Kawempe-24h'!J64)</f>
        <v>4</v>
      </c>
      <c r="K64" s="49">
        <f>AVERAGE('26.07 Bwaise-Kawempe-24h'!K64,'27.07 Bwaise-Kawempe-24h'!K64)</f>
        <v>2</v>
      </c>
      <c r="L64" s="49">
        <f>AVERAGE('26.07 Bwaise-Kawempe-24h'!L64,'27.07 Bwaise-Kawempe-24h'!L64)</f>
        <v>2.5</v>
      </c>
      <c r="M64" s="49">
        <f>AVERAGE('26.07 Bwaise-Kawempe-24h'!M64,'27.07 Bwaise-Kawempe-24h'!M64)</f>
        <v>155</v>
      </c>
      <c r="N64" s="49">
        <f>AVERAGE('26.07 Bwaise-Kawempe-24h'!N64,'27.07 Bwaise-Kawempe-24h'!N64)</f>
        <v>0</v>
      </c>
      <c r="O64" s="15">
        <f t="shared" si="0"/>
        <v>75</v>
      </c>
      <c r="P64" s="15">
        <f t="shared" si="1"/>
        <v>230</v>
      </c>
      <c r="R64" s="8"/>
      <c r="T64"/>
    </row>
    <row r="65" spans="2:20" ht="23.1" customHeight="1" x14ac:dyDescent="0.25">
      <c r="B65" s="23" t="s">
        <v>158</v>
      </c>
      <c r="C65" s="49">
        <f>AVERAGE('26.07 Bwaise-Kawempe-24h'!C65,'27.07 Bwaise-Kawempe-24h'!C65)</f>
        <v>52</v>
      </c>
      <c r="D65" s="49">
        <f>AVERAGE('26.07 Bwaise-Kawempe-24h'!D65,'27.07 Bwaise-Kawempe-24h'!D65)</f>
        <v>2.5</v>
      </c>
      <c r="E65" s="49">
        <f>AVERAGE('26.07 Bwaise-Kawempe-24h'!E65,'27.07 Bwaise-Kawempe-24h'!E65)</f>
        <v>5</v>
      </c>
      <c r="F65" s="49">
        <f>AVERAGE('26.07 Bwaise-Kawempe-24h'!F65,'27.07 Bwaise-Kawempe-24h'!F65)</f>
        <v>36.5</v>
      </c>
      <c r="G65" s="49">
        <f>AVERAGE('26.07 Bwaise-Kawempe-24h'!G65,'27.07 Bwaise-Kawempe-24h'!G65)</f>
        <v>1</v>
      </c>
      <c r="H65" s="49">
        <f>AVERAGE('26.07 Bwaise-Kawempe-24h'!H65,'27.07 Bwaise-Kawempe-24h'!H65)</f>
        <v>0.5</v>
      </c>
      <c r="I65" s="49">
        <f>AVERAGE('26.07 Bwaise-Kawempe-24h'!I65,'27.07 Bwaise-Kawempe-24h'!I65)</f>
        <v>10.5</v>
      </c>
      <c r="J65" s="49">
        <f>AVERAGE('26.07 Bwaise-Kawempe-24h'!J65,'27.07 Bwaise-Kawempe-24h'!J65)</f>
        <v>4</v>
      </c>
      <c r="K65" s="49">
        <f>AVERAGE('26.07 Bwaise-Kawempe-24h'!K65,'27.07 Bwaise-Kawempe-24h'!K65)</f>
        <v>2</v>
      </c>
      <c r="L65" s="49">
        <f>AVERAGE('26.07 Bwaise-Kawempe-24h'!L65,'27.07 Bwaise-Kawempe-24h'!L65)</f>
        <v>1.5</v>
      </c>
      <c r="M65" s="49">
        <f>AVERAGE('26.07 Bwaise-Kawempe-24h'!M65,'27.07 Bwaise-Kawempe-24h'!M65)</f>
        <v>180</v>
      </c>
      <c r="N65" s="49">
        <f>AVERAGE('26.07 Bwaise-Kawempe-24h'!N65,'27.07 Bwaise-Kawempe-24h'!N65)</f>
        <v>0</v>
      </c>
      <c r="O65" s="15">
        <f t="shared" si="0"/>
        <v>115.5</v>
      </c>
      <c r="P65" s="15">
        <f t="shared" si="1"/>
        <v>295.5</v>
      </c>
      <c r="R65" s="8"/>
      <c r="T65"/>
    </row>
    <row r="66" spans="2:20" ht="23.1" customHeight="1" x14ac:dyDescent="0.25">
      <c r="B66" s="23" t="s">
        <v>103</v>
      </c>
      <c r="C66" s="49">
        <f>AVERAGE('26.07 Bwaise-Kawempe-24h'!C66,'27.07 Bwaise-Kawempe-24h'!C66)</f>
        <v>33.5</v>
      </c>
      <c r="D66" s="49">
        <f>AVERAGE('26.07 Bwaise-Kawempe-24h'!D66,'27.07 Bwaise-Kawempe-24h'!D66)</f>
        <v>0.5</v>
      </c>
      <c r="E66" s="49">
        <f>AVERAGE('26.07 Bwaise-Kawempe-24h'!E66,'27.07 Bwaise-Kawempe-24h'!E66)</f>
        <v>6</v>
      </c>
      <c r="F66" s="49">
        <f>AVERAGE('26.07 Bwaise-Kawempe-24h'!F66,'27.07 Bwaise-Kawempe-24h'!F66)</f>
        <v>23.5</v>
      </c>
      <c r="G66" s="49">
        <f>AVERAGE('26.07 Bwaise-Kawempe-24h'!G66,'27.07 Bwaise-Kawempe-24h'!G66)</f>
        <v>1.5</v>
      </c>
      <c r="H66" s="49">
        <f>AVERAGE('26.07 Bwaise-Kawempe-24h'!H66,'27.07 Bwaise-Kawempe-24h'!H66)</f>
        <v>0</v>
      </c>
      <c r="I66" s="49">
        <f>AVERAGE('26.07 Bwaise-Kawempe-24h'!I66,'27.07 Bwaise-Kawempe-24h'!I66)</f>
        <v>5</v>
      </c>
      <c r="J66" s="49">
        <f>AVERAGE('26.07 Bwaise-Kawempe-24h'!J66,'27.07 Bwaise-Kawempe-24h'!J66)</f>
        <v>2</v>
      </c>
      <c r="K66" s="49">
        <f>AVERAGE('26.07 Bwaise-Kawempe-24h'!K66,'27.07 Bwaise-Kawempe-24h'!K66)</f>
        <v>1.5</v>
      </c>
      <c r="L66" s="49">
        <f>AVERAGE('26.07 Bwaise-Kawempe-24h'!L66,'27.07 Bwaise-Kawempe-24h'!L66)</f>
        <v>1</v>
      </c>
      <c r="M66" s="49">
        <f>AVERAGE('26.07 Bwaise-Kawempe-24h'!M66,'27.07 Bwaise-Kawempe-24h'!M66)</f>
        <v>165</v>
      </c>
      <c r="N66" s="49">
        <f>AVERAGE('26.07 Bwaise-Kawempe-24h'!N66,'27.07 Bwaise-Kawempe-24h'!N66)</f>
        <v>0</v>
      </c>
      <c r="O66" s="15">
        <f t="shared" si="0"/>
        <v>74.5</v>
      </c>
      <c r="P66" s="15">
        <f t="shared" si="1"/>
        <v>239.5</v>
      </c>
      <c r="R66" s="8"/>
      <c r="T66"/>
    </row>
    <row r="67" spans="2:20" ht="23.1" customHeight="1" x14ac:dyDescent="0.25">
      <c r="B67" s="23" t="s">
        <v>104</v>
      </c>
      <c r="C67" s="49">
        <f>AVERAGE('26.07 Bwaise-Kawempe-24h'!C67,'27.07 Bwaise-Kawempe-24h'!C67)</f>
        <v>20</v>
      </c>
      <c r="D67" s="49">
        <f>AVERAGE('26.07 Bwaise-Kawempe-24h'!D67,'27.07 Bwaise-Kawempe-24h'!D67)</f>
        <v>2</v>
      </c>
      <c r="E67" s="49">
        <f>AVERAGE('26.07 Bwaise-Kawempe-24h'!E67,'27.07 Bwaise-Kawempe-24h'!E67)</f>
        <v>4.5</v>
      </c>
      <c r="F67" s="49">
        <f>AVERAGE('26.07 Bwaise-Kawempe-24h'!F67,'27.07 Bwaise-Kawempe-24h'!F67)</f>
        <v>17.5</v>
      </c>
      <c r="G67" s="49">
        <f>AVERAGE('26.07 Bwaise-Kawempe-24h'!G67,'27.07 Bwaise-Kawempe-24h'!G67)</f>
        <v>2</v>
      </c>
      <c r="H67" s="49">
        <f>AVERAGE('26.07 Bwaise-Kawempe-24h'!H67,'27.07 Bwaise-Kawempe-24h'!H67)</f>
        <v>0.5</v>
      </c>
      <c r="I67" s="49">
        <f>AVERAGE('26.07 Bwaise-Kawempe-24h'!I67,'27.07 Bwaise-Kawempe-24h'!I67)</f>
        <v>2</v>
      </c>
      <c r="J67" s="49">
        <f>AVERAGE('26.07 Bwaise-Kawempe-24h'!J67,'27.07 Bwaise-Kawempe-24h'!J67)</f>
        <v>4.5</v>
      </c>
      <c r="K67" s="49">
        <f>AVERAGE('26.07 Bwaise-Kawempe-24h'!K67,'27.07 Bwaise-Kawempe-24h'!K67)</f>
        <v>0</v>
      </c>
      <c r="L67" s="49">
        <f>AVERAGE('26.07 Bwaise-Kawempe-24h'!L67,'27.07 Bwaise-Kawempe-24h'!L67)</f>
        <v>1</v>
      </c>
      <c r="M67" s="49">
        <f>AVERAGE('26.07 Bwaise-Kawempe-24h'!M67,'27.07 Bwaise-Kawempe-24h'!M67)</f>
        <v>162.5</v>
      </c>
      <c r="N67" s="49">
        <f>AVERAGE('26.07 Bwaise-Kawempe-24h'!N67,'27.07 Bwaise-Kawempe-24h'!N67)</f>
        <v>0</v>
      </c>
      <c r="O67" s="15">
        <f t="shared" si="0"/>
        <v>54</v>
      </c>
      <c r="P67" s="15">
        <f t="shared" si="1"/>
        <v>216.5</v>
      </c>
      <c r="R67" s="8"/>
      <c r="T67"/>
    </row>
    <row r="68" spans="2:20" ht="23.1" customHeight="1" x14ac:dyDescent="0.25">
      <c r="B68" s="23" t="s">
        <v>105</v>
      </c>
      <c r="C68" s="49">
        <f>AVERAGE('26.07 Bwaise-Kawempe-24h'!C68,'27.07 Bwaise-Kawempe-24h'!C68)</f>
        <v>53.5</v>
      </c>
      <c r="D68" s="49">
        <f>AVERAGE('26.07 Bwaise-Kawempe-24h'!D68,'27.07 Bwaise-Kawempe-24h'!D68)</f>
        <v>1</v>
      </c>
      <c r="E68" s="49">
        <f>AVERAGE('26.07 Bwaise-Kawempe-24h'!E68,'27.07 Bwaise-Kawempe-24h'!E68)</f>
        <v>5</v>
      </c>
      <c r="F68" s="49">
        <f>AVERAGE('26.07 Bwaise-Kawempe-24h'!F68,'27.07 Bwaise-Kawempe-24h'!F68)</f>
        <v>30.5</v>
      </c>
      <c r="G68" s="49">
        <f>AVERAGE('26.07 Bwaise-Kawempe-24h'!G68,'27.07 Bwaise-Kawempe-24h'!G68)</f>
        <v>2.5</v>
      </c>
      <c r="H68" s="49">
        <f>AVERAGE('26.07 Bwaise-Kawempe-24h'!H68,'27.07 Bwaise-Kawempe-24h'!H68)</f>
        <v>1</v>
      </c>
      <c r="I68" s="49">
        <f>AVERAGE('26.07 Bwaise-Kawempe-24h'!I68,'27.07 Bwaise-Kawempe-24h'!I68)</f>
        <v>5.5</v>
      </c>
      <c r="J68" s="49">
        <f>AVERAGE('26.07 Bwaise-Kawempe-24h'!J68,'27.07 Bwaise-Kawempe-24h'!J68)</f>
        <v>4.5</v>
      </c>
      <c r="K68" s="49">
        <f>AVERAGE('26.07 Bwaise-Kawempe-24h'!K68,'27.07 Bwaise-Kawempe-24h'!K68)</f>
        <v>2.5</v>
      </c>
      <c r="L68" s="49">
        <f>AVERAGE('26.07 Bwaise-Kawempe-24h'!L68,'27.07 Bwaise-Kawempe-24h'!L68)</f>
        <v>1</v>
      </c>
      <c r="M68" s="49">
        <f>AVERAGE('26.07 Bwaise-Kawempe-24h'!M68,'27.07 Bwaise-Kawempe-24h'!M68)</f>
        <v>157.5</v>
      </c>
      <c r="N68" s="49">
        <f>AVERAGE('26.07 Bwaise-Kawempe-24h'!N68,'27.07 Bwaise-Kawempe-24h'!N68)</f>
        <v>0</v>
      </c>
      <c r="O68" s="15">
        <f t="shared" si="0"/>
        <v>107</v>
      </c>
      <c r="P68" s="15">
        <f t="shared" si="1"/>
        <v>264.5</v>
      </c>
      <c r="R68" s="8"/>
      <c r="T68"/>
    </row>
    <row r="69" spans="2:20" ht="23.1" customHeight="1" x14ac:dyDescent="0.25">
      <c r="B69" s="23" t="s">
        <v>106</v>
      </c>
      <c r="C69" s="49">
        <f>AVERAGE('26.07 Bwaise-Kawempe-24h'!C69,'27.07 Bwaise-Kawempe-24h'!C69)</f>
        <v>64.5</v>
      </c>
      <c r="D69" s="49">
        <f>AVERAGE('26.07 Bwaise-Kawempe-24h'!D69,'27.07 Bwaise-Kawempe-24h'!D69)</f>
        <v>2.5</v>
      </c>
      <c r="E69" s="49">
        <f>AVERAGE('26.07 Bwaise-Kawempe-24h'!E69,'27.07 Bwaise-Kawempe-24h'!E69)</f>
        <v>2</v>
      </c>
      <c r="F69" s="49">
        <f>AVERAGE('26.07 Bwaise-Kawempe-24h'!F69,'27.07 Bwaise-Kawempe-24h'!F69)</f>
        <v>43</v>
      </c>
      <c r="G69" s="49">
        <f>AVERAGE('26.07 Bwaise-Kawempe-24h'!G69,'27.07 Bwaise-Kawempe-24h'!G69)</f>
        <v>2.5</v>
      </c>
      <c r="H69" s="49">
        <f>AVERAGE('26.07 Bwaise-Kawempe-24h'!H69,'27.07 Bwaise-Kawempe-24h'!H69)</f>
        <v>0.5</v>
      </c>
      <c r="I69" s="49">
        <f>AVERAGE('26.07 Bwaise-Kawempe-24h'!I69,'27.07 Bwaise-Kawempe-24h'!I69)</f>
        <v>4.5</v>
      </c>
      <c r="J69" s="49">
        <f>AVERAGE('26.07 Bwaise-Kawempe-24h'!J69,'27.07 Bwaise-Kawempe-24h'!J69)</f>
        <v>4</v>
      </c>
      <c r="K69" s="49">
        <f>AVERAGE('26.07 Bwaise-Kawempe-24h'!K69,'27.07 Bwaise-Kawempe-24h'!K69)</f>
        <v>2</v>
      </c>
      <c r="L69" s="49">
        <f>AVERAGE('26.07 Bwaise-Kawempe-24h'!L69,'27.07 Bwaise-Kawempe-24h'!L69)</f>
        <v>2</v>
      </c>
      <c r="M69" s="49">
        <f>AVERAGE('26.07 Bwaise-Kawempe-24h'!M69,'27.07 Bwaise-Kawempe-24h'!M69)</f>
        <v>169.5</v>
      </c>
      <c r="N69" s="49">
        <f>AVERAGE('26.07 Bwaise-Kawempe-24h'!N69,'27.07 Bwaise-Kawempe-24h'!N69)</f>
        <v>0</v>
      </c>
      <c r="O69" s="15">
        <f t="shared" si="0"/>
        <v>127.5</v>
      </c>
      <c r="P69" s="15">
        <f t="shared" si="1"/>
        <v>297</v>
      </c>
      <c r="R69" s="8"/>
      <c r="T69"/>
    </row>
    <row r="70" spans="2:20" ht="23.1" customHeight="1" x14ac:dyDescent="0.25">
      <c r="B70" s="23" t="s">
        <v>110</v>
      </c>
      <c r="C70" s="49">
        <f>AVERAGE('26.07 Bwaise-Kawempe-24h'!C70,'27.07 Bwaise-Kawempe-24h'!C70)</f>
        <v>50.5</v>
      </c>
      <c r="D70" s="49">
        <f>AVERAGE('26.07 Bwaise-Kawempe-24h'!D70,'27.07 Bwaise-Kawempe-24h'!D70)</f>
        <v>2</v>
      </c>
      <c r="E70" s="49">
        <f>AVERAGE('26.07 Bwaise-Kawempe-24h'!E70,'27.07 Bwaise-Kawempe-24h'!E70)</f>
        <v>3</v>
      </c>
      <c r="F70" s="49">
        <f>AVERAGE('26.07 Bwaise-Kawempe-24h'!F70,'27.07 Bwaise-Kawempe-24h'!F70)</f>
        <v>36.5</v>
      </c>
      <c r="G70" s="49">
        <f>AVERAGE('26.07 Bwaise-Kawempe-24h'!G70,'27.07 Bwaise-Kawempe-24h'!G70)</f>
        <v>3</v>
      </c>
      <c r="H70" s="49">
        <f>AVERAGE('26.07 Bwaise-Kawempe-24h'!H70,'27.07 Bwaise-Kawempe-24h'!H70)</f>
        <v>0</v>
      </c>
      <c r="I70" s="49">
        <f>AVERAGE('26.07 Bwaise-Kawempe-24h'!I70,'27.07 Bwaise-Kawempe-24h'!I70)</f>
        <v>4</v>
      </c>
      <c r="J70" s="49">
        <f>AVERAGE('26.07 Bwaise-Kawempe-24h'!J70,'27.07 Bwaise-Kawempe-24h'!J70)</f>
        <v>1.5</v>
      </c>
      <c r="K70" s="49">
        <f>AVERAGE('26.07 Bwaise-Kawempe-24h'!K70,'27.07 Bwaise-Kawempe-24h'!K70)</f>
        <v>1.5</v>
      </c>
      <c r="L70" s="49">
        <f>AVERAGE('26.07 Bwaise-Kawempe-24h'!L70,'27.07 Bwaise-Kawempe-24h'!L70)</f>
        <v>2</v>
      </c>
      <c r="M70" s="49">
        <f>AVERAGE('26.07 Bwaise-Kawempe-24h'!M70,'27.07 Bwaise-Kawempe-24h'!M70)</f>
        <v>170</v>
      </c>
      <c r="N70" s="49">
        <f>AVERAGE('26.07 Bwaise-Kawempe-24h'!N70,'27.07 Bwaise-Kawempe-24h'!N70)</f>
        <v>0</v>
      </c>
      <c r="O70" s="15">
        <f t="shared" si="0"/>
        <v>104</v>
      </c>
      <c r="P70" s="15">
        <f t="shared" si="1"/>
        <v>274</v>
      </c>
      <c r="R70" s="8"/>
      <c r="T70"/>
    </row>
    <row r="71" spans="2:20" ht="23.1" customHeight="1" x14ac:dyDescent="0.25">
      <c r="B71" s="23" t="s">
        <v>111</v>
      </c>
      <c r="C71" s="49">
        <f>AVERAGE('26.07 Bwaise-Kawempe-24h'!C71,'27.07 Bwaise-Kawempe-24h'!C71)</f>
        <v>58.5</v>
      </c>
      <c r="D71" s="49">
        <f>AVERAGE('26.07 Bwaise-Kawempe-24h'!D71,'27.07 Bwaise-Kawempe-24h'!D71)</f>
        <v>1</v>
      </c>
      <c r="E71" s="49">
        <f>AVERAGE('26.07 Bwaise-Kawempe-24h'!E71,'27.07 Bwaise-Kawempe-24h'!E71)</f>
        <v>4.5</v>
      </c>
      <c r="F71" s="49">
        <f>AVERAGE('26.07 Bwaise-Kawempe-24h'!F71,'27.07 Bwaise-Kawempe-24h'!F71)</f>
        <v>31</v>
      </c>
      <c r="G71" s="49">
        <f>AVERAGE('26.07 Bwaise-Kawempe-24h'!G71,'27.07 Bwaise-Kawempe-24h'!G71)</f>
        <v>4.5</v>
      </c>
      <c r="H71" s="49">
        <f>AVERAGE('26.07 Bwaise-Kawempe-24h'!H71,'27.07 Bwaise-Kawempe-24h'!H71)</f>
        <v>1.5</v>
      </c>
      <c r="I71" s="49">
        <f>AVERAGE('26.07 Bwaise-Kawempe-24h'!I71,'27.07 Bwaise-Kawempe-24h'!I71)</f>
        <v>8</v>
      </c>
      <c r="J71" s="49">
        <f>AVERAGE('26.07 Bwaise-Kawempe-24h'!J71,'27.07 Bwaise-Kawempe-24h'!J71)</f>
        <v>2.5</v>
      </c>
      <c r="K71" s="49">
        <f>AVERAGE('26.07 Bwaise-Kawempe-24h'!K71,'27.07 Bwaise-Kawempe-24h'!K71)</f>
        <v>3</v>
      </c>
      <c r="L71" s="49">
        <f>AVERAGE('26.07 Bwaise-Kawempe-24h'!L71,'27.07 Bwaise-Kawempe-24h'!L71)</f>
        <v>0.5</v>
      </c>
      <c r="M71" s="49">
        <f>AVERAGE('26.07 Bwaise-Kawempe-24h'!M71,'27.07 Bwaise-Kawempe-24h'!M71)</f>
        <v>170</v>
      </c>
      <c r="N71" s="49">
        <f>AVERAGE('26.07 Bwaise-Kawempe-24h'!N71,'27.07 Bwaise-Kawempe-24h'!N71)</f>
        <v>0</v>
      </c>
      <c r="O71" s="15">
        <f t="shared" si="0"/>
        <v>115</v>
      </c>
      <c r="P71" s="15">
        <f t="shared" si="1"/>
        <v>285</v>
      </c>
      <c r="R71" s="8"/>
      <c r="T71"/>
    </row>
    <row r="72" spans="2:20" ht="23.1" customHeight="1" x14ac:dyDescent="0.25">
      <c r="B72" s="23" t="s">
        <v>112</v>
      </c>
      <c r="C72" s="49">
        <f>AVERAGE('26.07 Bwaise-Kawempe-24h'!C72,'27.07 Bwaise-Kawempe-24h'!C72)</f>
        <v>45.5</v>
      </c>
      <c r="D72" s="49">
        <f>AVERAGE('26.07 Bwaise-Kawempe-24h'!D72,'27.07 Bwaise-Kawempe-24h'!D72)</f>
        <v>2</v>
      </c>
      <c r="E72" s="49">
        <f>AVERAGE('26.07 Bwaise-Kawempe-24h'!E72,'27.07 Bwaise-Kawempe-24h'!E72)</f>
        <v>2</v>
      </c>
      <c r="F72" s="49">
        <f>AVERAGE('26.07 Bwaise-Kawempe-24h'!F72,'27.07 Bwaise-Kawempe-24h'!F72)</f>
        <v>28</v>
      </c>
      <c r="G72" s="49">
        <f>AVERAGE('26.07 Bwaise-Kawempe-24h'!G72,'27.07 Bwaise-Kawempe-24h'!G72)</f>
        <v>1</v>
      </c>
      <c r="H72" s="49">
        <f>AVERAGE('26.07 Bwaise-Kawempe-24h'!H72,'27.07 Bwaise-Kawempe-24h'!H72)</f>
        <v>0</v>
      </c>
      <c r="I72" s="49">
        <f>AVERAGE('26.07 Bwaise-Kawempe-24h'!I72,'27.07 Bwaise-Kawempe-24h'!I72)</f>
        <v>7</v>
      </c>
      <c r="J72" s="49">
        <f>AVERAGE('26.07 Bwaise-Kawempe-24h'!J72,'27.07 Bwaise-Kawempe-24h'!J72)</f>
        <v>2.5</v>
      </c>
      <c r="K72" s="49">
        <f>AVERAGE('26.07 Bwaise-Kawempe-24h'!K72,'27.07 Bwaise-Kawempe-24h'!K72)</f>
        <v>3</v>
      </c>
      <c r="L72" s="49">
        <f>AVERAGE('26.07 Bwaise-Kawempe-24h'!L72,'27.07 Bwaise-Kawempe-24h'!L72)</f>
        <v>1</v>
      </c>
      <c r="M72" s="49">
        <f>AVERAGE('26.07 Bwaise-Kawempe-24h'!M72,'27.07 Bwaise-Kawempe-24h'!M72)</f>
        <v>141.5</v>
      </c>
      <c r="N72" s="49">
        <f>AVERAGE('26.07 Bwaise-Kawempe-24h'!N72,'27.07 Bwaise-Kawempe-24h'!N72)</f>
        <v>0</v>
      </c>
      <c r="O72" s="15">
        <f t="shared" si="0"/>
        <v>92</v>
      </c>
      <c r="P72" s="15">
        <f t="shared" si="1"/>
        <v>233.5</v>
      </c>
      <c r="R72" s="8"/>
      <c r="T72"/>
    </row>
    <row r="73" spans="2:20" ht="23.1" customHeight="1" x14ac:dyDescent="0.25">
      <c r="B73" s="23" t="s">
        <v>113</v>
      </c>
      <c r="C73" s="49">
        <f>AVERAGE('26.07 Bwaise-Kawempe-24h'!C73,'27.07 Bwaise-Kawempe-24h'!C73)</f>
        <v>47.5</v>
      </c>
      <c r="D73" s="49">
        <f>AVERAGE('26.07 Bwaise-Kawempe-24h'!D73,'27.07 Bwaise-Kawempe-24h'!D73)</f>
        <v>2</v>
      </c>
      <c r="E73" s="49">
        <f>AVERAGE('26.07 Bwaise-Kawempe-24h'!E73,'27.07 Bwaise-Kawempe-24h'!E73)</f>
        <v>1.5</v>
      </c>
      <c r="F73" s="49">
        <f>AVERAGE('26.07 Bwaise-Kawempe-24h'!F73,'27.07 Bwaise-Kawempe-24h'!F73)</f>
        <v>23.5</v>
      </c>
      <c r="G73" s="49">
        <f>AVERAGE('26.07 Bwaise-Kawempe-24h'!G73,'27.07 Bwaise-Kawempe-24h'!G73)</f>
        <v>1.5</v>
      </c>
      <c r="H73" s="49">
        <f>AVERAGE('26.07 Bwaise-Kawempe-24h'!H73,'27.07 Bwaise-Kawempe-24h'!H73)</f>
        <v>1</v>
      </c>
      <c r="I73" s="49">
        <f>AVERAGE('26.07 Bwaise-Kawempe-24h'!I73,'27.07 Bwaise-Kawempe-24h'!I73)</f>
        <v>3</v>
      </c>
      <c r="J73" s="49">
        <f>AVERAGE('26.07 Bwaise-Kawempe-24h'!J73,'27.07 Bwaise-Kawempe-24h'!J73)</f>
        <v>3</v>
      </c>
      <c r="K73" s="49">
        <f>AVERAGE('26.07 Bwaise-Kawempe-24h'!K73,'27.07 Bwaise-Kawempe-24h'!K73)</f>
        <v>3.5</v>
      </c>
      <c r="L73" s="49">
        <f>AVERAGE('26.07 Bwaise-Kawempe-24h'!L73,'27.07 Bwaise-Kawempe-24h'!L73)</f>
        <v>0</v>
      </c>
      <c r="M73" s="49">
        <f>AVERAGE('26.07 Bwaise-Kawempe-24h'!M73,'27.07 Bwaise-Kawempe-24h'!M73)</f>
        <v>138.5</v>
      </c>
      <c r="N73" s="49">
        <f>AVERAGE('26.07 Bwaise-Kawempe-24h'!N73,'27.07 Bwaise-Kawempe-24h'!N73)</f>
        <v>0</v>
      </c>
      <c r="O73" s="15">
        <f t="shared" si="0"/>
        <v>86.5</v>
      </c>
      <c r="P73" s="15">
        <f t="shared" si="1"/>
        <v>225</v>
      </c>
      <c r="R73" s="8"/>
      <c r="T73"/>
    </row>
    <row r="74" spans="2:20" ht="23.1" customHeight="1" x14ac:dyDescent="0.25">
      <c r="B74" s="23" t="s">
        <v>114</v>
      </c>
      <c r="C74" s="49">
        <f>AVERAGE('26.07 Bwaise-Kawempe-24h'!C74,'27.07 Bwaise-Kawempe-24h'!C74)</f>
        <v>54.5</v>
      </c>
      <c r="D74" s="49">
        <f>AVERAGE('26.07 Bwaise-Kawempe-24h'!D74,'27.07 Bwaise-Kawempe-24h'!D74)</f>
        <v>3.5</v>
      </c>
      <c r="E74" s="49">
        <f>AVERAGE('26.07 Bwaise-Kawempe-24h'!E74,'27.07 Bwaise-Kawempe-24h'!E74)</f>
        <v>3.5</v>
      </c>
      <c r="F74" s="49">
        <f>AVERAGE('26.07 Bwaise-Kawempe-24h'!F74,'27.07 Bwaise-Kawempe-24h'!F74)</f>
        <v>26</v>
      </c>
      <c r="G74" s="49">
        <f>AVERAGE('26.07 Bwaise-Kawempe-24h'!G74,'27.07 Bwaise-Kawempe-24h'!G74)</f>
        <v>2</v>
      </c>
      <c r="H74" s="49">
        <f>AVERAGE('26.07 Bwaise-Kawempe-24h'!H74,'27.07 Bwaise-Kawempe-24h'!H74)</f>
        <v>4.5</v>
      </c>
      <c r="I74" s="49">
        <f>AVERAGE('26.07 Bwaise-Kawempe-24h'!I74,'27.07 Bwaise-Kawempe-24h'!I74)</f>
        <v>6</v>
      </c>
      <c r="J74" s="49">
        <f>AVERAGE('26.07 Bwaise-Kawempe-24h'!J74,'27.07 Bwaise-Kawempe-24h'!J74)</f>
        <v>6</v>
      </c>
      <c r="K74" s="49">
        <f>AVERAGE('26.07 Bwaise-Kawempe-24h'!K74,'27.07 Bwaise-Kawempe-24h'!K74)</f>
        <v>6</v>
      </c>
      <c r="L74" s="49">
        <f>AVERAGE('26.07 Bwaise-Kawempe-24h'!L74,'27.07 Bwaise-Kawempe-24h'!L74)</f>
        <v>0.5</v>
      </c>
      <c r="M74" s="49">
        <f>AVERAGE('26.07 Bwaise-Kawempe-24h'!M74,'27.07 Bwaise-Kawempe-24h'!M74)</f>
        <v>153.5</v>
      </c>
      <c r="N74" s="49">
        <f>AVERAGE('26.07 Bwaise-Kawempe-24h'!N74,'27.07 Bwaise-Kawempe-24h'!N74)</f>
        <v>0</v>
      </c>
      <c r="O74" s="15">
        <f t="shared" ref="O74:O105" si="35">SUM(C74:L74,N74)</f>
        <v>112.5</v>
      </c>
      <c r="P74" s="15">
        <f t="shared" ref="P74:P105" si="36">SUM(C74:N74)</f>
        <v>266</v>
      </c>
      <c r="R74" s="8"/>
      <c r="T74"/>
    </row>
    <row r="75" spans="2:20" ht="23.1" customHeight="1" x14ac:dyDescent="0.25">
      <c r="B75" s="23" t="s">
        <v>115</v>
      </c>
      <c r="C75" s="49">
        <f>AVERAGE('26.07 Bwaise-Kawempe-24h'!C75,'27.07 Bwaise-Kawempe-24h'!C75)</f>
        <v>38</v>
      </c>
      <c r="D75" s="49">
        <f>AVERAGE('26.07 Bwaise-Kawempe-24h'!D75,'27.07 Bwaise-Kawempe-24h'!D75)</f>
        <v>0</v>
      </c>
      <c r="E75" s="49">
        <f>AVERAGE('26.07 Bwaise-Kawempe-24h'!E75,'27.07 Bwaise-Kawempe-24h'!E75)</f>
        <v>3.5</v>
      </c>
      <c r="F75" s="49">
        <f>AVERAGE('26.07 Bwaise-Kawempe-24h'!F75,'27.07 Bwaise-Kawempe-24h'!F75)</f>
        <v>22.5</v>
      </c>
      <c r="G75" s="49">
        <f>AVERAGE('26.07 Bwaise-Kawempe-24h'!G75,'27.07 Bwaise-Kawempe-24h'!G75)</f>
        <v>2</v>
      </c>
      <c r="H75" s="49">
        <f>AVERAGE('26.07 Bwaise-Kawempe-24h'!H75,'27.07 Bwaise-Kawempe-24h'!H75)</f>
        <v>2</v>
      </c>
      <c r="I75" s="49">
        <f>AVERAGE('26.07 Bwaise-Kawempe-24h'!I75,'27.07 Bwaise-Kawempe-24h'!I75)</f>
        <v>4</v>
      </c>
      <c r="J75" s="49">
        <f>AVERAGE('26.07 Bwaise-Kawempe-24h'!J75,'27.07 Bwaise-Kawempe-24h'!J75)</f>
        <v>1.5</v>
      </c>
      <c r="K75" s="49">
        <f>AVERAGE('26.07 Bwaise-Kawempe-24h'!K75,'27.07 Bwaise-Kawempe-24h'!K75)</f>
        <v>2.5</v>
      </c>
      <c r="L75" s="49">
        <f>AVERAGE('26.07 Bwaise-Kawempe-24h'!L75,'27.07 Bwaise-Kawempe-24h'!L75)</f>
        <v>0</v>
      </c>
      <c r="M75" s="49">
        <f>AVERAGE('26.07 Bwaise-Kawempe-24h'!M75,'27.07 Bwaise-Kawempe-24h'!M75)</f>
        <v>128.5</v>
      </c>
      <c r="N75" s="49">
        <f>AVERAGE('26.07 Bwaise-Kawempe-24h'!N75,'27.07 Bwaise-Kawempe-24h'!N75)</f>
        <v>0</v>
      </c>
      <c r="O75" s="15">
        <f t="shared" si="35"/>
        <v>76</v>
      </c>
      <c r="P75" s="15">
        <f t="shared" si="36"/>
        <v>204.5</v>
      </c>
      <c r="R75" s="8"/>
      <c r="T75"/>
    </row>
    <row r="76" spans="2:20" ht="23.1" customHeight="1" x14ac:dyDescent="0.25">
      <c r="B76" s="23" t="s">
        <v>116</v>
      </c>
      <c r="C76" s="49">
        <f>AVERAGE('26.07 Bwaise-Kawempe-24h'!C76,'27.07 Bwaise-Kawempe-24h'!C76)</f>
        <v>35</v>
      </c>
      <c r="D76" s="49">
        <f>AVERAGE('26.07 Bwaise-Kawempe-24h'!D76,'27.07 Bwaise-Kawempe-24h'!D76)</f>
        <v>4</v>
      </c>
      <c r="E76" s="49">
        <f>AVERAGE('26.07 Bwaise-Kawempe-24h'!E76,'27.07 Bwaise-Kawempe-24h'!E76)</f>
        <v>1.5</v>
      </c>
      <c r="F76" s="49">
        <f>AVERAGE('26.07 Bwaise-Kawempe-24h'!F76,'27.07 Bwaise-Kawempe-24h'!F76)</f>
        <v>14.5</v>
      </c>
      <c r="G76" s="49">
        <f>AVERAGE('26.07 Bwaise-Kawempe-24h'!G76,'27.07 Bwaise-Kawempe-24h'!G76)</f>
        <v>0.5</v>
      </c>
      <c r="H76" s="49">
        <f>AVERAGE('26.07 Bwaise-Kawempe-24h'!H76,'27.07 Bwaise-Kawempe-24h'!H76)</f>
        <v>1.5</v>
      </c>
      <c r="I76" s="49">
        <f>AVERAGE('26.07 Bwaise-Kawempe-24h'!I76,'27.07 Bwaise-Kawempe-24h'!I76)</f>
        <v>2</v>
      </c>
      <c r="J76" s="49">
        <f>AVERAGE('26.07 Bwaise-Kawempe-24h'!J76,'27.07 Bwaise-Kawempe-24h'!J76)</f>
        <v>4.5</v>
      </c>
      <c r="K76" s="49">
        <f>AVERAGE('26.07 Bwaise-Kawempe-24h'!K76,'27.07 Bwaise-Kawempe-24h'!K76)</f>
        <v>2</v>
      </c>
      <c r="L76" s="49">
        <f>AVERAGE('26.07 Bwaise-Kawempe-24h'!L76,'27.07 Bwaise-Kawempe-24h'!L76)</f>
        <v>1</v>
      </c>
      <c r="M76" s="49">
        <f>AVERAGE('26.07 Bwaise-Kawempe-24h'!M76,'27.07 Bwaise-Kawempe-24h'!M76)</f>
        <v>127</v>
      </c>
      <c r="N76" s="49">
        <f>AVERAGE('26.07 Bwaise-Kawempe-24h'!N76,'27.07 Bwaise-Kawempe-24h'!N76)</f>
        <v>0</v>
      </c>
      <c r="O76" s="15">
        <f t="shared" si="35"/>
        <v>66.5</v>
      </c>
      <c r="P76" s="15">
        <f t="shared" si="36"/>
        <v>193.5</v>
      </c>
      <c r="R76" s="8"/>
      <c r="T76"/>
    </row>
    <row r="77" spans="2:20" ht="23.1" customHeight="1" x14ac:dyDescent="0.25">
      <c r="B77" s="23" t="s">
        <v>117</v>
      </c>
      <c r="C77" s="49">
        <f>AVERAGE('26.07 Bwaise-Kawempe-24h'!C77,'27.07 Bwaise-Kawempe-24h'!C77)</f>
        <v>49.5</v>
      </c>
      <c r="D77" s="49">
        <f>AVERAGE('26.07 Bwaise-Kawempe-24h'!D77,'27.07 Bwaise-Kawempe-24h'!D77)</f>
        <v>4.5</v>
      </c>
      <c r="E77" s="49">
        <f>AVERAGE('26.07 Bwaise-Kawempe-24h'!E77,'27.07 Bwaise-Kawempe-24h'!E77)</f>
        <v>1.5</v>
      </c>
      <c r="F77" s="49">
        <f>AVERAGE('26.07 Bwaise-Kawempe-24h'!F77,'27.07 Bwaise-Kawempe-24h'!F77)</f>
        <v>21.5</v>
      </c>
      <c r="G77" s="49">
        <f>AVERAGE('26.07 Bwaise-Kawempe-24h'!G77,'27.07 Bwaise-Kawempe-24h'!G77)</f>
        <v>0.5</v>
      </c>
      <c r="H77" s="49">
        <f>AVERAGE('26.07 Bwaise-Kawempe-24h'!H77,'27.07 Bwaise-Kawempe-24h'!H77)</f>
        <v>0</v>
      </c>
      <c r="I77" s="49">
        <f>AVERAGE('26.07 Bwaise-Kawempe-24h'!I77,'27.07 Bwaise-Kawempe-24h'!I77)</f>
        <v>5</v>
      </c>
      <c r="J77" s="49">
        <f>AVERAGE('26.07 Bwaise-Kawempe-24h'!J77,'27.07 Bwaise-Kawempe-24h'!J77)</f>
        <v>3.5</v>
      </c>
      <c r="K77" s="49">
        <f>AVERAGE('26.07 Bwaise-Kawempe-24h'!K77,'27.07 Bwaise-Kawempe-24h'!K77)</f>
        <v>2</v>
      </c>
      <c r="L77" s="49">
        <f>AVERAGE('26.07 Bwaise-Kawempe-24h'!L77,'27.07 Bwaise-Kawempe-24h'!L77)</f>
        <v>1.5</v>
      </c>
      <c r="M77" s="49">
        <f>AVERAGE('26.07 Bwaise-Kawempe-24h'!M77,'27.07 Bwaise-Kawempe-24h'!M77)</f>
        <v>96</v>
      </c>
      <c r="N77" s="49">
        <f>AVERAGE('26.07 Bwaise-Kawempe-24h'!N77,'27.07 Bwaise-Kawempe-24h'!N77)</f>
        <v>0</v>
      </c>
      <c r="O77" s="15">
        <f t="shared" si="35"/>
        <v>89.5</v>
      </c>
      <c r="P77" s="15">
        <f t="shared" si="36"/>
        <v>185.5</v>
      </c>
      <c r="R77" s="8"/>
      <c r="T77"/>
    </row>
    <row r="78" spans="2:20" ht="23.1" customHeight="1" x14ac:dyDescent="0.25">
      <c r="B78" s="24" t="s">
        <v>118</v>
      </c>
      <c r="C78" s="49">
        <f>AVERAGE('26.07 Bwaise-Kawempe-24h'!C78,'27.07 Bwaise-Kawempe-24h'!C78)</f>
        <v>18</v>
      </c>
      <c r="D78" s="49">
        <f>AVERAGE('26.07 Bwaise-Kawempe-24h'!D78,'27.07 Bwaise-Kawempe-24h'!D78)</f>
        <v>0.5</v>
      </c>
      <c r="E78" s="49">
        <f>AVERAGE('26.07 Bwaise-Kawempe-24h'!E78,'27.07 Bwaise-Kawempe-24h'!E78)</f>
        <v>0.5</v>
      </c>
      <c r="F78" s="49">
        <f>AVERAGE('26.07 Bwaise-Kawempe-24h'!F78,'27.07 Bwaise-Kawempe-24h'!F78)</f>
        <v>13</v>
      </c>
      <c r="G78" s="49">
        <f>AVERAGE('26.07 Bwaise-Kawempe-24h'!G78,'27.07 Bwaise-Kawempe-24h'!G78)</f>
        <v>0.5</v>
      </c>
      <c r="H78" s="49">
        <f>AVERAGE('26.07 Bwaise-Kawempe-24h'!H78,'27.07 Bwaise-Kawempe-24h'!H78)</f>
        <v>1</v>
      </c>
      <c r="I78" s="49">
        <f>AVERAGE('26.07 Bwaise-Kawempe-24h'!I78,'27.07 Bwaise-Kawempe-24h'!I78)</f>
        <v>4.5</v>
      </c>
      <c r="J78" s="49">
        <f>AVERAGE('26.07 Bwaise-Kawempe-24h'!J78,'27.07 Bwaise-Kawempe-24h'!J78)</f>
        <v>1.5</v>
      </c>
      <c r="K78" s="49">
        <f>AVERAGE('26.07 Bwaise-Kawempe-24h'!K78,'27.07 Bwaise-Kawempe-24h'!K78)</f>
        <v>1</v>
      </c>
      <c r="L78" s="49">
        <f>AVERAGE('26.07 Bwaise-Kawempe-24h'!L78,'27.07 Bwaise-Kawempe-24h'!L78)</f>
        <v>0</v>
      </c>
      <c r="M78" s="49">
        <f>AVERAGE('26.07 Bwaise-Kawempe-24h'!M78,'27.07 Bwaise-Kawempe-24h'!M78)</f>
        <v>64.5</v>
      </c>
      <c r="N78" s="49">
        <f>AVERAGE('26.07 Bwaise-Kawempe-24h'!N78,'27.07 Bwaise-Kawempe-24h'!N78)</f>
        <v>0</v>
      </c>
      <c r="O78" s="15">
        <f t="shared" si="35"/>
        <v>40.5</v>
      </c>
      <c r="P78" s="15">
        <f t="shared" si="36"/>
        <v>105</v>
      </c>
      <c r="R78" s="8"/>
      <c r="T78"/>
    </row>
    <row r="79" spans="2:20" ht="23.1" customHeight="1" x14ac:dyDescent="0.25">
      <c r="B79" s="23" t="s">
        <v>119</v>
      </c>
      <c r="C79" s="49">
        <f>AVERAGE('26.07 Bwaise-Kawempe-24h'!C79,'27.07 Bwaise-Kawempe-24h'!C79)</f>
        <v>10</v>
      </c>
      <c r="D79" s="49">
        <f>AVERAGE('26.07 Bwaise-Kawempe-24h'!D79,'27.07 Bwaise-Kawempe-24h'!D79)</f>
        <v>1</v>
      </c>
      <c r="E79" s="49">
        <f>AVERAGE('26.07 Bwaise-Kawempe-24h'!E79,'27.07 Bwaise-Kawempe-24h'!E79)</f>
        <v>3</v>
      </c>
      <c r="F79" s="49">
        <f>AVERAGE('26.07 Bwaise-Kawempe-24h'!F79,'27.07 Bwaise-Kawempe-24h'!F79)</f>
        <v>8</v>
      </c>
      <c r="G79" s="49">
        <f>AVERAGE('26.07 Bwaise-Kawempe-24h'!G79,'27.07 Bwaise-Kawempe-24h'!G79)</f>
        <v>0.5</v>
      </c>
      <c r="H79" s="49">
        <f>AVERAGE('26.07 Bwaise-Kawempe-24h'!H79,'27.07 Bwaise-Kawempe-24h'!H79)</f>
        <v>1.5</v>
      </c>
      <c r="I79" s="49">
        <f>AVERAGE('26.07 Bwaise-Kawempe-24h'!I79,'27.07 Bwaise-Kawempe-24h'!I79)</f>
        <v>1.5</v>
      </c>
      <c r="J79" s="49">
        <f>AVERAGE('26.07 Bwaise-Kawempe-24h'!J79,'27.07 Bwaise-Kawempe-24h'!J79)</f>
        <v>4</v>
      </c>
      <c r="K79" s="49">
        <f>AVERAGE('26.07 Bwaise-Kawempe-24h'!K79,'27.07 Bwaise-Kawempe-24h'!K79)</f>
        <v>1</v>
      </c>
      <c r="L79" s="49">
        <f>AVERAGE('26.07 Bwaise-Kawempe-24h'!L79,'27.07 Bwaise-Kawempe-24h'!L79)</f>
        <v>0</v>
      </c>
      <c r="M79" s="49">
        <f>AVERAGE('26.07 Bwaise-Kawempe-24h'!M79,'27.07 Bwaise-Kawempe-24h'!M79)</f>
        <v>32</v>
      </c>
      <c r="N79" s="49">
        <f>AVERAGE('26.07 Bwaise-Kawempe-24h'!N79,'27.07 Bwaise-Kawempe-24h'!N79)</f>
        <v>0</v>
      </c>
      <c r="O79" s="15">
        <f t="shared" si="35"/>
        <v>30.5</v>
      </c>
      <c r="P79" s="15">
        <f t="shared" si="36"/>
        <v>62.5</v>
      </c>
      <c r="R79" s="8"/>
      <c r="T79"/>
    </row>
    <row r="80" spans="2:20" ht="23.1" customHeight="1" x14ac:dyDescent="0.25">
      <c r="B80" s="25" t="s">
        <v>120</v>
      </c>
      <c r="C80" s="49">
        <f>AVERAGE('26.07 Bwaise-Kawempe-24h'!C80,'27.07 Bwaise-Kawempe-24h'!C80)</f>
        <v>17</v>
      </c>
      <c r="D80" s="49">
        <f>AVERAGE('26.07 Bwaise-Kawempe-24h'!D80,'27.07 Bwaise-Kawempe-24h'!D80)</f>
        <v>1</v>
      </c>
      <c r="E80" s="49">
        <f>AVERAGE('26.07 Bwaise-Kawempe-24h'!E80,'27.07 Bwaise-Kawempe-24h'!E80)</f>
        <v>0</v>
      </c>
      <c r="F80" s="49">
        <f>AVERAGE('26.07 Bwaise-Kawempe-24h'!F80,'27.07 Bwaise-Kawempe-24h'!F80)</f>
        <v>5.5</v>
      </c>
      <c r="G80" s="49">
        <f>AVERAGE('26.07 Bwaise-Kawempe-24h'!G80,'27.07 Bwaise-Kawempe-24h'!G80)</f>
        <v>0.5</v>
      </c>
      <c r="H80" s="49">
        <f>AVERAGE('26.07 Bwaise-Kawempe-24h'!H80,'27.07 Bwaise-Kawempe-24h'!H80)</f>
        <v>0</v>
      </c>
      <c r="I80" s="49">
        <f>AVERAGE('26.07 Bwaise-Kawempe-24h'!I80,'27.07 Bwaise-Kawempe-24h'!I80)</f>
        <v>2.5</v>
      </c>
      <c r="J80" s="49">
        <f>AVERAGE('26.07 Bwaise-Kawempe-24h'!J80,'27.07 Bwaise-Kawempe-24h'!J80)</f>
        <v>0.5</v>
      </c>
      <c r="K80" s="49">
        <f>AVERAGE('26.07 Bwaise-Kawempe-24h'!K80,'27.07 Bwaise-Kawempe-24h'!K80)</f>
        <v>1.5</v>
      </c>
      <c r="L80" s="49">
        <f>AVERAGE('26.07 Bwaise-Kawempe-24h'!L80,'27.07 Bwaise-Kawempe-24h'!L80)</f>
        <v>1.5</v>
      </c>
      <c r="M80" s="49">
        <f>AVERAGE('26.07 Bwaise-Kawempe-24h'!M80,'27.07 Bwaise-Kawempe-24h'!M80)</f>
        <v>34</v>
      </c>
      <c r="N80" s="49">
        <f>AVERAGE('26.07 Bwaise-Kawempe-24h'!N80,'27.07 Bwaise-Kawempe-24h'!N80)</f>
        <v>0</v>
      </c>
      <c r="O80" s="15">
        <f t="shared" si="35"/>
        <v>30</v>
      </c>
      <c r="P80" s="15">
        <f t="shared" si="36"/>
        <v>64</v>
      </c>
      <c r="R80" s="8"/>
      <c r="T80"/>
    </row>
    <row r="81" spans="2:20" ht="23.1" customHeight="1" x14ac:dyDescent="0.25">
      <c r="B81" s="23" t="s">
        <v>121</v>
      </c>
      <c r="C81" s="49">
        <f>AVERAGE('26.07 Bwaise-Kawempe-24h'!C81,'27.07 Bwaise-Kawempe-24h'!C81)</f>
        <v>9.5</v>
      </c>
      <c r="D81" s="49">
        <f>AVERAGE('26.07 Bwaise-Kawempe-24h'!D81,'27.07 Bwaise-Kawempe-24h'!D81)</f>
        <v>1</v>
      </c>
      <c r="E81" s="49">
        <f>AVERAGE('26.07 Bwaise-Kawempe-24h'!E81,'27.07 Bwaise-Kawempe-24h'!E81)</f>
        <v>1.5</v>
      </c>
      <c r="F81" s="49">
        <f>AVERAGE('26.07 Bwaise-Kawempe-24h'!F81,'27.07 Bwaise-Kawempe-24h'!F81)</f>
        <v>7</v>
      </c>
      <c r="G81" s="49">
        <f>AVERAGE('26.07 Bwaise-Kawempe-24h'!G81,'27.07 Bwaise-Kawempe-24h'!G81)</f>
        <v>0</v>
      </c>
      <c r="H81" s="49">
        <f>AVERAGE('26.07 Bwaise-Kawempe-24h'!H81,'27.07 Bwaise-Kawempe-24h'!H81)</f>
        <v>0.5</v>
      </c>
      <c r="I81" s="49">
        <f>AVERAGE('26.07 Bwaise-Kawempe-24h'!I81,'27.07 Bwaise-Kawempe-24h'!I81)</f>
        <v>2</v>
      </c>
      <c r="J81" s="49">
        <f>AVERAGE('26.07 Bwaise-Kawempe-24h'!J81,'27.07 Bwaise-Kawempe-24h'!J81)</f>
        <v>3</v>
      </c>
      <c r="K81" s="49">
        <f>AVERAGE('26.07 Bwaise-Kawempe-24h'!K81,'27.07 Bwaise-Kawempe-24h'!K81)</f>
        <v>1.5</v>
      </c>
      <c r="L81" s="49">
        <f>AVERAGE('26.07 Bwaise-Kawempe-24h'!L81,'27.07 Bwaise-Kawempe-24h'!L81)</f>
        <v>0.5</v>
      </c>
      <c r="M81" s="49">
        <f>AVERAGE('26.07 Bwaise-Kawempe-24h'!M81,'27.07 Bwaise-Kawempe-24h'!M81)</f>
        <v>38.5</v>
      </c>
      <c r="N81" s="49">
        <f>AVERAGE('26.07 Bwaise-Kawempe-24h'!N81,'27.07 Bwaise-Kawempe-24h'!N81)</f>
        <v>0</v>
      </c>
      <c r="O81" s="15">
        <f t="shared" si="35"/>
        <v>26.5</v>
      </c>
      <c r="P81" s="15">
        <f t="shared" si="36"/>
        <v>65</v>
      </c>
      <c r="R81" s="8"/>
      <c r="T81"/>
    </row>
    <row r="82" spans="2:20" ht="23.1" customHeight="1" x14ac:dyDescent="0.25">
      <c r="B82" s="24" t="s">
        <v>122</v>
      </c>
      <c r="C82" s="49">
        <f>AVERAGE('26.07 Bwaise-Kawempe-24h'!C82,'27.07 Bwaise-Kawempe-24h'!C82)</f>
        <v>14</v>
      </c>
      <c r="D82" s="49">
        <f>AVERAGE('26.07 Bwaise-Kawempe-24h'!D82,'27.07 Bwaise-Kawempe-24h'!D82)</f>
        <v>0.5</v>
      </c>
      <c r="E82" s="49">
        <f>AVERAGE('26.07 Bwaise-Kawempe-24h'!E82,'27.07 Bwaise-Kawempe-24h'!E82)</f>
        <v>2</v>
      </c>
      <c r="F82" s="49">
        <f>AVERAGE('26.07 Bwaise-Kawempe-24h'!F82,'27.07 Bwaise-Kawempe-24h'!F82)</f>
        <v>4</v>
      </c>
      <c r="G82" s="49">
        <f>AVERAGE('26.07 Bwaise-Kawempe-24h'!G82,'27.07 Bwaise-Kawempe-24h'!G82)</f>
        <v>0</v>
      </c>
      <c r="H82" s="49">
        <f>AVERAGE('26.07 Bwaise-Kawempe-24h'!H82,'27.07 Bwaise-Kawempe-24h'!H82)</f>
        <v>0</v>
      </c>
      <c r="I82" s="49">
        <f>AVERAGE('26.07 Bwaise-Kawempe-24h'!I82,'27.07 Bwaise-Kawempe-24h'!I82)</f>
        <v>2</v>
      </c>
      <c r="J82" s="49">
        <f>AVERAGE('26.07 Bwaise-Kawempe-24h'!J82,'27.07 Bwaise-Kawempe-24h'!J82)</f>
        <v>2</v>
      </c>
      <c r="K82" s="49">
        <f>AVERAGE('26.07 Bwaise-Kawempe-24h'!K82,'27.07 Bwaise-Kawempe-24h'!K82)</f>
        <v>3.5</v>
      </c>
      <c r="L82" s="49">
        <f>AVERAGE('26.07 Bwaise-Kawempe-24h'!L82,'27.07 Bwaise-Kawempe-24h'!L82)</f>
        <v>0.5</v>
      </c>
      <c r="M82" s="49">
        <f>AVERAGE('26.07 Bwaise-Kawempe-24h'!M82,'27.07 Bwaise-Kawempe-24h'!M82)</f>
        <v>44</v>
      </c>
      <c r="N82" s="49">
        <f>AVERAGE('26.07 Bwaise-Kawempe-24h'!N82,'27.07 Bwaise-Kawempe-24h'!N82)</f>
        <v>0</v>
      </c>
      <c r="O82" s="15">
        <f t="shared" si="35"/>
        <v>28.5</v>
      </c>
      <c r="P82" s="15">
        <f t="shared" si="36"/>
        <v>72.5</v>
      </c>
      <c r="R82" s="8"/>
      <c r="T82"/>
    </row>
    <row r="83" spans="2:20" ht="23.1" customHeight="1" x14ac:dyDescent="0.25">
      <c r="B83" s="23" t="s">
        <v>123</v>
      </c>
      <c r="C83" s="49">
        <f>AVERAGE('26.07 Bwaise-Kawempe-24h'!C83,'27.07 Bwaise-Kawempe-24h'!C83)</f>
        <v>10.5</v>
      </c>
      <c r="D83" s="49">
        <f>AVERAGE('26.07 Bwaise-Kawempe-24h'!D83,'27.07 Bwaise-Kawempe-24h'!D83)</f>
        <v>2</v>
      </c>
      <c r="E83" s="49">
        <f>AVERAGE('26.07 Bwaise-Kawempe-24h'!E83,'27.07 Bwaise-Kawempe-24h'!E83)</f>
        <v>0.5</v>
      </c>
      <c r="F83" s="49">
        <f>AVERAGE('26.07 Bwaise-Kawempe-24h'!F83,'27.07 Bwaise-Kawempe-24h'!F83)</f>
        <v>3.5</v>
      </c>
      <c r="G83" s="49">
        <f>AVERAGE('26.07 Bwaise-Kawempe-24h'!G83,'27.07 Bwaise-Kawempe-24h'!G83)</f>
        <v>0</v>
      </c>
      <c r="H83" s="49">
        <f>AVERAGE('26.07 Bwaise-Kawempe-24h'!H83,'27.07 Bwaise-Kawempe-24h'!H83)</f>
        <v>0</v>
      </c>
      <c r="I83" s="49">
        <f>AVERAGE('26.07 Bwaise-Kawempe-24h'!I83,'27.07 Bwaise-Kawempe-24h'!I83)</f>
        <v>2</v>
      </c>
      <c r="J83" s="49">
        <f>AVERAGE('26.07 Bwaise-Kawempe-24h'!J83,'27.07 Bwaise-Kawempe-24h'!J83)</f>
        <v>3.5</v>
      </c>
      <c r="K83" s="49">
        <f>AVERAGE('26.07 Bwaise-Kawempe-24h'!K83,'27.07 Bwaise-Kawempe-24h'!K83)</f>
        <v>9</v>
      </c>
      <c r="L83" s="49">
        <f>AVERAGE('26.07 Bwaise-Kawempe-24h'!L83,'27.07 Bwaise-Kawempe-24h'!L83)</f>
        <v>0.5</v>
      </c>
      <c r="M83" s="49">
        <f>AVERAGE('26.07 Bwaise-Kawempe-24h'!M83,'27.07 Bwaise-Kawempe-24h'!M83)</f>
        <v>47.5</v>
      </c>
      <c r="N83" s="49">
        <f>AVERAGE('26.07 Bwaise-Kawempe-24h'!N83,'27.07 Bwaise-Kawempe-24h'!N83)</f>
        <v>0</v>
      </c>
      <c r="O83" s="15">
        <f t="shared" si="35"/>
        <v>31.5</v>
      </c>
      <c r="P83" s="15">
        <f t="shared" si="36"/>
        <v>79</v>
      </c>
      <c r="R83" s="8"/>
      <c r="T83"/>
    </row>
    <row r="84" spans="2:20" ht="23.1" customHeight="1" x14ac:dyDescent="0.25">
      <c r="B84" s="25" t="s">
        <v>124</v>
      </c>
      <c r="C84" s="49">
        <f>AVERAGE('26.07 Bwaise-Kawempe-24h'!C84,'27.07 Bwaise-Kawempe-24h'!C84)</f>
        <v>18</v>
      </c>
      <c r="D84" s="49">
        <f>AVERAGE('26.07 Bwaise-Kawempe-24h'!D84,'27.07 Bwaise-Kawempe-24h'!D84)</f>
        <v>1</v>
      </c>
      <c r="E84" s="49">
        <f>AVERAGE('26.07 Bwaise-Kawempe-24h'!E84,'27.07 Bwaise-Kawempe-24h'!E84)</f>
        <v>1.5</v>
      </c>
      <c r="F84" s="49">
        <f>AVERAGE('26.07 Bwaise-Kawempe-24h'!F84,'27.07 Bwaise-Kawempe-24h'!F84)</f>
        <v>3.5</v>
      </c>
      <c r="G84" s="49">
        <f>AVERAGE('26.07 Bwaise-Kawempe-24h'!G84,'27.07 Bwaise-Kawempe-24h'!G84)</f>
        <v>0</v>
      </c>
      <c r="H84" s="49">
        <f>AVERAGE('26.07 Bwaise-Kawempe-24h'!H84,'27.07 Bwaise-Kawempe-24h'!H84)</f>
        <v>0</v>
      </c>
      <c r="I84" s="49">
        <f>AVERAGE('26.07 Bwaise-Kawempe-24h'!I84,'27.07 Bwaise-Kawempe-24h'!I84)</f>
        <v>0.5</v>
      </c>
      <c r="J84" s="49">
        <f>AVERAGE('26.07 Bwaise-Kawempe-24h'!J84,'27.07 Bwaise-Kawempe-24h'!J84)</f>
        <v>5</v>
      </c>
      <c r="K84" s="49">
        <f>AVERAGE('26.07 Bwaise-Kawempe-24h'!K84,'27.07 Bwaise-Kawempe-24h'!K84)</f>
        <v>2.5</v>
      </c>
      <c r="L84" s="49">
        <f>AVERAGE('26.07 Bwaise-Kawempe-24h'!L84,'27.07 Bwaise-Kawempe-24h'!L84)</f>
        <v>1.5</v>
      </c>
      <c r="M84" s="49">
        <f>AVERAGE('26.07 Bwaise-Kawempe-24h'!M84,'27.07 Bwaise-Kawempe-24h'!M84)</f>
        <v>48</v>
      </c>
      <c r="N84" s="49">
        <f>AVERAGE('26.07 Bwaise-Kawempe-24h'!N84,'27.07 Bwaise-Kawempe-24h'!N84)</f>
        <v>0</v>
      </c>
      <c r="O84" s="15">
        <f t="shared" si="35"/>
        <v>33.5</v>
      </c>
      <c r="P84" s="15">
        <f t="shared" si="36"/>
        <v>81.5</v>
      </c>
      <c r="R84" s="8"/>
      <c r="T84"/>
    </row>
    <row r="85" spans="2:20" ht="23.1" customHeight="1" x14ac:dyDescent="0.25">
      <c r="B85" s="23" t="s">
        <v>125</v>
      </c>
      <c r="C85" s="49">
        <f>AVERAGE('26.07 Bwaise-Kawempe-24h'!C85,'27.07 Bwaise-Kawempe-24h'!C85)</f>
        <v>5.5</v>
      </c>
      <c r="D85" s="49">
        <f>AVERAGE('26.07 Bwaise-Kawempe-24h'!D85,'27.07 Bwaise-Kawempe-24h'!D85)</f>
        <v>0.5</v>
      </c>
      <c r="E85" s="49">
        <f>AVERAGE('26.07 Bwaise-Kawempe-24h'!E85,'27.07 Bwaise-Kawempe-24h'!E85)</f>
        <v>1.5</v>
      </c>
      <c r="F85" s="49">
        <f>AVERAGE('26.07 Bwaise-Kawempe-24h'!F85,'27.07 Bwaise-Kawempe-24h'!F85)</f>
        <v>1</v>
      </c>
      <c r="G85" s="49">
        <f>AVERAGE('26.07 Bwaise-Kawempe-24h'!G85,'27.07 Bwaise-Kawempe-24h'!G85)</f>
        <v>0</v>
      </c>
      <c r="H85" s="49">
        <f>AVERAGE('26.07 Bwaise-Kawempe-24h'!H85,'27.07 Bwaise-Kawempe-24h'!H85)</f>
        <v>0</v>
      </c>
      <c r="I85" s="49">
        <f>AVERAGE('26.07 Bwaise-Kawempe-24h'!I85,'27.07 Bwaise-Kawempe-24h'!I85)</f>
        <v>0</v>
      </c>
      <c r="J85" s="49">
        <f>AVERAGE('26.07 Bwaise-Kawempe-24h'!J85,'27.07 Bwaise-Kawempe-24h'!J85)</f>
        <v>3.5</v>
      </c>
      <c r="K85" s="49">
        <f>AVERAGE('26.07 Bwaise-Kawempe-24h'!K85,'27.07 Bwaise-Kawempe-24h'!K85)</f>
        <v>1.5</v>
      </c>
      <c r="L85" s="49">
        <f>AVERAGE('26.07 Bwaise-Kawempe-24h'!L85,'27.07 Bwaise-Kawempe-24h'!L85)</f>
        <v>0</v>
      </c>
      <c r="M85" s="49">
        <f>AVERAGE('26.07 Bwaise-Kawempe-24h'!M85,'27.07 Bwaise-Kawempe-24h'!M85)</f>
        <v>34.5</v>
      </c>
      <c r="N85" s="49">
        <f>AVERAGE('26.07 Bwaise-Kawempe-24h'!N85,'27.07 Bwaise-Kawempe-24h'!N85)</f>
        <v>0</v>
      </c>
      <c r="O85" s="15">
        <f t="shared" si="35"/>
        <v>13.5</v>
      </c>
      <c r="P85" s="15">
        <f t="shared" si="36"/>
        <v>48</v>
      </c>
      <c r="R85" s="8"/>
      <c r="T85"/>
    </row>
    <row r="86" spans="2:20" ht="23.1" customHeight="1" x14ac:dyDescent="0.25">
      <c r="B86" s="24" t="s">
        <v>126</v>
      </c>
      <c r="C86" s="49">
        <f>AVERAGE('26.07 Bwaise-Kawempe-24h'!C86,'27.07 Bwaise-Kawempe-24h'!C86)</f>
        <v>9</v>
      </c>
      <c r="D86" s="49">
        <f>AVERAGE('26.07 Bwaise-Kawempe-24h'!D86,'27.07 Bwaise-Kawempe-24h'!D86)</f>
        <v>1.5</v>
      </c>
      <c r="E86" s="49">
        <f>AVERAGE('26.07 Bwaise-Kawempe-24h'!E86,'27.07 Bwaise-Kawempe-24h'!E86)</f>
        <v>0.5</v>
      </c>
      <c r="F86" s="49">
        <f>AVERAGE('26.07 Bwaise-Kawempe-24h'!F86,'27.07 Bwaise-Kawempe-24h'!F86)</f>
        <v>1</v>
      </c>
      <c r="G86" s="49">
        <f>AVERAGE('26.07 Bwaise-Kawempe-24h'!G86,'27.07 Bwaise-Kawempe-24h'!G86)</f>
        <v>0</v>
      </c>
      <c r="H86" s="49">
        <f>AVERAGE('26.07 Bwaise-Kawempe-24h'!H86,'27.07 Bwaise-Kawempe-24h'!H86)</f>
        <v>0</v>
      </c>
      <c r="I86" s="49">
        <f>AVERAGE('26.07 Bwaise-Kawempe-24h'!I86,'27.07 Bwaise-Kawempe-24h'!I86)</f>
        <v>1</v>
      </c>
      <c r="J86" s="49">
        <f>AVERAGE('26.07 Bwaise-Kawempe-24h'!J86,'27.07 Bwaise-Kawempe-24h'!J86)</f>
        <v>1.5</v>
      </c>
      <c r="K86" s="49">
        <f>AVERAGE('26.07 Bwaise-Kawempe-24h'!K86,'27.07 Bwaise-Kawempe-24h'!K86)</f>
        <v>3</v>
      </c>
      <c r="L86" s="49">
        <f>AVERAGE('26.07 Bwaise-Kawempe-24h'!L86,'27.07 Bwaise-Kawempe-24h'!L86)</f>
        <v>0</v>
      </c>
      <c r="M86" s="49">
        <f>AVERAGE('26.07 Bwaise-Kawempe-24h'!M86,'27.07 Bwaise-Kawempe-24h'!M86)</f>
        <v>33.5</v>
      </c>
      <c r="N86" s="49">
        <f>AVERAGE('26.07 Bwaise-Kawempe-24h'!N86,'27.07 Bwaise-Kawempe-24h'!N86)</f>
        <v>0</v>
      </c>
      <c r="O86" s="15">
        <f t="shared" si="35"/>
        <v>17.5</v>
      </c>
      <c r="P86" s="15">
        <f t="shared" si="36"/>
        <v>51</v>
      </c>
      <c r="R86" s="8"/>
      <c r="T86"/>
    </row>
    <row r="87" spans="2:20" ht="23.1" customHeight="1" x14ac:dyDescent="0.25">
      <c r="B87" s="23" t="s">
        <v>127</v>
      </c>
      <c r="C87" s="49">
        <f>AVERAGE('26.07 Bwaise-Kawempe-24h'!C87,'27.07 Bwaise-Kawempe-24h'!C87)</f>
        <v>9.5</v>
      </c>
      <c r="D87" s="49">
        <f>AVERAGE('26.07 Bwaise-Kawempe-24h'!D87,'27.07 Bwaise-Kawempe-24h'!D87)</f>
        <v>1</v>
      </c>
      <c r="E87" s="49">
        <f>AVERAGE('26.07 Bwaise-Kawempe-24h'!E87,'27.07 Bwaise-Kawempe-24h'!E87)</f>
        <v>1</v>
      </c>
      <c r="F87" s="49">
        <f>AVERAGE('26.07 Bwaise-Kawempe-24h'!F87,'27.07 Bwaise-Kawempe-24h'!F87)</f>
        <v>2</v>
      </c>
      <c r="G87" s="49">
        <f>AVERAGE('26.07 Bwaise-Kawempe-24h'!G87,'27.07 Bwaise-Kawempe-24h'!G87)</f>
        <v>0</v>
      </c>
      <c r="H87" s="49">
        <f>AVERAGE('26.07 Bwaise-Kawempe-24h'!H87,'27.07 Bwaise-Kawempe-24h'!H87)</f>
        <v>0</v>
      </c>
      <c r="I87" s="49">
        <f>AVERAGE('26.07 Bwaise-Kawempe-24h'!I87,'27.07 Bwaise-Kawempe-24h'!I87)</f>
        <v>2.5</v>
      </c>
      <c r="J87" s="49">
        <f>AVERAGE('26.07 Bwaise-Kawempe-24h'!J87,'27.07 Bwaise-Kawempe-24h'!J87)</f>
        <v>2.5</v>
      </c>
      <c r="K87" s="49">
        <f>AVERAGE('26.07 Bwaise-Kawempe-24h'!K87,'27.07 Bwaise-Kawempe-24h'!K87)</f>
        <v>2</v>
      </c>
      <c r="L87" s="49">
        <f>AVERAGE('26.07 Bwaise-Kawempe-24h'!L87,'27.07 Bwaise-Kawempe-24h'!L87)</f>
        <v>0</v>
      </c>
      <c r="M87" s="49">
        <f>AVERAGE('26.07 Bwaise-Kawempe-24h'!M87,'27.07 Bwaise-Kawempe-24h'!M87)</f>
        <v>33</v>
      </c>
      <c r="N87" s="49">
        <f>AVERAGE('26.07 Bwaise-Kawempe-24h'!N87,'27.07 Bwaise-Kawempe-24h'!N87)</f>
        <v>0</v>
      </c>
      <c r="O87" s="15">
        <f t="shared" si="35"/>
        <v>20.5</v>
      </c>
      <c r="P87" s="15">
        <f t="shared" si="36"/>
        <v>53.5</v>
      </c>
      <c r="R87" s="8"/>
      <c r="T87"/>
    </row>
    <row r="88" spans="2:20" ht="23.1" customHeight="1" x14ac:dyDescent="0.25">
      <c r="B88" s="25" t="s">
        <v>128</v>
      </c>
      <c r="C88" s="49">
        <f>AVERAGE('26.07 Bwaise-Kawempe-24h'!C88,'27.07 Bwaise-Kawempe-24h'!C88)</f>
        <v>8.5</v>
      </c>
      <c r="D88" s="49">
        <f>AVERAGE('26.07 Bwaise-Kawempe-24h'!D88,'27.07 Bwaise-Kawempe-24h'!D88)</f>
        <v>0</v>
      </c>
      <c r="E88" s="49">
        <f>AVERAGE('26.07 Bwaise-Kawempe-24h'!E88,'27.07 Bwaise-Kawempe-24h'!E88)</f>
        <v>0.5</v>
      </c>
      <c r="F88" s="49">
        <f>AVERAGE('26.07 Bwaise-Kawempe-24h'!F88,'27.07 Bwaise-Kawempe-24h'!F88)</f>
        <v>1</v>
      </c>
      <c r="G88" s="49">
        <f>AVERAGE('26.07 Bwaise-Kawempe-24h'!G88,'27.07 Bwaise-Kawempe-24h'!G88)</f>
        <v>0</v>
      </c>
      <c r="H88" s="49">
        <f>AVERAGE('26.07 Bwaise-Kawempe-24h'!H88,'27.07 Bwaise-Kawempe-24h'!H88)</f>
        <v>0.5</v>
      </c>
      <c r="I88" s="49">
        <f>AVERAGE('26.07 Bwaise-Kawempe-24h'!I88,'27.07 Bwaise-Kawempe-24h'!I88)</f>
        <v>1</v>
      </c>
      <c r="J88" s="49">
        <f>AVERAGE('26.07 Bwaise-Kawempe-24h'!J88,'27.07 Bwaise-Kawempe-24h'!J88)</f>
        <v>1.5</v>
      </c>
      <c r="K88" s="49">
        <f>AVERAGE('26.07 Bwaise-Kawempe-24h'!K88,'27.07 Bwaise-Kawempe-24h'!K88)</f>
        <v>3.5</v>
      </c>
      <c r="L88" s="49">
        <f>AVERAGE('26.07 Bwaise-Kawempe-24h'!L88,'27.07 Bwaise-Kawempe-24h'!L88)</f>
        <v>0</v>
      </c>
      <c r="M88" s="49">
        <f>AVERAGE('26.07 Bwaise-Kawempe-24h'!M88,'27.07 Bwaise-Kawempe-24h'!M88)</f>
        <v>19.5</v>
      </c>
      <c r="N88" s="49">
        <f>AVERAGE('26.07 Bwaise-Kawempe-24h'!N88,'27.07 Bwaise-Kawempe-24h'!N88)</f>
        <v>0</v>
      </c>
      <c r="O88" s="15">
        <f t="shared" si="35"/>
        <v>16.5</v>
      </c>
      <c r="P88" s="15">
        <f t="shared" si="36"/>
        <v>36</v>
      </c>
      <c r="R88" s="8"/>
      <c r="T88"/>
    </row>
    <row r="89" spans="2:20" ht="23.1" customHeight="1" x14ac:dyDescent="0.25">
      <c r="B89" s="23" t="s">
        <v>129</v>
      </c>
      <c r="C89" s="49">
        <f>AVERAGE('26.07 Bwaise-Kawempe-24h'!C89,'27.07 Bwaise-Kawempe-24h'!C89)</f>
        <v>13</v>
      </c>
      <c r="D89" s="49">
        <f>AVERAGE('26.07 Bwaise-Kawempe-24h'!D89,'27.07 Bwaise-Kawempe-24h'!D89)</f>
        <v>0.5</v>
      </c>
      <c r="E89" s="49">
        <f>AVERAGE('26.07 Bwaise-Kawempe-24h'!E89,'27.07 Bwaise-Kawempe-24h'!E89)</f>
        <v>0.5</v>
      </c>
      <c r="F89" s="49">
        <f>AVERAGE('26.07 Bwaise-Kawempe-24h'!F89,'27.07 Bwaise-Kawempe-24h'!F89)</f>
        <v>0</v>
      </c>
      <c r="G89" s="49">
        <f>AVERAGE('26.07 Bwaise-Kawempe-24h'!G89,'27.07 Bwaise-Kawempe-24h'!G89)</f>
        <v>0</v>
      </c>
      <c r="H89" s="49">
        <f>AVERAGE('26.07 Bwaise-Kawempe-24h'!H89,'27.07 Bwaise-Kawempe-24h'!H89)</f>
        <v>0</v>
      </c>
      <c r="I89" s="49">
        <f>AVERAGE('26.07 Bwaise-Kawempe-24h'!I89,'27.07 Bwaise-Kawempe-24h'!I89)</f>
        <v>0.5</v>
      </c>
      <c r="J89" s="49">
        <f>AVERAGE('26.07 Bwaise-Kawempe-24h'!J89,'27.07 Bwaise-Kawempe-24h'!J89)</f>
        <v>3</v>
      </c>
      <c r="K89" s="49">
        <f>AVERAGE('26.07 Bwaise-Kawempe-24h'!K89,'27.07 Bwaise-Kawempe-24h'!K89)</f>
        <v>2</v>
      </c>
      <c r="L89" s="49">
        <f>AVERAGE('26.07 Bwaise-Kawempe-24h'!L89,'27.07 Bwaise-Kawempe-24h'!L89)</f>
        <v>0.5</v>
      </c>
      <c r="M89" s="49">
        <f>AVERAGE('26.07 Bwaise-Kawempe-24h'!M89,'27.07 Bwaise-Kawempe-24h'!M89)</f>
        <v>28.5</v>
      </c>
      <c r="N89" s="49">
        <f>AVERAGE('26.07 Bwaise-Kawempe-24h'!N89,'27.07 Bwaise-Kawempe-24h'!N89)</f>
        <v>0</v>
      </c>
      <c r="O89" s="15">
        <f t="shared" si="35"/>
        <v>20</v>
      </c>
      <c r="P89" s="15">
        <f t="shared" si="36"/>
        <v>48.5</v>
      </c>
      <c r="R89" s="8"/>
      <c r="T89"/>
    </row>
    <row r="90" spans="2:20" ht="23.1" customHeight="1" x14ac:dyDescent="0.25">
      <c r="B90" s="24" t="s">
        <v>130</v>
      </c>
      <c r="C90" s="49">
        <f>AVERAGE('26.07 Bwaise-Kawempe-24h'!C90,'27.07 Bwaise-Kawempe-24h'!C90)</f>
        <v>6.5</v>
      </c>
      <c r="D90" s="49">
        <f>AVERAGE('26.07 Bwaise-Kawempe-24h'!D90,'27.07 Bwaise-Kawempe-24h'!D90)</f>
        <v>1</v>
      </c>
      <c r="E90" s="49">
        <f>AVERAGE('26.07 Bwaise-Kawempe-24h'!E90,'27.07 Bwaise-Kawempe-24h'!E90)</f>
        <v>0.5</v>
      </c>
      <c r="F90" s="49">
        <f>AVERAGE('26.07 Bwaise-Kawempe-24h'!F90,'27.07 Bwaise-Kawempe-24h'!F90)</f>
        <v>0.5</v>
      </c>
      <c r="G90" s="49">
        <f>AVERAGE('26.07 Bwaise-Kawempe-24h'!G90,'27.07 Bwaise-Kawempe-24h'!G90)</f>
        <v>0</v>
      </c>
      <c r="H90" s="49">
        <f>AVERAGE('26.07 Bwaise-Kawempe-24h'!H90,'27.07 Bwaise-Kawempe-24h'!H90)</f>
        <v>0</v>
      </c>
      <c r="I90" s="49">
        <f>AVERAGE('26.07 Bwaise-Kawempe-24h'!I90,'27.07 Bwaise-Kawempe-24h'!I90)</f>
        <v>0</v>
      </c>
      <c r="J90" s="49">
        <f>AVERAGE('26.07 Bwaise-Kawempe-24h'!J90,'27.07 Bwaise-Kawempe-24h'!J90)</f>
        <v>0.5</v>
      </c>
      <c r="K90" s="49">
        <f>AVERAGE('26.07 Bwaise-Kawempe-24h'!K90,'27.07 Bwaise-Kawempe-24h'!K90)</f>
        <v>1</v>
      </c>
      <c r="L90" s="49">
        <f>AVERAGE('26.07 Bwaise-Kawempe-24h'!L90,'27.07 Bwaise-Kawempe-24h'!L90)</f>
        <v>0</v>
      </c>
      <c r="M90" s="49">
        <f>AVERAGE('26.07 Bwaise-Kawempe-24h'!M90,'27.07 Bwaise-Kawempe-24h'!M90)</f>
        <v>17.5</v>
      </c>
      <c r="N90" s="49">
        <f>AVERAGE('26.07 Bwaise-Kawempe-24h'!N90,'27.07 Bwaise-Kawempe-24h'!N90)</f>
        <v>0</v>
      </c>
      <c r="O90" s="15">
        <f t="shared" si="35"/>
        <v>10</v>
      </c>
      <c r="P90" s="15">
        <f t="shared" si="36"/>
        <v>27.5</v>
      </c>
      <c r="R90" s="8"/>
      <c r="T90"/>
    </row>
    <row r="91" spans="2:20" ht="23.1" customHeight="1" x14ac:dyDescent="0.25">
      <c r="B91" s="23" t="s">
        <v>131</v>
      </c>
      <c r="C91" s="49">
        <f>AVERAGE('26.07 Bwaise-Kawempe-24h'!C91,'27.07 Bwaise-Kawempe-24h'!C91)</f>
        <v>10.5</v>
      </c>
      <c r="D91" s="49">
        <f>AVERAGE('26.07 Bwaise-Kawempe-24h'!D91,'27.07 Bwaise-Kawempe-24h'!D91)</f>
        <v>0</v>
      </c>
      <c r="E91" s="49">
        <f>AVERAGE('26.07 Bwaise-Kawempe-24h'!E91,'27.07 Bwaise-Kawempe-24h'!E91)</f>
        <v>1</v>
      </c>
      <c r="F91" s="49">
        <f>AVERAGE('26.07 Bwaise-Kawempe-24h'!F91,'27.07 Bwaise-Kawempe-24h'!F91)</f>
        <v>1.5</v>
      </c>
      <c r="G91" s="49">
        <f>AVERAGE('26.07 Bwaise-Kawempe-24h'!G91,'27.07 Bwaise-Kawempe-24h'!G91)</f>
        <v>0</v>
      </c>
      <c r="H91" s="49">
        <f>AVERAGE('26.07 Bwaise-Kawempe-24h'!H91,'27.07 Bwaise-Kawempe-24h'!H91)</f>
        <v>0</v>
      </c>
      <c r="I91" s="49">
        <f>AVERAGE('26.07 Bwaise-Kawempe-24h'!I91,'27.07 Bwaise-Kawempe-24h'!I91)</f>
        <v>0.5</v>
      </c>
      <c r="J91" s="49">
        <f>AVERAGE('26.07 Bwaise-Kawempe-24h'!J91,'27.07 Bwaise-Kawempe-24h'!J91)</f>
        <v>2.5</v>
      </c>
      <c r="K91" s="49">
        <f>AVERAGE('26.07 Bwaise-Kawempe-24h'!K91,'27.07 Bwaise-Kawempe-24h'!K91)</f>
        <v>2.5</v>
      </c>
      <c r="L91" s="49">
        <f>AVERAGE('26.07 Bwaise-Kawempe-24h'!L91,'27.07 Bwaise-Kawempe-24h'!L91)</f>
        <v>0</v>
      </c>
      <c r="M91" s="49">
        <f>AVERAGE('26.07 Bwaise-Kawempe-24h'!M91,'27.07 Bwaise-Kawempe-24h'!M91)</f>
        <v>22.5</v>
      </c>
      <c r="N91" s="49">
        <f>AVERAGE('26.07 Bwaise-Kawempe-24h'!N91,'27.07 Bwaise-Kawempe-24h'!N91)</f>
        <v>0</v>
      </c>
      <c r="O91" s="15">
        <f t="shared" si="35"/>
        <v>18.5</v>
      </c>
      <c r="P91" s="15">
        <f t="shared" si="36"/>
        <v>41</v>
      </c>
      <c r="R91" s="8"/>
      <c r="T91"/>
    </row>
    <row r="92" spans="2:20" ht="23.1" customHeight="1" x14ac:dyDescent="0.25">
      <c r="B92" s="25" t="s">
        <v>132</v>
      </c>
      <c r="C92" s="49">
        <f>AVERAGE('26.07 Bwaise-Kawempe-24h'!C92,'27.07 Bwaise-Kawempe-24h'!C92)</f>
        <v>10</v>
      </c>
      <c r="D92" s="49">
        <f>AVERAGE('26.07 Bwaise-Kawempe-24h'!D92,'27.07 Bwaise-Kawempe-24h'!D92)</f>
        <v>0</v>
      </c>
      <c r="E92" s="49">
        <f>AVERAGE('26.07 Bwaise-Kawempe-24h'!E92,'27.07 Bwaise-Kawempe-24h'!E92)</f>
        <v>0</v>
      </c>
      <c r="F92" s="49">
        <f>AVERAGE('26.07 Bwaise-Kawempe-24h'!F92,'27.07 Bwaise-Kawempe-24h'!F92)</f>
        <v>0.5</v>
      </c>
      <c r="G92" s="49">
        <f>AVERAGE('26.07 Bwaise-Kawempe-24h'!G92,'27.07 Bwaise-Kawempe-24h'!G92)</f>
        <v>0.5</v>
      </c>
      <c r="H92" s="49">
        <f>AVERAGE('26.07 Bwaise-Kawempe-24h'!H92,'27.07 Bwaise-Kawempe-24h'!H92)</f>
        <v>0</v>
      </c>
      <c r="I92" s="49">
        <f>AVERAGE('26.07 Bwaise-Kawempe-24h'!I92,'27.07 Bwaise-Kawempe-24h'!I92)</f>
        <v>1</v>
      </c>
      <c r="J92" s="49">
        <f>AVERAGE('26.07 Bwaise-Kawempe-24h'!J92,'27.07 Bwaise-Kawempe-24h'!J92)</f>
        <v>1.5</v>
      </c>
      <c r="K92" s="49">
        <f>AVERAGE('26.07 Bwaise-Kawempe-24h'!K92,'27.07 Bwaise-Kawempe-24h'!K92)</f>
        <v>4.5</v>
      </c>
      <c r="L92" s="49">
        <f>AVERAGE('26.07 Bwaise-Kawempe-24h'!L92,'27.07 Bwaise-Kawempe-24h'!L92)</f>
        <v>0</v>
      </c>
      <c r="M92" s="49">
        <f>AVERAGE('26.07 Bwaise-Kawempe-24h'!M92,'27.07 Bwaise-Kawempe-24h'!M92)</f>
        <v>20.5</v>
      </c>
      <c r="N92" s="49">
        <f>AVERAGE('26.07 Bwaise-Kawempe-24h'!N92,'27.07 Bwaise-Kawempe-24h'!N92)</f>
        <v>0</v>
      </c>
      <c r="O92" s="15">
        <f t="shared" si="35"/>
        <v>18</v>
      </c>
      <c r="P92" s="15">
        <f t="shared" si="36"/>
        <v>38.5</v>
      </c>
      <c r="R92" s="8"/>
      <c r="T92"/>
    </row>
    <row r="93" spans="2:20" ht="23.1" customHeight="1" x14ac:dyDescent="0.25">
      <c r="B93" s="23" t="s">
        <v>133</v>
      </c>
      <c r="C93" s="49">
        <f>AVERAGE('26.07 Bwaise-Kawempe-24h'!C93,'27.07 Bwaise-Kawempe-24h'!C93)</f>
        <v>6.5</v>
      </c>
      <c r="D93" s="49">
        <f>AVERAGE('26.07 Bwaise-Kawempe-24h'!D93,'27.07 Bwaise-Kawempe-24h'!D93)</f>
        <v>0.5</v>
      </c>
      <c r="E93" s="49">
        <f>AVERAGE('26.07 Bwaise-Kawempe-24h'!E93,'27.07 Bwaise-Kawempe-24h'!E93)</f>
        <v>1</v>
      </c>
      <c r="F93" s="49">
        <f>AVERAGE('26.07 Bwaise-Kawempe-24h'!F93,'27.07 Bwaise-Kawempe-24h'!F93)</f>
        <v>2.5</v>
      </c>
      <c r="G93" s="49">
        <f>AVERAGE('26.07 Bwaise-Kawempe-24h'!G93,'27.07 Bwaise-Kawempe-24h'!G93)</f>
        <v>0</v>
      </c>
      <c r="H93" s="49">
        <f>AVERAGE('26.07 Bwaise-Kawempe-24h'!H93,'27.07 Bwaise-Kawempe-24h'!H93)</f>
        <v>0</v>
      </c>
      <c r="I93" s="49">
        <f>AVERAGE('26.07 Bwaise-Kawempe-24h'!I93,'27.07 Bwaise-Kawempe-24h'!I93)</f>
        <v>1.5</v>
      </c>
      <c r="J93" s="49">
        <f>AVERAGE('26.07 Bwaise-Kawempe-24h'!J93,'27.07 Bwaise-Kawempe-24h'!J93)</f>
        <v>4.5</v>
      </c>
      <c r="K93" s="49">
        <f>AVERAGE('26.07 Bwaise-Kawempe-24h'!K93,'27.07 Bwaise-Kawempe-24h'!K93)</f>
        <v>2</v>
      </c>
      <c r="L93" s="49">
        <f>AVERAGE('26.07 Bwaise-Kawempe-24h'!L93,'27.07 Bwaise-Kawempe-24h'!L93)</f>
        <v>0.5</v>
      </c>
      <c r="M93" s="49">
        <f>AVERAGE('26.07 Bwaise-Kawempe-24h'!M93,'27.07 Bwaise-Kawempe-24h'!M93)</f>
        <v>19.5</v>
      </c>
      <c r="N93" s="49">
        <f>AVERAGE('26.07 Bwaise-Kawempe-24h'!N93,'27.07 Bwaise-Kawempe-24h'!N93)</f>
        <v>0</v>
      </c>
      <c r="O93" s="15">
        <f t="shared" si="35"/>
        <v>19</v>
      </c>
      <c r="P93" s="15">
        <f t="shared" si="36"/>
        <v>38.5</v>
      </c>
      <c r="R93" s="8"/>
      <c r="T93"/>
    </row>
    <row r="94" spans="2:20" ht="23.1" customHeight="1" x14ac:dyDescent="0.25">
      <c r="B94" s="24" t="s">
        <v>134</v>
      </c>
      <c r="C94" s="49">
        <f>AVERAGE('26.07 Bwaise-Kawempe-24h'!C94,'27.07 Bwaise-Kawempe-24h'!C94)</f>
        <v>9.5</v>
      </c>
      <c r="D94" s="49">
        <f>AVERAGE('26.07 Bwaise-Kawempe-24h'!D94,'27.07 Bwaise-Kawempe-24h'!D94)</f>
        <v>1</v>
      </c>
      <c r="E94" s="49">
        <f>AVERAGE('26.07 Bwaise-Kawempe-24h'!E94,'27.07 Bwaise-Kawempe-24h'!E94)</f>
        <v>0</v>
      </c>
      <c r="F94" s="49">
        <f>AVERAGE('26.07 Bwaise-Kawempe-24h'!F94,'27.07 Bwaise-Kawempe-24h'!F94)</f>
        <v>1.5</v>
      </c>
      <c r="G94" s="49">
        <f>AVERAGE('26.07 Bwaise-Kawempe-24h'!G94,'27.07 Bwaise-Kawempe-24h'!G94)</f>
        <v>0</v>
      </c>
      <c r="H94" s="49">
        <f>AVERAGE('26.07 Bwaise-Kawempe-24h'!H94,'27.07 Bwaise-Kawempe-24h'!H94)</f>
        <v>0</v>
      </c>
      <c r="I94" s="49">
        <f>AVERAGE('26.07 Bwaise-Kawempe-24h'!I94,'27.07 Bwaise-Kawempe-24h'!I94)</f>
        <v>0</v>
      </c>
      <c r="J94" s="49">
        <f>AVERAGE('26.07 Bwaise-Kawempe-24h'!J94,'27.07 Bwaise-Kawempe-24h'!J94)</f>
        <v>1.5</v>
      </c>
      <c r="K94" s="49">
        <f>AVERAGE('26.07 Bwaise-Kawempe-24h'!K94,'27.07 Bwaise-Kawempe-24h'!K94)</f>
        <v>1.5</v>
      </c>
      <c r="L94" s="49">
        <f>AVERAGE('26.07 Bwaise-Kawempe-24h'!L94,'27.07 Bwaise-Kawempe-24h'!L94)</f>
        <v>0</v>
      </c>
      <c r="M94" s="49">
        <f>AVERAGE('26.07 Bwaise-Kawempe-24h'!M94,'27.07 Bwaise-Kawempe-24h'!M94)</f>
        <v>17</v>
      </c>
      <c r="N94" s="49">
        <f>AVERAGE('26.07 Bwaise-Kawempe-24h'!N94,'27.07 Bwaise-Kawempe-24h'!N94)</f>
        <v>0</v>
      </c>
      <c r="O94" s="15">
        <f t="shared" si="35"/>
        <v>15</v>
      </c>
      <c r="P94" s="15">
        <f t="shared" si="36"/>
        <v>32</v>
      </c>
      <c r="R94" s="8"/>
      <c r="T94"/>
    </row>
    <row r="95" spans="2:20" ht="23.1" customHeight="1" x14ac:dyDescent="0.25">
      <c r="B95" s="23" t="s">
        <v>135</v>
      </c>
      <c r="C95" s="49">
        <f>AVERAGE('26.07 Bwaise-Kawempe-24h'!C95,'27.07 Bwaise-Kawempe-24h'!C95)</f>
        <v>2.5</v>
      </c>
      <c r="D95" s="49">
        <f>AVERAGE('26.07 Bwaise-Kawempe-24h'!D95,'27.07 Bwaise-Kawempe-24h'!D95)</f>
        <v>0</v>
      </c>
      <c r="E95" s="49">
        <f>AVERAGE('26.07 Bwaise-Kawempe-24h'!E95,'27.07 Bwaise-Kawempe-24h'!E95)</f>
        <v>0</v>
      </c>
      <c r="F95" s="49">
        <f>AVERAGE('26.07 Bwaise-Kawempe-24h'!F95,'27.07 Bwaise-Kawempe-24h'!F95)</f>
        <v>2.5</v>
      </c>
      <c r="G95" s="49">
        <f>AVERAGE('26.07 Bwaise-Kawempe-24h'!G95,'27.07 Bwaise-Kawempe-24h'!G95)</f>
        <v>0</v>
      </c>
      <c r="H95" s="49">
        <f>AVERAGE('26.07 Bwaise-Kawempe-24h'!H95,'27.07 Bwaise-Kawempe-24h'!H95)</f>
        <v>0</v>
      </c>
      <c r="I95" s="49">
        <f>AVERAGE('26.07 Bwaise-Kawempe-24h'!I95,'27.07 Bwaise-Kawempe-24h'!I95)</f>
        <v>1.5</v>
      </c>
      <c r="J95" s="49">
        <f>AVERAGE('26.07 Bwaise-Kawempe-24h'!J95,'27.07 Bwaise-Kawempe-24h'!J95)</f>
        <v>1</v>
      </c>
      <c r="K95" s="49">
        <f>AVERAGE('26.07 Bwaise-Kawempe-24h'!K95,'27.07 Bwaise-Kawempe-24h'!K95)</f>
        <v>0.5</v>
      </c>
      <c r="L95" s="49">
        <f>AVERAGE('26.07 Bwaise-Kawempe-24h'!L95,'27.07 Bwaise-Kawempe-24h'!L95)</f>
        <v>0</v>
      </c>
      <c r="M95" s="49">
        <f>AVERAGE('26.07 Bwaise-Kawempe-24h'!M95,'27.07 Bwaise-Kawempe-24h'!M95)</f>
        <v>15</v>
      </c>
      <c r="N95" s="49">
        <f>AVERAGE('26.07 Bwaise-Kawempe-24h'!N95,'27.07 Bwaise-Kawempe-24h'!N95)</f>
        <v>0</v>
      </c>
      <c r="O95" s="15">
        <f t="shared" si="35"/>
        <v>8</v>
      </c>
      <c r="P95" s="15">
        <f t="shared" si="36"/>
        <v>23</v>
      </c>
      <c r="R95" s="8"/>
      <c r="T95"/>
    </row>
    <row r="96" spans="2:20" ht="23.1" customHeight="1" x14ac:dyDescent="0.25">
      <c r="B96" s="25" t="s">
        <v>136</v>
      </c>
      <c r="C96" s="49">
        <f>AVERAGE('26.07 Bwaise-Kawempe-24h'!C96,'27.07 Bwaise-Kawempe-24h'!C96)</f>
        <v>7.5</v>
      </c>
      <c r="D96" s="49">
        <f>AVERAGE('26.07 Bwaise-Kawempe-24h'!D96,'27.07 Bwaise-Kawempe-24h'!D96)</f>
        <v>0</v>
      </c>
      <c r="E96" s="49">
        <f>AVERAGE('26.07 Bwaise-Kawempe-24h'!E96,'27.07 Bwaise-Kawempe-24h'!E96)</f>
        <v>1.5</v>
      </c>
      <c r="F96" s="49">
        <f>AVERAGE('26.07 Bwaise-Kawempe-24h'!F96,'27.07 Bwaise-Kawempe-24h'!F96)</f>
        <v>2</v>
      </c>
      <c r="G96" s="49">
        <f>AVERAGE('26.07 Bwaise-Kawempe-24h'!G96,'27.07 Bwaise-Kawempe-24h'!G96)</f>
        <v>0</v>
      </c>
      <c r="H96" s="49">
        <f>AVERAGE('26.07 Bwaise-Kawempe-24h'!H96,'27.07 Bwaise-Kawempe-24h'!H96)</f>
        <v>0</v>
      </c>
      <c r="I96" s="49">
        <f>AVERAGE('26.07 Bwaise-Kawempe-24h'!I96,'27.07 Bwaise-Kawempe-24h'!I96)</f>
        <v>2</v>
      </c>
      <c r="J96" s="49">
        <f>AVERAGE('26.07 Bwaise-Kawempe-24h'!J96,'27.07 Bwaise-Kawempe-24h'!J96)</f>
        <v>3.5</v>
      </c>
      <c r="K96" s="49">
        <f>AVERAGE('26.07 Bwaise-Kawempe-24h'!K96,'27.07 Bwaise-Kawempe-24h'!K96)</f>
        <v>3.5</v>
      </c>
      <c r="L96" s="49">
        <f>AVERAGE('26.07 Bwaise-Kawempe-24h'!L96,'27.07 Bwaise-Kawempe-24h'!L96)</f>
        <v>0</v>
      </c>
      <c r="M96" s="49">
        <f>AVERAGE('26.07 Bwaise-Kawempe-24h'!M96,'27.07 Bwaise-Kawempe-24h'!M96)</f>
        <v>22</v>
      </c>
      <c r="N96" s="49">
        <f>AVERAGE('26.07 Bwaise-Kawempe-24h'!N96,'27.07 Bwaise-Kawempe-24h'!N96)</f>
        <v>0</v>
      </c>
      <c r="O96" s="15">
        <f t="shared" si="35"/>
        <v>20</v>
      </c>
      <c r="P96" s="15">
        <f t="shared" si="36"/>
        <v>42</v>
      </c>
      <c r="R96" s="8"/>
      <c r="T96"/>
    </row>
    <row r="97" spans="2:20" ht="23.1" customHeight="1" x14ac:dyDescent="0.25">
      <c r="B97" s="23" t="s">
        <v>137</v>
      </c>
      <c r="C97" s="49">
        <f>AVERAGE('26.07 Bwaise-Kawempe-24h'!C97,'27.07 Bwaise-Kawempe-24h'!C97)</f>
        <v>9</v>
      </c>
      <c r="D97" s="49">
        <f>AVERAGE('26.07 Bwaise-Kawempe-24h'!D97,'27.07 Bwaise-Kawempe-24h'!D97)</f>
        <v>1</v>
      </c>
      <c r="E97" s="49">
        <f>AVERAGE('26.07 Bwaise-Kawempe-24h'!E97,'27.07 Bwaise-Kawempe-24h'!E97)</f>
        <v>0.5</v>
      </c>
      <c r="F97" s="49">
        <f>AVERAGE('26.07 Bwaise-Kawempe-24h'!F97,'27.07 Bwaise-Kawempe-24h'!F97)</f>
        <v>3</v>
      </c>
      <c r="G97" s="49">
        <f>AVERAGE('26.07 Bwaise-Kawempe-24h'!G97,'27.07 Bwaise-Kawempe-24h'!G97)</f>
        <v>0</v>
      </c>
      <c r="H97" s="49">
        <f>AVERAGE('26.07 Bwaise-Kawempe-24h'!H97,'27.07 Bwaise-Kawempe-24h'!H97)</f>
        <v>0</v>
      </c>
      <c r="I97" s="49">
        <f>AVERAGE('26.07 Bwaise-Kawempe-24h'!I97,'27.07 Bwaise-Kawempe-24h'!I97)</f>
        <v>3.5</v>
      </c>
      <c r="J97" s="49">
        <f>AVERAGE('26.07 Bwaise-Kawempe-24h'!J97,'27.07 Bwaise-Kawempe-24h'!J97)</f>
        <v>0</v>
      </c>
      <c r="K97" s="49">
        <f>AVERAGE('26.07 Bwaise-Kawempe-24h'!K97,'27.07 Bwaise-Kawempe-24h'!K97)</f>
        <v>1.5</v>
      </c>
      <c r="L97" s="49">
        <f>AVERAGE('26.07 Bwaise-Kawempe-24h'!L97,'27.07 Bwaise-Kawempe-24h'!L97)</f>
        <v>1</v>
      </c>
      <c r="M97" s="49">
        <f>AVERAGE('26.07 Bwaise-Kawempe-24h'!M97,'27.07 Bwaise-Kawempe-24h'!M97)</f>
        <v>26.5</v>
      </c>
      <c r="N97" s="49">
        <f>AVERAGE('26.07 Bwaise-Kawempe-24h'!N97,'27.07 Bwaise-Kawempe-24h'!N97)</f>
        <v>0</v>
      </c>
      <c r="O97" s="15">
        <f t="shared" si="35"/>
        <v>19.5</v>
      </c>
      <c r="P97" s="15">
        <f t="shared" si="36"/>
        <v>46</v>
      </c>
      <c r="R97" s="8"/>
      <c r="T97"/>
    </row>
    <row r="98" spans="2:20" ht="23.1" customHeight="1" x14ac:dyDescent="0.25">
      <c r="B98" s="24" t="s">
        <v>138</v>
      </c>
      <c r="C98" s="49">
        <f>AVERAGE('26.07 Bwaise-Kawempe-24h'!C98,'27.07 Bwaise-Kawempe-24h'!C98)</f>
        <v>10</v>
      </c>
      <c r="D98" s="49">
        <f>AVERAGE('26.07 Bwaise-Kawempe-24h'!D98,'27.07 Bwaise-Kawempe-24h'!D98)</f>
        <v>0</v>
      </c>
      <c r="E98" s="49">
        <f>AVERAGE('26.07 Bwaise-Kawempe-24h'!E98,'27.07 Bwaise-Kawempe-24h'!E98)</f>
        <v>0.5</v>
      </c>
      <c r="F98" s="49">
        <f>AVERAGE('26.07 Bwaise-Kawempe-24h'!F98,'27.07 Bwaise-Kawempe-24h'!F98)</f>
        <v>3.5</v>
      </c>
      <c r="G98" s="49">
        <f>AVERAGE('26.07 Bwaise-Kawempe-24h'!G98,'27.07 Bwaise-Kawempe-24h'!G98)</f>
        <v>0</v>
      </c>
      <c r="H98" s="49">
        <f>AVERAGE('26.07 Bwaise-Kawempe-24h'!H98,'27.07 Bwaise-Kawempe-24h'!H98)</f>
        <v>0</v>
      </c>
      <c r="I98" s="49">
        <f>AVERAGE('26.07 Bwaise-Kawempe-24h'!I98,'27.07 Bwaise-Kawempe-24h'!I98)</f>
        <v>1.5</v>
      </c>
      <c r="J98" s="49">
        <f>AVERAGE('26.07 Bwaise-Kawempe-24h'!J98,'27.07 Bwaise-Kawempe-24h'!J98)</f>
        <v>2.5</v>
      </c>
      <c r="K98" s="49">
        <f>AVERAGE('26.07 Bwaise-Kawempe-24h'!K98,'27.07 Bwaise-Kawempe-24h'!K98)</f>
        <v>2</v>
      </c>
      <c r="L98" s="49">
        <f>AVERAGE('26.07 Bwaise-Kawempe-24h'!L98,'27.07 Bwaise-Kawempe-24h'!L98)</f>
        <v>0</v>
      </c>
      <c r="M98" s="49">
        <f>AVERAGE('26.07 Bwaise-Kawempe-24h'!M98,'27.07 Bwaise-Kawempe-24h'!M98)</f>
        <v>20</v>
      </c>
      <c r="N98" s="49">
        <f>AVERAGE('26.07 Bwaise-Kawempe-24h'!N98,'27.07 Bwaise-Kawempe-24h'!N98)</f>
        <v>0</v>
      </c>
      <c r="O98" s="15">
        <f t="shared" si="35"/>
        <v>20</v>
      </c>
      <c r="P98" s="15">
        <f t="shared" si="36"/>
        <v>40</v>
      </c>
      <c r="R98" s="8"/>
      <c r="T98"/>
    </row>
    <row r="99" spans="2:20" ht="23.1" customHeight="1" x14ac:dyDescent="0.25">
      <c r="B99" s="23" t="s">
        <v>139</v>
      </c>
      <c r="C99" s="49">
        <f>AVERAGE('26.07 Bwaise-Kawempe-24h'!C99,'27.07 Bwaise-Kawempe-24h'!C99)</f>
        <v>8</v>
      </c>
      <c r="D99" s="49">
        <f>AVERAGE('26.07 Bwaise-Kawempe-24h'!D99,'27.07 Bwaise-Kawempe-24h'!D99)</f>
        <v>0.5</v>
      </c>
      <c r="E99" s="49">
        <f>AVERAGE('26.07 Bwaise-Kawempe-24h'!E99,'27.07 Bwaise-Kawempe-24h'!E99)</f>
        <v>1</v>
      </c>
      <c r="F99" s="49">
        <f>AVERAGE('26.07 Bwaise-Kawempe-24h'!F99,'27.07 Bwaise-Kawempe-24h'!F99)</f>
        <v>7</v>
      </c>
      <c r="G99" s="49">
        <f>AVERAGE('26.07 Bwaise-Kawempe-24h'!G99,'27.07 Bwaise-Kawempe-24h'!G99)</f>
        <v>0.5</v>
      </c>
      <c r="H99" s="49">
        <f>AVERAGE('26.07 Bwaise-Kawempe-24h'!H99,'27.07 Bwaise-Kawempe-24h'!H99)</f>
        <v>0</v>
      </c>
      <c r="I99" s="49">
        <f>AVERAGE('26.07 Bwaise-Kawempe-24h'!I99,'27.07 Bwaise-Kawempe-24h'!I99)</f>
        <v>2.5</v>
      </c>
      <c r="J99" s="49">
        <f>AVERAGE('26.07 Bwaise-Kawempe-24h'!J99,'27.07 Bwaise-Kawempe-24h'!J99)</f>
        <v>3</v>
      </c>
      <c r="K99" s="49">
        <f>AVERAGE('26.07 Bwaise-Kawempe-24h'!K99,'27.07 Bwaise-Kawempe-24h'!K99)</f>
        <v>2</v>
      </c>
      <c r="L99" s="49">
        <f>AVERAGE('26.07 Bwaise-Kawempe-24h'!L99,'27.07 Bwaise-Kawempe-24h'!L99)</f>
        <v>1.5</v>
      </c>
      <c r="M99" s="49">
        <f>AVERAGE('26.07 Bwaise-Kawempe-24h'!M99,'27.07 Bwaise-Kawempe-24h'!M99)</f>
        <v>34.5</v>
      </c>
      <c r="N99" s="49">
        <f>AVERAGE('26.07 Bwaise-Kawempe-24h'!N99,'27.07 Bwaise-Kawempe-24h'!N99)</f>
        <v>0</v>
      </c>
      <c r="O99" s="15">
        <f t="shared" si="35"/>
        <v>26</v>
      </c>
      <c r="P99" s="15">
        <f t="shared" si="36"/>
        <v>60.5</v>
      </c>
      <c r="R99" s="8"/>
      <c r="T99"/>
    </row>
    <row r="100" spans="2:20" ht="23.1" customHeight="1" x14ac:dyDescent="0.25">
      <c r="B100" s="25" t="s">
        <v>140</v>
      </c>
      <c r="C100" s="49">
        <f>AVERAGE('26.07 Bwaise-Kawempe-24h'!C100,'27.07 Bwaise-Kawempe-24h'!C100)</f>
        <v>10.5</v>
      </c>
      <c r="D100" s="49">
        <f>AVERAGE('26.07 Bwaise-Kawempe-24h'!D100,'27.07 Bwaise-Kawempe-24h'!D100)</f>
        <v>3.5</v>
      </c>
      <c r="E100" s="49">
        <f>AVERAGE('26.07 Bwaise-Kawempe-24h'!E100,'27.07 Bwaise-Kawempe-24h'!E100)</f>
        <v>0</v>
      </c>
      <c r="F100" s="49">
        <f>AVERAGE('26.07 Bwaise-Kawempe-24h'!F100,'27.07 Bwaise-Kawempe-24h'!F100)</f>
        <v>8</v>
      </c>
      <c r="G100" s="49">
        <f>AVERAGE('26.07 Bwaise-Kawempe-24h'!G100,'27.07 Bwaise-Kawempe-24h'!G100)</f>
        <v>0</v>
      </c>
      <c r="H100" s="49">
        <f>AVERAGE('26.07 Bwaise-Kawempe-24h'!H100,'27.07 Bwaise-Kawempe-24h'!H100)</f>
        <v>0</v>
      </c>
      <c r="I100" s="49">
        <f>AVERAGE('26.07 Bwaise-Kawempe-24h'!I100,'27.07 Bwaise-Kawempe-24h'!I100)</f>
        <v>1.5</v>
      </c>
      <c r="J100" s="49">
        <f>AVERAGE('26.07 Bwaise-Kawempe-24h'!J100,'27.07 Bwaise-Kawempe-24h'!J100)</f>
        <v>4</v>
      </c>
      <c r="K100" s="49">
        <f>AVERAGE('26.07 Bwaise-Kawempe-24h'!K100,'27.07 Bwaise-Kawempe-24h'!K100)</f>
        <v>2</v>
      </c>
      <c r="L100" s="49">
        <f>AVERAGE('26.07 Bwaise-Kawempe-24h'!L100,'27.07 Bwaise-Kawempe-24h'!L100)</f>
        <v>1</v>
      </c>
      <c r="M100" s="49">
        <f>AVERAGE('26.07 Bwaise-Kawempe-24h'!M100,'27.07 Bwaise-Kawempe-24h'!M100)</f>
        <v>19.5</v>
      </c>
      <c r="N100" s="49">
        <f>AVERAGE('26.07 Bwaise-Kawempe-24h'!N100,'27.07 Bwaise-Kawempe-24h'!N100)</f>
        <v>0</v>
      </c>
      <c r="O100" s="15">
        <f t="shared" si="35"/>
        <v>30.5</v>
      </c>
      <c r="P100" s="15">
        <f t="shared" si="36"/>
        <v>50</v>
      </c>
      <c r="R100" s="8"/>
      <c r="T100"/>
    </row>
    <row r="101" spans="2:20" ht="23.1" customHeight="1" x14ac:dyDescent="0.25">
      <c r="B101" s="23" t="s">
        <v>141</v>
      </c>
      <c r="C101" s="49">
        <f>AVERAGE('26.07 Bwaise-Kawempe-24h'!C101,'27.07 Bwaise-Kawempe-24h'!C101)</f>
        <v>11.5</v>
      </c>
      <c r="D101" s="49">
        <f>AVERAGE('26.07 Bwaise-Kawempe-24h'!D101,'27.07 Bwaise-Kawempe-24h'!D101)</f>
        <v>0</v>
      </c>
      <c r="E101" s="49">
        <f>AVERAGE('26.07 Bwaise-Kawempe-24h'!E101,'27.07 Bwaise-Kawempe-24h'!E101)</f>
        <v>1</v>
      </c>
      <c r="F101" s="49">
        <f>AVERAGE('26.07 Bwaise-Kawempe-24h'!F101,'27.07 Bwaise-Kawempe-24h'!F101)</f>
        <v>10</v>
      </c>
      <c r="G101" s="49">
        <f>AVERAGE('26.07 Bwaise-Kawempe-24h'!G101,'27.07 Bwaise-Kawempe-24h'!G101)</f>
        <v>0.5</v>
      </c>
      <c r="H101" s="49">
        <f>AVERAGE('26.07 Bwaise-Kawempe-24h'!H101,'27.07 Bwaise-Kawempe-24h'!H101)</f>
        <v>0.5</v>
      </c>
      <c r="I101" s="49">
        <f>AVERAGE('26.07 Bwaise-Kawempe-24h'!I101,'27.07 Bwaise-Kawempe-24h'!I101)</f>
        <v>3</v>
      </c>
      <c r="J101" s="49">
        <f>AVERAGE('26.07 Bwaise-Kawempe-24h'!J101,'27.07 Bwaise-Kawempe-24h'!J101)</f>
        <v>2</v>
      </c>
      <c r="K101" s="49">
        <f>AVERAGE('26.07 Bwaise-Kawempe-24h'!K101,'27.07 Bwaise-Kawempe-24h'!K101)</f>
        <v>2.5</v>
      </c>
      <c r="L101" s="49">
        <f>AVERAGE('26.07 Bwaise-Kawempe-24h'!L101,'27.07 Bwaise-Kawempe-24h'!L101)</f>
        <v>1</v>
      </c>
      <c r="M101" s="49">
        <f>AVERAGE('26.07 Bwaise-Kawempe-24h'!M101,'27.07 Bwaise-Kawempe-24h'!M101)</f>
        <v>34</v>
      </c>
      <c r="N101" s="49">
        <f>AVERAGE('26.07 Bwaise-Kawempe-24h'!N101,'27.07 Bwaise-Kawempe-24h'!N101)</f>
        <v>0</v>
      </c>
      <c r="O101" s="15">
        <f t="shared" si="35"/>
        <v>32</v>
      </c>
      <c r="P101" s="15">
        <f t="shared" si="36"/>
        <v>66</v>
      </c>
      <c r="R101" s="8"/>
      <c r="T101"/>
    </row>
    <row r="102" spans="2:20" ht="23.1" customHeight="1" x14ac:dyDescent="0.25">
      <c r="B102" s="24" t="s">
        <v>142</v>
      </c>
      <c r="C102" s="49">
        <f>AVERAGE('26.07 Bwaise-Kawempe-24h'!C102,'27.07 Bwaise-Kawempe-24h'!C102)</f>
        <v>8</v>
      </c>
      <c r="D102" s="49">
        <f>AVERAGE('26.07 Bwaise-Kawempe-24h'!D102,'27.07 Bwaise-Kawempe-24h'!D102)</f>
        <v>0.5</v>
      </c>
      <c r="E102" s="49">
        <f>AVERAGE('26.07 Bwaise-Kawempe-24h'!E102,'27.07 Bwaise-Kawempe-24h'!E102)</f>
        <v>2</v>
      </c>
      <c r="F102" s="49">
        <f>AVERAGE('26.07 Bwaise-Kawempe-24h'!F102,'27.07 Bwaise-Kawempe-24h'!F102)</f>
        <v>13</v>
      </c>
      <c r="G102" s="49">
        <f>AVERAGE('26.07 Bwaise-Kawempe-24h'!G102,'27.07 Bwaise-Kawempe-24h'!G102)</f>
        <v>0</v>
      </c>
      <c r="H102" s="49">
        <f>AVERAGE('26.07 Bwaise-Kawempe-24h'!H102,'27.07 Bwaise-Kawempe-24h'!H102)</f>
        <v>1</v>
      </c>
      <c r="I102" s="49">
        <f>AVERAGE('26.07 Bwaise-Kawempe-24h'!I102,'27.07 Bwaise-Kawempe-24h'!I102)</f>
        <v>1</v>
      </c>
      <c r="J102" s="49">
        <f>AVERAGE('26.07 Bwaise-Kawempe-24h'!J102,'27.07 Bwaise-Kawempe-24h'!J102)</f>
        <v>1.5</v>
      </c>
      <c r="K102" s="49">
        <f>AVERAGE('26.07 Bwaise-Kawempe-24h'!K102,'27.07 Bwaise-Kawempe-24h'!K102)</f>
        <v>2</v>
      </c>
      <c r="L102" s="49">
        <f>AVERAGE('26.07 Bwaise-Kawempe-24h'!L102,'27.07 Bwaise-Kawempe-24h'!L102)</f>
        <v>2</v>
      </c>
      <c r="M102" s="49">
        <f>AVERAGE('26.07 Bwaise-Kawempe-24h'!M102,'27.07 Bwaise-Kawempe-24h'!M102)</f>
        <v>14.5</v>
      </c>
      <c r="N102" s="49">
        <f>AVERAGE('26.07 Bwaise-Kawempe-24h'!N102,'27.07 Bwaise-Kawempe-24h'!N102)</f>
        <v>0</v>
      </c>
      <c r="O102" s="15">
        <f t="shared" si="35"/>
        <v>31</v>
      </c>
      <c r="P102" s="15">
        <f t="shared" si="36"/>
        <v>45.5</v>
      </c>
      <c r="R102" s="8"/>
      <c r="T102"/>
    </row>
    <row r="103" spans="2:20" ht="23.1" customHeight="1" x14ac:dyDescent="0.25">
      <c r="B103" s="23" t="s">
        <v>143</v>
      </c>
      <c r="C103" s="49">
        <f>AVERAGE('26.07 Bwaise-Kawempe-24h'!C103,'27.07 Bwaise-Kawempe-24h'!C103)</f>
        <v>21.5</v>
      </c>
      <c r="D103" s="49">
        <f>AVERAGE('26.07 Bwaise-Kawempe-24h'!D103,'27.07 Bwaise-Kawempe-24h'!D103)</f>
        <v>1</v>
      </c>
      <c r="E103" s="49">
        <f>AVERAGE('26.07 Bwaise-Kawempe-24h'!E103,'27.07 Bwaise-Kawempe-24h'!E103)</f>
        <v>0</v>
      </c>
      <c r="F103" s="49">
        <f>AVERAGE('26.07 Bwaise-Kawempe-24h'!F103,'27.07 Bwaise-Kawempe-24h'!F103)</f>
        <v>22.5</v>
      </c>
      <c r="G103" s="49">
        <f>AVERAGE('26.07 Bwaise-Kawempe-24h'!G103,'27.07 Bwaise-Kawempe-24h'!G103)</f>
        <v>0</v>
      </c>
      <c r="H103" s="49">
        <f>AVERAGE('26.07 Bwaise-Kawempe-24h'!H103,'27.07 Bwaise-Kawempe-24h'!H103)</f>
        <v>0</v>
      </c>
      <c r="I103" s="49">
        <f>AVERAGE('26.07 Bwaise-Kawempe-24h'!I103,'27.07 Bwaise-Kawempe-24h'!I103)</f>
        <v>2</v>
      </c>
      <c r="J103" s="49">
        <f>AVERAGE('26.07 Bwaise-Kawempe-24h'!J103,'27.07 Bwaise-Kawempe-24h'!J103)</f>
        <v>3.5</v>
      </c>
      <c r="K103" s="49">
        <f>AVERAGE('26.07 Bwaise-Kawempe-24h'!K103,'27.07 Bwaise-Kawempe-24h'!K103)</f>
        <v>3</v>
      </c>
      <c r="L103" s="49">
        <f>AVERAGE('26.07 Bwaise-Kawempe-24h'!L103,'27.07 Bwaise-Kawempe-24h'!L103)</f>
        <v>2.5</v>
      </c>
      <c r="M103" s="49">
        <f>AVERAGE('26.07 Bwaise-Kawempe-24h'!M103,'27.07 Bwaise-Kawempe-24h'!M103)</f>
        <v>34</v>
      </c>
      <c r="N103" s="49">
        <f>AVERAGE('26.07 Bwaise-Kawempe-24h'!N103,'27.07 Bwaise-Kawempe-24h'!N103)</f>
        <v>0</v>
      </c>
      <c r="O103" s="15">
        <f t="shared" si="35"/>
        <v>56</v>
      </c>
      <c r="P103" s="15">
        <f t="shared" si="36"/>
        <v>90</v>
      </c>
      <c r="R103" s="8"/>
      <c r="T103"/>
    </row>
    <row r="104" spans="2:20" ht="23.1" customHeight="1" x14ac:dyDescent="0.25">
      <c r="B104" s="25" t="s">
        <v>144</v>
      </c>
      <c r="C104" s="49">
        <f>AVERAGE('26.07 Bwaise-Kawempe-24h'!C104,'27.07 Bwaise-Kawempe-24h'!C104)</f>
        <v>18</v>
      </c>
      <c r="D104" s="49">
        <f>AVERAGE('26.07 Bwaise-Kawempe-24h'!D104,'27.07 Bwaise-Kawempe-24h'!D104)</f>
        <v>1.5</v>
      </c>
      <c r="E104" s="49">
        <f>AVERAGE('26.07 Bwaise-Kawempe-24h'!E104,'27.07 Bwaise-Kawempe-24h'!E104)</f>
        <v>1.5</v>
      </c>
      <c r="F104" s="49">
        <f>AVERAGE('26.07 Bwaise-Kawempe-24h'!F104,'27.07 Bwaise-Kawempe-24h'!F104)</f>
        <v>22.5</v>
      </c>
      <c r="G104" s="49">
        <f>AVERAGE('26.07 Bwaise-Kawempe-24h'!G104,'27.07 Bwaise-Kawempe-24h'!G104)</f>
        <v>1</v>
      </c>
      <c r="H104" s="49">
        <f>AVERAGE('26.07 Bwaise-Kawempe-24h'!H104,'27.07 Bwaise-Kawempe-24h'!H104)</f>
        <v>0.5</v>
      </c>
      <c r="I104" s="49">
        <f>AVERAGE('26.07 Bwaise-Kawempe-24h'!I104,'27.07 Bwaise-Kawempe-24h'!I104)</f>
        <v>3</v>
      </c>
      <c r="J104" s="49">
        <f>AVERAGE('26.07 Bwaise-Kawempe-24h'!J104,'27.07 Bwaise-Kawempe-24h'!J104)</f>
        <v>7</v>
      </c>
      <c r="K104" s="49">
        <f>AVERAGE('26.07 Bwaise-Kawempe-24h'!K104,'27.07 Bwaise-Kawempe-24h'!K104)</f>
        <v>3</v>
      </c>
      <c r="L104" s="49">
        <f>AVERAGE('26.07 Bwaise-Kawempe-24h'!L104,'27.07 Bwaise-Kawempe-24h'!L104)</f>
        <v>7</v>
      </c>
      <c r="M104" s="49">
        <f>AVERAGE('26.07 Bwaise-Kawempe-24h'!M104,'27.07 Bwaise-Kawempe-24h'!M104)</f>
        <v>74</v>
      </c>
      <c r="N104" s="49">
        <f>AVERAGE('26.07 Bwaise-Kawempe-24h'!N104,'27.07 Bwaise-Kawempe-24h'!N104)</f>
        <v>0</v>
      </c>
      <c r="O104" s="15">
        <f t="shared" si="35"/>
        <v>65</v>
      </c>
      <c r="P104" s="15">
        <f t="shared" si="36"/>
        <v>139</v>
      </c>
      <c r="R104" s="8"/>
      <c r="T104"/>
    </row>
    <row r="105" spans="2:20" ht="23.1" customHeight="1" x14ac:dyDescent="0.25">
      <c r="B105" s="23" t="s">
        <v>145</v>
      </c>
      <c r="C105" s="49">
        <f>AVERAGE('26.07 Bwaise-Kawempe-24h'!C105,'27.07 Bwaise-Kawempe-24h'!C105)</f>
        <v>21</v>
      </c>
      <c r="D105" s="49">
        <f>AVERAGE('26.07 Bwaise-Kawempe-24h'!D105,'27.07 Bwaise-Kawempe-24h'!D105)</f>
        <v>2</v>
      </c>
      <c r="E105" s="49">
        <f>AVERAGE('26.07 Bwaise-Kawempe-24h'!E105,'27.07 Bwaise-Kawempe-24h'!E105)</f>
        <v>4.5</v>
      </c>
      <c r="F105" s="49">
        <f>AVERAGE('26.07 Bwaise-Kawempe-24h'!F105,'27.07 Bwaise-Kawempe-24h'!F105)</f>
        <v>19.5</v>
      </c>
      <c r="G105" s="49">
        <f>AVERAGE('26.07 Bwaise-Kawempe-24h'!G105,'27.07 Bwaise-Kawempe-24h'!G105)</f>
        <v>0.5</v>
      </c>
      <c r="H105" s="49">
        <f>AVERAGE('26.07 Bwaise-Kawempe-24h'!H105,'27.07 Bwaise-Kawempe-24h'!H105)</f>
        <v>2.5</v>
      </c>
      <c r="I105" s="49">
        <f>AVERAGE('26.07 Bwaise-Kawempe-24h'!I105,'27.07 Bwaise-Kawempe-24h'!I105)</f>
        <v>6.5</v>
      </c>
      <c r="J105" s="49">
        <f>AVERAGE('26.07 Bwaise-Kawempe-24h'!J105,'27.07 Bwaise-Kawempe-24h'!J105)</f>
        <v>4</v>
      </c>
      <c r="K105" s="49">
        <f>AVERAGE('26.07 Bwaise-Kawempe-24h'!K105,'27.07 Bwaise-Kawempe-24h'!K105)</f>
        <v>3</v>
      </c>
      <c r="L105" s="49">
        <f>AVERAGE('26.07 Bwaise-Kawempe-24h'!L105,'27.07 Bwaise-Kawempe-24h'!L105)</f>
        <v>0</v>
      </c>
      <c r="M105" s="49">
        <f>AVERAGE('26.07 Bwaise-Kawempe-24h'!M105,'27.07 Bwaise-Kawempe-24h'!M105)</f>
        <v>85.5</v>
      </c>
      <c r="N105" s="49">
        <f>AVERAGE('26.07 Bwaise-Kawempe-24h'!N105,'27.07 Bwaise-Kawempe-24h'!N105)</f>
        <v>0</v>
      </c>
      <c r="O105" s="15">
        <f t="shared" si="35"/>
        <v>63.5</v>
      </c>
      <c r="P105" s="15">
        <f t="shared" si="36"/>
        <v>149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SUM(C10:C105)</f>
        <v>2728.8571428571431</v>
      </c>
      <c r="D106" s="16">
        <f t="shared" si="37"/>
        <v>328.92857142857144</v>
      </c>
      <c r="E106" s="16">
        <f t="shared" si="37"/>
        <v>345.57142857142856</v>
      </c>
      <c r="F106" s="16">
        <f t="shared" si="37"/>
        <v>2355.0714285714284</v>
      </c>
      <c r="G106" s="16">
        <f t="shared" si="37"/>
        <v>124.07142857142856</v>
      </c>
      <c r="H106" s="16">
        <f t="shared" si="37"/>
        <v>56.928571428571416</v>
      </c>
      <c r="I106" s="16">
        <f t="shared" si="37"/>
        <v>622.07142857142867</v>
      </c>
      <c r="J106" s="16">
        <f t="shared" si="37"/>
        <v>275.57142857142861</v>
      </c>
      <c r="K106" s="16">
        <f t="shared" si="37"/>
        <v>184.35714285714286</v>
      </c>
      <c r="L106" s="16">
        <f t="shared" si="37"/>
        <v>169.92857142857144</v>
      </c>
      <c r="M106" s="16">
        <f t="shared" si="37"/>
        <v>9826.8571428571431</v>
      </c>
      <c r="N106" s="16">
        <f t="shared" si="37"/>
        <v>0.42857142857142855</v>
      </c>
      <c r="O106" s="16">
        <f t="shared" si="37"/>
        <v>7191.7857142857129</v>
      </c>
      <c r="P106" s="16">
        <f t="shared" si="37"/>
        <v>17018.642857142859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0.16034516769425125</v>
      </c>
      <c r="D107" s="43">
        <f t="shared" si="38"/>
        <v>1.9327544163753194E-2</v>
      </c>
      <c r="E107" s="43">
        <f t="shared" si="38"/>
        <v>2.0305463336425179E-2</v>
      </c>
      <c r="F107" s="43">
        <f t="shared" si="38"/>
        <v>0.13838185855007742</v>
      </c>
      <c r="G107" s="43">
        <f t="shared" si="38"/>
        <v>7.2903244760997377E-3</v>
      </c>
      <c r="H107" s="43">
        <f t="shared" si="38"/>
        <v>3.3450711614573924E-3</v>
      </c>
      <c r="I107" s="43">
        <f t="shared" si="38"/>
        <v>3.6552352252361905E-2</v>
      </c>
      <c r="J107" s="43">
        <f t="shared" si="38"/>
        <v>1.619232690201082E-2</v>
      </c>
      <c r="K107" s="43">
        <f t="shared" si="38"/>
        <v>1.083265830328925E-2</v>
      </c>
      <c r="L107" s="43">
        <f t="shared" si="38"/>
        <v>9.9848485484405752E-3</v>
      </c>
      <c r="M107" s="43">
        <f t="shared" si="38"/>
        <v>0.57741720214386738</v>
      </c>
      <c r="N107" s="43">
        <f t="shared" si="38"/>
        <v>2.5182467965802204E-5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0.37944083031236042</v>
      </c>
      <c r="D108" s="44">
        <f t="shared" ref="D108:N108" si="39">D106/$O$106</f>
        <v>4.5736703580473763E-2</v>
      </c>
      <c r="E108" s="44">
        <f t="shared" si="39"/>
        <v>4.8050851666087309E-2</v>
      </c>
      <c r="F108" s="44">
        <f t="shared" si="39"/>
        <v>0.32746685206336601</v>
      </c>
      <c r="G108" s="44">
        <f t="shared" si="39"/>
        <v>1.7251824998758505E-2</v>
      </c>
      <c r="H108" s="44">
        <f t="shared" si="39"/>
        <v>7.9157769280429058E-3</v>
      </c>
      <c r="I108" s="44">
        <f t="shared" si="39"/>
        <v>8.6497492178576774E-2</v>
      </c>
      <c r="J108" s="44">
        <f t="shared" si="39"/>
        <v>3.8317524954064673E-2</v>
      </c>
      <c r="K108" s="44">
        <f t="shared" si="39"/>
        <v>2.5634404330337195E-2</v>
      </c>
      <c r="L108" s="44">
        <f t="shared" si="39"/>
        <v>2.3628147191736611E-2</v>
      </c>
      <c r="M108" s="44"/>
      <c r="N108" s="44">
        <f t="shared" si="39"/>
        <v>5.9591796196057021E-5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R111" s="8"/>
      <c r="T111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R112" s="8"/>
      <c r="T112"/>
    </row>
    <row r="113" spans="2:20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R113" s="8"/>
      <c r="T113"/>
    </row>
    <row r="114" spans="2:20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R114" s="8"/>
      <c r="T114"/>
    </row>
    <row r="115" spans="2:20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R115" s="8"/>
      <c r="T115"/>
    </row>
    <row r="116" spans="2:20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R116" s="8"/>
      <c r="T116"/>
    </row>
    <row r="117" spans="2:20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R117" s="8"/>
      <c r="T117"/>
    </row>
    <row r="118" spans="2:20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R118" s="8"/>
      <c r="T118"/>
    </row>
    <row r="119" spans="2:20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R119" s="8"/>
      <c r="T119"/>
    </row>
    <row r="120" spans="2:20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R120" s="8"/>
      <c r="T120"/>
    </row>
    <row r="121" spans="2:20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R121" s="8"/>
      <c r="T121"/>
    </row>
    <row r="122" spans="2:20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R122" s="8"/>
      <c r="T122"/>
    </row>
    <row r="123" spans="2:20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R123" s="8"/>
      <c r="T123"/>
    </row>
    <row r="124" spans="2:20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R124" s="8"/>
      <c r="T124"/>
    </row>
    <row r="125" spans="2:20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R125" s="8"/>
      <c r="T125"/>
    </row>
    <row r="126" spans="2:20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Q126" s="7"/>
      <c r="R126" s="8"/>
      <c r="T126"/>
    </row>
    <row r="127" spans="2:20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Q127" s="7"/>
      <c r="R127" s="8"/>
      <c r="T127"/>
    </row>
    <row r="128" spans="2:20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Q128" s="7"/>
      <c r="R128" s="8"/>
      <c r="T128"/>
    </row>
    <row r="129" spans="2:20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Q129" s="7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Q130" s="7"/>
    </row>
    <row r="131" spans="2:20" s="7" customFormat="1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/>
      <c r="P131"/>
      <c r="S131" s="8"/>
      <c r="T131" s="8"/>
    </row>
    <row r="132" spans="2:20" s="7" customFormat="1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/>
      <c r="P132"/>
      <c r="S132" s="8"/>
      <c r="T132" s="8"/>
    </row>
    <row r="133" spans="2:20" s="7" customFormat="1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/>
      <c r="P133"/>
      <c r="S133" s="8"/>
      <c r="T133" s="8"/>
    </row>
    <row r="134" spans="2:20" s="7" customFormat="1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/>
      <c r="P134"/>
      <c r="S134" s="8"/>
      <c r="T134" s="8"/>
    </row>
    <row r="135" spans="2:20" s="7" customFormat="1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/>
      <c r="P135"/>
      <c r="S135" s="8"/>
      <c r="T135" s="8"/>
    </row>
    <row r="136" spans="2:20" s="7" customFormat="1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/>
      <c r="P136"/>
      <c r="S136" s="8"/>
      <c r="T136" s="8"/>
    </row>
    <row r="137" spans="2:20" s="7" customFormat="1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/>
      <c r="P137"/>
      <c r="S137" s="8"/>
      <c r="T137" s="8"/>
    </row>
    <row r="138" spans="2:20" s="7" customFormat="1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/>
      <c r="P138"/>
      <c r="S138" s="8"/>
      <c r="T138" s="8"/>
    </row>
    <row r="139" spans="2:20" s="7" customFormat="1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/>
      <c r="P139"/>
      <c r="S139" s="8"/>
      <c r="T139" s="8"/>
    </row>
    <row r="140" spans="2:20" s="7" customFormat="1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/>
      <c r="P140"/>
      <c r="S140" s="8"/>
      <c r="T140" s="8"/>
    </row>
    <row r="141" spans="2:20" s="7" customFormat="1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/>
      <c r="P141"/>
      <c r="S141" s="8"/>
      <c r="T141" s="8"/>
    </row>
    <row r="142" spans="2:20" s="7" customFormat="1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/>
      <c r="P142"/>
      <c r="S142" s="8"/>
      <c r="T142" s="8"/>
    </row>
    <row r="143" spans="2:20" s="7" customFormat="1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/>
      <c r="P143"/>
      <c r="Q143"/>
      <c r="S143" s="8"/>
      <c r="T143" s="8"/>
    </row>
    <row r="144" spans="2:20" s="7" customFormat="1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/>
      <c r="P144"/>
      <c r="Q144"/>
      <c r="S144" s="8"/>
      <c r="T144" s="8"/>
    </row>
    <row r="145" spans="2:20" s="7" customFormat="1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/>
      <c r="P145"/>
      <c r="Q145"/>
      <c r="S145" s="8"/>
      <c r="T145" s="8"/>
    </row>
    <row r="146" spans="2:20" s="7" customFormat="1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/>
      <c r="P146"/>
      <c r="Q146"/>
      <c r="S146" s="8"/>
      <c r="T146" s="8"/>
    </row>
    <row r="147" spans="2:20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20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20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20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20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20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20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20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20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20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20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20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20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20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2.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18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E50" zoomScale="60" workbookViewId="0">
      <selection activeCell="AB78" sqref="AB7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'28.07 Kawempe-Bwaise'!C3:G3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169</v>
      </c>
      <c r="E5" s="66"/>
      <c r="F5" s="41" t="s">
        <v>1</v>
      </c>
      <c r="G5" s="63" t="str">
        <f>'28.07 Kawempe-Bwaise'!G5:H5</f>
        <v>Before Steel and Tube</v>
      </c>
      <c r="H5" s="64"/>
      <c r="I5" s="14"/>
      <c r="J5" s="2" t="s">
        <v>5</v>
      </c>
      <c r="K5" s="63" t="str">
        <f>'28.07 Kawempe-Bwaise'!K5:L5</f>
        <v>Nakiwuge Allen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'28.07 Kawempe-Bwaise'!D6:E6</f>
        <v>Kawempe</v>
      </c>
      <c r="E6" s="64"/>
      <c r="F6" s="2" t="s">
        <v>2</v>
      </c>
      <c r="G6" s="63" t="str">
        <f>'28.07 Kawempe-Bwaise'!G6:H6</f>
        <v>Bwaise</v>
      </c>
      <c r="H6" s="64"/>
      <c r="J6" s="2" t="s">
        <v>21</v>
      </c>
      <c r="K6" s="63" t="str">
        <f>'28.07 Kawempe-Bwaise'!K6:L6</f>
        <v>Salima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kawempe-Bwaise'!C10,'23.07 Kawempe-Bwaise'!C10,'24.07 Kawempe-Bwaise'!C10,'25.07 Kawempe-Bwaise'!C10,'26.07 Kawempe-Bwaise-24h'!C10,'27.07 Kawempe-Bwaise-24h'!C10,'28.07 Kawempe-Bwaise'!C10)</f>
        <v>65.571428571428569</v>
      </c>
      <c r="D10" s="49">
        <f>AVERAGE('22.07 kawempe-Bwaise'!D10,'23.07 Kawempe-Bwaise'!D10,'24.07 Kawempe-Bwaise'!D10,'25.07 Kawempe-Bwaise'!D10,'26.07 Kawempe-Bwaise-24h'!D10,'27.07 Kawempe-Bwaise-24h'!D10,'28.07 Kawempe-Bwaise'!D10)</f>
        <v>11.428571428571429</v>
      </c>
      <c r="E10" s="49">
        <f>AVERAGE('22.07 kawempe-Bwaise'!E10,'23.07 Kawempe-Bwaise'!E10,'24.07 Kawempe-Bwaise'!E10,'25.07 Kawempe-Bwaise'!E10,'26.07 Kawempe-Bwaise-24h'!E10,'27.07 Kawempe-Bwaise-24h'!E10,'28.07 Kawempe-Bwaise'!E10)</f>
        <v>5</v>
      </c>
      <c r="F10" s="49">
        <f>AVERAGE('22.07 kawempe-Bwaise'!F10,'23.07 Kawempe-Bwaise'!F10,'24.07 Kawempe-Bwaise'!F10,'25.07 Kawempe-Bwaise'!F10,'26.07 Kawempe-Bwaise-24h'!F10,'27.07 Kawempe-Bwaise-24h'!F10,'28.07 Kawempe-Bwaise'!F10)</f>
        <v>49.714285714285715</v>
      </c>
      <c r="G10" s="49">
        <f>AVERAGE('22.07 kawempe-Bwaise'!G10,'23.07 Kawempe-Bwaise'!G10,'24.07 Kawempe-Bwaise'!G10,'25.07 Kawempe-Bwaise'!G10,'26.07 Kawempe-Bwaise-24h'!G10,'27.07 Kawempe-Bwaise-24h'!G10,'28.07 Kawempe-Bwaise'!G10)</f>
        <v>3.7142857142857144</v>
      </c>
      <c r="H10" s="49">
        <f>AVERAGE('22.07 kawempe-Bwaise'!H10,'23.07 Kawempe-Bwaise'!H10,'24.07 Kawempe-Bwaise'!H10,'25.07 Kawempe-Bwaise'!H10,'26.07 Kawempe-Bwaise-24h'!H10,'27.07 Kawempe-Bwaise-24h'!H10,'28.07 Kawempe-Bwaise'!H10)</f>
        <v>0.8571428571428571</v>
      </c>
      <c r="I10" s="49">
        <f>AVERAGE('22.07 kawempe-Bwaise'!I10,'23.07 Kawempe-Bwaise'!I10,'24.07 Kawempe-Bwaise'!I10,'25.07 Kawempe-Bwaise'!I10,'26.07 Kawempe-Bwaise-24h'!I10,'27.07 Kawempe-Bwaise-24h'!I10,'28.07 Kawempe-Bwaise'!I10)</f>
        <v>6.2857142857142856</v>
      </c>
      <c r="J10" s="49">
        <f>AVERAGE('22.07 kawempe-Bwaise'!J10,'23.07 Kawempe-Bwaise'!J10,'24.07 Kawempe-Bwaise'!J10,'25.07 Kawempe-Bwaise'!J10,'26.07 Kawempe-Bwaise-24h'!J10,'27.07 Kawempe-Bwaise-24h'!J10,'28.07 Kawempe-Bwaise'!J10)</f>
        <v>6</v>
      </c>
      <c r="K10" s="49">
        <f>AVERAGE('22.07 kawempe-Bwaise'!K10,'23.07 Kawempe-Bwaise'!K10,'24.07 Kawempe-Bwaise'!K10,'25.07 Kawempe-Bwaise'!K10,'26.07 Kawempe-Bwaise-24h'!K10,'27.07 Kawempe-Bwaise-24h'!K10,'28.07 Kawempe-Bwaise'!K10)</f>
        <v>3.2857142857142856</v>
      </c>
      <c r="L10" s="49">
        <f>AVERAGE('22.07 kawempe-Bwaise'!L10,'23.07 Kawempe-Bwaise'!L10,'24.07 Kawempe-Bwaise'!L10,'25.07 Kawempe-Bwaise'!L10,'26.07 Kawempe-Bwaise-24h'!L10,'27.07 Kawempe-Bwaise-24h'!L10,'28.07 Kawempe-Bwaise'!L10)</f>
        <v>1.4285714285714286</v>
      </c>
      <c r="M10" s="49">
        <f>AVERAGE('22.07 kawempe-Bwaise'!M10,'23.07 Kawempe-Bwaise'!M10,'24.07 Kawempe-Bwaise'!M10,'25.07 Kawempe-Bwaise'!M10,'26.07 Kawempe-Bwaise-24h'!M10,'27.07 Kawempe-Bwaise-24h'!M10,'28.07 Kawempe-Bwaise'!M10)</f>
        <v>235.14285714285714</v>
      </c>
      <c r="N10" s="49">
        <f>AVERAGE('22.07 kawempe-Bwaise'!N10,'23.07 Kawempe-Bwaise'!N10,'24.07 Kawempe-Bwaise'!N10,'25.07 Kawempe-Bwaise'!N10,'26.07 Kawempe-Bwaise-24h'!N10,'27.07 Kawempe-Bwaise-24h'!N10,'28.07 Kawempe-Bwaise'!N10)</f>
        <v>0</v>
      </c>
      <c r="O10" s="15">
        <f t="shared" ref="O10:O73" si="0">SUM(C10:L10,N10)</f>
        <v>153.28571428571428</v>
      </c>
      <c r="P10" s="15">
        <f t="shared" ref="P10:P73" si="1">SUM(C10:N10)</f>
        <v>388.42857142857144</v>
      </c>
      <c r="R10" s="1" t="s">
        <v>6</v>
      </c>
      <c r="S10" s="17">
        <f t="shared" ref="S10:AF10" si="2">SUM(C10:C13)</f>
        <v>218.42857142857144</v>
      </c>
      <c r="T10" s="17">
        <f t="shared" si="2"/>
        <v>37.285714285714292</v>
      </c>
      <c r="U10" s="17">
        <f t="shared" si="2"/>
        <v>22.285714285714285</v>
      </c>
      <c r="V10" s="17">
        <f t="shared" si="2"/>
        <v>201.71428571428572</v>
      </c>
      <c r="W10" s="17">
        <f t="shared" si="2"/>
        <v>10.285714285714285</v>
      </c>
      <c r="X10" s="17">
        <f t="shared" si="2"/>
        <v>1.7142857142857142</v>
      </c>
      <c r="Y10" s="17">
        <f t="shared" si="2"/>
        <v>23.714285714285715</v>
      </c>
      <c r="Z10" s="17">
        <f t="shared" si="2"/>
        <v>19.142857142857142</v>
      </c>
      <c r="AA10" s="17">
        <f t="shared" si="2"/>
        <v>10.142857142857142</v>
      </c>
      <c r="AB10" s="17">
        <f t="shared" si="2"/>
        <v>5.2857142857142856</v>
      </c>
      <c r="AC10" s="17">
        <f t="shared" si="2"/>
        <v>1048.5714285714284</v>
      </c>
      <c r="AD10" s="17">
        <f t="shared" si="2"/>
        <v>0.14285714285714285</v>
      </c>
      <c r="AE10" s="31">
        <f t="shared" si="2"/>
        <v>550.14285714285711</v>
      </c>
      <c r="AF10" s="31">
        <f t="shared" si="2"/>
        <v>1598.7142857142858</v>
      </c>
    </row>
    <row r="11" spans="2:32" s="6" customFormat="1" ht="23.1" customHeight="1" x14ac:dyDescent="0.25">
      <c r="B11" s="23" t="s">
        <v>38</v>
      </c>
      <c r="C11" s="49">
        <f>AVERAGE('22.07 kawempe-Bwaise'!C11,'23.07 Kawempe-Bwaise'!C11,'24.07 Kawempe-Bwaise'!C11,'25.07 Kawempe-Bwaise'!C11,'26.07 Kawempe-Bwaise-24h'!C11,'27.07 Kawempe-Bwaise-24h'!C11,'28.07 Kawempe-Bwaise'!C11)</f>
        <v>48.428571428571431</v>
      </c>
      <c r="D11" s="49">
        <f>AVERAGE('22.07 kawempe-Bwaise'!D11,'23.07 Kawempe-Bwaise'!D11,'24.07 Kawempe-Bwaise'!D11,'25.07 Kawempe-Bwaise'!D11,'26.07 Kawempe-Bwaise-24h'!D11,'27.07 Kawempe-Bwaise-24h'!D11,'28.07 Kawempe-Bwaise'!D11)</f>
        <v>8</v>
      </c>
      <c r="E11" s="49">
        <f>AVERAGE('22.07 kawempe-Bwaise'!E11,'23.07 Kawempe-Bwaise'!E11,'24.07 Kawempe-Bwaise'!E11,'25.07 Kawempe-Bwaise'!E11,'26.07 Kawempe-Bwaise-24h'!E11,'27.07 Kawempe-Bwaise-24h'!E11,'28.07 Kawempe-Bwaise'!E11)</f>
        <v>5.1428571428571432</v>
      </c>
      <c r="F11" s="49">
        <f>AVERAGE('22.07 kawempe-Bwaise'!F11,'23.07 Kawempe-Bwaise'!F11,'24.07 Kawempe-Bwaise'!F11,'25.07 Kawempe-Bwaise'!F11,'26.07 Kawempe-Bwaise-24h'!F11,'27.07 Kawempe-Bwaise-24h'!F11,'28.07 Kawempe-Bwaise'!F11)</f>
        <v>47</v>
      </c>
      <c r="G11" s="49">
        <f>AVERAGE('22.07 kawempe-Bwaise'!G11,'23.07 Kawempe-Bwaise'!G11,'24.07 Kawempe-Bwaise'!G11,'25.07 Kawempe-Bwaise'!G11,'26.07 Kawempe-Bwaise-24h'!G11,'27.07 Kawempe-Bwaise-24h'!G11,'28.07 Kawempe-Bwaise'!G11)</f>
        <v>3.2857142857142856</v>
      </c>
      <c r="H11" s="49">
        <f>AVERAGE('22.07 kawempe-Bwaise'!H11,'23.07 Kawempe-Bwaise'!H11,'24.07 Kawempe-Bwaise'!H11,'25.07 Kawempe-Bwaise'!H11,'26.07 Kawempe-Bwaise-24h'!H11,'27.07 Kawempe-Bwaise-24h'!H11,'28.07 Kawempe-Bwaise'!H11)</f>
        <v>0.14285714285714285</v>
      </c>
      <c r="I11" s="49">
        <f>AVERAGE('22.07 kawempe-Bwaise'!I11,'23.07 Kawempe-Bwaise'!I11,'24.07 Kawempe-Bwaise'!I11,'25.07 Kawempe-Bwaise'!I11,'26.07 Kawempe-Bwaise-24h'!I11,'27.07 Kawempe-Bwaise-24h'!I11,'28.07 Kawempe-Bwaise'!I11)</f>
        <v>4.7142857142857144</v>
      </c>
      <c r="J11" s="49">
        <f>AVERAGE('22.07 kawempe-Bwaise'!J11,'23.07 Kawempe-Bwaise'!J11,'24.07 Kawempe-Bwaise'!J11,'25.07 Kawempe-Bwaise'!J11,'26.07 Kawempe-Bwaise-24h'!J11,'27.07 Kawempe-Bwaise-24h'!J11,'28.07 Kawempe-Bwaise'!J11)</f>
        <v>4.5714285714285712</v>
      </c>
      <c r="K11" s="49">
        <f>AVERAGE('22.07 kawempe-Bwaise'!K11,'23.07 Kawempe-Bwaise'!K11,'24.07 Kawempe-Bwaise'!K11,'25.07 Kawempe-Bwaise'!K11,'26.07 Kawempe-Bwaise-24h'!K11,'27.07 Kawempe-Bwaise-24h'!K11,'28.07 Kawempe-Bwaise'!K11)</f>
        <v>2.5714285714285716</v>
      </c>
      <c r="L11" s="49">
        <f>AVERAGE('22.07 kawempe-Bwaise'!L11,'23.07 Kawempe-Bwaise'!L11,'24.07 Kawempe-Bwaise'!L11,'25.07 Kawempe-Bwaise'!L11,'26.07 Kawempe-Bwaise-24h'!L11,'27.07 Kawempe-Bwaise-24h'!L11,'28.07 Kawempe-Bwaise'!L11)</f>
        <v>1</v>
      </c>
      <c r="M11" s="49">
        <f>AVERAGE('22.07 kawempe-Bwaise'!M11,'23.07 Kawempe-Bwaise'!M11,'24.07 Kawempe-Bwaise'!M11,'25.07 Kawempe-Bwaise'!M11,'26.07 Kawempe-Bwaise-24h'!M11,'27.07 Kawempe-Bwaise-24h'!M11,'28.07 Kawempe-Bwaise'!M11)</f>
        <v>238.14285714285714</v>
      </c>
      <c r="N11" s="49">
        <f>AVERAGE('22.07 kawempe-Bwaise'!N11,'23.07 Kawempe-Bwaise'!N11,'24.07 Kawempe-Bwaise'!N11,'25.07 Kawempe-Bwaise'!N11,'26.07 Kawempe-Bwaise-24h'!N11,'27.07 Kawempe-Bwaise-24h'!N11,'28.07 Kawempe-Bwaise'!N11)</f>
        <v>0.14285714285714285</v>
      </c>
      <c r="O11" s="15">
        <f t="shared" si="0"/>
        <v>125</v>
      </c>
      <c r="P11" s="15">
        <f t="shared" si="1"/>
        <v>363.14285714285717</v>
      </c>
      <c r="R11" s="1" t="s">
        <v>7</v>
      </c>
      <c r="S11" s="17">
        <f t="shared" ref="S11:AF11" si="3">SUM(C14:C17)</f>
        <v>183.28571428571428</v>
      </c>
      <c r="T11" s="17">
        <f t="shared" si="3"/>
        <v>41.285714285714285</v>
      </c>
      <c r="U11" s="17">
        <f t="shared" si="3"/>
        <v>23.285714285714285</v>
      </c>
      <c r="V11" s="17">
        <f t="shared" si="3"/>
        <v>212.71428571428572</v>
      </c>
      <c r="W11" s="17">
        <f t="shared" si="3"/>
        <v>7.5714285714285712</v>
      </c>
      <c r="X11" s="17">
        <f t="shared" si="3"/>
        <v>1.1428571428571428</v>
      </c>
      <c r="Y11" s="17">
        <f t="shared" si="3"/>
        <v>28.142857142857142</v>
      </c>
      <c r="Z11" s="17">
        <f t="shared" si="3"/>
        <v>18</v>
      </c>
      <c r="AA11" s="17">
        <f t="shared" si="3"/>
        <v>10.285714285714285</v>
      </c>
      <c r="AB11" s="17">
        <f t="shared" si="3"/>
        <v>6.1428571428571423</v>
      </c>
      <c r="AC11" s="17">
        <f t="shared" si="3"/>
        <v>1143</v>
      </c>
      <c r="AD11" s="17">
        <f t="shared" si="3"/>
        <v>0</v>
      </c>
      <c r="AE11" s="31">
        <f t="shared" si="3"/>
        <v>531.85714285714289</v>
      </c>
      <c r="AF11" s="31">
        <f t="shared" si="3"/>
        <v>1674.8571428571427</v>
      </c>
    </row>
    <row r="12" spans="2:32" ht="23.1" customHeight="1" x14ac:dyDescent="0.25">
      <c r="B12" s="23" t="s">
        <v>39</v>
      </c>
      <c r="C12" s="49">
        <f>AVERAGE('22.07 kawempe-Bwaise'!C12,'23.07 Kawempe-Bwaise'!C12,'24.07 Kawempe-Bwaise'!C12,'25.07 Kawempe-Bwaise'!C12,'26.07 Kawempe-Bwaise-24h'!C12,'27.07 Kawempe-Bwaise-24h'!C12,'28.07 Kawempe-Bwaise'!C12)</f>
        <v>54.428571428571431</v>
      </c>
      <c r="D12" s="49">
        <f>AVERAGE('22.07 kawempe-Bwaise'!D12,'23.07 Kawempe-Bwaise'!D12,'24.07 Kawempe-Bwaise'!D12,'25.07 Kawempe-Bwaise'!D12,'26.07 Kawempe-Bwaise-24h'!D12,'27.07 Kawempe-Bwaise-24h'!D12,'28.07 Kawempe-Bwaise'!D12)</f>
        <v>9.7142857142857135</v>
      </c>
      <c r="E12" s="49">
        <f>AVERAGE('22.07 kawempe-Bwaise'!E12,'23.07 Kawempe-Bwaise'!E12,'24.07 Kawempe-Bwaise'!E12,'25.07 Kawempe-Bwaise'!E12,'26.07 Kawempe-Bwaise-24h'!E12,'27.07 Kawempe-Bwaise-24h'!E12,'28.07 Kawempe-Bwaise'!E12)</f>
        <v>7.1428571428571432</v>
      </c>
      <c r="F12" s="49">
        <f>AVERAGE('22.07 kawempe-Bwaise'!F12,'23.07 Kawempe-Bwaise'!F12,'24.07 Kawempe-Bwaise'!F12,'25.07 Kawempe-Bwaise'!F12,'26.07 Kawempe-Bwaise-24h'!F12,'27.07 Kawempe-Bwaise-24h'!F12,'28.07 Kawempe-Bwaise'!F12)</f>
        <v>54.857142857142854</v>
      </c>
      <c r="G12" s="49">
        <f>AVERAGE('22.07 kawempe-Bwaise'!G12,'23.07 Kawempe-Bwaise'!G12,'24.07 Kawempe-Bwaise'!G12,'25.07 Kawempe-Bwaise'!G12,'26.07 Kawempe-Bwaise-24h'!G12,'27.07 Kawempe-Bwaise-24h'!G12,'28.07 Kawempe-Bwaise'!G12)</f>
        <v>1.7142857142857142</v>
      </c>
      <c r="H12" s="49">
        <f>AVERAGE('22.07 kawempe-Bwaise'!H12,'23.07 Kawempe-Bwaise'!H12,'24.07 Kawempe-Bwaise'!H12,'25.07 Kawempe-Bwaise'!H12,'26.07 Kawempe-Bwaise-24h'!H12,'27.07 Kawempe-Bwaise-24h'!H12,'28.07 Kawempe-Bwaise'!H12)</f>
        <v>0.2857142857142857</v>
      </c>
      <c r="I12" s="49">
        <f>AVERAGE('22.07 kawempe-Bwaise'!I12,'23.07 Kawempe-Bwaise'!I12,'24.07 Kawempe-Bwaise'!I12,'25.07 Kawempe-Bwaise'!I12,'26.07 Kawempe-Bwaise-24h'!I12,'27.07 Kawempe-Bwaise-24h'!I12,'28.07 Kawempe-Bwaise'!I12)</f>
        <v>5.2857142857142856</v>
      </c>
      <c r="J12" s="49">
        <f>AVERAGE('22.07 kawempe-Bwaise'!J12,'23.07 Kawempe-Bwaise'!J12,'24.07 Kawempe-Bwaise'!J12,'25.07 Kawempe-Bwaise'!J12,'26.07 Kawempe-Bwaise-24h'!J12,'27.07 Kawempe-Bwaise-24h'!J12,'28.07 Kawempe-Bwaise'!J12)</f>
        <v>4.2857142857142856</v>
      </c>
      <c r="K12" s="49">
        <f>AVERAGE('22.07 kawempe-Bwaise'!K12,'23.07 Kawempe-Bwaise'!K12,'24.07 Kawempe-Bwaise'!K12,'25.07 Kawempe-Bwaise'!K12,'26.07 Kawempe-Bwaise-24h'!K12,'27.07 Kawempe-Bwaise-24h'!K12,'28.07 Kawempe-Bwaise'!K12)</f>
        <v>2.2857142857142856</v>
      </c>
      <c r="L12" s="49">
        <f>AVERAGE('22.07 kawempe-Bwaise'!L12,'23.07 Kawempe-Bwaise'!L12,'24.07 Kawempe-Bwaise'!L12,'25.07 Kawempe-Bwaise'!L12,'26.07 Kawempe-Bwaise-24h'!L12,'27.07 Kawempe-Bwaise-24h'!L12,'28.07 Kawempe-Bwaise'!L12)</f>
        <v>1.2857142857142858</v>
      </c>
      <c r="M12" s="49">
        <f>AVERAGE('22.07 kawempe-Bwaise'!M12,'23.07 Kawempe-Bwaise'!M12,'24.07 Kawempe-Bwaise'!M12,'25.07 Kawempe-Bwaise'!M12,'26.07 Kawempe-Bwaise-24h'!M12,'27.07 Kawempe-Bwaise-24h'!M12,'28.07 Kawempe-Bwaise'!M12)</f>
        <v>273</v>
      </c>
      <c r="N12" s="49">
        <f>AVERAGE('22.07 kawempe-Bwaise'!N12,'23.07 Kawempe-Bwaise'!N12,'24.07 Kawempe-Bwaise'!N12,'25.07 Kawempe-Bwaise'!N12,'26.07 Kawempe-Bwaise-24h'!N12,'27.07 Kawempe-Bwaise-24h'!N12,'28.07 Kawempe-Bwaise'!N12)</f>
        <v>0</v>
      </c>
      <c r="O12" s="15">
        <f t="shared" si="0"/>
        <v>141.28571428571425</v>
      </c>
      <c r="P12" s="15">
        <f t="shared" si="1"/>
        <v>414.28571428571422</v>
      </c>
      <c r="R12" s="1" t="s">
        <v>8</v>
      </c>
      <c r="S12" s="17">
        <f t="shared" ref="S12:AF12" si="4">SUM(C18:C21)</f>
        <v>177</v>
      </c>
      <c r="T12" s="17">
        <f t="shared" si="4"/>
        <v>38</v>
      </c>
      <c r="U12" s="17">
        <f t="shared" si="4"/>
        <v>22.714285714285715</v>
      </c>
      <c r="V12" s="17">
        <f t="shared" si="4"/>
        <v>194.85714285714286</v>
      </c>
      <c r="W12" s="17">
        <f t="shared" si="4"/>
        <v>8.1428571428571423</v>
      </c>
      <c r="X12" s="17">
        <f t="shared" si="4"/>
        <v>0.85714285714285698</v>
      </c>
      <c r="Y12" s="17">
        <f t="shared" si="4"/>
        <v>33.285714285714285</v>
      </c>
      <c r="Z12" s="17">
        <f t="shared" si="4"/>
        <v>29</v>
      </c>
      <c r="AA12" s="17">
        <f t="shared" si="4"/>
        <v>11.999999999999998</v>
      </c>
      <c r="AB12" s="17">
        <f t="shared" si="4"/>
        <v>6.2857142857142856</v>
      </c>
      <c r="AC12" s="17">
        <f t="shared" si="4"/>
        <v>1046.5714285714287</v>
      </c>
      <c r="AD12" s="17">
        <f t="shared" si="4"/>
        <v>0</v>
      </c>
      <c r="AE12" s="31">
        <f t="shared" si="4"/>
        <v>522.14285714285711</v>
      </c>
      <c r="AF12" s="31">
        <f t="shared" si="4"/>
        <v>1568.7142857142858</v>
      </c>
    </row>
    <row r="13" spans="2:32" ht="23.1" customHeight="1" x14ac:dyDescent="0.25">
      <c r="B13" s="23" t="s">
        <v>40</v>
      </c>
      <c r="C13" s="49">
        <f>AVERAGE('22.07 kawempe-Bwaise'!C13,'23.07 Kawempe-Bwaise'!C13,'24.07 Kawempe-Bwaise'!C13,'25.07 Kawempe-Bwaise'!C13,'26.07 Kawempe-Bwaise-24h'!C13,'27.07 Kawempe-Bwaise-24h'!C13,'28.07 Kawempe-Bwaise'!C13)</f>
        <v>50</v>
      </c>
      <c r="D13" s="49">
        <f>AVERAGE('22.07 kawempe-Bwaise'!D13,'23.07 Kawempe-Bwaise'!D13,'24.07 Kawempe-Bwaise'!D13,'25.07 Kawempe-Bwaise'!D13,'26.07 Kawempe-Bwaise-24h'!D13,'27.07 Kawempe-Bwaise-24h'!D13,'28.07 Kawempe-Bwaise'!D13)</f>
        <v>8.1428571428571423</v>
      </c>
      <c r="E13" s="49">
        <f>AVERAGE('22.07 kawempe-Bwaise'!E13,'23.07 Kawempe-Bwaise'!E13,'24.07 Kawempe-Bwaise'!E13,'25.07 Kawempe-Bwaise'!E13,'26.07 Kawempe-Bwaise-24h'!E13,'27.07 Kawempe-Bwaise-24h'!E13,'28.07 Kawempe-Bwaise'!E13)</f>
        <v>5</v>
      </c>
      <c r="F13" s="49">
        <f>AVERAGE('22.07 kawempe-Bwaise'!F13,'23.07 Kawempe-Bwaise'!F13,'24.07 Kawempe-Bwaise'!F13,'25.07 Kawempe-Bwaise'!F13,'26.07 Kawempe-Bwaise-24h'!F13,'27.07 Kawempe-Bwaise-24h'!F13,'28.07 Kawempe-Bwaise'!F13)</f>
        <v>50.142857142857146</v>
      </c>
      <c r="G13" s="49">
        <f>AVERAGE('22.07 kawempe-Bwaise'!G13,'23.07 Kawempe-Bwaise'!G13,'24.07 Kawempe-Bwaise'!G13,'25.07 Kawempe-Bwaise'!G13,'26.07 Kawempe-Bwaise-24h'!G13,'27.07 Kawempe-Bwaise-24h'!G13,'28.07 Kawempe-Bwaise'!G13)</f>
        <v>1.5714285714285714</v>
      </c>
      <c r="H13" s="49">
        <f>AVERAGE('22.07 kawempe-Bwaise'!H13,'23.07 Kawempe-Bwaise'!H13,'24.07 Kawempe-Bwaise'!H13,'25.07 Kawempe-Bwaise'!H13,'26.07 Kawempe-Bwaise-24h'!H13,'27.07 Kawempe-Bwaise-24h'!H13,'28.07 Kawempe-Bwaise'!H13)</f>
        <v>0.42857142857142855</v>
      </c>
      <c r="I13" s="49">
        <f>AVERAGE('22.07 kawempe-Bwaise'!I13,'23.07 Kawempe-Bwaise'!I13,'24.07 Kawempe-Bwaise'!I13,'25.07 Kawempe-Bwaise'!I13,'26.07 Kawempe-Bwaise-24h'!I13,'27.07 Kawempe-Bwaise-24h'!I13,'28.07 Kawempe-Bwaise'!I13)</f>
        <v>7.4285714285714288</v>
      </c>
      <c r="J13" s="49">
        <f>AVERAGE('22.07 kawempe-Bwaise'!J13,'23.07 Kawempe-Bwaise'!J13,'24.07 Kawempe-Bwaise'!J13,'25.07 Kawempe-Bwaise'!J13,'26.07 Kawempe-Bwaise-24h'!J13,'27.07 Kawempe-Bwaise-24h'!J13,'28.07 Kawempe-Bwaise'!J13)</f>
        <v>4.2857142857142856</v>
      </c>
      <c r="K13" s="49">
        <f>AVERAGE('22.07 kawempe-Bwaise'!K13,'23.07 Kawempe-Bwaise'!K13,'24.07 Kawempe-Bwaise'!K13,'25.07 Kawempe-Bwaise'!K13,'26.07 Kawempe-Bwaise-24h'!K13,'27.07 Kawempe-Bwaise-24h'!K13,'28.07 Kawempe-Bwaise'!K13)</f>
        <v>2</v>
      </c>
      <c r="L13" s="49">
        <f>AVERAGE('22.07 kawempe-Bwaise'!L13,'23.07 Kawempe-Bwaise'!L13,'24.07 Kawempe-Bwaise'!L13,'25.07 Kawempe-Bwaise'!L13,'26.07 Kawempe-Bwaise-24h'!L13,'27.07 Kawempe-Bwaise-24h'!L13,'28.07 Kawempe-Bwaise'!L13)</f>
        <v>1.5714285714285714</v>
      </c>
      <c r="M13" s="49">
        <f>AVERAGE('22.07 kawempe-Bwaise'!M13,'23.07 Kawempe-Bwaise'!M13,'24.07 Kawempe-Bwaise'!M13,'25.07 Kawempe-Bwaise'!M13,'26.07 Kawempe-Bwaise-24h'!M13,'27.07 Kawempe-Bwaise-24h'!M13,'28.07 Kawempe-Bwaise'!M13)</f>
        <v>302.28571428571428</v>
      </c>
      <c r="N13" s="49">
        <f>AVERAGE('22.07 kawempe-Bwaise'!N13,'23.07 Kawempe-Bwaise'!N13,'24.07 Kawempe-Bwaise'!N13,'25.07 Kawempe-Bwaise'!N13,'26.07 Kawempe-Bwaise-24h'!N13,'27.07 Kawempe-Bwaise-24h'!N13,'28.07 Kawempe-Bwaise'!N13)</f>
        <v>0</v>
      </c>
      <c r="O13" s="15">
        <f t="shared" si="0"/>
        <v>130.57142857142858</v>
      </c>
      <c r="P13" s="15">
        <f t="shared" si="1"/>
        <v>432.85714285714289</v>
      </c>
      <c r="R13" s="1" t="s">
        <v>9</v>
      </c>
      <c r="S13" s="17">
        <f t="shared" ref="S13:AF13" si="5">SUM(C22:C25)</f>
        <v>165</v>
      </c>
      <c r="T13" s="17">
        <f t="shared" si="5"/>
        <v>40</v>
      </c>
      <c r="U13" s="17">
        <f t="shared" si="5"/>
        <v>22.571428571428573</v>
      </c>
      <c r="V13" s="17">
        <f t="shared" si="5"/>
        <v>181.14285714285717</v>
      </c>
      <c r="W13" s="17">
        <f t="shared" si="5"/>
        <v>5</v>
      </c>
      <c r="X13" s="17">
        <f t="shared" si="5"/>
        <v>1.1428571428571428</v>
      </c>
      <c r="Y13" s="17">
        <f t="shared" si="5"/>
        <v>34.285714285714292</v>
      </c>
      <c r="Z13" s="17">
        <f t="shared" si="5"/>
        <v>29.285714285714285</v>
      </c>
      <c r="AA13" s="17">
        <f t="shared" si="5"/>
        <v>11.285714285714285</v>
      </c>
      <c r="AB13" s="17">
        <f t="shared" si="5"/>
        <v>4.7142857142857144</v>
      </c>
      <c r="AC13" s="17">
        <f t="shared" si="5"/>
        <v>857.42857142857133</v>
      </c>
      <c r="AD13" s="17">
        <f t="shared" si="5"/>
        <v>0</v>
      </c>
      <c r="AE13" s="31">
        <f t="shared" si="5"/>
        <v>494.42857142857144</v>
      </c>
      <c r="AF13" s="31">
        <f t="shared" si="5"/>
        <v>1351.8571428571427</v>
      </c>
    </row>
    <row r="14" spans="2:32" ht="23.1" customHeight="1" x14ac:dyDescent="0.25">
      <c r="B14" s="23" t="s">
        <v>41</v>
      </c>
      <c r="C14" s="49">
        <f>AVERAGE('22.07 kawempe-Bwaise'!C14,'23.07 Kawempe-Bwaise'!C14,'24.07 Kawempe-Bwaise'!C14,'25.07 Kawempe-Bwaise'!C14,'26.07 Kawempe-Bwaise-24h'!C14,'27.07 Kawempe-Bwaise-24h'!C14,'28.07 Kawempe-Bwaise'!C14)</f>
        <v>49.714285714285715</v>
      </c>
      <c r="D14" s="49">
        <f>AVERAGE('22.07 kawempe-Bwaise'!D14,'23.07 Kawempe-Bwaise'!D14,'24.07 Kawempe-Bwaise'!D14,'25.07 Kawempe-Bwaise'!D14,'26.07 Kawempe-Bwaise-24h'!D14,'27.07 Kawempe-Bwaise-24h'!D14,'28.07 Kawempe-Bwaise'!D14)</f>
        <v>10.571428571428571</v>
      </c>
      <c r="E14" s="49">
        <f>AVERAGE('22.07 kawempe-Bwaise'!E14,'23.07 Kawempe-Bwaise'!E14,'24.07 Kawempe-Bwaise'!E14,'25.07 Kawempe-Bwaise'!E14,'26.07 Kawempe-Bwaise-24h'!E14,'27.07 Kawempe-Bwaise-24h'!E14,'28.07 Kawempe-Bwaise'!E14)</f>
        <v>5.7142857142857144</v>
      </c>
      <c r="F14" s="49">
        <f>AVERAGE('22.07 kawempe-Bwaise'!F14,'23.07 Kawempe-Bwaise'!F14,'24.07 Kawempe-Bwaise'!F14,'25.07 Kawempe-Bwaise'!F14,'26.07 Kawempe-Bwaise-24h'!F14,'27.07 Kawempe-Bwaise-24h'!F14,'28.07 Kawempe-Bwaise'!F14)</f>
        <v>57.857142857142854</v>
      </c>
      <c r="G14" s="49">
        <f>AVERAGE('22.07 kawempe-Bwaise'!G14,'23.07 Kawempe-Bwaise'!G14,'24.07 Kawempe-Bwaise'!G14,'25.07 Kawempe-Bwaise'!G14,'26.07 Kawempe-Bwaise-24h'!G14,'27.07 Kawempe-Bwaise-24h'!G14,'28.07 Kawempe-Bwaise'!G14)</f>
        <v>2.2857142857142856</v>
      </c>
      <c r="H14" s="49">
        <f>AVERAGE('22.07 kawempe-Bwaise'!H14,'23.07 Kawempe-Bwaise'!H14,'24.07 Kawempe-Bwaise'!H14,'25.07 Kawempe-Bwaise'!H14,'26.07 Kawempe-Bwaise-24h'!H14,'27.07 Kawempe-Bwaise-24h'!H14,'28.07 Kawempe-Bwaise'!H14)</f>
        <v>0.2857142857142857</v>
      </c>
      <c r="I14" s="49">
        <f>AVERAGE('22.07 kawempe-Bwaise'!I14,'23.07 Kawempe-Bwaise'!I14,'24.07 Kawempe-Bwaise'!I14,'25.07 Kawempe-Bwaise'!I14,'26.07 Kawempe-Bwaise-24h'!I14,'27.07 Kawempe-Bwaise-24h'!I14,'28.07 Kawempe-Bwaise'!I14)</f>
        <v>6.8571428571428568</v>
      </c>
      <c r="J14" s="49">
        <f>AVERAGE('22.07 kawempe-Bwaise'!J14,'23.07 Kawempe-Bwaise'!J14,'24.07 Kawempe-Bwaise'!J14,'25.07 Kawempe-Bwaise'!J14,'26.07 Kawempe-Bwaise-24h'!J14,'27.07 Kawempe-Bwaise-24h'!J14,'28.07 Kawempe-Bwaise'!J14)</f>
        <v>4.2857142857142856</v>
      </c>
      <c r="K14" s="49">
        <f>AVERAGE('22.07 kawempe-Bwaise'!K14,'23.07 Kawempe-Bwaise'!K14,'24.07 Kawempe-Bwaise'!K14,'25.07 Kawempe-Bwaise'!K14,'26.07 Kawempe-Bwaise-24h'!K14,'27.07 Kawempe-Bwaise-24h'!K14,'28.07 Kawempe-Bwaise'!K14)</f>
        <v>2.7142857142857144</v>
      </c>
      <c r="L14" s="49">
        <f>AVERAGE('22.07 kawempe-Bwaise'!L14,'23.07 Kawempe-Bwaise'!L14,'24.07 Kawempe-Bwaise'!L14,'25.07 Kawempe-Bwaise'!L14,'26.07 Kawempe-Bwaise-24h'!L14,'27.07 Kawempe-Bwaise-24h'!L14,'28.07 Kawempe-Bwaise'!L14)</f>
        <v>1.2857142857142858</v>
      </c>
      <c r="M14" s="49">
        <f>AVERAGE('22.07 kawempe-Bwaise'!M14,'23.07 Kawempe-Bwaise'!M14,'24.07 Kawempe-Bwaise'!M14,'25.07 Kawempe-Bwaise'!M14,'26.07 Kawempe-Bwaise-24h'!M14,'27.07 Kawempe-Bwaise-24h'!M14,'28.07 Kawempe-Bwaise'!M14)</f>
        <v>273.71428571428572</v>
      </c>
      <c r="N14" s="49">
        <f>AVERAGE('22.07 kawempe-Bwaise'!N14,'23.07 Kawempe-Bwaise'!N14,'24.07 Kawempe-Bwaise'!N14,'25.07 Kawempe-Bwaise'!N14,'26.07 Kawempe-Bwaise-24h'!N14,'27.07 Kawempe-Bwaise-24h'!N14,'28.07 Kawempe-Bwaise'!N14)</f>
        <v>0</v>
      </c>
      <c r="O14" s="15">
        <f t="shared" si="0"/>
        <v>141.57142857142858</v>
      </c>
      <c r="P14" s="15">
        <f t="shared" si="1"/>
        <v>415.28571428571433</v>
      </c>
      <c r="R14" s="1" t="s">
        <v>10</v>
      </c>
      <c r="S14" s="17">
        <f t="shared" ref="S14:AF14" si="6">SUM(C26:C29)</f>
        <v>164.85714285714286</v>
      </c>
      <c r="T14" s="17">
        <f t="shared" si="6"/>
        <v>45.857142857142861</v>
      </c>
      <c r="U14" s="17">
        <f t="shared" si="6"/>
        <v>30</v>
      </c>
      <c r="V14" s="17">
        <f t="shared" si="6"/>
        <v>162.71428571428572</v>
      </c>
      <c r="W14" s="17">
        <f t="shared" si="6"/>
        <v>7.8571428571428577</v>
      </c>
      <c r="X14" s="17">
        <f t="shared" si="6"/>
        <v>2.2857142857142856</v>
      </c>
      <c r="Y14" s="17">
        <f t="shared" si="6"/>
        <v>31.571428571428573</v>
      </c>
      <c r="Z14" s="17">
        <f t="shared" si="6"/>
        <v>33.285714285714285</v>
      </c>
      <c r="AA14" s="17">
        <f t="shared" si="6"/>
        <v>9.8571428571428577</v>
      </c>
      <c r="AB14" s="17">
        <f t="shared" si="6"/>
        <v>6.2857142857142865</v>
      </c>
      <c r="AC14" s="17">
        <f t="shared" si="6"/>
        <v>763.54761904761915</v>
      </c>
      <c r="AD14" s="17">
        <f t="shared" si="6"/>
        <v>0</v>
      </c>
      <c r="AE14" s="31">
        <f t="shared" si="6"/>
        <v>494.57142857142861</v>
      </c>
      <c r="AF14" s="31">
        <f t="shared" si="6"/>
        <v>1258.1190476190477</v>
      </c>
    </row>
    <row r="15" spans="2:32" ht="23.1" customHeight="1" x14ac:dyDescent="0.25">
      <c r="B15" s="23" t="s">
        <v>42</v>
      </c>
      <c r="C15" s="49">
        <f>AVERAGE('22.07 kawempe-Bwaise'!C15,'23.07 Kawempe-Bwaise'!C15,'24.07 Kawempe-Bwaise'!C15,'25.07 Kawempe-Bwaise'!C15,'26.07 Kawempe-Bwaise-24h'!C15,'27.07 Kawempe-Bwaise-24h'!C15,'28.07 Kawempe-Bwaise'!C15)</f>
        <v>45.571428571428569</v>
      </c>
      <c r="D15" s="49">
        <f>AVERAGE('22.07 kawempe-Bwaise'!D15,'23.07 Kawempe-Bwaise'!D15,'24.07 Kawempe-Bwaise'!D15,'25.07 Kawempe-Bwaise'!D15,'26.07 Kawempe-Bwaise-24h'!D15,'27.07 Kawempe-Bwaise-24h'!D15,'28.07 Kawempe-Bwaise'!D15)</f>
        <v>11</v>
      </c>
      <c r="E15" s="49">
        <f>AVERAGE('22.07 kawempe-Bwaise'!E15,'23.07 Kawempe-Bwaise'!E15,'24.07 Kawempe-Bwaise'!E15,'25.07 Kawempe-Bwaise'!E15,'26.07 Kawempe-Bwaise-24h'!E15,'27.07 Kawempe-Bwaise-24h'!E15,'28.07 Kawempe-Bwaise'!E15)</f>
        <v>5.7142857142857144</v>
      </c>
      <c r="F15" s="49">
        <f>AVERAGE('22.07 kawempe-Bwaise'!F15,'23.07 Kawempe-Bwaise'!F15,'24.07 Kawempe-Bwaise'!F15,'25.07 Kawempe-Bwaise'!F15,'26.07 Kawempe-Bwaise-24h'!F15,'27.07 Kawempe-Bwaise-24h'!F15,'28.07 Kawempe-Bwaise'!F15)</f>
        <v>52</v>
      </c>
      <c r="G15" s="49">
        <f>AVERAGE('22.07 kawempe-Bwaise'!G15,'23.07 Kawempe-Bwaise'!G15,'24.07 Kawempe-Bwaise'!G15,'25.07 Kawempe-Bwaise'!G15,'26.07 Kawempe-Bwaise-24h'!G15,'27.07 Kawempe-Bwaise-24h'!G15,'28.07 Kawempe-Bwaise'!G15)</f>
        <v>1.7142857142857142</v>
      </c>
      <c r="H15" s="49">
        <f>AVERAGE('22.07 kawempe-Bwaise'!H15,'23.07 Kawempe-Bwaise'!H15,'24.07 Kawempe-Bwaise'!H15,'25.07 Kawempe-Bwaise'!H15,'26.07 Kawempe-Bwaise-24h'!H15,'27.07 Kawempe-Bwaise-24h'!H15,'28.07 Kawempe-Bwaise'!H15)</f>
        <v>0.7142857142857143</v>
      </c>
      <c r="I15" s="49">
        <f>AVERAGE('22.07 kawempe-Bwaise'!I15,'23.07 Kawempe-Bwaise'!I15,'24.07 Kawempe-Bwaise'!I15,'25.07 Kawempe-Bwaise'!I15,'26.07 Kawempe-Bwaise-24h'!I15,'27.07 Kawempe-Bwaise-24h'!I15,'28.07 Kawempe-Bwaise'!I15)</f>
        <v>7.4285714285714288</v>
      </c>
      <c r="J15" s="49">
        <f>AVERAGE('22.07 kawempe-Bwaise'!J15,'23.07 Kawempe-Bwaise'!J15,'24.07 Kawempe-Bwaise'!J15,'25.07 Kawempe-Bwaise'!J15,'26.07 Kawempe-Bwaise-24h'!J15,'27.07 Kawempe-Bwaise-24h'!J15,'28.07 Kawempe-Bwaise'!J15)</f>
        <v>3.7142857142857144</v>
      </c>
      <c r="K15" s="49">
        <f>AVERAGE('22.07 kawempe-Bwaise'!K15,'23.07 Kawempe-Bwaise'!K15,'24.07 Kawempe-Bwaise'!K15,'25.07 Kawempe-Bwaise'!K15,'26.07 Kawempe-Bwaise-24h'!K15,'27.07 Kawempe-Bwaise-24h'!K15,'28.07 Kawempe-Bwaise'!K15)</f>
        <v>1.8571428571428572</v>
      </c>
      <c r="L15" s="49">
        <f>AVERAGE('22.07 kawempe-Bwaise'!L15,'23.07 Kawempe-Bwaise'!L15,'24.07 Kawempe-Bwaise'!L15,'25.07 Kawempe-Bwaise'!L15,'26.07 Kawempe-Bwaise-24h'!L15,'27.07 Kawempe-Bwaise-24h'!L15,'28.07 Kawempe-Bwaise'!L15)</f>
        <v>1.5714285714285714</v>
      </c>
      <c r="M15" s="49">
        <f>AVERAGE('22.07 kawempe-Bwaise'!M15,'23.07 Kawempe-Bwaise'!M15,'24.07 Kawempe-Bwaise'!M15,'25.07 Kawempe-Bwaise'!M15,'26.07 Kawempe-Bwaise-24h'!M15,'27.07 Kawempe-Bwaise-24h'!M15,'28.07 Kawempe-Bwaise'!M15)</f>
        <v>289.85714285714283</v>
      </c>
      <c r="N15" s="49">
        <f>AVERAGE('22.07 kawempe-Bwaise'!N15,'23.07 Kawempe-Bwaise'!N15,'24.07 Kawempe-Bwaise'!N15,'25.07 Kawempe-Bwaise'!N15,'26.07 Kawempe-Bwaise-24h'!N15,'27.07 Kawempe-Bwaise-24h'!N15,'28.07 Kawempe-Bwaise'!N15)</f>
        <v>0</v>
      </c>
      <c r="O15" s="15">
        <f t="shared" si="0"/>
        <v>131.28571428571428</v>
      </c>
      <c r="P15" s="15">
        <f t="shared" si="1"/>
        <v>421.14285714285711</v>
      </c>
      <c r="R15" s="1" t="s">
        <v>11</v>
      </c>
      <c r="S15" s="17">
        <f t="shared" ref="S15:AF15" si="7">SUM(C30:C33)</f>
        <v>156.42857142857142</v>
      </c>
      <c r="T15" s="17">
        <f t="shared" si="7"/>
        <v>39.857142857142854</v>
      </c>
      <c r="U15" s="17">
        <f t="shared" si="7"/>
        <v>26.571428571428569</v>
      </c>
      <c r="V15" s="17">
        <f t="shared" si="7"/>
        <v>160</v>
      </c>
      <c r="W15" s="17">
        <f t="shared" si="7"/>
        <v>8.2857142857142865</v>
      </c>
      <c r="X15" s="17">
        <f t="shared" si="7"/>
        <v>2.8571428571428572</v>
      </c>
      <c r="Y15" s="17">
        <f t="shared" si="7"/>
        <v>32.285714285714285</v>
      </c>
      <c r="Z15" s="17">
        <f t="shared" si="7"/>
        <v>29.428571428571427</v>
      </c>
      <c r="AA15" s="17">
        <f t="shared" si="7"/>
        <v>10.428571428571429</v>
      </c>
      <c r="AB15" s="17">
        <f t="shared" si="7"/>
        <v>8</v>
      </c>
      <c r="AC15" s="17">
        <f t="shared" si="7"/>
        <v>653.85714285714289</v>
      </c>
      <c r="AD15" s="17">
        <f t="shared" si="7"/>
        <v>0</v>
      </c>
      <c r="AE15" s="31">
        <f t="shared" si="7"/>
        <v>474.14285714285722</v>
      </c>
      <c r="AF15" s="31">
        <f t="shared" si="7"/>
        <v>1128</v>
      </c>
    </row>
    <row r="16" spans="2:32" ht="23.1" customHeight="1" x14ac:dyDescent="0.25">
      <c r="B16" s="23" t="s">
        <v>43</v>
      </c>
      <c r="C16" s="49">
        <f>AVERAGE('22.07 kawempe-Bwaise'!C16,'23.07 Kawempe-Bwaise'!C16,'24.07 Kawempe-Bwaise'!C16,'25.07 Kawempe-Bwaise'!C16,'26.07 Kawempe-Bwaise-24h'!C16,'27.07 Kawempe-Bwaise-24h'!C16,'28.07 Kawempe-Bwaise'!C16)</f>
        <v>50.857142857142854</v>
      </c>
      <c r="D16" s="49">
        <f>AVERAGE('22.07 kawempe-Bwaise'!D16,'23.07 Kawempe-Bwaise'!D16,'24.07 Kawempe-Bwaise'!D16,'25.07 Kawempe-Bwaise'!D16,'26.07 Kawempe-Bwaise-24h'!D16,'27.07 Kawempe-Bwaise-24h'!D16,'28.07 Kawempe-Bwaise'!D16)</f>
        <v>10.285714285714286</v>
      </c>
      <c r="E16" s="49">
        <f>AVERAGE('22.07 kawempe-Bwaise'!E16,'23.07 Kawempe-Bwaise'!E16,'24.07 Kawempe-Bwaise'!E16,'25.07 Kawempe-Bwaise'!E16,'26.07 Kawempe-Bwaise-24h'!E16,'27.07 Kawempe-Bwaise-24h'!E16,'28.07 Kawempe-Bwaise'!E16)</f>
        <v>6.7142857142857144</v>
      </c>
      <c r="F16" s="49">
        <f>AVERAGE('22.07 kawempe-Bwaise'!F16,'23.07 Kawempe-Bwaise'!F16,'24.07 Kawempe-Bwaise'!F16,'25.07 Kawempe-Bwaise'!F16,'26.07 Kawempe-Bwaise-24h'!F16,'27.07 Kawempe-Bwaise-24h'!F16,'28.07 Kawempe-Bwaise'!F16)</f>
        <v>58.142857142857146</v>
      </c>
      <c r="G16" s="49">
        <f>AVERAGE('22.07 kawempe-Bwaise'!G16,'23.07 Kawempe-Bwaise'!G16,'24.07 Kawempe-Bwaise'!G16,'25.07 Kawempe-Bwaise'!G16,'26.07 Kawempe-Bwaise-24h'!G16,'27.07 Kawempe-Bwaise-24h'!G16,'28.07 Kawempe-Bwaise'!G16)</f>
        <v>2.2857142857142856</v>
      </c>
      <c r="H16" s="49">
        <f>AVERAGE('22.07 kawempe-Bwaise'!H16,'23.07 Kawempe-Bwaise'!H16,'24.07 Kawempe-Bwaise'!H16,'25.07 Kawempe-Bwaise'!H16,'26.07 Kawempe-Bwaise-24h'!H16,'27.07 Kawempe-Bwaise-24h'!H16,'28.07 Kawempe-Bwaise'!H16)</f>
        <v>0.14285714285714285</v>
      </c>
      <c r="I16" s="49">
        <f>AVERAGE('22.07 kawempe-Bwaise'!I16,'23.07 Kawempe-Bwaise'!I16,'24.07 Kawempe-Bwaise'!I16,'25.07 Kawempe-Bwaise'!I16,'26.07 Kawempe-Bwaise-24h'!I16,'27.07 Kawempe-Bwaise-24h'!I16,'28.07 Kawempe-Bwaise'!I16)</f>
        <v>7.8571428571428568</v>
      </c>
      <c r="J16" s="49">
        <f>AVERAGE('22.07 kawempe-Bwaise'!J16,'23.07 Kawempe-Bwaise'!J16,'24.07 Kawempe-Bwaise'!J16,'25.07 Kawempe-Bwaise'!J16,'26.07 Kawempe-Bwaise-24h'!J16,'27.07 Kawempe-Bwaise-24h'!J16,'28.07 Kawempe-Bwaise'!J16)</f>
        <v>4.4285714285714288</v>
      </c>
      <c r="K16" s="49">
        <f>AVERAGE('22.07 kawempe-Bwaise'!K16,'23.07 Kawempe-Bwaise'!K16,'24.07 Kawempe-Bwaise'!K16,'25.07 Kawempe-Bwaise'!K16,'26.07 Kawempe-Bwaise-24h'!K16,'27.07 Kawempe-Bwaise-24h'!K16,'28.07 Kawempe-Bwaise'!K16)</f>
        <v>3</v>
      </c>
      <c r="L16" s="49">
        <f>AVERAGE('22.07 kawempe-Bwaise'!L16,'23.07 Kawempe-Bwaise'!L16,'24.07 Kawempe-Bwaise'!L16,'25.07 Kawempe-Bwaise'!L16,'26.07 Kawempe-Bwaise-24h'!L16,'27.07 Kawempe-Bwaise-24h'!L16,'28.07 Kawempe-Bwaise'!L16)</f>
        <v>1.4285714285714286</v>
      </c>
      <c r="M16" s="49">
        <f>AVERAGE('22.07 kawempe-Bwaise'!M16,'23.07 Kawempe-Bwaise'!M16,'24.07 Kawempe-Bwaise'!M16,'25.07 Kawempe-Bwaise'!M16,'26.07 Kawempe-Bwaise-24h'!M16,'27.07 Kawempe-Bwaise-24h'!M16,'28.07 Kawempe-Bwaise'!M16)</f>
        <v>324</v>
      </c>
      <c r="N16" s="49">
        <f>AVERAGE('22.07 kawempe-Bwaise'!N16,'23.07 Kawempe-Bwaise'!N16,'24.07 Kawempe-Bwaise'!N16,'25.07 Kawempe-Bwaise'!N16,'26.07 Kawempe-Bwaise-24h'!N16,'27.07 Kawempe-Bwaise-24h'!N16,'28.07 Kawempe-Bwaise'!N16)</f>
        <v>0</v>
      </c>
      <c r="O16" s="15">
        <f t="shared" si="0"/>
        <v>145.14285714285711</v>
      </c>
      <c r="P16" s="15">
        <f t="shared" si="1"/>
        <v>469.14285714285711</v>
      </c>
      <c r="R16" s="1" t="s">
        <v>12</v>
      </c>
      <c r="S16" s="17">
        <f t="shared" ref="S16:AF16" si="8">SUM(C34:C37)</f>
        <v>145.42857142857144</v>
      </c>
      <c r="T16" s="17">
        <f t="shared" si="8"/>
        <v>45.285714285714292</v>
      </c>
      <c r="U16" s="17">
        <f t="shared" si="8"/>
        <v>25.142857142857142</v>
      </c>
      <c r="V16" s="17">
        <f t="shared" si="8"/>
        <v>156.57142857142856</v>
      </c>
      <c r="W16" s="17">
        <f t="shared" si="8"/>
        <v>5.4285714285714288</v>
      </c>
      <c r="X16" s="17">
        <f t="shared" si="8"/>
        <v>2.8571428571428568</v>
      </c>
      <c r="Y16" s="17">
        <f t="shared" si="8"/>
        <v>26.142857142857139</v>
      </c>
      <c r="Z16" s="17">
        <f t="shared" si="8"/>
        <v>24.714285714285715</v>
      </c>
      <c r="AA16" s="17">
        <f t="shared" si="8"/>
        <v>10.714285714285714</v>
      </c>
      <c r="AB16" s="17">
        <f t="shared" si="8"/>
        <v>5.5714285714285712</v>
      </c>
      <c r="AC16" s="17">
        <f t="shared" si="8"/>
        <v>596.14285714285722</v>
      </c>
      <c r="AD16" s="17">
        <f t="shared" si="8"/>
        <v>0</v>
      </c>
      <c r="AE16" s="31">
        <f t="shared" si="8"/>
        <v>447.85714285714289</v>
      </c>
      <c r="AF16" s="31">
        <f t="shared" si="8"/>
        <v>1044</v>
      </c>
    </row>
    <row r="17" spans="2:32" ht="23.1" customHeight="1" x14ac:dyDescent="0.25">
      <c r="B17" s="23" t="s">
        <v>44</v>
      </c>
      <c r="C17" s="49">
        <f>AVERAGE('22.07 kawempe-Bwaise'!C17,'23.07 Kawempe-Bwaise'!C17,'24.07 Kawempe-Bwaise'!C17,'25.07 Kawempe-Bwaise'!C17,'26.07 Kawempe-Bwaise-24h'!C17,'27.07 Kawempe-Bwaise-24h'!C17,'28.07 Kawempe-Bwaise'!C17)</f>
        <v>37.142857142857146</v>
      </c>
      <c r="D17" s="49">
        <f>AVERAGE('22.07 kawempe-Bwaise'!D17,'23.07 Kawempe-Bwaise'!D17,'24.07 Kawempe-Bwaise'!D17,'25.07 Kawempe-Bwaise'!D17,'26.07 Kawempe-Bwaise-24h'!D17,'27.07 Kawempe-Bwaise-24h'!D17,'28.07 Kawempe-Bwaise'!D17)</f>
        <v>9.4285714285714288</v>
      </c>
      <c r="E17" s="49">
        <f>AVERAGE('22.07 kawempe-Bwaise'!E17,'23.07 Kawempe-Bwaise'!E17,'24.07 Kawempe-Bwaise'!E17,'25.07 Kawempe-Bwaise'!E17,'26.07 Kawempe-Bwaise-24h'!E17,'27.07 Kawempe-Bwaise-24h'!E17,'28.07 Kawempe-Bwaise'!E17)</f>
        <v>5.1428571428571432</v>
      </c>
      <c r="F17" s="49">
        <f>AVERAGE('22.07 kawempe-Bwaise'!F17,'23.07 Kawempe-Bwaise'!F17,'24.07 Kawempe-Bwaise'!F17,'25.07 Kawempe-Bwaise'!F17,'26.07 Kawempe-Bwaise-24h'!F17,'27.07 Kawempe-Bwaise-24h'!F17,'28.07 Kawempe-Bwaise'!F17)</f>
        <v>44.714285714285715</v>
      </c>
      <c r="G17" s="49">
        <f>AVERAGE('22.07 kawempe-Bwaise'!G17,'23.07 Kawempe-Bwaise'!G17,'24.07 Kawempe-Bwaise'!G17,'25.07 Kawempe-Bwaise'!G17,'26.07 Kawempe-Bwaise-24h'!G17,'27.07 Kawempe-Bwaise-24h'!G17,'28.07 Kawempe-Bwaise'!G17)</f>
        <v>1.2857142857142858</v>
      </c>
      <c r="H17" s="49">
        <f>AVERAGE('22.07 kawempe-Bwaise'!H17,'23.07 Kawempe-Bwaise'!H17,'24.07 Kawempe-Bwaise'!H17,'25.07 Kawempe-Bwaise'!H17,'26.07 Kawempe-Bwaise-24h'!H17,'27.07 Kawempe-Bwaise-24h'!H17,'28.07 Kawempe-Bwaise'!H17)</f>
        <v>0</v>
      </c>
      <c r="I17" s="49">
        <f>AVERAGE('22.07 kawempe-Bwaise'!I17,'23.07 Kawempe-Bwaise'!I17,'24.07 Kawempe-Bwaise'!I17,'25.07 Kawempe-Bwaise'!I17,'26.07 Kawempe-Bwaise-24h'!I17,'27.07 Kawempe-Bwaise-24h'!I17,'28.07 Kawempe-Bwaise'!I17)</f>
        <v>6</v>
      </c>
      <c r="J17" s="49">
        <f>AVERAGE('22.07 kawempe-Bwaise'!J17,'23.07 Kawempe-Bwaise'!J17,'24.07 Kawempe-Bwaise'!J17,'25.07 Kawempe-Bwaise'!J17,'26.07 Kawempe-Bwaise-24h'!J17,'27.07 Kawempe-Bwaise-24h'!J17,'28.07 Kawempe-Bwaise'!J17)</f>
        <v>5.5714285714285712</v>
      </c>
      <c r="K17" s="49">
        <f>AVERAGE('22.07 kawempe-Bwaise'!K17,'23.07 Kawempe-Bwaise'!K17,'24.07 Kawempe-Bwaise'!K17,'25.07 Kawempe-Bwaise'!K17,'26.07 Kawempe-Bwaise-24h'!K17,'27.07 Kawempe-Bwaise-24h'!K17,'28.07 Kawempe-Bwaise'!K17)</f>
        <v>2.7142857142857144</v>
      </c>
      <c r="L17" s="49">
        <f>AVERAGE('22.07 kawempe-Bwaise'!L17,'23.07 Kawempe-Bwaise'!L17,'24.07 Kawempe-Bwaise'!L17,'25.07 Kawempe-Bwaise'!L17,'26.07 Kawempe-Bwaise-24h'!L17,'27.07 Kawempe-Bwaise-24h'!L17,'28.07 Kawempe-Bwaise'!L17)</f>
        <v>1.8571428571428572</v>
      </c>
      <c r="M17" s="49">
        <f>AVERAGE('22.07 kawempe-Bwaise'!M17,'23.07 Kawempe-Bwaise'!M17,'24.07 Kawempe-Bwaise'!M17,'25.07 Kawempe-Bwaise'!M17,'26.07 Kawempe-Bwaise-24h'!M17,'27.07 Kawempe-Bwaise-24h'!M17,'28.07 Kawempe-Bwaise'!M17)</f>
        <v>255.42857142857142</v>
      </c>
      <c r="N17" s="49">
        <f>AVERAGE('22.07 kawempe-Bwaise'!N17,'23.07 Kawempe-Bwaise'!N17,'24.07 Kawempe-Bwaise'!N17,'25.07 Kawempe-Bwaise'!N17,'26.07 Kawempe-Bwaise-24h'!N17,'27.07 Kawempe-Bwaise-24h'!N17,'28.07 Kawempe-Bwaise'!N17)</f>
        <v>0</v>
      </c>
      <c r="O17" s="15">
        <f t="shared" si="0"/>
        <v>113.85714285714288</v>
      </c>
      <c r="P17" s="15">
        <f t="shared" si="1"/>
        <v>369.28571428571428</v>
      </c>
      <c r="R17" s="1" t="s">
        <v>13</v>
      </c>
      <c r="S17" s="17">
        <f t="shared" ref="S17:AF17" si="9">SUM(C38:C41)</f>
        <v>131.14285714285714</v>
      </c>
      <c r="T17" s="17">
        <f t="shared" si="9"/>
        <v>45.857142857142861</v>
      </c>
      <c r="U17" s="17">
        <f t="shared" si="9"/>
        <v>24.714285714285715</v>
      </c>
      <c r="V17" s="17">
        <f t="shared" si="9"/>
        <v>145.14285714285714</v>
      </c>
      <c r="W17" s="17">
        <f t="shared" si="9"/>
        <v>6.4285714285714288</v>
      </c>
      <c r="X17" s="17">
        <f t="shared" si="9"/>
        <v>4.7142857142857144</v>
      </c>
      <c r="Y17" s="17">
        <f t="shared" si="9"/>
        <v>29.714285714285712</v>
      </c>
      <c r="Z17" s="17">
        <f t="shared" si="9"/>
        <v>21</v>
      </c>
      <c r="AA17" s="17">
        <f t="shared" si="9"/>
        <v>8.1428571428571423</v>
      </c>
      <c r="AB17" s="17">
        <f t="shared" si="9"/>
        <v>10.142857142857142</v>
      </c>
      <c r="AC17" s="17">
        <f t="shared" si="9"/>
        <v>515.57142857142856</v>
      </c>
      <c r="AD17" s="17">
        <f t="shared" si="9"/>
        <v>0</v>
      </c>
      <c r="AE17" s="31">
        <f t="shared" si="9"/>
        <v>426.99999999999994</v>
      </c>
      <c r="AF17" s="31">
        <f t="shared" si="9"/>
        <v>942.57142857142856</v>
      </c>
    </row>
    <row r="18" spans="2:32" ht="23.1" customHeight="1" x14ac:dyDescent="0.25">
      <c r="B18" s="23" t="s">
        <v>45</v>
      </c>
      <c r="C18" s="49">
        <f>AVERAGE('22.07 kawempe-Bwaise'!C18,'23.07 Kawempe-Bwaise'!C18,'24.07 Kawempe-Bwaise'!C18,'25.07 Kawempe-Bwaise'!C18,'26.07 Kawempe-Bwaise-24h'!C18,'27.07 Kawempe-Bwaise-24h'!C18,'28.07 Kawempe-Bwaise'!C18)</f>
        <v>48.857142857142854</v>
      </c>
      <c r="D18" s="49">
        <f>AVERAGE('22.07 kawempe-Bwaise'!D18,'23.07 Kawempe-Bwaise'!D18,'24.07 Kawempe-Bwaise'!D18,'25.07 Kawempe-Bwaise'!D18,'26.07 Kawempe-Bwaise-24h'!D18,'27.07 Kawempe-Bwaise-24h'!D18,'28.07 Kawempe-Bwaise'!D18)</f>
        <v>10.714285714285714</v>
      </c>
      <c r="E18" s="49">
        <f>AVERAGE('22.07 kawempe-Bwaise'!E18,'23.07 Kawempe-Bwaise'!E18,'24.07 Kawempe-Bwaise'!E18,'25.07 Kawempe-Bwaise'!E18,'26.07 Kawempe-Bwaise-24h'!E18,'27.07 Kawempe-Bwaise-24h'!E18,'28.07 Kawempe-Bwaise'!E18)</f>
        <v>7.2857142857142856</v>
      </c>
      <c r="F18" s="49">
        <f>AVERAGE('22.07 kawempe-Bwaise'!F18,'23.07 Kawempe-Bwaise'!F18,'24.07 Kawempe-Bwaise'!F18,'25.07 Kawempe-Bwaise'!F18,'26.07 Kawempe-Bwaise-24h'!F18,'27.07 Kawempe-Bwaise-24h'!F18,'28.07 Kawempe-Bwaise'!F18)</f>
        <v>55.571428571428569</v>
      </c>
      <c r="G18" s="49">
        <f>AVERAGE('22.07 kawempe-Bwaise'!G18,'23.07 Kawempe-Bwaise'!G18,'24.07 Kawempe-Bwaise'!G18,'25.07 Kawempe-Bwaise'!G18,'26.07 Kawempe-Bwaise-24h'!G18,'27.07 Kawempe-Bwaise-24h'!G18,'28.07 Kawempe-Bwaise'!G18)</f>
        <v>1.2857142857142858</v>
      </c>
      <c r="H18" s="49">
        <f>AVERAGE('22.07 kawempe-Bwaise'!H18,'23.07 Kawempe-Bwaise'!H18,'24.07 Kawempe-Bwaise'!H18,'25.07 Kawempe-Bwaise'!H18,'26.07 Kawempe-Bwaise-24h'!H18,'27.07 Kawempe-Bwaise-24h'!H18,'28.07 Kawempe-Bwaise'!H18)</f>
        <v>0</v>
      </c>
      <c r="I18" s="49">
        <f>AVERAGE('22.07 kawempe-Bwaise'!I18,'23.07 Kawempe-Bwaise'!I18,'24.07 Kawempe-Bwaise'!I18,'25.07 Kawempe-Bwaise'!I18,'26.07 Kawempe-Bwaise-24h'!I18,'27.07 Kawempe-Bwaise-24h'!I18,'28.07 Kawempe-Bwaise'!I18)</f>
        <v>8.1428571428571423</v>
      </c>
      <c r="J18" s="49">
        <f>AVERAGE('22.07 kawempe-Bwaise'!J18,'23.07 Kawempe-Bwaise'!J18,'24.07 Kawempe-Bwaise'!J18,'25.07 Kawempe-Bwaise'!J18,'26.07 Kawempe-Bwaise-24h'!J18,'27.07 Kawempe-Bwaise-24h'!J18,'28.07 Kawempe-Bwaise'!J18)</f>
        <v>7</v>
      </c>
      <c r="K18" s="49">
        <f>AVERAGE('22.07 kawempe-Bwaise'!K18,'23.07 Kawempe-Bwaise'!K18,'24.07 Kawempe-Bwaise'!K18,'25.07 Kawempe-Bwaise'!K18,'26.07 Kawempe-Bwaise-24h'!K18,'27.07 Kawempe-Bwaise-24h'!K18,'28.07 Kawempe-Bwaise'!K18)</f>
        <v>4.2857142857142856</v>
      </c>
      <c r="L18" s="49">
        <f>AVERAGE('22.07 kawempe-Bwaise'!L18,'23.07 Kawempe-Bwaise'!L18,'24.07 Kawempe-Bwaise'!L18,'25.07 Kawempe-Bwaise'!L18,'26.07 Kawempe-Bwaise-24h'!L18,'27.07 Kawempe-Bwaise-24h'!L18,'28.07 Kawempe-Bwaise'!L18)</f>
        <v>2.2857142857142856</v>
      </c>
      <c r="M18" s="49">
        <f>AVERAGE('22.07 kawempe-Bwaise'!M18,'23.07 Kawempe-Bwaise'!M18,'24.07 Kawempe-Bwaise'!M18,'25.07 Kawempe-Bwaise'!M18,'26.07 Kawempe-Bwaise-24h'!M18,'27.07 Kawempe-Bwaise-24h'!M18,'28.07 Kawempe-Bwaise'!M18)</f>
        <v>284.57142857142856</v>
      </c>
      <c r="N18" s="49">
        <f>AVERAGE('22.07 kawempe-Bwaise'!N18,'23.07 Kawempe-Bwaise'!N18,'24.07 Kawempe-Bwaise'!N18,'25.07 Kawempe-Bwaise'!N18,'26.07 Kawempe-Bwaise-24h'!N18,'27.07 Kawempe-Bwaise-24h'!N18,'28.07 Kawempe-Bwaise'!N18)</f>
        <v>0</v>
      </c>
      <c r="O18" s="15">
        <f t="shared" si="0"/>
        <v>145.42857142857142</v>
      </c>
      <c r="P18" s="15">
        <f t="shared" si="1"/>
        <v>430</v>
      </c>
      <c r="R18" s="1" t="s">
        <v>14</v>
      </c>
      <c r="S18" s="17">
        <f t="shared" ref="S18:AF18" si="10">SUM(C42:C45)</f>
        <v>151.14285714285714</v>
      </c>
      <c r="T18" s="17">
        <f t="shared" si="10"/>
        <v>59.142857142857139</v>
      </c>
      <c r="U18" s="17">
        <f t="shared" si="10"/>
        <v>31.571428571428573</v>
      </c>
      <c r="V18" s="17">
        <f t="shared" si="10"/>
        <v>164.28571428571428</v>
      </c>
      <c r="W18" s="17">
        <f t="shared" si="10"/>
        <v>5.4285714285714288</v>
      </c>
      <c r="X18" s="17">
        <f t="shared" si="10"/>
        <v>4.1428571428571432</v>
      </c>
      <c r="Y18" s="17">
        <f t="shared" si="10"/>
        <v>33.142857142857139</v>
      </c>
      <c r="Z18" s="17">
        <f t="shared" si="10"/>
        <v>26.571428571428573</v>
      </c>
      <c r="AA18" s="17">
        <f t="shared" si="10"/>
        <v>10</v>
      </c>
      <c r="AB18" s="17">
        <f t="shared" si="10"/>
        <v>6</v>
      </c>
      <c r="AC18" s="17">
        <f t="shared" si="10"/>
        <v>499.71428571428572</v>
      </c>
      <c r="AD18" s="17">
        <f t="shared" si="10"/>
        <v>0</v>
      </c>
      <c r="AE18" s="31">
        <f t="shared" si="10"/>
        <v>491.42857142857144</v>
      </c>
      <c r="AF18" s="31">
        <f t="shared" si="10"/>
        <v>991.14285714285711</v>
      </c>
    </row>
    <row r="19" spans="2:32" ht="23.1" customHeight="1" x14ac:dyDescent="0.25">
      <c r="B19" s="23" t="s">
        <v>46</v>
      </c>
      <c r="C19" s="49">
        <f>AVERAGE('22.07 kawempe-Bwaise'!C19,'23.07 Kawempe-Bwaise'!C19,'24.07 Kawempe-Bwaise'!C19,'25.07 Kawempe-Bwaise'!C19,'26.07 Kawempe-Bwaise-24h'!C19,'27.07 Kawempe-Bwaise-24h'!C19,'28.07 Kawempe-Bwaise'!C19)</f>
        <v>47.857142857142854</v>
      </c>
      <c r="D19" s="49">
        <f>AVERAGE('22.07 kawempe-Bwaise'!D19,'23.07 Kawempe-Bwaise'!D19,'24.07 Kawempe-Bwaise'!D19,'25.07 Kawempe-Bwaise'!D19,'26.07 Kawempe-Bwaise-24h'!D19,'27.07 Kawempe-Bwaise-24h'!D19,'28.07 Kawempe-Bwaise'!D19)</f>
        <v>8.7142857142857135</v>
      </c>
      <c r="E19" s="49">
        <f>AVERAGE('22.07 kawempe-Bwaise'!E19,'23.07 Kawempe-Bwaise'!E19,'24.07 Kawempe-Bwaise'!E19,'25.07 Kawempe-Bwaise'!E19,'26.07 Kawempe-Bwaise-24h'!E19,'27.07 Kawempe-Bwaise-24h'!E19,'28.07 Kawempe-Bwaise'!E19)</f>
        <v>5.1428571428571432</v>
      </c>
      <c r="F19" s="49">
        <f>AVERAGE('22.07 kawempe-Bwaise'!F19,'23.07 Kawempe-Bwaise'!F19,'24.07 Kawempe-Bwaise'!F19,'25.07 Kawempe-Bwaise'!F19,'26.07 Kawempe-Bwaise-24h'!F19,'27.07 Kawempe-Bwaise-24h'!F19,'28.07 Kawempe-Bwaise'!F19)</f>
        <v>50.142857142857146</v>
      </c>
      <c r="G19" s="49">
        <f>AVERAGE('22.07 kawempe-Bwaise'!G19,'23.07 Kawempe-Bwaise'!G19,'24.07 Kawempe-Bwaise'!G19,'25.07 Kawempe-Bwaise'!G19,'26.07 Kawempe-Bwaise-24h'!G19,'27.07 Kawempe-Bwaise-24h'!G19,'28.07 Kawempe-Bwaise'!G19)</f>
        <v>2</v>
      </c>
      <c r="H19" s="49">
        <f>AVERAGE('22.07 kawempe-Bwaise'!H19,'23.07 Kawempe-Bwaise'!H19,'24.07 Kawempe-Bwaise'!H19,'25.07 Kawempe-Bwaise'!H19,'26.07 Kawempe-Bwaise-24h'!H19,'27.07 Kawempe-Bwaise-24h'!H19,'28.07 Kawempe-Bwaise'!H19)</f>
        <v>0.5714285714285714</v>
      </c>
      <c r="I19" s="49">
        <f>AVERAGE('22.07 kawempe-Bwaise'!I19,'23.07 Kawempe-Bwaise'!I19,'24.07 Kawempe-Bwaise'!I19,'25.07 Kawempe-Bwaise'!I19,'26.07 Kawempe-Bwaise-24h'!I19,'27.07 Kawempe-Bwaise-24h'!I19,'28.07 Kawempe-Bwaise'!I19)</f>
        <v>10</v>
      </c>
      <c r="J19" s="49">
        <f>AVERAGE('22.07 kawempe-Bwaise'!J19,'23.07 Kawempe-Bwaise'!J19,'24.07 Kawempe-Bwaise'!J19,'25.07 Kawempe-Bwaise'!J19,'26.07 Kawempe-Bwaise-24h'!J19,'27.07 Kawempe-Bwaise-24h'!J19,'28.07 Kawempe-Bwaise'!J19)</f>
        <v>8.4285714285714288</v>
      </c>
      <c r="K19" s="49">
        <f>AVERAGE('22.07 kawempe-Bwaise'!K19,'23.07 Kawempe-Bwaise'!K19,'24.07 Kawempe-Bwaise'!K19,'25.07 Kawempe-Bwaise'!K19,'26.07 Kawempe-Bwaise-24h'!K19,'27.07 Kawempe-Bwaise-24h'!K19,'28.07 Kawempe-Bwaise'!K19)</f>
        <v>3.4285714285714284</v>
      </c>
      <c r="L19" s="49">
        <f>AVERAGE('22.07 kawempe-Bwaise'!L19,'23.07 Kawempe-Bwaise'!L19,'24.07 Kawempe-Bwaise'!L19,'25.07 Kawempe-Bwaise'!L19,'26.07 Kawempe-Bwaise-24h'!L19,'27.07 Kawempe-Bwaise-24h'!L19,'28.07 Kawempe-Bwaise'!L19)</f>
        <v>1.7142857142857142</v>
      </c>
      <c r="M19" s="49">
        <f>AVERAGE('22.07 kawempe-Bwaise'!M19,'23.07 Kawempe-Bwaise'!M19,'24.07 Kawempe-Bwaise'!M19,'25.07 Kawempe-Bwaise'!M19,'26.07 Kawempe-Bwaise-24h'!M19,'27.07 Kawempe-Bwaise-24h'!M19,'28.07 Kawempe-Bwaise'!M19)</f>
        <v>304</v>
      </c>
      <c r="N19" s="49">
        <f>AVERAGE('22.07 kawempe-Bwaise'!N19,'23.07 Kawempe-Bwaise'!N19,'24.07 Kawempe-Bwaise'!N19,'25.07 Kawempe-Bwaise'!N19,'26.07 Kawempe-Bwaise-24h'!N19,'27.07 Kawempe-Bwaise-24h'!N19,'28.07 Kawempe-Bwaise'!N19)</f>
        <v>0</v>
      </c>
      <c r="O19" s="15">
        <f t="shared" si="0"/>
        <v>138</v>
      </c>
      <c r="P19" s="15">
        <f t="shared" si="1"/>
        <v>442</v>
      </c>
      <c r="R19" s="1" t="s">
        <v>15</v>
      </c>
      <c r="S19" s="17">
        <f t="shared" ref="S19:AF19" si="11">SUM(C46:C49)</f>
        <v>150.71428571428572</v>
      </c>
      <c r="T19" s="17">
        <f t="shared" si="11"/>
        <v>53.142857142857146</v>
      </c>
      <c r="U19" s="17">
        <f t="shared" si="11"/>
        <v>36.714285714285715</v>
      </c>
      <c r="V19" s="17">
        <f t="shared" si="11"/>
        <v>165.28571428571428</v>
      </c>
      <c r="W19" s="17">
        <f t="shared" si="11"/>
        <v>5.1428571428571432</v>
      </c>
      <c r="X19" s="17">
        <f t="shared" si="11"/>
        <v>4.7142857142857144</v>
      </c>
      <c r="Y19" s="17">
        <f t="shared" si="11"/>
        <v>32.285714285714285</v>
      </c>
      <c r="Z19" s="17">
        <f t="shared" si="11"/>
        <v>28.285714285714285</v>
      </c>
      <c r="AA19" s="17">
        <f t="shared" si="11"/>
        <v>10.285714285714285</v>
      </c>
      <c r="AB19" s="17">
        <f t="shared" si="11"/>
        <v>9</v>
      </c>
      <c r="AC19" s="17">
        <f t="shared" si="11"/>
        <v>698.28571428571433</v>
      </c>
      <c r="AD19" s="17">
        <f t="shared" si="11"/>
        <v>0</v>
      </c>
      <c r="AE19" s="31">
        <f t="shared" si="11"/>
        <v>495.57142857142856</v>
      </c>
      <c r="AF19" s="31">
        <f t="shared" si="11"/>
        <v>1193.8571428571427</v>
      </c>
    </row>
    <row r="20" spans="2:32" ht="23.1" customHeight="1" x14ac:dyDescent="0.25">
      <c r="B20" s="23" t="s">
        <v>47</v>
      </c>
      <c r="C20" s="49">
        <f>AVERAGE('22.07 kawempe-Bwaise'!C20,'23.07 Kawempe-Bwaise'!C20,'24.07 Kawempe-Bwaise'!C20,'25.07 Kawempe-Bwaise'!C20,'26.07 Kawempe-Bwaise-24h'!C20,'27.07 Kawempe-Bwaise-24h'!C20,'28.07 Kawempe-Bwaise'!C20)</f>
        <v>39.428571428571431</v>
      </c>
      <c r="D20" s="49">
        <f>AVERAGE('22.07 kawempe-Bwaise'!D20,'23.07 Kawempe-Bwaise'!D20,'24.07 Kawempe-Bwaise'!D20,'25.07 Kawempe-Bwaise'!D20,'26.07 Kawempe-Bwaise-24h'!D20,'27.07 Kawempe-Bwaise-24h'!D20,'28.07 Kawempe-Bwaise'!D20)</f>
        <v>9.7142857142857135</v>
      </c>
      <c r="E20" s="49">
        <f>AVERAGE('22.07 kawempe-Bwaise'!E20,'23.07 Kawempe-Bwaise'!E20,'24.07 Kawempe-Bwaise'!E20,'25.07 Kawempe-Bwaise'!E20,'26.07 Kawempe-Bwaise-24h'!E20,'27.07 Kawempe-Bwaise-24h'!E20,'28.07 Kawempe-Bwaise'!E20)</f>
        <v>4.4285714285714288</v>
      </c>
      <c r="F20" s="49">
        <f>AVERAGE('22.07 kawempe-Bwaise'!F20,'23.07 Kawempe-Bwaise'!F20,'24.07 Kawempe-Bwaise'!F20,'25.07 Kawempe-Bwaise'!F20,'26.07 Kawempe-Bwaise-24h'!F20,'27.07 Kawempe-Bwaise-24h'!F20,'28.07 Kawempe-Bwaise'!F20)</f>
        <v>43.857142857142854</v>
      </c>
      <c r="G20" s="49">
        <f>AVERAGE('22.07 kawempe-Bwaise'!G20,'23.07 Kawempe-Bwaise'!G20,'24.07 Kawempe-Bwaise'!G20,'25.07 Kawempe-Bwaise'!G20,'26.07 Kawempe-Bwaise-24h'!G20,'27.07 Kawempe-Bwaise-24h'!G20,'28.07 Kawempe-Bwaise'!G20)</f>
        <v>2.7142857142857144</v>
      </c>
      <c r="H20" s="49">
        <f>AVERAGE('22.07 kawempe-Bwaise'!H20,'23.07 Kawempe-Bwaise'!H20,'24.07 Kawempe-Bwaise'!H20,'25.07 Kawempe-Bwaise'!H20,'26.07 Kawempe-Bwaise-24h'!H20,'27.07 Kawempe-Bwaise-24h'!H20,'28.07 Kawempe-Bwaise'!H20)</f>
        <v>0.14285714285714285</v>
      </c>
      <c r="I20" s="49">
        <f>AVERAGE('22.07 kawempe-Bwaise'!I20,'23.07 Kawempe-Bwaise'!I20,'24.07 Kawempe-Bwaise'!I20,'25.07 Kawempe-Bwaise'!I20,'26.07 Kawempe-Bwaise-24h'!I20,'27.07 Kawempe-Bwaise-24h'!I20,'28.07 Kawempe-Bwaise'!I20)</f>
        <v>6.2857142857142856</v>
      </c>
      <c r="J20" s="49">
        <f>AVERAGE('22.07 kawempe-Bwaise'!J20,'23.07 Kawempe-Bwaise'!J20,'24.07 Kawempe-Bwaise'!J20,'25.07 Kawempe-Bwaise'!J20,'26.07 Kawempe-Bwaise-24h'!J20,'27.07 Kawempe-Bwaise-24h'!J20,'28.07 Kawempe-Bwaise'!J20)</f>
        <v>6.2857142857142856</v>
      </c>
      <c r="K20" s="49">
        <f>AVERAGE('22.07 kawempe-Bwaise'!K20,'23.07 Kawempe-Bwaise'!K20,'24.07 Kawempe-Bwaise'!K20,'25.07 Kawempe-Bwaise'!K20,'26.07 Kawempe-Bwaise-24h'!K20,'27.07 Kawempe-Bwaise-24h'!K20,'28.07 Kawempe-Bwaise'!K20)</f>
        <v>1.1428571428571428</v>
      </c>
      <c r="L20" s="49">
        <f>AVERAGE('22.07 kawempe-Bwaise'!L20,'23.07 Kawempe-Bwaise'!L20,'24.07 Kawempe-Bwaise'!L20,'25.07 Kawempe-Bwaise'!L20,'26.07 Kawempe-Bwaise-24h'!L20,'27.07 Kawempe-Bwaise-24h'!L20,'28.07 Kawempe-Bwaise'!L20)</f>
        <v>1.4285714285714286</v>
      </c>
      <c r="M20" s="49">
        <f>AVERAGE('22.07 kawempe-Bwaise'!M20,'23.07 Kawempe-Bwaise'!M20,'24.07 Kawempe-Bwaise'!M20,'25.07 Kawempe-Bwaise'!M20,'26.07 Kawempe-Bwaise-24h'!M20,'27.07 Kawempe-Bwaise-24h'!M20,'28.07 Kawempe-Bwaise'!M20)</f>
        <v>232.85714285714286</v>
      </c>
      <c r="N20" s="49">
        <f>AVERAGE('22.07 kawempe-Bwaise'!N20,'23.07 Kawempe-Bwaise'!N20,'24.07 Kawempe-Bwaise'!N20,'25.07 Kawempe-Bwaise'!N20,'26.07 Kawempe-Bwaise-24h'!N20,'27.07 Kawempe-Bwaise-24h'!N20,'28.07 Kawempe-Bwaise'!N20)</f>
        <v>0</v>
      </c>
      <c r="O20" s="15">
        <f t="shared" si="0"/>
        <v>115.42857142857143</v>
      </c>
      <c r="P20" s="15">
        <f t="shared" si="1"/>
        <v>348.28571428571428</v>
      </c>
      <c r="R20" s="1" t="s">
        <v>16</v>
      </c>
      <c r="S20" s="17">
        <f t="shared" ref="S20:AF20" si="12">SUM(C50:C53)</f>
        <v>124.42857142857142</v>
      </c>
      <c r="T20" s="17">
        <f t="shared" si="12"/>
        <v>42.714285714285715</v>
      </c>
      <c r="U20" s="17">
        <f t="shared" si="12"/>
        <v>23.428571428571431</v>
      </c>
      <c r="V20" s="17">
        <f t="shared" si="12"/>
        <v>162</v>
      </c>
      <c r="W20" s="17">
        <f t="shared" si="12"/>
        <v>7</v>
      </c>
      <c r="X20" s="17">
        <f t="shared" si="12"/>
        <v>2.714285714285714</v>
      </c>
      <c r="Y20" s="17">
        <f t="shared" si="12"/>
        <v>27</v>
      </c>
      <c r="Z20" s="17">
        <f t="shared" si="12"/>
        <v>19.285714285714288</v>
      </c>
      <c r="AA20" s="17">
        <f t="shared" si="12"/>
        <v>11.142857142857142</v>
      </c>
      <c r="AB20" s="17">
        <f t="shared" si="12"/>
        <v>11.285714285714285</v>
      </c>
      <c r="AC20" s="17">
        <f t="shared" si="12"/>
        <v>779</v>
      </c>
      <c r="AD20" s="17">
        <f t="shared" si="12"/>
        <v>0</v>
      </c>
      <c r="AE20" s="31">
        <f t="shared" si="12"/>
        <v>431</v>
      </c>
      <c r="AF20" s="31">
        <f t="shared" si="12"/>
        <v>1210</v>
      </c>
    </row>
    <row r="21" spans="2:32" ht="23.1" customHeight="1" x14ac:dyDescent="0.25">
      <c r="B21" s="23" t="s">
        <v>48</v>
      </c>
      <c r="C21" s="49">
        <f>AVERAGE('22.07 kawempe-Bwaise'!C21,'23.07 Kawempe-Bwaise'!C21,'24.07 Kawempe-Bwaise'!C21,'25.07 Kawempe-Bwaise'!C21,'26.07 Kawempe-Bwaise-24h'!C21,'27.07 Kawempe-Bwaise-24h'!C21,'28.07 Kawempe-Bwaise'!C21)</f>
        <v>40.857142857142854</v>
      </c>
      <c r="D21" s="49">
        <f>AVERAGE('22.07 kawempe-Bwaise'!D21,'23.07 Kawempe-Bwaise'!D21,'24.07 Kawempe-Bwaise'!D21,'25.07 Kawempe-Bwaise'!D21,'26.07 Kawempe-Bwaise-24h'!D21,'27.07 Kawempe-Bwaise-24h'!D21,'28.07 Kawempe-Bwaise'!D21)</f>
        <v>8.8571428571428577</v>
      </c>
      <c r="E21" s="49">
        <f>AVERAGE('22.07 kawempe-Bwaise'!E21,'23.07 Kawempe-Bwaise'!E21,'24.07 Kawempe-Bwaise'!E21,'25.07 Kawempe-Bwaise'!E21,'26.07 Kawempe-Bwaise-24h'!E21,'27.07 Kawempe-Bwaise-24h'!E21,'28.07 Kawempe-Bwaise'!E21)</f>
        <v>5.8571428571428568</v>
      </c>
      <c r="F21" s="49">
        <f>AVERAGE('22.07 kawempe-Bwaise'!F21,'23.07 Kawempe-Bwaise'!F21,'24.07 Kawempe-Bwaise'!F21,'25.07 Kawempe-Bwaise'!F21,'26.07 Kawempe-Bwaise-24h'!F21,'27.07 Kawempe-Bwaise-24h'!F21,'28.07 Kawempe-Bwaise'!F21)</f>
        <v>45.285714285714285</v>
      </c>
      <c r="G21" s="49">
        <f>AVERAGE('22.07 kawempe-Bwaise'!G21,'23.07 Kawempe-Bwaise'!G21,'24.07 Kawempe-Bwaise'!G21,'25.07 Kawempe-Bwaise'!G21,'26.07 Kawempe-Bwaise-24h'!G21,'27.07 Kawempe-Bwaise-24h'!G21,'28.07 Kawempe-Bwaise'!G21)</f>
        <v>2.1428571428571428</v>
      </c>
      <c r="H21" s="49">
        <f>AVERAGE('22.07 kawempe-Bwaise'!H21,'23.07 Kawempe-Bwaise'!H21,'24.07 Kawempe-Bwaise'!H21,'25.07 Kawempe-Bwaise'!H21,'26.07 Kawempe-Bwaise-24h'!H21,'27.07 Kawempe-Bwaise-24h'!H21,'28.07 Kawempe-Bwaise'!H21)</f>
        <v>0.14285714285714285</v>
      </c>
      <c r="I21" s="49">
        <f>AVERAGE('22.07 kawempe-Bwaise'!I21,'23.07 Kawempe-Bwaise'!I21,'24.07 Kawempe-Bwaise'!I21,'25.07 Kawempe-Bwaise'!I21,'26.07 Kawempe-Bwaise-24h'!I21,'27.07 Kawempe-Bwaise-24h'!I21,'28.07 Kawempe-Bwaise'!I21)</f>
        <v>8.8571428571428577</v>
      </c>
      <c r="J21" s="49">
        <f>AVERAGE('22.07 kawempe-Bwaise'!J21,'23.07 Kawempe-Bwaise'!J21,'24.07 Kawempe-Bwaise'!J21,'25.07 Kawempe-Bwaise'!J21,'26.07 Kawempe-Bwaise-24h'!J21,'27.07 Kawempe-Bwaise-24h'!J21,'28.07 Kawempe-Bwaise'!J21)</f>
        <v>7.2857142857142856</v>
      </c>
      <c r="K21" s="49">
        <f>AVERAGE('22.07 kawempe-Bwaise'!K21,'23.07 Kawempe-Bwaise'!K21,'24.07 Kawempe-Bwaise'!K21,'25.07 Kawempe-Bwaise'!K21,'26.07 Kawempe-Bwaise-24h'!K21,'27.07 Kawempe-Bwaise-24h'!K21,'28.07 Kawempe-Bwaise'!K21)</f>
        <v>3.1428571428571428</v>
      </c>
      <c r="L21" s="49">
        <f>AVERAGE('22.07 kawempe-Bwaise'!L21,'23.07 Kawempe-Bwaise'!L21,'24.07 Kawempe-Bwaise'!L21,'25.07 Kawempe-Bwaise'!L21,'26.07 Kawempe-Bwaise-24h'!L21,'27.07 Kawempe-Bwaise-24h'!L21,'28.07 Kawempe-Bwaise'!L21)</f>
        <v>0.8571428571428571</v>
      </c>
      <c r="M21" s="49">
        <f>AVERAGE('22.07 kawempe-Bwaise'!M21,'23.07 Kawempe-Bwaise'!M21,'24.07 Kawempe-Bwaise'!M21,'25.07 Kawempe-Bwaise'!M21,'26.07 Kawempe-Bwaise-24h'!M21,'27.07 Kawempe-Bwaise-24h'!M21,'28.07 Kawempe-Bwaise'!M21)</f>
        <v>225.14285714285714</v>
      </c>
      <c r="N21" s="49">
        <f>AVERAGE('22.07 kawempe-Bwaise'!N21,'23.07 Kawempe-Bwaise'!N21,'24.07 Kawempe-Bwaise'!N21,'25.07 Kawempe-Bwaise'!N21,'26.07 Kawempe-Bwaise-24h'!N21,'27.07 Kawempe-Bwaise-24h'!N21,'28.07 Kawempe-Bwaise'!N21)</f>
        <v>0</v>
      </c>
      <c r="O21" s="15">
        <f t="shared" si="0"/>
        <v>123.28571428571428</v>
      </c>
      <c r="P21" s="15">
        <f t="shared" si="1"/>
        <v>348.42857142857144</v>
      </c>
      <c r="R21" s="36" t="s">
        <v>20</v>
      </c>
      <c r="S21" s="34">
        <f t="shared" ref="S21:AF21" si="13">SUM(C54:C57)</f>
        <v>111.85714285714286</v>
      </c>
      <c r="T21" s="17">
        <f t="shared" si="13"/>
        <v>41.428571428571431</v>
      </c>
      <c r="U21" s="17">
        <f t="shared" si="13"/>
        <v>18.428571428571427</v>
      </c>
      <c r="V21" s="17">
        <f t="shared" si="13"/>
        <v>166</v>
      </c>
      <c r="W21" s="17">
        <f t="shared" si="13"/>
        <v>7.5714285714285721</v>
      </c>
      <c r="X21" s="17">
        <f t="shared" si="13"/>
        <v>4.2857142857142856</v>
      </c>
      <c r="Y21" s="17">
        <f t="shared" si="13"/>
        <v>21.428571428571427</v>
      </c>
      <c r="Z21" s="17">
        <f t="shared" si="13"/>
        <v>18.142857142857142</v>
      </c>
      <c r="AA21" s="17">
        <f t="shared" si="13"/>
        <v>12.571428571428571</v>
      </c>
      <c r="AB21" s="17">
        <f t="shared" si="13"/>
        <v>7.2857142857142865</v>
      </c>
      <c r="AC21" s="17">
        <f t="shared" si="13"/>
        <v>827.14285714285722</v>
      </c>
      <c r="AD21" s="17">
        <f t="shared" si="13"/>
        <v>0</v>
      </c>
      <c r="AE21" s="31">
        <f t="shared" si="13"/>
        <v>409</v>
      </c>
      <c r="AF21" s="31">
        <f t="shared" si="13"/>
        <v>1236.1428571428573</v>
      </c>
    </row>
    <row r="22" spans="2:32" ht="23.1" customHeight="1" x14ac:dyDescent="0.25">
      <c r="B22" s="23" t="s">
        <v>49</v>
      </c>
      <c r="C22" s="49">
        <f>AVERAGE('22.07 kawempe-Bwaise'!C22,'23.07 Kawempe-Bwaise'!C22,'24.07 Kawempe-Bwaise'!C22,'25.07 Kawempe-Bwaise'!C22,'26.07 Kawempe-Bwaise-24h'!C22,'27.07 Kawempe-Bwaise-24h'!C22,'28.07 Kawempe-Bwaise'!C22)</f>
        <v>43</v>
      </c>
      <c r="D22" s="49">
        <f>AVERAGE('22.07 kawempe-Bwaise'!D22,'23.07 Kawempe-Bwaise'!D22,'24.07 Kawempe-Bwaise'!D22,'25.07 Kawempe-Bwaise'!D22,'26.07 Kawempe-Bwaise-24h'!D22,'27.07 Kawempe-Bwaise-24h'!D22,'28.07 Kawempe-Bwaise'!D22)</f>
        <v>9.1428571428571423</v>
      </c>
      <c r="E22" s="49">
        <f>AVERAGE('22.07 kawempe-Bwaise'!E22,'23.07 Kawempe-Bwaise'!E22,'24.07 Kawempe-Bwaise'!E22,'25.07 Kawempe-Bwaise'!E22,'26.07 Kawempe-Bwaise-24h'!E22,'27.07 Kawempe-Bwaise-24h'!E22,'28.07 Kawempe-Bwaise'!E22)</f>
        <v>6</v>
      </c>
      <c r="F22" s="49">
        <f>AVERAGE('22.07 kawempe-Bwaise'!F22,'23.07 Kawempe-Bwaise'!F22,'24.07 Kawempe-Bwaise'!F22,'25.07 Kawempe-Bwaise'!F22,'26.07 Kawempe-Bwaise-24h'!F22,'27.07 Kawempe-Bwaise-24h'!F22,'28.07 Kawempe-Bwaise'!F22)</f>
        <v>43.285714285714285</v>
      </c>
      <c r="G22" s="49">
        <f>AVERAGE('22.07 kawempe-Bwaise'!G22,'23.07 Kawempe-Bwaise'!G22,'24.07 Kawempe-Bwaise'!G22,'25.07 Kawempe-Bwaise'!G22,'26.07 Kawempe-Bwaise-24h'!G22,'27.07 Kawempe-Bwaise-24h'!G22,'28.07 Kawempe-Bwaise'!G22)</f>
        <v>1.4285714285714286</v>
      </c>
      <c r="H22" s="49">
        <f>AVERAGE('22.07 kawempe-Bwaise'!H22,'23.07 Kawempe-Bwaise'!H22,'24.07 Kawempe-Bwaise'!H22,'25.07 Kawempe-Bwaise'!H22,'26.07 Kawempe-Bwaise-24h'!H22,'27.07 Kawempe-Bwaise-24h'!H22,'28.07 Kawempe-Bwaise'!H22)</f>
        <v>0.14285714285714285</v>
      </c>
      <c r="I22" s="49">
        <f>AVERAGE('22.07 kawempe-Bwaise'!I22,'23.07 Kawempe-Bwaise'!I22,'24.07 Kawempe-Bwaise'!I22,'25.07 Kawempe-Bwaise'!I22,'26.07 Kawempe-Bwaise-24h'!I22,'27.07 Kawempe-Bwaise-24h'!I22,'28.07 Kawempe-Bwaise'!I22)</f>
        <v>8.2857142857142865</v>
      </c>
      <c r="J22" s="49">
        <f>AVERAGE('22.07 kawempe-Bwaise'!J22,'23.07 Kawempe-Bwaise'!J22,'24.07 Kawempe-Bwaise'!J22,'25.07 Kawempe-Bwaise'!J22,'26.07 Kawempe-Bwaise-24h'!J22,'27.07 Kawempe-Bwaise-24h'!J22,'28.07 Kawempe-Bwaise'!J22)</f>
        <v>7.5714285714285712</v>
      </c>
      <c r="K22" s="49">
        <f>AVERAGE('22.07 kawempe-Bwaise'!K22,'23.07 Kawempe-Bwaise'!K22,'24.07 Kawempe-Bwaise'!K22,'25.07 Kawempe-Bwaise'!K22,'26.07 Kawempe-Bwaise-24h'!K22,'27.07 Kawempe-Bwaise-24h'!K22,'28.07 Kawempe-Bwaise'!K22)</f>
        <v>2.8571428571428572</v>
      </c>
      <c r="L22" s="49">
        <f>AVERAGE('22.07 kawempe-Bwaise'!L22,'23.07 Kawempe-Bwaise'!L22,'24.07 Kawempe-Bwaise'!L22,'25.07 Kawempe-Bwaise'!L22,'26.07 Kawempe-Bwaise-24h'!L22,'27.07 Kawempe-Bwaise-24h'!L22,'28.07 Kawempe-Bwaise'!L22)</f>
        <v>1.1428571428571428</v>
      </c>
      <c r="M22" s="49">
        <f>AVERAGE('22.07 kawempe-Bwaise'!M22,'23.07 Kawempe-Bwaise'!M22,'24.07 Kawempe-Bwaise'!M22,'25.07 Kawempe-Bwaise'!M22,'26.07 Kawempe-Bwaise-24h'!M22,'27.07 Kawempe-Bwaise-24h'!M22,'28.07 Kawempe-Bwaise'!M22)</f>
        <v>230.85714285714286</v>
      </c>
      <c r="N22" s="49">
        <f>AVERAGE('22.07 kawempe-Bwaise'!N22,'23.07 Kawempe-Bwaise'!N22,'24.07 Kawempe-Bwaise'!N22,'25.07 Kawempe-Bwaise'!N22,'26.07 Kawempe-Bwaise-24h'!N22,'27.07 Kawempe-Bwaise-24h'!N22,'28.07 Kawempe-Bwaise'!N22)</f>
        <v>0</v>
      </c>
      <c r="O22" s="15">
        <f t="shared" si="0"/>
        <v>122.85714285714285</v>
      </c>
      <c r="P22" s="15">
        <f t="shared" si="1"/>
        <v>353.71428571428572</v>
      </c>
      <c r="R22" s="1" t="s">
        <v>146</v>
      </c>
      <c r="S22" s="34">
        <f>SUM(C58:C61)</f>
        <v>148.5</v>
      </c>
      <c r="T22" s="34">
        <f t="shared" ref="T22:AF22" si="14">SUM(D58:D61)</f>
        <v>8.5</v>
      </c>
      <c r="U22" s="34">
        <f t="shared" si="14"/>
        <v>11</v>
      </c>
      <c r="V22" s="34">
        <f t="shared" si="14"/>
        <v>120</v>
      </c>
      <c r="W22" s="34">
        <f t="shared" si="14"/>
        <v>3.5</v>
      </c>
      <c r="X22" s="34">
        <f t="shared" si="14"/>
        <v>9</v>
      </c>
      <c r="Y22" s="34">
        <f t="shared" si="14"/>
        <v>15</v>
      </c>
      <c r="Z22" s="34">
        <f t="shared" si="14"/>
        <v>21</v>
      </c>
      <c r="AA22" s="34">
        <f t="shared" si="14"/>
        <v>3.5</v>
      </c>
      <c r="AB22" s="34">
        <f t="shared" si="14"/>
        <v>7</v>
      </c>
      <c r="AC22" s="34">
        <f t="shared" si="14"/>
        <v>680.5</v>
      </c>
      <c r="AD22" s="34">
        <f t="shared" si="14"/>
        <v>0</v>
      </c>
      <c r="AE22" s="31">
        <f t="shared" si="14"/>
        <v>347</v>
      </c>
      <c r="AF22" s="31">
        <f t="shared" si="14"/>
        <v>1027.5</v>
      </c>
    </row>
    <row r="23" spans="2:32" ht="23.1" customHeight="1" x14ac:dyDescent="0.25">
      <c r="B23" s="23" t="s">
        <v>50</v>
      </c>
      <c r="C23" s="49">
        <f>AVERAGE('22.07 kawempe-Bwaise'!C23,'23.07 Kawempe-Bwaise'!C23,'24.07 Kawempe-Bwaise'!C23,'25.07 Kawempe-Bwaise'!C23,'26.07 Kawempe-Bwaise-24h'!C23,'27.07 Kawempe-Bwaise-24h'!C23,'28.07 Kawempe-Bwaise'!C23)</f>
        <v>45.571428571428569</v>
      </c>
      <c r="D23" s="49">
        <f>AVERAGE('22.07 kawempe-Bwaise'!D23,'23.07 Kawempe-Bwaise'!D23,'24.07 Kawempe-Bwaise'!D23,'25.07 Kawempe-Bwaise'!D23,'26.07 Kawempe-Bwaise-24h'!D23,'27.07 Kawempe-Bwaise-24h'!D23,'28.07 Kawempe-Bwaise'!D23)</f>
        <v>11</v>
      </c>
      <c r="E23" s="49">
        <f>AVERAGE('22.07 kawempe-Bwaise'!E23,'23.07 Kawempe-Bwaise'!E23,'24.07 Kawempe-Bwaise'!E23,'25.07 Kawempe-Bwaise'!E23,'26.07 Kawempe-Bwaise-24h'!E23,'27.07 Kawempe-Bwaise-24h'!E23,'28.07 Kawempe-Bwaise'!E23)</f>
        <v>5.8571428571428568</v>
      </c>
      <c r="F23" s="49">
        <f>AVERAGE('22.07 kawempe-Bwaise'!F23,'23.07 Kawempe-Bwaise'!F23,'24.07 Kawempe-Bwaise'!F23,'25.07 Kawempe-Bwaise'!F23,'26.07 Kawempe-Bwaise-24h'!F23,'27.07 Kawempe-Bwaise-24h'!F23,'28.07 Kawempe-Bwaise'!F23)</f>
        <v>44.571428571428569</v>
      </c>
      <c r="G23" s="49">
        <f>AVERAGE('22.07 kawempe-Bwaise'!G23,'23.07 Kawempe-Bwaise'!G23,'24.07 Kawempe-Bwaise'!G23,'25.07 Kawempe-Bwaise'!G23,'26.07 Kawempe-Bwaise-24h'!G23,'27.07 Kawempe-Bwaise-24h'!G23,'28.07 Kawempe-Bwaise'!G23)</f>
        <v>1.2857142857142858</v>
      </c>
      <c r="H23" s="49">
        <f>AVERAGE('22.07 kawempe-Bwaise'!H23,'23.07 Kawempe-Bwaise'!H23,'24.07 Kawempe-Bwaise'!H23,'25.07 Kawempe-Bwaise'!H23,'26.07 Kawempe-Bwaise-24h'!H23,'27.07 Kawempe-Bwaise-24h'!H23,'28.07 Kawempe-Bwaise'!H23)</f>
        <v>0.5714285714285714</v>
      </c>
      <c r="I23" s="49">
        <f>AVERAGE('22.07 kawempe-Bwaise'!I23,'23.07 Kawempe-Bwaise'!I23,'24.07 Kawempe-Bwaise'!I23,'25.07 Kawempe-Bwaise'!I23,'26.07 Kawempe-Bwaise-24h'!I23,'27.07 Kawempe-Bwaise-24h'!I23,'28.07 Kawempe-Bwaise'!I23)</f>
        <v>7.1428571428571432</v>
      </c>
      <c r="J23" s="49">
        <f>AVERAGE('22.07 kawempe-Bwaise'!J23,'23.07 Kawempe-Bwaise'!J23,'24.07 Kawempe-Bwaise'!J23,'25.07 Kawempe-Bwaise'!J23,'26.07 Kawempe-Bwaise-24h'!J23,'27.07 Kawempe-Bwaise-24h'!J23,'28.07 Kawempe-Bwaise'!J23)</f>
        <v>7.7142857142857144</v>
      </c>
      <c r="K23" s="49">
        <f>AVERAGE('22.07 kawempe-Bwaise'!K23,'23.07 Kawempe-Bwaise'!K23,'24.07 Kawempe-Bwaise'!K23,'25.07 Kawempe-Bwaise'!K23,'26.07 Kawempe-Bwaise-24h'!K23,'27.07 Kawempe-Bwaise-24h'!K23,'28.07 Kawempe-Bwaise'!K23)</f>
        <v>2.2857142857142856</v>
      </c>
      <c r="L23" s="49">
        <f>AVERAGE('22.07 kawempe-Bwaise'!L23,'23.07 Kawempe-Bwaise'!L23,'24.07 Kawempe-Bwaise'!L23,'25.07 Kawempe-Bwaise'!L23,'26.07 Kawempe-Bwaise-24h'!L23,'27.07 Kawempe-Bwaise-24h'!L23,'28.07 Kawempe-Bwaise'!L23)</f>
        <v>1.4285714285714286</v>
      </c>
      <c r="M23" s="49">
        <f>AVERAGE('22.07 kawempe-Bwaise'!M23,'23.07 Kawempe-Bwaise'!M23,'24.07 Kawempe-Bwaise'!M23,'25.07 Kawempe-Bwaise'!M23,'26.07 Kawempe-Bwaise-24h'!M23,'27.07 Kawempe-Bwaise-24h'!M23,'28.07 Kawempe-Bwaise'!M23)</f>
        <v>200.85714285714286</v>
      </c>
      <c r="N23" s="49">
        <f>AVERAGE('22.07 kawempe-Bwaise'!N23,'23.07 Kawempe-Bwaise'!N23,'24.07 Kawempe-Bwaise'!N23,'25.07 Kawempe-Bwaise'!N23,'26.07 Kawempe-Bwaise-24h'!N23,'27.07 Kawempe-Bwaise-24h'!N23,'28.07 Kawempe-Bwaise'!N23)</f>
        <v>0</v>
      </c>
      <c r="O23" s="15">
        <f t="shared" si="0"/>
        <v>127.42857142857143</v>
      </c>
      <c r="P23" s="15">
        <f t="shared" si="1"/>
        <v>328.28571428571428</v>
      </c>
      <c r="R23" s="1" t="s">
        <v>147</v>
      </c>
      <c r="S23" s="34">
        <f>SUM(C62:C65)</f>
        <v>129</v>
      </c>
      <c r="T23" s="34">
        <f t="shared" ref="T23:AF23" si="15">SUM(D62:D65)</f>
        <v>14</v>
      </c>
      <c r="U23" s="34">
        <f t="shared" si="15"/>
        <v>11</v>
      </c>
      <c r="V23" s="34">
        <f t="shared" si="15"/>
        <v>122.5</v>
      </c>
      <c r="W23" s="34">
        <f t="shared" si="15"/>
        <v>5.5</v>
      </c>
      <c r="X23" s="34">
        <f t="shared" si="15"/>
        <v>5</v>
      </c>
      <c r="Y23" s="34">
        <f t="shared" si="15"/>
        <v>17.5</v>
      </c>
      <c r="Z23" s="34">
        <f t="shared" si="15"/>
        <v>16</v>
      </c>
      <c r="AA23" s="34">
        <f t="shared" si="15"/>
        <v>10.5</v>
      </c>
      <c r="AB23" s="34">
        <f t="shared" si="15"/>
        <v>5</v>
      </c>
      <c r="AC23" s="34">
        <f t="shared" si="15"/>
        <v>972</v>
      </c>
      <c r="AD23" s="34">
        <f t="shared" si="15"/>
        <v>0</v>
      </c>
      <c r="AE23" s="31">
        <f t="shared" si="15"/>
        <v>336</v>
      </c>
      <c r="AF23" s="31">
        <f t="shared" si="15"/>
        <v>1308</v>
      </c>
    </row>
    <row r="24" spans="2:32" ht="23.1" customHeight="1" x14ac:dyDescent="0.25">
      <c r="B24" s="23" t="s">
        <v>51</v>
      </c>
      <c r="C24" s="49">
        <f>AVERAGE('22.07 kawempe-Bwaise'!C24,'23.07 Kawempe-Bwaise'!C24,'24.07 Kawempe-Bwaise'!C24,'25.07 Kawempe-Bwaise'!C24,'26.07 Kawempe-Bwaise-24h'!C24,'27.07 Kawempe-Bwaise-24h'!C24,'28.07 Kawempe-Bwaise'!C24)</f>
        <v>37.428571428571431</v>
      </c>
      <c r="D24" s="49">
        <f>AVERAGE('22.07 kawempe-Bwaise'!D24,'23.07 Kawempe-Bwaise'!D24,'24.07 Kawempe-Bwaise'!D24,'25.07 Kawempe-Bwaise'!D24,'26.07 Kawempe-Bwaise-24h'!D24,'27.07 Kawempe-Bwaise-24h'!D24,'28.07 Kawempe-Bwaise'!D24)</f>
        <v>10.428571428571429</v>
      </c>
      <c r="E24" s="49">
        <f>AVERAGE('22.07 kawempe-Bwaise'!E24,'23.07 Kawempe-Bwaise'!E24,'24.07 Kawempe-Bwaise'!E24,'25.07 Kawempe-Bwaise'!E24,'26.07 Kawempe-Bwaise-24h'!E24,'27.07 Kawempe-Bwaise-24h'!E24,'28.07 Kawempe-Bwaise'!E24)</f>
        <v>6</v>
      </c>
      <c r="F24" s="49">
        <f>AVERAGE('22.07 kawempe-Bwaise'!F24,'23.07 Kawempe-Bwaise'!F24,'24.07 Kawempe-Bwaise'!F24,'25.07 Kawempe-Bwaise'!F24,'26.07 Kawempe-Bwaise-24h'!F24,'27.07 Kawempe-Bwaise-24h'!F24,'28.07 Kawempe-Bwaise'!F24)</f>
        <v>53.571428571428569</v>
      </c>
      <c r="G24" s="49">
        <f>AVERAGE('22.07 kawempe-Bwaise'!G24,'23.07 Kawempe-Bwaise'!G24,'24.07 Kawempe-Bwaise'!G24,'25.07 Kawempe-Bwaise'!G24,'26.07 Kawempe-Bwaise-24h'!G24,'27.07 Kawempe-Bwaise-24h'!G24,'28.07 Kawempe-Bwaise'!G24)</f>
        <v>1</v>
      </c>
      <c r="H24" s="49">
        <f>AVERAGE('22.07 kawempe-Bwaise'!H24,'23.07 Kawempe-Bwaise'!H24,'24.07 Kawempe-Bwaise'!H24,'25.07 Kawempe-Bwaise'!H24,'26.07 Kawempe-Bwaise-24h'!H24,'27.07 Kawempe-Bwaise-24h'!H24,'28.07 Kawempe-Bwaise'!H24)</f>
        <v>0.42857142857142855</v>
      </c>
      <c r="I24" s="49">
        <f>AVERAGE('22.07 kawempe-Bwaise'!I24,'23.07 Kawempe-Bwaise'!I24,'24.07 Kawempe-Bwaise'!I24,'25.07 Kawempe-Bwaise'!I24,'26.07 Kawempe-Bwaise-24h'!I24,'27.07 Kawempe-Bwaise-24h'!I24,'28.07 Kawempe-Bwaise'!I24)</f>
        <v>10.428571428571429</v>
      </c>
      <c r="J24" s="49">
        <f>AVERAGE('22.07 kawempe-Bwaise'!J24,'23.07 Kawempe-Bwaise'!J24,'24.07 Kawempe-Bwaise'!J24,'25.07 Kawempe-Bwaise'!J24,'26.07 Kawempe-Bwaise-24h'!J24,'27.07 Kawempe-Bwaise-24h'!J24,'28.07 Kawempe-Bwaise'!J24)</f>
        <v>7.2857142857142856</v>
      </c>
      <c r="K24" s="49">
        <f>AVERAGE('22.07 kawempe-Bwaise'!K24,'23.07 Kawempe-Bwaise'!K24,'24.07 Kawempe-Bwaise'!K24,'25.07 Kawempe-Bwaise'!K24,'26.07 Kawempe-Bwaise-24h'!K24,'27.07 Kawempe-Bwaise-24h'!K24,'28.07 Kawempe-Bwaise'!K24)</f>
        <v>3.1428571428571428</v>
      </c>
      <c r="L24" s="49">
        <f>AVERAGE('22.07 kawempe-Bwaise'!L24,'23.07 Kawempe-Bwaise'!L24,'24.07 Kawempe-Bwaise'!L24,'25.07 Kawempe-Bwaise'!L24,'26.07 Kawempe-Bwaise-24h'!L24,'27.07 Kawempe-Bwaise-24h'!L24,'28.07 Kawempe-Bwaise'!L24)</f>
        <v>1.4285714285714286</v>
      </c>
      <c r="M24" s="49">
        <f>AVERAGE('22.07 kawempe-Bwaise'!M24,'23.07 Kawempe-Bwaise'!M24,'24.07 Kawempe-Bwaise'!M24,'25.07 Kawempe-Bwaise'!M24,'26.07 Kawempe-Bwaise-24h'!M24,'27.07 Kawempe-Bwaise-24h'!M24,'28.07 Kawempe-Bwaise'!M24)</f>
        <v>264.42857142857144</v>
      </c>
      <c r="N24" s="49">
        <f>AVERAGE('22.07 kawempe-Bwaise'!N24,'23.07 Kawempe-Bwaise'!N24,'24.07 Kawempe-Bwaise'!N24,'25.07 Kawempe-Bwaise'!N24,'26.07 Kawempe-Bwaise-24h'!N24,'27.07 Kawempe-Bwaise-24h'!N24,'28.07 Kawempe-Bwaise'!N24)</f>
        <v>0</v>
      </c>
      <c r="O24" s="15">
        <f t="shared" si="0"/>
        <v>131.14285714285714</v>
      </c>
      <c r="P24" s="15">
        <f t="shared" si="1"/>
        <v>395.57142857142856</v>
      </c>
      <c r="R24" s="1" t="s">
        <v>148</v>
      </c>
      <c r="S24" s="34">
        <f>SUM(C66:C69)</f>
        <v>129.5</v>
      </c>
      <c r="T24" s="34">
        <f t="shared" ref="T24:AF24" si="16">SUM(D66:D69)</f>
        <v>8</v>
      </c>
      <c r="U24" s="34">
        <f t="shared" si="16"/>
        <v>14</v>
      </c>
      <c r="V24" s="34">
        <f t="shared" si="16"/>
        <v>106.5</v>
      </c>
      <c r="W24" s="34">
        <f t="shared" si="16"/>
        <v>9.5</v>
      </c>
      <c r="X24" s="34">
        <f t="shared" si="16"/>
        <v>4.5</v>
      </c>
      <c r="Y24" s="34">
        <f t="shared" si="16"/>
        <v>20</v>
      </c>
      <c r="Z24" s="34">
        <f t="shared" si="16"/>
        <v>22.5</v>
      </c>
      <c r="AA24" s="34">
        <f t="shared" si="16"/>
        <v>9</v>
      </c>
      <c r="AB24" s="34">
        <f t="shared" si="16"/>
        <v>8</v>
      </c>
      <c r="AC24" s="34">
        <f t="shared" si="16"/>
        <v>668</v>
      </c>
      <c r="AD24" s="34">
        <f t="shared" si="16"/>
        <v>0</v>
      </c>
      <c r="AE24" s="31">
        <f t="shared" si="16"/>
        <v>331.5</v>
      </c>
      <c r="AF24" s="31">
        <f t="shared" si="16"/>
        <v>999.5</v>
      </c>
    </row>
    <row r="25" spans="2:32" ht="23.1" customHeight="1" x14ac:dyDescent="0.25">
      <c r="B25" s="23" t="s">
        <v>52</v>
      </c>
      <c r="C25" s="49">
        <f>AVERAGE('22.07 kawempe-Bwaise'!C25,'23.07 Kawempe-Bwaise'!C25,'24.07 Kawempe-Bwaise'!C25,'25.07 Kawempe-Bwaise'!C25,'26.07 Kawempe-Bwaise-24h'!C25,'27.07 Kawempe-Bwaise-24h'!C25,'28.07 Kawempe-Bwaise'!C25)</f>
        <v>39</v>
      </c>
      <c r="D25" s="49">
        <f>AVERAGE('22.07 kawempe-Bwaise'!D25,'23.07 Kawempe-Bwaise'!D25,'24.07 Kawempe-Bwaise'!D25,'25.07 Kawempe-Bwaise'!D25,'26.07 Kawempe-Bwaise-24h'!D25,'27.07 Kawempe-Bwaise-24h'!D25,'28.07 Kawempe-Bwaise'!D25)</f>
        <v>9.4285714285714288</v>
      </c>
      <c r="E25" s="49">
        <f>AVERAGE('22.07 kawempe-Bwaise'!E25,'23.07 Kawempe-Bwaise'!E25,'24.07 Kawempe-Bwaise'!E25,'25.07 Kawempe-Bwaise'!E25,'26.07 Kawempe-Bwaise-24h'!E25,'27.07 Kawempe-Bwaise-24h'!E25,'28.07 Kawempe-Bwaise'!E25)</f>
        <v>4.7142857142857144</v>
      </c>
      <c r="F25" s="49">
        <f>AVERAGE('22.07 kawempe-Bwaise'!F25,'23.07 Kawempe-Bwaise'!F25,'24.07 Kawempe-Bwaise'!F25,'25.07 Kawempe-Bwaise'!F25,'26.07 Kawempe-Bwaise-24h'!F25,'27.07 Kawempe-Bwaise-24h'!F25,'28.07 Kawempe-Bwaise'!F25)</f>
        <v>39.714285714285715</v>
      </c>
      <c r="G25" s="49">
        <f>AVERAGE('22.07 kawempe-Bwaise'!G25,'23.07 Kawempe-Bwaise'!G25,'24.07 Kawempe-Bwaise'!G25,'25.07 Kawempe-Bwaise'!G25,'26.07 Kawempe-Bwaise-24h'!G25,'27.07 Kawempe-Bwaise-24h'!G25,'28.07 Kawempe-Bwaise'!G25)</f>
        <v>1.2857142857142858</v>
      </c>
      <c r="H25" s="49">
        <f>AVERAGE('22.07 kawempe-Bwaise'!H25,'23.07 Kawempe-Bwaise'!H25,'24.07 Kawempe-Bwaise'!H25,'25.07 Kawempe-Bwaise'!H25,'26.07 Kawempe-Bwaise-24h'!H25,'27.07 Kawempe-Bwaise-24h'!H25,'28.07 Kawempe-Bwaise'!H25)</f>
        <v>0</v>
      </c>
      <c r="I25" s="49">
        <f>AVERAGE('22.07 kawempe-Bwaise'!I25,'23.07 Kawempe-Bwaise'!I25,'24.07 Kawempe-Bwaise'!I25,'25.07 Kawempe-Bwaise'!I25,'26.07 Kawempe-Bwaise-24h'!I25,'27.07 Kawempe-Bwaise-24h'!I25,'28.07 Kawempe-Bwaise'!I25)</f>
        <v>8.4285714285714288</v>
      </c>
      <c r="J25" s="49">
        <f>AVERAGE('22.07 kawempe-Bwaise'!J25,'23.07 Kawempe-Bwaise'!J25,'24.07 Kawempe-Bwaise'!J25,'25.07 Kawempe-Bwaise'!J25,'26.07 Kawempe-Bwaise-24h'!J25,'27.07 Kawempe-Bwaise-24h'!J25,'28.07 Kawempe-Bwaise'!J25)</f>
        <v>6.7142857142857144</v>
      </c>
      <c r="K25" s="49">
        <f>AVERAGE('22.07 kawempe-Bwaise'!K25,'23.07 Kawempe-Bwaise'!K25,'24.07 Kawempe-Bwaise'!K25,'25.07 Kawempe-Bwaise'!K25,'26.07 Kawempe-Bwaise-24h'!K25,'27.07 Kawempe-Bwaise-24h'!K25,'28.07 Kawempe-Bwaise'!K25)</f>
        <v>3</v>
      </c>
      <c r="L25" s="49">
        <f>AVERAGE('22.07 kawempe-Bwaise'!L25,'23.07 Kawempe-Bwaise'!L25,'24.07 Kawempe-Bwaise'!L25,'25.07 Kawempe-Bwaise'!L25,'26.07 Kawempe-Bwaise-24h'!L25,'27.07 Kawempe-Bwaise-24h'!L25,'28.07 Kawempe-Bwaise'!L25)</f>
        <v>0.7142857142857143</v>
      </c>
      <c r="M25" s="49">
        <f>AVERAGE('22.07 kawempe-Bwaise'!M25,'23.07 Kawempe-Bwaise'!M25,'24.07 Kawempe-Bwaise'!M25,'25.07 Kawempe-Bwaise'!M25,'26.07 Kawempe-Bwaise-24h'!M25,'27.07 Kawempe-Bwaise-24h'!M25,'28.07 Kawempe-Bwaise'!M25)</f>
        <v>161.28571428571428</v>
      </c>
      <c r="N25" s="49">
        <f>AVERAGE('22.07 kawempe-Bwaise'!N25,'23.07 Kawempe-Bwaise'!N25,'24.07 Kawempe-Bwaise'!N25,'25.07 Kawempe-Bwaise'!N25,'26.07 Kawempe-Bwaise-24h'!N25,'27.07 Kawempe-Bwaise-24h'!N25,'28.07 Kawempe-Bwaise'!N25)</f>
        <v>0</v>
      </c>
      <c r="O25" s="15">
        <f t="shared" si="0"/>
        <v>113</v>
      </c>
      <c r="P25" s="15">
        <f t="shared" si="1"/>
        <v>274.28571428571428</v>
      </c>
      <c r="R25" s="1" t="s">
        <v>149</v>
      </c>
      <c r="S25" s="34">
        <f>SUM(C70:C73)</f>
        <v>128.5</v>
      </c>
      <c r="T25" s="34">
        <f t="shared" ref="T25:AF25" si="17">SUM(D70:D73)</f>
        <v>5.5</v>
      </c>
      <c r="U25" s="34">
        <f t="shared" si="17"/>
        <v>15</v>
      </c>
      <c r="V25" s="34">
        <f t="shared" si="17"/>
        <v>68.5</v>
      </c>
      <c r="W25" s="34">
        <f t="shared" si="17"/>
        <v>6.5</v>
      </c>
      <c r="X25" s="34">
        <f t="shared" si="17"/>
        <v>6</v>
      </c>
      <c r="Y25" s="34">
        <f t="shared" si="17"/>
        <v>25.5</v>
      </c>
      <c r="Z25" s="34">
        <f t="shared" si="17"/>
        <v>16.5</v>
      </c>
      <c r="AA25" s="34">
        <f t="shared" si="17"/>
        <v>8.5</v>
      </c>
      <c r="AB25" s="34">
        <f t="shared" si="17"/>
        <v>3</v>
      </c>
      <c r="AC25" s="34">
        <f t="shared" si="17"/>
        <v>510.5</v>
      </c>
      <c r="AD25" s="34">
        <f t="shared" si="17"/>
        <v>0</v>
      </c>
      <c r="AE25" s="31">
        <f t="shared" si="17"/>
        <v>283.5</v>
      </c>
      <c r="AF25" s="31">
        <f t="shared" si="17"/>
        <v>794</v>
      </c>
    </row>
    <row r="26" spans="2:32" ht="23.1" customHeight="1" x14ac:dyDescent="0.25">
      <c r="B26" s="23" t="s">
        <v>53</v>
      </c>
      <c r="C26" s="49">
        <f>AVERAGE('22.07 kawempe-Bwaise'!C26,'23.07 Kawempe-Bwaise'!C26,'24.07 Kawempe-Bwaise'!C26,'25.07 Kawempe-Bwaise'!C26,'26.07 Kawempe-Bwaise-24h'!C26,'27.07 Kawempe-Bwaise-24h'!C26,'28.07 Kawempe-Bwaise'!C26)</f>
        <v>40.857142857142854</v>
      </c>
      <c r="D26" s="49">
        <f>AVERAGE('22.07 kawempe-Bwaise'!D26,'23.07 Kawempe-Bwaise'!D26,'24.07 Kawempe-Bwaise'!D26,'25.07 Kawempe-Bwaise'!D26,'26.07 Kawempe-Bwaise-24h'!D26,'27.07 Kawempe-Bwaise-24h'!D26,'28.07 Kawempe-Bwaise'!D26)</f>
        <v>9.5714285714285712</v>
      </c>
      <c r="E26" s="49">
        <f>AVERAGE('22.07 kawempe-Bwaise'!E26,'23.07 Kawempe-Bwaise'!E26,'24.07 Kawempe-Bwaise'!E26,'25.07 Kawempe-Bwaise'!E26,'26.07 Kawempe-Bwaise-24h'!E26,'27.07 Kawempe-Bwaise-24h'!E26,'28.07 Kawempe-Bwaise'!E26)</f>
        <v>8.1428571428571423</v>
      </c>
      <c r="F26" s="49">
        <f>AVERAGE('22.07 kawempe-Bwaise'!F26,'23.07 Kawempe-Bwaise'!F26,'24.07 Kawempe-Bwaise'!F26,'25.07 Kawempe-Bwaise'!F26,'26.07 Kawempe-Bwaise-24h'!F26,'27.07 Kawempe-Bwaise-24h'!F26,'28.07 Kawempe-Bwaise'!F26)</f>
        <v>38.857142857142854</v>
      </c>
      <c r="G26" s="49">
        <f>AVERAGE('22.07 kawempe-Bwaise'!G26,'23.07 Kawempe-Bwaise'!G26,'24.07 Kawempe-Bwaise'!G26,'25.07 Kawempe-Bwaise'!G26,'26.07 Kawempe-Bwaise-24h'!G26,'27.07 Kawempe-Bwaise-24h'!G26,'28.07 Kawempe-Bwaise'!G26)</f>
        <v>0.7142857142857143</v>
      </c>
      <c r="H26" s="49">
        <f>AVERAGE('22.07 kawempe-Bwaise'!H26,'23.07 Kawempe-Bwaise'!H26,'24.07 Kawempe-Bwaise'!H26,'25.07 Kawempe-Bwaise'!H26,'26.07 Kawempe-Bwaise-24h'!H26,'27.07 Kawempe-Bwaise-24h'!H26,'28.07 Kawempe-Bwaise'!H26)</f>
        <v>1</v>
      </c>
      <c r="I26" s="49">
        <f>AVERAGE('22.07 kawempe-Bwaise'!I26,'23.07 Kawempe-Bwaise'!I26,'24.07 Kawempe-Bwaise'!I26,'25.07 Kawempe-Bwaise'!I26,'26.07 Kawempe-Bwaise-24h'!I26,'27.07 Kawempe-Bwaise-24h'!I26,'28.07 Kawempe-Bwaise'!I26)</f>
        <v>9</v>
      </c>
      <c r="J26" s="49">
        <f>AVERAGE('22.07 kawempe-Bwaise'!J26,'23.07 Kawempe-Bwaise'!J26,'24.07 Kawempe-Bwaise'!J26,'25.07 Kawempe-Bwaise'!J26,'26.07 Kawempe-Bwaise-24h'!J26,'27.07 Kawempe-Bwaise-24h'!J26,'28.07 Kawempe-Bwaise'!J26)</f>
        <v>9.2857142857142865</v>
      </c>
      <c r="K26" s="49">
        <f>AVERAGE('22.07 kawempe-Bwaise'!K26,'23.07 Kawempe-Bwaise'!K26,'24.07 Kawempe-Bwaise'!K26,'25.07 Kawempe-Bwaise'!K26,'26.07 Kawempe-Bwaise-24h'!K26,'27.07 Kawempe-Bwaise-24h'!K26,'28.07 Kawempe-Bwaise'!K26)</f>
        <v>3.2857142857142856</v>
      </c>
      <c r="L26" s="49">
        <f>AVERAGE('22.07 kawempe-Bwaise'!L26,'23.07 Kawempe-Bwaise'!L26,'24.07 Kawempe-Bwaise'!L26,'25.07 Kawempe-Bwaise'!L26,'26.07 Kawempe-Bwaise-24h'!L26,'27.07 Kawempe-Bwaise-24h'!L26,'28.07 Kawempe-Bwaise'!L26)</f>
        <v>1.2857142857142858</v>
      </c>
      <c r="M26" s="49">
        <f>AVERAGE('22.07 kawempe-Bwaise'!M26,'23.07 Kawempe-Bwaise'!M26,'24.07 Kawempe-Bwaise'!M26,'25.07 Kawempe-Bwaise'!M26,'26.07 Kawempe-Bwaise-24h'!M26,'27.07 Kawempe-Bwaise-24h'!M26,'28.07 Kawempe-Bwaise'!M26)</f>
        <v>196.83333333333334</v>
      </c>
      <c r="N26" s="49">
        <f>AVERAGE('22.07 kawempe-Bwaise'!N26,'23.07 Kawempe-Bwaise'!N26,'24.07 Kawempe-Bwaise'!N26,'25.07 Kawempe-Bwaise'!N26,'26.07 Kawempe-Bwaise-24h'!N26,'27.07 Kawempe-Bwaise-24h'!N26,'28.07 Kawempe-Bwaise'!N26)</f>
        <v>0</v>
      </c>
      <c r="O26" s="15">
        <f t="shared" si="0"/>
        <v>122</v>
      </c>
      <c r="P26" s="15">
        <f t="shared" si="1"/>
        <v>318.83333333333337</v>
      </c>
      <c r="R26" s="1" t="s">
        <v>150</v>
      </c>
      <c r="S26" s="34">
        <f>SUM(C74:C77)</f>
        <v>121</v>
      </c>
      <c r="T26" s="34">
        <f t="shared" ref="T26:AF26" si="18">SUM(D74:D77)</f>
        <v>3.5</v>
      </c>
      <c r="U26" s="34">
        <f t="shared" si="18"/>
        <v>6</v>
      </c>
      <c r="V26" s="34">
        <f t="shared" si="18"/>
        <v>47.5</v>
      </c>
      <c r="W26" s="34">
        <f t="shared" si="18"/>
        <v>6.5</v>
      </c>
      <c r="X26" s="34">
        <f t="shared" si="18"/>
        <v>3</v>
      </c>
      <c r="Y26" s="34">
        <f t="shared" si="18"/>
        <v>22</v>
      </c>
      <c r="Z26" s="34">
        <f t="shared" si="18"/>
        <v>18.5</v>
      </c>
      <c r="AA26" s="34">
        <f t="shared" si="18"/>
        <v>8</v>
      </c>
      <c r="AB26" s="34">
        <f t="shared" si="18"/>
        <v>6.5</v>
      </c>
      <c r="AC26" s="34">
        <f t="shared" si="18"/>
        <v>376</v>
      </c>
      <c r="AD26" s="34">
        <f t="shared" si="18"/>
        <v>0</v>
      </c>
      <c r="AE26" s="31">
        <f t="shared" si="18"/>
        <v>242.5</v>
      </c>
      <c r="AF26" s="31">
        <f t="shared" si="18"/>
        <v>618.5</v>
      </c>
    </row>
    <row r="27" spans="2:32" ht="23.1" customHeight="1" x14ac:dyDescent="0.25">
      <c r="B27" s="23" t="s">
        <v>54</v>
      </c>
      <c r="C27" s="49">
        <f>AVERAGE('22.07 kawempe-Bwaise'!C27,'23.07 Kawempe-Bwaise'!C27,'24.07 Kawempe-Bwaise'!C27,'25.07 Kawempe-Bwaise'!C27,'26.07 Kawempe-Bwaise-24h'!C27,'27.07 Kawempe-Bwaise-24h'!C27,'28.07 Kawempe-Bwaise'!C27)</f>
        <v>41.142857142857146</v>
      </c>
      <c r="D27" s="49">
        <f>AVERAGE('22.07 kawempe-Bwaise'!D27,'23.07 Kawempe-Bwaise'!D27,'24.07 Kawempe-Bwaise'!D27,'25.07 Kawempe-Bwaise'!D27,'26.07 Kawempe-Bwaise-24h'!D27,'27.07 Kawempe-Bwaise-24h'!D27,'28.07 Kawempe-Bwaise'!D27)</f>
        <v>13</v>
      </c>
      <c r="E27" s="49">
        <f>AVERAGE('22.07 kawempe-Bwaise'!E27,'23.07 Kawempe-Bwaise'!E27,'24.07 Kawempe-Bwaise'!E27,'25.07 Kawempe-Bwaise'!E27,'26.07 Kawempe-Bwaise-24h'!E27,'27.07 Kawempe-Bwaise-24h'!E27,'28.07 Kawempe-Bwaise'!E27)</f>
        <v>6.2857142857142856</v>
      </c>
      <c r="F27" s="49">
        <f>AVERAGE('22.07 kawempe-Bwaise'!F27,'23.07 Kawempe-Bwaise'!F27,'24.07 Kawempe-Bwaise'!F27,'25.07 Kawempe-Bwaise'!F27,'26.07 Kawempe-Bwaise-24h'!F27,'27.07 Kawempe-Bwaise-24h'!F27,'28.07 Kawempe-Bwaise'!F27)</f>
        <v>42.142857142857146</v>
      </c>
      <c r="G27" s="49">
        <f>AVERAGE('22.07 kawempe-Bwaise'!G27,'23.07 Kawempe-Bwaise'!G27,'24.07 Kawempe-Bwaise'!G27,'25.07 Kawempe-Bwaise'!G27,'26.07 Kawempe-Bwaise-24h'!G27,'27.07 Kawempe-Bwaise-24h'!G27,'28.07 Kawempe-Bwaise'!G27)</f>
        <v>2.1428571428571428</v>
      </c>
      <c r="H27" s="49">
        <f>AVERAGE('22.07 kawempe-Bwaise'!H27,'23.07 Kawempe-Bwaise'!H27,'24.07 Kawempe-Bwaise'!H27,'25.07 Kawempe-Bwaise'!H27,'26.07 Kawempe-Bwaise-24h'!H27,'27.07 Kawempe-Bwaise-24h'!H27,'28.07 Kawempe-Bwaise'!H27)</f>
        <v>1.2857142857142858</v>
      </c>
      <c r="I27" s="49">
        <f>AVERAGE('22.07 kawempe-Bwaise'!I27,'23.07 Kawempe-Bwaise'!I27,'24.07 Kawempe-Bwaise'!I27,'25.07 Kawempe-Bwaise'!I27,'26.07 Kawempe-Bwaise-24h'!I27,'27.07 Kawempe-Bwaise-24h'!I27,'28.07 Kawempe-Bwaise'!I27)</f>
        <v>7.8571428571428568</v>
      </c>
      <c r="J27" s="49">
        <f>AVERAGE('22.07 kawempe-Bwaise'!J27,'23.07 Kawempe-Bwaise'!J27,'24.07 Kawempe-Bwaise'!J27,'25.07 Kawempe-Bwaise'!J27,'26.07 Kawempe-Bwaise-24h'!J27,'27.07 Kawempe-Bwaise-24h'!J27,'28.07 Kawempe-Bwaise'!J27)</f>
        <v>7</v>
      </c>
      <c r="K27" s="49">
        <f>AVERAGE('22.07 kawempe-Bwaise'!K27,'23.07 Kawempe-Bwaise'!K27,'24.07 Kawempe-Bwaise'!K27,'25.07 Kawempe-Bwaise'!K27,'26.07 Kawempe-Bwaise-24h'!K27,'27.07 Kawempe-Bwaise-24h'!K27,'28.07 Kawempe-Bwaise'!K27)</f>
        <v>1.7142857142857142</v>
      </c>
      <c r="L27" s="49">
        <f>AVERAGE('22.07 kawempe-Bwaise'!L27,'23.07 Kawempe-Bwaise'!L27,'24.07 Kawempe-Bwaise'!L27,'25.07 Kawempe-Bwaise'!L27,'26.07 Kawempe-Bwaise-24h'!L27,'27.07 Kawempe-Bwaise-24h'!L27,'28.07 Kawempe-Bwaise'!L27)</f>
        <v>1.2857142857142858</v>
      </c>
      <c r="M27" s="49">
        <f>AVERAGE('22.07 kawempe-Bwaise'!M27,'23.07 Kawempe-Bwaise'!M27,'24.07 Kawempe-Bwaise'!M27,'25.07 Kawempe-Bwaise'!M27,'26.07 Kawempe-Bwaise-24h'!M27,'27.07 Kawempe-Bwaise-24h'!M27,'28.07 Kawempe-Bwaise'!M27)</f>
        <v>204</v>
      </c>
      <c r="N27" s="49">
        <f>AVERAGE('22.07 kawempe-Bwaise'!N27,'23.07 Kawempe-Bwaise'!N27,'24.07 Kawempe-Bwaise'!N27,'25.07 Kawempe-Bwaise'!N27,'26.07 Kawempe-Bwaise-24h'!N27,'27.07 Kawempe-Bwaise-24h'!N27,'28.07 Kawempe-Bwaise'!N27)</f>
        <v>0</v>
      </c>
      <c r="O27" s="15">
        <f t="shared" si="0"/>
        <v>123.85714285714288</v>
      </c>
      <c r="P27" s="15">
        <f t="shared" si="1"/>
        <v>327.85714285714289</v>
      </c>
      <c r="R27" s="1" t="s">
        <v>151</v>
      </c>
      <c r="S27" s="34">
        <f>SUM(C78:C81)</f>
        <v>42</v>
      </c>
      <c r="T27" s="34">
        <f t="shared" ref="T27:AF27" si="19">SUM(D78:D81)</f>
        <v>0</v>
      </c>
      <c r="U27" s="34">
        <f t="shared" si="19"/>
        <v>2.5</v>
      </c>
      <c r="V27" s="34">
        <f t="shared" si="19"/>
        <v>10.5</v>
      </c>
      <c r="W27" s="34">
        <f t="shared" si="19"/>
        <v>1</v>
      </c>
      <c r="X27" s="34">
        <f t="shared" si="19"/>
        <v>1.5</v>
      </c>
      <c r="Y27" s="34">
        <f t="shared" si="19"/>
        <v>4</v>
      </c>
      <c r="Z27" s="34">
        <f t="shared" si="19"/>
        <v>11</v>
      </c>
      <c r="AA27" s="34">
        <f t="shared" si="19"/>
        <v>9</v>
      </c>
      <c r="AB27" s="34">
        <f t="shared" si="19"/>
        <v>3.5</v>
      </c>
      <c r="AC27" s="34">
        <f t="shared" si="19"/>
        <v>114</v>
      </c>
      <c r="AD27" s="34">
        <f t="shared" si="19"/>
        <v>0</v>
      </c>
      <c r="AE27" s="31">
        <f t="shared" si="19"/>
        <v>85</v>
      </c>
      <c r="AF27" s="31">
        <f t="shared" si="19"/>
        <v>199</v>
      </c>
    </row>
    <row r="28" spans="2:32" ht="23.1" customHeight="1" x14ac:dyDescent="0.25">
      <c r="B28" s="23" t="s">
        <v>55</v>
      </c>
      <c r="C28" s="49">
        <f>AVERAGE('22.07 kawempe-Bwaise'!C28,'23.07 Kawempe-Bwaise'!C28,'24.07 Kawempe-Bwaise'!C28,'25.07 Kawempe-Bwaise'!C28,'26.07 Kawempe-Bwaise-24h'!C28,'27.07 Kawempe-Bwaise-24h'!C28,'28.07 Kawempe-Bwaise'!C28)</f>
        <v>45</v>
      </c>
      <c r="D28" s="49">
        <f>AVERAGE('22.07 kawempe-Bwaise'!D28,'23.07 Kawempe-Bwaise'!D28,'24.07 Kawempe-Bwaise'!D28,'25.07 Kawempe-Bwaise'!D28,'26.07 Kawempe-Bwaise-24h'!D28,'27.07 Kawempe-Bwaise-24h'!D28,'28.07 Kawempe-Bwaise'!D28)</f>
        <v>13.857142857142858</v>
      </c>
      <c r="E28" s="49">
        <f>AVERAGE('22.07 kawempe-Bwaise'!E28,'23.07 Kawempe-Bwaise'!E28,'24.07 Kawempe-Bwaise'!E28,'25.07 Kawempe-Bwaise'!E28,'26.07 Kawempe-Bwaise-24h'!E28,'27.07 Kawempe-Bwaise-24h'!E28,'28.07 Kawempe-Bwaise'!E28)</f>
        <v>9.1428571428571423</v>
      </c>
      <c r="F28" s="49">
        <f>AVERAGE('22.07 kawempe-Bwaise'!F28,'23.07 Kawempe-Bwaise'!F28,'24.07 Kawempe-Bwaise'!F28,'25.07 Kawempe-Bwaise'!F28,'26.07 Kawempe-Bwaise-24h'!F28,'27.07 Kawempe-Bwaise-24h'!F28,'28.07 Kawempe-Bwaise'!F28)</f>
        <v>37.857142857142854</v>
      </c>
      <c r="G28" s="49">
        <f>AVERAGE('22.07 kawempe-Bwaise'!G28,'23.07 Kawempe-Bwaise'!G28,'24.07 Kawempe-Bwaise'!G28,'25.07 Kawempe-Bwaise'!G28,'26.07 Kawempe-Bwaise-24h'!G28,'27.07 Kawempe-Bwaise-24h'!G28,'28.07 Kawempe-Bwaise'!G28)</f>
        <v>2.8571428571428572</v>
      </c>
      <c r="H28" s="49">
        <f>AVERAGE('22.07 kawempe-Bwaise'!H28,'23.07 Kawempe-Bwaise'!H28,'24.07 Kawempe-Bwaise'!H28,'25.07 Kawempe-Bwaise'!H28,'26.07 Kawempe-Bwaise-24h'!H28,'27.07 Kawempe-Bwaise-24h'!H28,'28.07 Kawempe-Bwaise'!H28)</f>
        <v>0</v>
      </c>
      <c r="I28" s="49">
        <f>AVERAGE('22.07 kawempe-Bwaise'!I28,'23.07 Kawempe-Bwaise'!I28,'24.07 Kawempe-Bwaise'!I28,'25.07 Kawempe-Bwaise'!I28,'26.07 Kawempe-Bwaise-24h'!I28,'27.07 Kawempe-Bwaise-24h'!I28,'28.07 Kawempe-Bwaise'!I28)</f>
        <v>7.7142857142857144</v>
      </c>
      <c r="J28" s="49">
        <f>AVERAGE('22.07 kawempe-Bwaise'!J28,'23.07 Kawempe-Bwaise'!J28,'24.07 Kawempe-Bwaise'!J28,'25.07 Kawempe-Bwaise'!J28,'26.07 Kawempe-Bwaise-24h'!J28,'27.07 Kawempe-Bwaise-24h'!J28,'28.07 Kawempe-Bwaise'!J28)</f>
        <v>8.2857142857142865</v>
      </c>
      <c r="K28" s="49">
        <f>AVERAGE('22.07 kawempe-Bwaise'!K28,'23.07 Kawempe-Bwaise'!K28,'24.07 Kawempe-Bwaise'!K28,'25.07 Kawempe-Bwaise'!K28,'26.07 Kawempe-Bwaise-24h'!K28,'27.07 Kawempe-Bwaise-24h'!K28,'28.07 Kawempe-Bwaise'!K28)</f>
        <v>2.8571428571428572</v>
      </c>
      <c r="L28" s="49">
        <f>AVERAGE('22.07 kawempe-Bwaise'!L28,'23.07 Kawempe-Bwaise'!L28,'24.07 Kawempe-Bwaise'!L28,'25.07 Kawempe-Bwaise'!L28,'26.07 Kawempe-Bwaise-24h'!L28,'27.07 Kawempe-Bwaise-24h'!L28,'28.07 Kawempe-Bwaise'!L28)</f>
        <v>1.1428571428571428</v>
      </c>
      <c r="M28" s="49">
        <f>AVERAGE('22.07 kawempe-Bwaise'!M28,'23.07 Kawempe-Bwaise'!M28,'24.07 Kawempe-Bwaise'!M28,'25.07 Kawempe-Bwaise'!M28,'26.07 Kawempe-Bwaise-24h'!M28,'27.07 Kawempe-Bwaise-24h'!M28,'28.07 Kawempe-Bwaise'!M28)</f>
        <v>183.85714285714286</v>
      </c>
      <c r="N28" s="49">
        <f>AVERAGE('22.07 kawempe-Bwaise'!N28,'23.07 Kawempe-Bwaise'!N28,'24.07 Kawempe-Bwaise'!N28,'25.07 Kawempe-Bwaise'!N28,'26.07 Kawempe-Bwaise-24h'!N28,'27.07 Kawempe-Bwaise-24h'!N28,'28.07 Kawempe-Bwaise'!N28)</f>
        <v>0</v>
      </c>
      <c r="O28" s="15">
        <f t="shared" si="0"/>
        <v>128.71428571428572</v>
      </c>
      <c r="P28" s="15">
        <f t="shared" si="1"/>
        <v>312.57142857142856</v>
      </c>
      <c r="R28" s="1" t="s">
        <v>152</v>
      </c>
      <c r="S28" s="34">
        <f>SUM(C82:C85)</f>
        <v>36</v>
      </c>
      <c r="T28" s="34">
        <f t="shared" ref="T28:AF28" si="20">SUM(D82:D85)</f>
        <v>0.5</v>
      </c>
      <c r="U28" s="34">
        <f t="shared" si="20"/>
        <v>5.5</v>
      </c>
      <c r="V28" s="34">
        <f t="shared" si="20"/>
        <v>5.5</v>
      </c>
      <c r="W28" s="34">
        <f t="shared" si="20"/>
        <v>0.5</v>
      </c>
      <c r="X28" s="34">
        <f t="shared" si="20"/>
        <v>0.5</v>
      </c>
      <c r="Y28" s="34">
        <f t="shared" si="20"/>
        <v>3</v>
      </c>
      <c r="Z28" s="34">
        <f t="shared" si="20"/>
        <v>14.5</v>
      </c>
      <c r="AA28" s="34">
        <f t="shared" si="20"/>
        <v>6</v>
      </c>
      <c r="AB28" s="34">
        <f t="shared" si="20"/>
        <v>6</v>
      </c>
      <c r="AC28" s="34">
        <f t="shared" si="20"/>
        <v>97.5</v>
      </c>
      <c r="AD28" s="34">
        <f t="shared" si="20"/>
        <v>0</v>
      </c>
      <c r="AE28" s="31">
        <f t="shared" si="20"/>
        <v>78</v>
      </c>
      <c r="AF28" s="31">
        <f t="shared" si="20"/>
        <v>175.5</v>
      </c>
    </row>
    <row r="29" spans="2:32" ht="23.1" customHeight="1" x14ac:dyDescent="0.25">
      <c r="B29" s="23" t="s">
        <v>56</v>
      </c>
      <c r="C29" s="49">
        <f>AVERAGE('22.07 kawempe-Bwaise'!C29,'23.07 Kawempe-Bwaise'!C29,'24.07 Kawempe-Bwaise'!C29,'25.07 Kawempe-Bwaise'!C29,'26.07 Kawempe-Bwaise-24h'!C29,'27.07 Kawempe-Bwaise-24h'!C29,'28.07 Kawempe-Bwaise'!C29)</f>
        <v>37.857142857142854</v>
      </c>
      <c r="D29" s="49">
        <f>AVERAGE('22.07 kawempe-Bwaise'!D29,'23.07 Kawempe-Bwaise'!D29,'24.07 Kawempe-Bwaise'!D29,'25.07 Kawempe-Bwaise'!D29,'26.07 Kawempe-Bwaise-24h'!D29,'27.07 Kawempe-Bwaise-24h'!D29,'28.07 Kawempe-Bwaise'!D29)</f>
        <v>9.4285714285714288</v>
      </c>
      <c r="E29" s="49">
        <f>AVERAGE('22.07 kawempe-Bwaise'!E29,'23.07 Kawempe-Bwaise'!E29,'24.07 Kawempe-Bwaise'!E29,'25.07 Kawempe-Bwaise'!E29,'26.07 Kawempe-Bwaise-24h'!E29,'27.07 Kawempe-Bwaise-24h'!E29,'28.07 Kawempe-Bwaise'!E29)</f>
        <v>6.4285714285714288</v>
      </c>
      <c r="F29" s="49">
        <f>AVERAGE('22.07 kawempe-Bwaise'!F29,'23.07 Kawempe-Bwaise'!F29,'24.07 Kawempe-Bwaise'!F29,'25.07 Kawempe-Bwaise'!F29,'26.07 Kawempe-Bwaise-24h'!F29,'27.07 Kawempe-Bwaise-24h'!F29,'28.07 Kawempe-Bwaise'!F29)</f>
        <v>43.857142857142854</v>
      </c>
      <c r="G29" s="49">
        <f>AVERAGE('22.07 kawempe-Bwaise'!G29,'23.07 Kawempe-Bwaise'!G29,'24.07 Kawempe-Bwaise'!G29,'25.07 Kawempe-Bwaise'!G29,'26.07 Kawempe-Bwaise-24h'!G29,'27.07 Kawempe-Bwaise-24h'!G29,'28.07 Kawempe-Bwaise'!G29)</f>
        <v>2.1428571428571428</v>
      </c>
      <c r="H29" s="49">
        <f>AVERAGE('22.07 kawempe-Bwaise'!H29,'23.07 Kawempe-Bwaise'!H29,'24.07 Kawempe-Bwaise'!H29,'25.07 Kawempe-Bwaise'!H29,'26.07 Kawempe-Bwaise-24h'!H29,'27.07 Kawempe-Bwaise-24h'!H29,'28.07 Kawempe-Bwaise'!H29)</f>
        <v>0</v>
      </c>
      <c r="I29" s="49">
        <f>AVERAGE('22.07 kawempe-Bwaise'!I29,'23.07 Kawempe-Bwaise'!I29,'24.07 Kawempe-Bwaise'!I29,'25.07 Kawempe-Bwaise'!I29,'26.07 Kawempe-Bwaise-24h'!I29,'27.07 Kawempe-Bwaise-24h'!I29,'28.07 Kawempe-Bwaise'!I29)</f>
        <v>7</v>
      </c>
      <c r="J29" s="49">
        <f>AVERAGE('22.07 kawempe-Bwaise'!J29,'23.07 Kawempe-Bwaise'!J29,'24.07 Kawempe-Bwaise'!J29,'25.07 Kawempe-Bwaise'!J29,'26.07 Kawempe-Bwaise-24h'!J29,'27.07 Kawempe-Bwaise-24h'!J29,'28.07 Kawempe-Bwaise'!J29)</f>
        <v>8.7142857142857135</v>
      </c>
      <c r="K29" s="49">
        <f>AVERAGE('22.07 kawempe-Bwaise'!K29,'23.07 Kawempe-Bwaise'!K29,'24.07 Kawempe-Bwaise'!K29,'25.07 Kawempe-Bwaise'!K29,'26.07 Kawempe-Bwaise-24h'!K29,'27.07 Kawempe-Bwaise-24h'!K29,'28.07 Kawempe-Bwaise'!K29)</f>
        <v>2</v>
      </c>
      <c r="L29" s="49">
        <f>AVERAGE('22.07 kawempe-Bwaise'!L29,'23.07 Kawempe-Bwaise'!L29,'24.07 Kawempe-Bwaise'!L29,'25.07 Kawempe-Bwaise'!L29,'26.07 Kawempe-Bwaise-24h'!L29,'27.07 Kawempe-Bwaise-24h'!L29,'28.07 Kawempe-Bwaise'!L29)</f>
        <v>2.5714285714285716</v>
      </c>
      <c r="M29" s="49">
        <f>AVERAGE('22.07 kawempe-Bwaise'!M29,'23.07 Kawempe-Bwaise'!M29,'24.07 Kawempe-Bwaise'!M29,'25.07 Kawempe-Bwaise'!M29,'26.07 Kawempe-Bwaise-24h'!M29,'27.07 Kawempe-Bwaise-24h'!M29,'28.07 Kawempe-Bwaise'!M29)</f>
        <v>178.85714285714286</v>
      </c>
      <c r="N29" s="49">
        <f>AVERAGE('22.07 kawempe-Bwaise'!N29,'23.07 Kawempe-Bwaise'!N29,'24.07 Kawempe-Bwaise'!N29,'25.07 Kawempe-Bwaise'!N29,'26.07 Kawempe-Bwaise-24h'!N29,'27.07 Kawempe-Bwaise-24h'!N29,'28.07 Kawempe-Bwaise'!N29)</f>
        <v>0</v>
      </c>
      <c r="O29" s="15">
        <f t="shared" si="0"/>
        <v>119.99999999999999</v>
      </c>
      <c r="P29" s="15">
        <f t="shared" si="1"/>
        <v>298.85714285714283</v>
      </c>
      <c r="R29" s="1" t="s">
        <v>153</v>
      </c>
      <c r="S29" s="34">
        <f>SUM(C86:C89)</f>
        <v>27.5</v>
      </c>
      <c r="T29" s="34">
        <f t="shared" ref="T29:AF29" si="21">SUM(D86:D89)</f>
        <v>0.5</v>
      </c>
      <c r="U29" s="34">
        <f t="shared" si="21"/>
        <v>1.5</v>
      </c>
      <c r="V29" s="34">
        <f t="shared" si="21"/>
        <v>3.5</v>
      </c>
      <c r="W29" s="34">
        <f t="shared" si="21"/>
        <v>0</v>
      </c>
      <c r="X29" s="34">
        <f t="shared" si="21"/>
        <v>2</v>
      </c>
      <c r="Y29" s="34">
        <f t="shared" si="21"/>
        <v>4</v>
      </c>
      <c r="Z29" s="34">
        <f t="shared" si="21"/>
        <v>6.5</v>
      </c>
      <c r="AA29" s="34">
        <f t="shared" si="21"/>
        <v>8.5</v>
      </c>
      <c r="AB29" s="34">
        <f t="shared" si="21"/>
        <v>2.5</v>
      </c>
      <c r="AC29" s="34">
        <f t="shared" si="21"/>
        <v>84</v>
      </c>
      <c r="AD29" s="34">
        <f t="shared" si="21"/>
        <v>0</v>
      </c>
      <c r="AE29" s="31">
        <f t="shared" si="21"/>
        <v>56.5</v>
      </c>
      <c r="AF29" s="31">
        <f t="shared" si="21"/>
        <v>140.5</v>
      </c>
    </row>
    <row r="30" spans="2:32" ht="23.1" customHeight="1" x14ac:dyDescent="0.25">
      <c r="B30" s="23" t="s">
        <v>57</v>
      </c>
      <c r="C30" s="49">
        <f>AVERAGE('22.07 kawempe-Bwaise'!C30,'23.07 Kawempe-Bwaise'!C30,'24.07 Kawempe-Bwaise'!C30,'25.07 Kawempe-Bwaise'!C30,'26.07 Kawempe-Bwaise-24h'!C30,'27.07 Kawempe-Bwaise-24h'!C30,'28.07 Kawempe-Bwaise'!C30)</f>
        <v>44.714285714285715</v>
      </c>
      <c r="D30" s="49">
        <f>AVERAGE('22.07 kawempe-Bwaise'!D30,'23.07 Kawempe-Bwaise'!D30,'24.07 Kawempe-Bwaise'!D30,'25.07 Kawempe-Bwaise'!D30,'26.07 Kawempe-Bwaise-24h'!D30,'27.07 Kawempe-Bwaise-24h'!D30,'28.07 Kawempe-Bwaise'!D30)</f>
        <v>10</v>
      </c>
      <c r="E30" s="49">
        <f>AVERAGE('22.07 kawempe-Bwaise'!E30,'23.07 Kawempe-Bwaise'!E30,'24.07 Kawempe-Bwaise'!E30,'25.07 Kawempe-Bwaise'!E30,'26.07 Kawempe-Bwaise-24h'!E30,'27.07 Kawempe-Bwaise-24h'!E30,'28.07 Kawempe-Bwaise'!E30)</f>
        <v>7.7142857142857144</v>
      </c>
      <c r="F30" s="49">
        <f>AVERAGE('22.07 kawempe-Bwaise'!F30,'23.07 Kawempe-Bwaise'!F30,'24.07 Kawempe-Bwaise'!F30,'25.07 Kawempe-Bwaise'!F30,'26.07 Kawempe-Bwaise-24h'!F30,'27.07 Kawempe-Bwaise-24h'!F30,'28.07 Kawempe-Bwaise'!F30)</f>
        <v>42.714285714285715</v>
      </c>
      <c r="G30" s="49">
        <f>AVERAGE('22.07 kawempe-Bwaise'!G30,'23.07 Kawempe-Bwaise'!G30,'24.07 Kawempe-Bwaise'!G30,'25.07 Kawempe-Bwaise'!G30,'26.07 Kawempe-Bwaise-24h'!G30,'27.07 Kawempe-Bwaise-24h'!G30,'28.07 Kawempe-Bwaise'!G30)</f>
        <v>2.1428571428571428</v>
      </c>
      <c r="H30" s="49">
        <f>AVERAGE('22.07 kawempe-Bwaise'!H30,'23.07 Kawempe-Bwaise'!H30,'24.07 Kawempe-Bwaise'!H30,'25.07 Kawempe-Bwaise'!H30,'26.07 Kawempe-Bwaise-24h'!H30,'27.07 Kawempe-Bwaise-24h'!H30,'28.07 Kawempe-Bwaise'!H30)</f>
        <v>0.2857142857142857</v>
      </c>
      <c r="I30" s="49">
        <f>AVERAGE('22.07 kawempe-Bwaise'!I30,'23.07 Kawempe-Bwaise'!I30,'24.07 Kawempe-Bwaise'!I30,'25.07 Kawempe-Bwaise'!I30,'26.07 Kawempe-Bwaise-24h'!I30,'27.07 Kawempe-Bwaise-24h'!I30,'28.07 Kawempe-Bwaise'!I30)</f>
        <v>8.1428571428571423</v>
      </c>
      <c r="J30" s="49">
        <f>AVERAGE('22.07 kawempe-Bwaise'!J30,'23.07 Kawempe-Bwaise'!J30,'24.07 Kawempe-Bwaise'!J30,'25.07 Kawempe-Bwaise'!J30,'26.07 Kawempe-Bwaise-24h'!J30,'27.07 Kawempe-Bwaise-24h'!J30,'28.07 Kawempe-Bwaise'!J30)</f>
        <v>7.8571428571428568</v>
      </c>
      <c r="K30" s="49">
        <f>AVERAGE('22.07 kawempe-Bwaise'!K30,'23.07 Kawempe-Bwaise'!K30,'24.07 Kawempe-Bwaise'!K30,'25.07 Kawempe-Bwaise'!K30,'26.07 Kawempe-Bwaise-24h'!K30,'27.07 Kawempe-Bwaise-24h'!K30,'28.07 Kawempe-Bwaise'!K30)</f>
        <v>4.2857142857142856</v>
      </c>
      <c r="L30" s="49">
        <f>AVERAGE('22.07 kawempe-Bwaise'!L30,'23.07 Kawempe-Bwaise'!L30,'24.07 Kawempe-Bwaise'!L30,'25.07 Kawempe-Bwaise'!L30,'26.07 Kawempe-Bwaise-24h'!L30,'27.07 Kawempe-Bwaise-24h'!L30,'28.07 Kawempe-Bwaise'!L30)</f>
        <v>3</v>
      </c>
      <c r="M30" s="49">
        <f>AVERAGE('22.07 kawempe-Bwaise'!M30,'23.07 Kawempe-Bwaise'!M30,'24.07 Kawempe-Bwaise'!M30,'25.07 Kawempe-Bwaise'!M30,'26.07 Kawempe-Bwaise-24h'!M30,'27.07 Kawempe-Bwaise-24h'!M30,'28.07 Kawempe-Bwaise'!M30)</f>
        <v>174.57142857142858</v>
      </c>
      <c r="N30" s="49">
        <f>AVERAGE('22.07 kawempe-Bwaise'!N30,'23.07 Kawempe-Bwaise'!N30,'24.07 Kawempe-Bwaise'!N30,'25.07 Kawempe-Bwaise'!N30,'26.07 Kawempe-Bwaise-24h'!N30,'27.07 Kawempe-Bwaise-24h'!N30,'28.07 Kawempe-Bwaise'!N30)</f>
        <v>0</v>
      </c>
      <c r="O30" s="15">
        <f t="shared" si="0"/>
        <v>130.85714285714286</v>
      </c>
      <c r="P30" s="15">
        <f t="shared" si="1"/>
        <v>305.42857142857144</v>
      </c>
      <c r="R30" s="1" t="s">
        <v>154</v>
      </c>
      <c r="S30" s="34">
        <f>SUM(C90:C93)</f>
        <v>23.5</v>
      </c>
      <c r="T30" s="34">
        <f t="shared" ref="T30:AF30" si="22">SUM(D90:D93)</f>
        <v>0</v>
      </c>
      <c r="U30" s="34">
        <f t="shared" si="22"/>
        <v>1.5</v>
      </c>
      <c r="V30" s="34">
        <f t="shared" si="22"/>
        <v>7.5</v>
      </c>
      <c r="W30" s="34">
        <f t="shared" si="22"/>
        <v>0</v>
      </c>
      <c r="X30" s="34">
        <f t="shared" si="22"/>
        <v>6.5</v>
      </c>
      <c r="Y30" s="34">
        <f t="shared" si="22"/>
        <v>3</v>
      </c>
      <c r="Z30" s="34">
        <f t="shared" si="22"/>
        <v>10</v>
      </c>
      <c r="AA30" s="34">
        <f t="shared" si="22"/>
        <v>9</v>
      </c>
      <c r="AB30" s="34">
        <f t="shared" si="22"/>
        <v>1.5</v>
      </c>
      <c r="AC30" s="34">
        <f t="shared" si="22"/>
        <v>70.5</v>
      </c>
      <c r="AD30" s="34">
        <f t="shared" si="22"/>
        <v>0</v>
      </c>
      <c r="AE30" s="31">
        <f t="shared" si="22"/>
        <v>62.5</v>
      </c>
      <c r="AF30" s="31">
        <f t="shared" si="22"/>
        <v>133</v>
      </c>
    </row>
    <row r="31" spans="2:32" ht="23.1" customHeight="1" x14ac:dyDescent="0.25">
      <c r="B31" s="24" t="s">
        <v>58</v>
      </c>
      <c r="C31" s="49">
        <f>AVERAGE('22.07 kawempe-Bwaise'!C31,'23.07 Kawempe-Bwaise'!C31,'24.07 Kawempe-Bwaise'!C31,'25.07 Kawempe-Bwaise'!C31,'26.07 Kawempe-Bwaise-24h'!C31,'27.07 Kawempe-Bwaise-24h'!C31,'28.07 Kawempe-Bwaise'!C31)</f>
        <v>40.857142857142854</v>
      </c>
      <c r="D31" s="49">
        <f>AVERAGE('22.07 kawempe-Bwaise'!D31,'23.07 Kawempe-Bwaise'!D31,'24.07 Kawempe-Bwaise'!D31,'25.07 Kawempe-Bwaise'!D31,'26.07 Kawempe-Bwaise-24h'!D31,'27.07 Kawempe-Bwaise-24h'!D31,'28.07 Kawempe-Bwaise'!D31)</f>
        <v>10.142857142857142</v>
      </c>
      <c r="E31" s="49">
        <f>AVERAGE('22.07 kawempe-Bwaise'!E31,'23.07 Kawempe-Bwaise'!E31,'24.07 Kawempe-Bwaise'!E31,'25.07 Kawempe-Bwaise'!E31,'26.07 Kawempe-Bwaise-24h'!E31,'27.07 Kawempe-Bwaise-24h'!E31,'28.07 Kawempe-Bwaise'!E31)</f>
        <v>7.5714285714285712</v>
      </c>
      <c r="F31" s="49">
        <f>AVERAGE('22.07 kawempe-Bwaise'!F31,'23.07 Kawempe-Bwaise'!F31,'24.07 Kawempe-Bwaise'!F31,'25.07 Kawempe-Bwaise'!F31,'26.07 Kawempe-Bwaise-24h'!F31,'27.07 Kawempe-Bwaise-24h'!F31,'28.07 Kawempe-Bwaise'!F31)</f>
        <v>40.285714285714285</v>
      </c>
      <c r="G31" s="49">
        <f>AVERAGE('22.07 kawempe-Bwaise'!G31,'23.07 Kawempe-Bwaise'!G31,'24.07 Kawempe-Bwaise'!G31,'25.07 Kawempe-Bwaise'!G31,'26.07 Kawempe-Bwaise-24h'!G31,'27.07 Kawempe-Bwaise-24h'!G31,'28.07 Kawempe-Bwaise'!G31)</f>
        <v>1.5714285714285714</v>
      </c>
      <c r="H31" s="49">
        <f>AVERAGE('22.07 kawempe-Bwaise'!H31,'23.07 Kawempe-Bwaise'!H31,'24.07 Kawempe-Bwaise'!H31,'25.07 Kawempe-Bwaise'!H31,'26.07 Kawempe-Bwaise-24h'!H31,'27.07 Kawempe-Bwaise-24h'!H31,'28.07 Kawempe-Bwaise'!H31)</f>
        <v>0.2857142857142857</v>
      </c>
      <c r="I31" s="49">
        <f>AVERAGE('22.07 kawempe-Bwaise'!I31,'23.07 Kawempe-Bwaise'!I31,'24.07 Kawempe-Bwaise'!I31,'25.07 Kawempe-Bwaise'!I31,'26.07 Kawempe-Bwaise-24h'!I31,'27.07 Kawempe-Bwaise-24h'!I31,'28.07 Kawempe-Bwaise'!I31)</f>
        <v>7.1428571428571432</v>
      </c>
      <c r="J31" s="49">
        <f>AVERAGE('22.07 kawempe-Bwaise'!J31,'23.07 Kawempe-Bwaise'!J31,'24.07 Kawempe-Bwaise'!J31,'25.07 Kawempe-Bwaise'!J31,'26.07 Kawempe-Bwaise-24h'!J31,'27.07 Kawempe-Bwaise-24h'!J31,'28.07 Kawempe-Bwaise'!J31)</f>
        <v>7.4285714285714288</v>
      </c>
      <c r="K31" s="49">
        <f>AVERAGE('22.07 kawempe-Bwaise'!K31,'23.07 Kawempe-Bwaise'!K31,'24.07 Kawempe-Bwaise'!K31,'25.07 Kawempe-Bwaise'!K31,'26.07 Kawempe-Bwaise-24h'!K31,'27.07 Kawempe-Bwaise-24h'!K31,'28.07 Kawempe-Bwaise'!K31)</f>
        <v>1.4285714285714286</v>
      </c>
      <c r="L31" s="49">
        <f>AVERAGE('22.07 kawempe-Bwaise'!L31,'23.07 Kawempe-Bwaise'!L31,'24.07 Kawempe-Bwaise'!L31,'25.07 Kawempe-Bwaise'!L31,'26.07 Kawempe-Bwaise-24h'!L31,'27.07 Kawempe-Bwaise-24h'!L31,'28.07 Kawempe-Bwaise'!L31)</f>
        <v>1.5714285714285714</v>
      </c>
      <c r="M31" s="49">
        <f>AVERAGE('22.07 kawempe-Bwaise'!M31,'23.07 Kawempe-Bwaise'!M31,'24.07 Kawempe-Bwaise'!M31,'25.07 Kawempe-Bwaise'!M31,'26.07 Kawempe-Bwaise-24h'!M31,'27.07 Kawempe-Bwaise-24h'!M31,'28.07 Kawempe-Bwaise'!M31)</f>
        <v>159.42857142857142</v>
      </c>
      <c r="N31" s="49">
        <f>AVERAGE('22.07 kawempe-Bwaise'!N31,'23.07 Kawempe-Bwaise'!N31,'24.07 Kawempe-Bwaise'!N31,'25.07 Kawempe-Bwaise'!N31,'26.07 Kawempe-Bwaise-24h'!N31,'27.07 Kawempe-Bwaise-24h'!N31,'28.07 Kawempe-Bwaise'!N31)</f>
        <v>0</v>
      </c>
      <c r="O31" s="15">
        <f t="shared" si="0"/>
        <v>118.28571428571429</v>
      </c>
      <c r="P31" s="15">
        <f t="shared" si="1"/>
        <v>277.71428571428572</v>
      </c>
      <c r="R31" s="1" t="s">
        <v>155</v>
      </c>
      <c r="S31" s="34">
        <f>SUM(C94:C97)</f>
        <v>33</v>
      </c>
      <c r="T31" s="34">
        <f t="shared" ref="T31:AF31" si="23">SUM(D94:D97)</f>
        <v>1.5</v>
      </c>
      <c r="U31" s="34">
        <f t="shared" si="23"/>
        <v>3.5</v>
      </c>
      <c r="V31" s="34">
        <f t="shared" si="23"/>
        <v>24</v>
      </c>
      <c r="W31" s="34">
        <f t="shared" si="23"/>
        <v>2</v>
      </c>
      <c r="X31" s="34">
        <f t="shared" si="23"/>
        <v>9.5</v>
      </c>
      <c r="Y31" s="34">
        <f t="shared" si="23"/>
        <v>8.5</v>
      </c>
      <c r="Z31" s="34">
        <f t="shared" si="23"/>
        <v>13.5</v>
      </c>
      <c r="AA31" s="34">
        <f t="shared" si="23"/>
        <v>11.5</v>
      </c>
      <c r="AB31" s="34">
        <f t="shared" si="23"/>
        <v>5</v>
      </c>
      <c r="AC31" s="34">
        <f t="shared" si="23"/>
        <v>114</v>
      </c>
      <c r="AD31" s="34">
        <f t="shared" si="23"/>
        <v>0</v>
      </c>
      <c r="AE31" s="31">
        <f t="shared" si="23"/>
        <v>112</v>
      </c>
      <c r="AF31" s="31">
        <f t="shared" si="23"/>
        <v>226</v>
      </c>
    </row>
    <row r="32" spans="2:32" ht="23.1" customHeight="1" x14ac:dyDescent="0.25">
      <c r="B32" s="24" t="s">
        <v>59</v>
      </c>
      <c r="C32" s="49">
        <f>AVERAGE('22.07 kawempe-Bwaise'!C32,'23.07 Kawempe-Bwaise'!C32,'24.07 Kawempe-Bwaise'!C32,'25.07 Kawempe-Bwaise'!C32,'26.07 Kawempe-Bwaise-24h'!C32,'27.07 Kawempe-Bwaise-24h'!C32,'28.07 Kawempe-Bwaise'!C32)</f>
        <v>37.714285714285715</v>
      </c>
      <c r="D32" s="49">
        <f>AVERAGE('22.07 kawempe-Bwaise'!D32,'23.07 Kawempe-Bwaise'!D32,'24.07 Kawempe-Bwaise'!D32,'25.07 Kawempe-Bwaise'!D32,'26.07 Kawempe-Bwaise-24h'!D32,'27.07 Kawempe-Bwaise-24h'!D32,'28.07 Kawempe-Bwaise'!D32)</f>
        <v>8.4285714285714288</v>
      </c>
      <c r="E32" s="49">
        <f>AVERAGE('22.07 kawempe-Bwaise'!E32,'23.07 Kawempe-Bwaise'!E32,'24.07 Kawempe-Bwaise'!E32,'25.07 Kawempe-Bwaise'!E32,'26.07 Kawempe-Bwaise-24h'!E32,'27.07 Kawempe-Bwaise-24h'!E32,'28.07 Kawempe-Bwaise'!E32)</f>
        <v>5.8571428571428568</v>
      </c>
      <c r="F32" s="49">
        <f>AVERAGE('22.07 kawempe-Bwaise'!F32,'23.07 Kawempe-Bwaise'!F32,'24.07 Kawempe-Bwaise'!F32,'25.07 Kawempe-Bwaise'!F32,'26.07 Kawempe-Bwaise-24h'!F32,'27.07 Kawempe-Bwaise-24h'!F32,'28.07 Kawempe-Bwaise'!F32)</f>
        <v>39.142857142857146</v>
      </c>
      <c r="G32" s="49">
        <f>AVERAGE('22.07 kawempe-Bwaise'!G32,'23.07 Kawempe-Bwaise'!G32,'24.07 Kawempe-Bwaise'!G32,'25.07 Kawempe-Bwaise'!G32,'26.07 Kawempe-Bwaise-24h'!G32,'27.07 Kawempe-Bwaise-24h'!G32,'28.07 Kawempe-Bwaise'!G32)</f>
        <v>2</v>
      </c>
      <c r="H32" s="49">
        <f>AVERAGE('22.07 kawempe-Bwaise'!H32,'23.07 Kawempe-Bwaise'!H32,'24.07 Kawempe-Bwaise'!H32,'25.07 Kawempe-Bwaise'!H32,'26.07 Kawempe-Bwaise-24h'!H32,'27.07 Kawempe-Bwaise-24h'!H32,'28.07 Kawempe-Bwaise'!H32)</f>
        <v>1.8571428571428572</v>
      </c>
      <c r="I32" s="49">
        <f>AVERAGE('22.07 kawempe-Bwaise'!I32,'23.07 Kawempe-Bwaise'!I32,'24.07 Kawempe-Bwaise'!I32,'25.07 Kawempe-Bwaise'!I32,'26.07 Kawempe-Bwaise-24h'!I32,'27.07 Kawempe-Bwaise-24h'!I32,'28.07 Kawempe-Bwaise'!I32)</f>
        <v>8.4285714285714288</v>
      </c>
      <c r="J32" s="49">
        <f>AVERAGE('22.07 kawempe-Bwaise'!J32,'23.07 Kawempe-Bwaise'!J32,'24.07 Kawempe-Bwaise'!J32,'25.07 Kawempe-Bwaise'!J32,'26.07 Kawempe-Bwaise-24h'!J32,'27.07 Kawempe-Bwaise-24h'!J32,'28.07 Kawempe-Bwaise'!J32)</f>
        <v>6.2857142857142856</v>
      </c>
      <c r="K32" s="49">
        <f>AVERAGE('22.07 kawempe-Bwaise'!K32,'23.07 Kawempe-Bwaise'!K32,'24.07 Kawempe-Bwaise'!K32,'25.07 Kawempe-Bwaise'!K32,'26.07 Kawempe-Bwaise-24h'!K32,'27.07 Kawempe-Bwaise-24h'!K32,'28.07 Kawempe-Bwaise'!K32)</f>
        <v>1.2857142857142858</v>
      </c>
      <c r="L32" s="49">
        <f>AVERAGE('22.07 kawempe-Bwaise'!L32,'23.07 Kawempe-Bwaise'!L32,'24.07 Kawempe-Bwaise'!L32,'25.07 Kawempe-Bwaise'!L32,'26.07 Kawempe-Bwaise-24h'!L32,'27.07 Kawempe-Bwaise-24h'!L32,'28.07 Kawempe-Bwaise'!L32)</f>
        <v>1.5714285714285714</v>
      </c>
      <c r="M32" s="49">
        <f>AVERAGE('22.07 kawempe-Bwaise'!M32,'23.07 Kawempe-Bwaise'!M32,'24.07 Kawempe-Bwaise'!M32,'25.07 Kawempe-Bwaise'!M32,'26.07 Kawempe-Bwaise-24h'!M32,'27.07 Kawempe-Bwaise-24h'!M32,'28.07 Kawempe-Bwaise'!M32)</f>
        <v>163.14285714285714</v>
      </c>
      <c r="N32" s="49">
        <f>AVERAGE('22.07 kawempe-Bwaise'!N32,'23.07 Kawempe-Bwaise'!N32,'24.07 Kawempe-Bwaise'!N32,'25.07 Kawempe-Bwaise'!N32,'26.07 Kawempe-Bwaise-24h'!N32,'27.07 Kawempe-Bwaise-24h'!N32,'28.07 Kawempe-Bwaise'!N32)</f>
        <v>0</v>
      </c>
      <c r="O32" s="15">
        <f t="shared" si="0"/>
        <v>112.57142857142858</v>
      </c>
      <c r="P32" s="15">
        <f t="shared" si="1"/>
        <v>275.71428571428572</v>
      </c>
      <c r="R32" s="1" t="s">
        <v>156</v>
      </c>
      <c r="S32" s="34">
        <f>SUM(C98:C101)</f>
        <v>43</v>
      </c>
      <c r="T32" s="34">
        <f t="shared" ref="T32:AF32" si="24">SUM(D98:D101)</f>
        <v>1.5</v>
      </c>
      <c r="U32" s="34">
        <f t="shared" si="24"/>
        <v>3.5</v>
      </c>
      <c r="V32" s="34">
        <f t="shared" si="24"/>
        <v>41</v>
      </c>
      <c r="W32" s="34">
        <f t="shared" si="24"/>
        <v>1</v>
      </c>
      <c r="X32" s="34">
        <f t="shared" si="24"/>
        <v>9.5</v>
      </c>
      <c r="Y32" s="34">
        <f t="shared" si="24"/>
        <v>23.5</v>
      </c>
      <c r="Z32" s="34">
        <f t="shared" si="24"/>
        <v>9.5</v>
      </c>
      <c r="AA32" s="34">
        <f t="shared" si="24"/>
        <v>6</v>
      </c>
      <c r="AB32" s="34">
        <f t="shared" si="24"/>
        <v>3</v>
      </c>
      <c r="AC32" s="34">
        <f t="shared" si="24"/>
        <v>97</v>
      </c>
      <c r="AD32" s="34">
        <f t="shared" si="24"/>
        <v>0</v>
      </c>
      <c r="AE32" s="31">
        <f t="shared" si="24"/>
        <v>141.5</v>
      </c>
      <c r="AF32" s="31">
        <f t="shared" si="24"/>
        <v>238.5</v>
      </c>
    </row>
    <row r="33" spans="2:32" ht="23.1" customHeight="1" x14ac:dyDescent="0.25">
      <c r="B33" s="23" t="s">
        <v>60</v>
      </c>
      <c r="C33" s="49">
        <f>AVERAGE('22.07 kawempe-Bwaise'!C33,'23.07 Kawempe-Bwaise'!C33,'24.07 Kawempe-Bwaise'!C33,'25.07 Kawempe-Bwaise'!C33,'26.07 Kawempe-Bwaise-24h'!C33,'27.07 Kawempe-Bwaise-24h'!C33,'28.07 Kawempe-Bwaise'!C33)</f>
        <v>33.142857142857146</v>
      </c>
      <c r="D33" s="49">
        <f>AVERAGE('22.07 kawempe-Bwaise'!D33,'23.07 Kawempe-Bwaise'!D33,'24.07 Kawempe-Bwaise'!D33,'25.07 Kawempe-Bwaise'!D33,'26.07 Kawempe-Bwaise-24h'!D33,'27.07 Kawempe-Bwaise-24h'!D33,'28.07 Kawempe-Bwaise'!D33)</f>
        <v>11.285714285714286</v>
      </c>
      <c r="E33" s="49">
        <f>AVERAGE('22.07 kawempe-Bwaise'!E33,'23.07 Kawempe-Bwaise'!E33,'24.07 Kawempe-Bwaise'!E33,'25.07 Kawempe-Bwaise'!E33,'26.07 Kawempe-Bwaise-24h'!E33,'27.07 Kawempe-Bwaise-24h'!E33,'28.07 Kawempe-Bwaise'!E33)</f>
        <v>5.4285714285714288</v>
      </c>
      <c r="F33" s="49">
        <f>AVERAGE('22.07 kawempe-Bwaise'!F33,'23.07 Kawempe-Bwaise'!F33,'24.07 Kawempe-Bwaise'!F33,'25.07 Kawempe-Bwaise'!F33,'26.07 Kawempe-Bwaise-24h'!F33,'27.07 Kawempe-Bwaise-24h'!F33,'28.07 Kawempe-Bwaise'!F33)</f>
        <v>37.857142857142854</v>
      </c>
      <c r="G33" s="49">
        <f>AVERAGE('22.07 kawempe-Bwaise'!G33,'23.07 Kawempe-Bwaise'!G33,'24.07 Kawempe-Bwaise'!G33,'25.07 Kawempe-Bwaise'!G33,'26.07 Kawempe-Bwaise-24h'!G33,'27.07 Kawempe-Bwaise-24h'!G33,'28.07 Kawempe-Bwaise'!G33)</f>
        <v>2.5714285714285716</v>
      </c>
      <c r="H33" s="49">
        <f>AVERAGE('22.07 kawempe-Bwaise'!H33,'23.07 Kawempe-Bwaise'!H33,'24.07 Kawempe-Bwaise'!H33,'25.07 Kawempe-Bwaise'!H33,'26.07 Kawempe-Bwaise-24h'!H33,'27.07 Kawempe-Bwaise-24h'!H33,'28.07 Kawempe-Bwaise'!H33)</f>
        <v>0.42857142857142855</v>
      </c>
      <c r="I33" s="49">
        <f>AVERAGE('22.07 kawempe-Bwaise'!I33,'23.07 Kawempe-Bwaise'!I33,'24.07 Kawempe-Bwaise'!I33,'25.07 Kawempe-Bwaise'!I33,'26.07 Kawempe-Bwaise-24h'!I33,'27.07 Kawempe-Bwaise-24h'!I33,'28.07 Kawempe-Bwaise'!I33)</f>
        <v>8.5714285714285712</v>
      </c>
      <c r="J33" s="49">
        <f>AVERAGE('22.07 kawempe-Bwaise'!J33,'23.07 Kawempe-Bwaise'!J33,'24.07 Kawempe-Bwaise'!J33,'25.07 Kawempe-Bwaise'!J33,'26.07 Kawempe-Bwaise-24h'!J33,'27.07 Kawempe-Bwaise-24h'!J33,'28.07 Kawempe-Bwaise'!J33)</f>
        <v>7.8571428571428568</v>
      </c>
      <c r="K33" s="49">
        <f>AVERAGE('22.07 kawempe-Bwaise'!K33,'23.07 Kawempe-Bwaise'!K33,'24.07 Kawempe-Bwaise'!K33,'25.07 Kawempe-Bwaise'!K33,'26.07 Kawempe-Bwaise-24h'!K33,'27.07 Kawempe-Bwaise-24h'!K33,'28.07 Kawempe-Bwaise'!K33)</f>
        <v>3.4285714285714284</v>
      </c>
      <c r="L33" s="49">
        <f>AVERAGE('22.07 kawempe-Bwaise'!L33,'23.07 Kawempe-Bwaise'!L33,'24.07 Kawempe-Bwaise'!L33,'25.07 Kawempe-Bwaise'!L33,'26.07 Kawempe-Bwaise-24h'!L33,'27.07 Kawempe-Bwaise-24h'!L33,'28.07 Kawempe-Bwaise'!L33)</f>
        <v>1.8571428571428572</v>
      </c>
      <c r="M33" s="49">
        <f>AVERAGE('22.07 kawempe-Bwaise'!M33,'23.07 Kawempe-Bwaise'!M33,'24.07 Kawempe-Bwaise'!M33,'25.07 Kawempe-Bwaise'!M33,'26.07 Kawempe-Bwaise-24h'!M33,'27.07 Kawempe-Bwaise-24h'!M33,'28.07 Kawempe-Bwaise'!M33)</f>
        <v>156.71428571428572</v>
      </c>
      <c r="N33" s="49">
        <f>AVERAGE('22.07 kawempe-Bwaise'!N33,'23.07 Kawempe-Bwaise'!N33,'24.07 Kawempe-Bwaise'!N33,'25.07 Kawempe-Bwaise'!N33,'26.07 Kawempe-Bwaise-24h'!N33,'27.07 Kawempe-Bwaise-24h'!N33,'28.07 Kawempe-Bwaise'!N33)</f>
        <v>0</v>
      </c>
      <c r="O33" s="15">
        <f t="shared" si="0"/>
        <v>112.42857142857144</v>
      </c>
      <c r="P33" s="15">
        <f t="shared" si="1"/>
        <v>269.14285714285717</v>
      </c>
      <c r="R33" s="1" t="s">
        <v>157</v>
      </c>
      <c r="S33" s="34">
        <f>SUM(C102:C105)</f>
        <v>69</v>
      </c>
      <c r="T33" s="34">
        <f t="shared" ref="T33:AF33" si="25">SUM(D102:D105)</f>
        <v>2.5</v>
      </c>
      <c r="U33" s="34">
        <f t="shared" si="25"/>
        <v>10.5</v>
      </c>
      <c r="V33" s="34">
        <f t="shared" si="25"/>
        <v>92.5</v>
      </c>
      <c r="W33" s="34">
        <f t="shared" si="25"/>
        <v>3.5</v>
      </c>
      <c r="X33" s="34">
        <f t="shared" si="25"/>
        <v>3</v>
      </c>
      <c r="Y33" s="34">
        <f t="shared" si="25"/>
        <v>20</v>
      </c>
      <c r="Z33" s="34">
        <f t="shared" si="25"/>
        <v>8.5</v>
      </c>
      <c r="AA33" s="34">
        <f t="shared" si="25"/>
        <v>11</v>
      </c>
      <c r="AB33" s="34">
        <f t="shared" si="25"/>
        <v>10</v>
      </c>
      <c r="AC33" s="34">
        <f t="shared" si="25"/>
        <v>213</v>
      </c>
      <c r="AD33" s="34">
        <f t="shared" si="25"/>
        <v>0</v>
      </c>
      <c r="AE33" s="31">
        <f t="shared" si="25"/>
        <v>230.5</v>
      </c>
      <c r="AF33" s="31">
        <f t="shared" si="25"/>
        <v>443.5</v>
      </c>
    </row>
    <row r="34" spans="2:32" ht="23.1" customHeight="1" x14ac:dyDescent="0.25">
      <c r="B34" s="24" t="s">
        <v>61</v>
      </c>
      <c r="C34" s="49">
        <f>AVERAGE('22.07 kawempe-Bwaise'!C34,'23.07 Kawempe-Bwaise'!C34,'24.07 Kawempe-Bwaise'!C34,'25.07 Kawempe-Bwaise'!C34,'26.07 Kawempe-Bwaise-24h'!C34,'27.07 Kawempe-Bwaise-24h'!C34,'28.07 Kawempe-Bwaise'!C34)</f>
        <v>39.142857142857146</v>
      </c>
      <c r="D34" s="49">
        <f>AVERAGE('22.07 kawempe-Bwaise'!D34,'23.07 Kawempe-Bwaise'!D34,'24.07 Kawempe-Bwaise'!D34,'25.07 Kawempe-Bwaise'!D34,'26.07 Kawempe-Bwaise-24h'!D34,'27.07 Kawempe-Bwaise-24h'!D34,'28.07 Kawempe-Bwaise'!D34)</f>
        <v>13.571428571428571</v>
      </c>
      <c r="E34" s="49">
        <f>AVERAGE('22.07 kawempe-Bwaise'!E34,'23.07 Kawempe-Bwaise'!E34,'24.07 Kawempe-Bwaise'!E34,'25.07 Kawempe-Bwaise'!E34,'26.07 Kawempe-Bwaise-24h'!E34,'27.07 Kawempe-Bwaise-24h'!E34,'28.07 Kawempe-Bwaise'!E34)</f>
        <v>6.5714285714285712</v>
      </c>
      <c r="F34" s="49">
        <f>AVERAGE('22.07 kawempe-Bwaise'!F34,'23.07 Kawempe-Bwaise'!F34,'24.07 Kawempe-Bwaise'!F34,'25.07 Kawempe-Bwaise'!F34,'26.07 Kawempe-Bwaise-24h'!F34,'27.07 Kawempe-Bwaise-24h'!F34,'28.07 Kawempe-Bwaise'!F34)</f>
        <v>41.714285714285715</v>
      </c>
      <c r="G34" s="49">
        <f>AVERAGE('22.07 kawempe-Bwaise'!G34,'23.07 Kawempe-Bwaise'!G34,'24.07 Kawempe-Bwaise'!G34,'25.07 Kawempe-Bwaise'!G34,'26.07 Kawempe-Bwaise-24h'!G34,'27.07 Kawempe-Bwaise-24h'!G34,'28.07 Kawempe-Bwaise'!G34)</f>
        <v>1.4285714285714286</v>
      </c>
      <c r="H34" s="49">
        <f>AVERAGE('22.07 kawempe-Bwaise'!H34,'23.07 Kawempe-Bwaise'!H34,'24.07 Kawempe-Bwaise'!H34,'25.07 Kawempe-Bwaise'!H34,'26.07 Kawempe-Bwaise-24h'!H34,'27.07 Kawempe-Bwaise-24h'!H34,'28.07 Kawempe-Bwaise'!H34)</f>
        <v>0.2857142857142857</v>
      </c>
      <c r="I34" s="49">
        <f>AVERAGE('22.07 kawempe-Bwaise'!I34,'23.07 Kawempe-Bwaise'!I34,'24.07 Kawempe-Bwaise'!I34,'25.07 Kawempe-Bwaise'!I34,'26.07 Kawempe-Bwaise-24h'!I34,'27.07 Kawempe-Bwaise-24h'!I34,'28.07 Kawempe-Bwaise'!I34)</f>
        <v>5.8571428571428568</v>
      </c>
      <c r="J34" s="49">
        <f>AVERAGE('22.07 kawempe-Bwaise'!J34,'23.07 Kawempe-Bwaise'!J34,'24.07 Kawempe-Bwaise'!J34,'25.07 Kawempe-Bwaise'!J34,'26.07 Kawempe-Bwaise-24h'!J34,'27.07 Kawempe-Bwaise-24h'!J34,'28.07 Kawempe-Bwaise'!J34)</f>
        <v>5.1428571428571432</v>
      </c>
      <c r="K34" s="49">
        <f>AVERAGE('22.07 kawempe-Bwaise'!K34,'23.07 Kawempe-Bwaise'!K34,'24.07 Kawempe-Bwaise'!K34,'25.07 Kawempe-Bwaise'!K34,'26.07 Kawempe-Bwaise-24h'!K34,'27.07 Kawempe-Bwaise-24h'!K34,'28.07 Kawempe-Bwaise'!K34)</f>
        <v>2</v>
      </c>
      <c r="L34" s="49">
        <f>AVERAGE('22.07 kawempe-Bwaise'!L34,'23.07 Kawempe-Bwaise'!L34,'24.07 Kawempe-Bwaise'!L34,'25.07 Kawempe-Bwaise'!L34,'26.07 Kawempe-Bwaise-24h'!L34,'27.07 Kawempe-Bwaise-24h'!L34,'28.07 Kawempe-Bwaise'!L34)</f>
        <v>2</v>
      </c>
      <c r="M34" s="49">
        <f>AVERAGE('22.07 kawempe-Bwaise'!M34,'23.07 Kawempe-Bwaise'!M34,'24.07 Kawempe-Bwaise'!M34,'25.07 Kawempe-Bwaise'!M34,'26.07 Kawempe-Bwaise-24h'!M34,'27.07 Kawempe-Bwaise-24h'!M34,'28.07 Kawempe-Bwaise'!M34)</f>
        <v>132.71428571428572</v>
      </c>
      <c r="N34" s="49">
        <f>AVERAGE('22.07 kawempe-Bwaise'!N34,'23.07 Kawempe-Bwaise'!N34,'24.07 Kawempe-Bwaise'!N34,'25.07 Kawempe-Bwaise'!N34,'26.07 Kawempe-Bwaise-24h'!N34,'27.07 Kawempe-Bwaise-24h'!N34,'28.07 Kawempe-Bwaise'!N34)</f>
        <v>0</v>
      </c>
      <c r="O34" s="15">
        <f t="shared" si="0"/>
        <v>117.71428571428572</v>
      </c>
      <c r="P34" s="15">
        <f t="shared" si="1"/>
        <v>250.42857142857144</v>
      </c>
      <c r="R34" s="38" t="s">
        <v>90</v>
      </c>
      <c r="S34" s="39">
        <f t="shared" ref="S34:AF34" si="26">MAX(S10:S12)</f>
        <v>218.42857142857144</v>
      </c>
      <c r="T34" s="39">
        <f t="shared" si="26"/>
        <v>41.285714285714285</v>
      </c>
      <c r="U34" s="39">
        <f t="shared" si="26"/>
        <v>23.285714285714285</v>
      </c>
      <c r="V34" s="39">
        <f t="shared" si="26"/>
        <v>212.71428571428572</v>
      </c>
      <c r="W34" s="39">
        <f t="shared" si="26"/>
        <v>10.285714285714285</v>
      </c>
      <c r="X34" s="39">
        <f t="shared" si="26"/>
        <v>1.7142857142857142</v>
      </c>
      <c r="Y34" s="39">
        <f t="shared" si="26"/>
        <v>33.285714285714285</v>
      </c>
      <c r="Z34" s="39">
        <f t="shared" si="26"/>
        <v>29</v>
      </c>
      <c r="AA34" s="39">
        <f t="shared" si="26"/>
        <v>11.999999999999998</v>
      </c>
      <c r="AB34" s="39">
        <f t="shared" si="26"/>
        <v>6.2857142857142856</v>
      </c>
      <c r="AC34" s="39">
        <f t="shared" si="26"/>
        <v>1143</v>
      </c>
      <c r="AD34" s="39">
        <f t="shared" si="26"/>
        <v>0.14285714285714285</v>
      </c>
      <c r="AE34" s="40">
        <f t="shared" si="26"/>
        <v>550.14285714285711</v>
      </c>
      <c r="AF34" s="40">
        <f t="shared" si="26"/>
        <v>1674.8571428571427</v>
      </c>
    </row>
    <row r="35" spans="2:32" ht="23.1" customHeight="1" x14ac:dyDescent="0.25">
      <c r="B35" s="24" t="s">
        <v>62</v>
      </c>
      <c r="C35" s="49">
        <f>AVERAGE('22.07 kawempe-Bwaise'!C35,'23.07 Kawempe-Bwaise'!C35,'24.07 Kawempe-Bwaise'!C35,'25.07 Kawempe-Bwaise'!C35,'26.07 Kawempe-Bwaise-24h'!C35,'27.07 Kawempe-Bwaise-24h'!C35,'28.07 Kawempe-Bwaise'!C35)</f>
        <v>33.428571428571431</v>
      </c>
      <c r="D35" s="49">
        <f>AVERAGE('22.07 kawempe-Bwaise'!D35,'23.07 Kawempe-Bwaise'!D35,'24.07 Kawempe-Bwaise'!D35,'25.07 Kawempe-Bwaise'!D35,'26.07 Kawempe-Bwaise-24h'!D35,'27.07 Kawempe-Bwaise-24h'!D35,'28.07 Kawempe-Bwaise'!D35)</f>
        <v>11.142857142857142</v>
      </c>
      <c r="E35" s="49">
        <f>AVERAGE('22.07 kawempe-Bwaise'!E35,'23.07 Kawempe-Bwaise'!E35,'24.07 Kawempe-Bwaise'!E35,'25.07 Kawempe-Bwaise'!E35,'26.07 Kawempe-Bwaise-24h'!E35,'27.07 Kawempe-Bwaise-24h'!E35,'28.07 Kawempe-Bwaise'!E35)</f>
        <v>7</v>
      </c>
      <c r="F35" s="49">
        <f>AVERAGE('22.07 kawempe-Bwaise'!F35,'23.07 Kawempe-Bwaise'!F35,'24.07 Kawempe-Bwaise'!F35,'25.07 Kawempe-Bwaise'!F35,'26.07 Kawempe-Bwaise-24h'!F35,'27.07 Kawempe-Bwaise-24h'!F35,'28.07 Kawempe-Bwaise'!F35)</f>
        <v>36.857142857142854</v>
      </c>
      <c r="G35" s="49">
        <f>AVERAGE('22.07 kawempe-Bwaise'!G35,'23.07 Kawempe-Bwaise'!G35,'24.07 Kawempe-Bwaise'!G35,'25.07 Kawempe-Bwaise'!G35,'26.07 Kawempe-Bwaise-24h'!G35,'27.07 Kawempe-Bwaise-24h'!G35,'28.07 Kawempe-Bwaise'!G35)</f>
        <v>1.1428571428571428</v>
      </c>
      <c r="H35" s="49">
        <f>AVERAGE('22.07 kawempe-Bwaise'!H35,'23.07 Kawempe-Bwaise'!H35,'24.07 Kawempe-Bwaise'!H35,'25.07 Kawempe-Bwaise'!H35,'26.07 Kawempe-Bwaise-24h'!H35,'27.07 Kawempe-Bwaise-24h'!H35,'28.07 Kawempe-Bwaise'!H35)</f>
        <v>1</v>
      </c>
      <c r="I35" s="49">
        <f>AVERAGE('22.07 kawempe-Bwaise'!I35,'23.07 Kawempe-Bwaise'!I35,'24.07 Kawempe-Bwaise'!I35,'25.07 Kawempe-Bwaise'!I35,'26.07 Kawempe-Bwaise-24h'!I35,'27.07 Kawempe-Bwaise-24h'!I35,'28.07 Kawempe-Bwaise'!I35)</f>
        <v>6.1428571428571432</v>
      </c>
      <c r="J35" s="49">
        <f>AVERAGE('22.07 kawempe-Bwaise'!J35,'23.07 Kawempe-Bwaise'!J35,'24.07 Kawempe-Bwaise'!J35,'25.07 Kawempe-Bwaise'!J35,'26.07 Kawempe-Bwaise-24h'!J35,'27.07 Kawempe-Bwaise-24h'!J35,'28.07 Kawempe-Bwaise'!J35)</f>
        <v>5.8571428571428568</v>
      </c>
      <c r="K35" s="49">
        <f>AVERAGE('22.07 kawempe-Bwaise'!K35,'23.07 Kawempe-Bwaise'!K35,'24.07 Kawempe-Bwaise'!K35,'25.07 Kawempe-Bwaise'!K35,'26.07 Kawempe-Bwaise-24h'!K35,'27.07 Kawempe-Bwaise-24h'!K35,'28.07 Kawempe-Bwaise'!K35)</f>
        <v>3.1428571428571428</v>
      </c>
      <c r="L35" s="49">
        <f>AVERAGE('22.07 kawempe-Bwaise'!L35,'23.07 Kawempe-Bwaise'!L35,'24.07 Kawempe-Bwaise'!L35,'25.07 Kawempe-Bwaise'!L35,'26.07 Kawempe-Bwaise-24h'!L35,'27.07 Kawempe-Bwaise-24h'!L35,'28.07 Kawempe-Bwaise'!L35)</f>
        <v>1.2857142857142858</v>
      </c>
      <c r="M35" s="49">
        <f>AVERAGE('22.07 kawempe-Bwaise'!M35,'23.07 Kawempe-Bwaise'!M35,'24.07 Kawempe-Bwaise'!M35,'25.07 Kawempe-Bwaise'!M35,'26.07 Kawempe-Bwaise-24h'!M35,'27.07 Kawempe-Bwaise-24h'!M35,'28.07 Kawempe-Bwaise'!M35)</f>
        <v>138.14285714285714</v>
      </c>
      <c r="N35" s="49">
        <f>AVERAGE('22.07 kawempe-Bwaise'!N35,'23.07 Kawempe-Bwaise'!N35,'24.07 Kawempe-Bwaise'!N35,'25.07 Kawempe-Bwaise'!N35,'26.07 Kawempe-Bwaise-24h'!N35,'27.07 Kawempe-Bwaise-24h'!N35,'28.07 Kawempe-Bwaise'!N35)</f>
        <v>0</v>
      </c>
      <c r="O35" s="15">
        <f t="shared" si="0"/>
        <v>106.99999999999999</v>
      </c>
      <c r="P35" s="15">
        <f t="shared" si="1"/>
        <v>245.14285714285711</v>
      </c>
      <c r="R35" s="38" t="s">
        <v>91</v>
      </c>
      <c r="S35" s="39">
        <f t="shared" ref="S35:AF35" si="27">MAX(S13:S18)</f>
        <v>165</v>
      </c>
      <c r="T35" s="39">
        <f t="shared" si="27"/>
        <v>59.142857142857139</v>
      </c>
      <c r="U35" s="39">
        <f t="shared" si="27"/>
        <v>31.571428571428573</v>
      </c>
      <c r="V35" s="39">
        <f t="shared" si="27"/>
        <v>181.14285714285717</v>
      </c>
      <c r="W35" s="39">
        <f t="shared" si="27"/>
        <v>8.2857142857142865</v>
      </c>
      <c r="X35" s="39">
        <f t="shared" si="27"/>
        <v>4.7142857142857144</v>
      </c>
      <c r="Y35" s="39">
        <f t="shared" si="27"/>
        <v>34.285714285714292</v>
      </c>
      <c r="Z35" s="39">
        <f t="shared" si="27"/>
        <v>33.285714285714285</v>
      </c>
      <c r="AA35" s="39">
        <f t="shared" si="27"/>
        <v>11.285714285714285</v>
      </c>
      <c r="AB35" s="39">
        <f t="shared" si="27"/>
        <v>10.142857142857142</v>
      </c>
      <c r="AC35" s="39">
        <f t="shared" si="27"/>
        <v>857.42857142857133</v>
      </c>
      <c r="AD35" s="39">
        <f t="shared" si="27"/>
        <v>0</v>
      </c>
      <c r="AE35" s="40">
        <f t="shared" si="27"/>
        <v>494.57142857142861</v>
      </c>
      <c r="AF35" s="40">
        <f t="shared" si="27"/>
        <v>1351.8571428571427</v>
      </c>
    </row>
    <row r="36" spans="2:32" ht="23.1" customHeight="1" x14ac:dyDescent="0.25">
      <c r="B36" s="24" t="s">
        <v>63</v>
      </c>
      <c r="C36" s="49">
        <f>AVERAGE('22.07 kawempe-Bwaise'!C36,'23.07 Kawempe-Bwaise'!C36,'24.07 Kawempe-Bwaise'!C36,'25.07 Kawempe-Bwaise'!C36,'26.07 Kawempe-Bwaise-24h'!C36,'27.07 Kawempe-Bwaise-24h'!C36,'28.07 Kawempe-Bwaise'!C36)</f>
        <v>39.142857142857146</v>
      </c>
      <c r="D36" s="49">
        <f>AVERAGE('22.07 kawempe-Bwaise'!D36,'23.07 Kawempe-Bwaise'!D36,'24.07 Kawempe-Bwaise'!D36,'25.07 Kawempe-Bwaise'!D36,'26.07 Kawempe-Bwaise-24h'!D36,'27.07 Kawempe-Bwaise-24h'!D36,'28.07 Kawempe-Bwaise'!D36)</f>
        <v>9.1428571428571423</v>
      </c>
      <c r="E36" s="49">
        <f>AVERAGE('22.07 kawempe-Bwaise'!E36,'23.07 Kawempe-Bwaise'!E36,'24.07 Kawempe-Bwaise'!E36,'25.07 Kawempe-Bwaise'!E36,'26.07 Kawempe-Bwaise-24h'!E36,'27.07 Kawempe-Bwaise-24h'!E36,'28.07 Kawempe-Bwaise'!E36)</f>
        <v>5.8571428571428568</v>
      </c>
      <c r="F36" s="49">
        <f>AVERAGE('22.07 kawempe-Bwaise'!F36,'23.07 Kawempe-Bwaise'!F36,'24.07 Kawempe-Bwaise'!F36,'25.07 Kawempe-Bwaise'!F36,'26.07 Kawempe-Bwaise-24h'!F36,'27.07 Kawempe-Bwaise-24h'!F36,'28.07 Kawempe-Bwaise'!F36)</f>
        <v>40.428571428571431</v>
      </c>
      <c r="G36" s="49">
        <f>AVERAGE('22.07 kawempe-Bwaise'!G36,'23.07 Kawempe-Bwaise'!G36,'24.07 Kawempe-Bwaise'!G36,'25.07 Kawempe-Bwaise'!G36,'26.07 Kawempe-Bwaise-24h'!G36,'27.07 Kawempe-Bwaise-24h'!G36,'28.07 Kawempe-Bwaise'!G36)</f>
        <v>1.8571428571428572</v>
      </c>
      <c r="H36" s="49">
        <f>AVERAGE('22.07 kawempe-Bwaise'!H36,'23.07 Kawempe-Bwaise'!H36,'24.07 Kawempe-Bwaise'!H36,'25.07 Kawempe-Bwaise'!H36,'26.07 Kawempe-Bwaise-24h'!H36,'27.07 Kawempe-Bwaise-24h'!H36,'28.07 Kawempe-Bwaise'!H36)</f>
        <v>0.5714285714285714</v>
      </c>
      <c r="I36" s="49">
        <f>AVERAGE('22.07 kawempe-Bwaise'!I36,'23.07 Kawempe-Bwaise'!I36,'24.07 Kawempe-Bwaise'!I36,'25.07 Kawempe-Bwaise'!I36,'26.07 Kawempe-Bwaise-24h'!I36,'27.07 Kawempe-Bwaise-24h'!I36,'28.07 Kawempe-Bwaise'!I36)</f>
        <v>6.5714285714285712</v>
      </c>
      <c r="J36" s="49">
        <f>AVERAGE('22.07 kawempe-Bwaise'!J36,'23.07 Kawempe-Bwaise'!J36,'24.07 Kawempe-Bwaise'!J36,'25.07 Kawempe-Bwaise'!J36,'26.07 Kawempe-Bwaise-24h'!J36,'27.07 Kawempe-Bwaise-24h'!J36,'28.07 Kawempe-Bwaise'!J36)</f>
        <v>8</v>
      </c>
      <c r="K36" s="49">
        <f>AVERAGE('22.07 kawempe-Bwaise'!K36,'23.07 Kawempe-Bwaise'!K36,'24.07 Kawempe-Bwaise'!K36,'25.07 Kawempe-Bwaise'!K36,'26.07 Kawempe-Bwaise-24h'!K36,'27.07 Kawempe-Bwaise-24h'!K36,'28.07 Kawempe-Bwaise'!K36)</f>
        <v>3</v>
      </c>
      <c r="L36" s="49">
        <f>AVERAGE('22.07 kawempe-Bwaise'!L36,'23.07 Kawempe-Bwaise'!L36,'24.07 Kawempe-Bwaise'!L36,'25.07 Kawempe-Bwaise'!L36,'26.07 Kawempe-Bwaise-24h'!L36,'27.07 Kawempe-Bwaise-24h'!L36,'28.07 Kawempe-Bwaise'!L36)</f>
        <v>0.8571428571428571</v>
      </c>
      <c r="M36" s="49">
        <f>AVERAGE('22.07 kawempe-Bwaise'!M36,'23.07 Kawempe-Bwaise'!M36,'24.07 Kawempe-Bwaise'!M36,'25.07 Kawempe-Bwaise'!M36,'26.07 Kawempe-Bwaise-24h'!M36,'27.07 Kawempe-Bwaise-24h'!M36,'28.07 Kawempe-Bwaise'!M36)</f>
        <v>186.85714285714286</v>
      </c>
      <c r="N36" s="49">
        <f>AVERAGE('22.07 kawempe-Bwaise'!N36,'23.07 Kawempe-Bwaise'!N36,'24.07 Kawempe-Bwaise'!N36,'25.07 Kawempe-Bwaise'!N36,'26.07 Kawempe-Bwaise-24h'!N36,'27.07 Kawempe-Bwaise-24h'!N36,'28.07 Kawempe-Bwaise'!N36)</f>
        <v>0</v>
      </c>
      <c r="O36" s="15">
        <f t="shared" si="0"/>
        <v>115.42857142857144</v>
      </c>
      <c r="P36" s="15">
        <f t="shared" si="1"/>
        <v>302.28571428571433</v>
      </c>
      <c r="R36" s="38" t="s">
        <v>92</v>
      </c>
      <c r="S36" s="39">
        <f t="shared" ref="S36:AF36" si="28">MAX(S19:S21)</f>
        <v>150.71428571428572</v>
      </c>
      <c r="T36" s="39">
        <f t="shared" si="28"/>
        <v>53.142857142857146</v>
      </c>
      <c r="U36" s="39">
        <f t="shared" si="28"/>
        <v>36.714285714285715</v>
      </c>
      <c r="V36" s="39">
        <f t="shared" si="28"/>
        <v>166</v>
      </c>
      <c r="W36" s="39">
        <f t="shared" si="28"/>
        <v>7.5714285714285721</v>
      </c>
      <c r="X36" s="39">
        <f t="shared" si="28"/>
        <v>4.7142857142857144</v>
      </c>
      <c r="Y36" s="39">
        <f t="shared" si="28"/>
        <v>32.285714285714285</v>
      </c>
      <c r="Z36" s="39">
        <f t="shared" si="28"/>
        <v>28.285714285714285</v>
      </c>
      <c r="AA36" s="39">
        <f t="shared" si="28"/>
        <v>12.571428571428571</v>
      </c>
      <c r="AB36" s="39">
        <f t="shared" si="28"/>
        <v>11.285714285714285</v>
      </c>
      <c r="AC36" s="39">
        <f t="shared" si="28"/>
        <v>827.14285714285722</v>
      </c>
      <c r="AD36" s="39">
        <f t="shared" si="28"/>
        <v>0</v>
      </c>
      <c r="AE36" s="40">
        <f t="shared" si="28"/>
        <v>495.57142857142856</v>
      </c>
      <c r="AF36" s="40">
        <f t="shared" si="28"/>
        <v>1236.1428571428573</v>
      </c>
    </row>
    <row r="37" spans="2:32" ht="23.1" customHeight="1" x14ac:dyDescent="0.25">
      <c r="B37" s="23" t="s">
        <v>64</v>
      </c>
      <c r="C37" s="49">
        <f>AVERAGE('22.07 kawempe-Bwaise'!C37,'23.07 Kawempe-Bwaise'!C37,'24.07 Kawempe-Bwaise'!C37,'25.07 Kawempe-Bwaise'!C37,'26.07 Kawempe-Bwaise-24h'!C37,'27.07 Kawempe-Bwaise-24h'!C37,'28.07 Kawempe-Bwaise'!C37)</f>
        <v>33.714285714285715</v>
      </c>
      <c r="D37" s="49">
        <f>AVERAGE('22.07 kawempe-Bwaise'!D37,'23.07 Kawempe-Bwaise'!D37,'24.07 Kawempe-Bwaise'!D37,'25.07 Kawempe-Bwaise'!D37,'26.07 Kawempe-Bwaise-24h'!D37,'27.07 Kawempe-Bwaise-24h'!D37,'28.07 Kawempe-Bwaise'!D37)</f>
        <v>11.428571428571429</v>
      </c>
      <c r="E37" s="49">
        <f>AVERAGE('22.07 kawempe-Bwaise'!E37,'23.07 Kawempe-Bwaise'!E37,'24.07 Kawempe-Bwaise'!E37,'25.07 Kawempe-Bwaise'!E37,'26.07 Kawempe-Bwaise-24h'!E37,'27.07 Kawempe-Bwaise-24h'!E37,'28.07 Kawempe-Bwaise'!E37)</f>
        <v>5.7142857142857144</v>
      </c>
      <c r="F37" s="49">
        <f>AVERAGE('22.07 kawempe-Bwaise'!F37,'23.07 Kawempe-Bwaise'!F37,'24.07 Kawempe-Bwaise'!F37,'25.07 Kawempe-Bwaise'!F37,'26.07 Kawempe-Bwaise-24h'!F37,'27.07 Kawempe-Bwaise-24h'!F37,'28.07 Kawempe-Bwaise'!F37)</f>
        <v>37.571428571428569</v>
      </c>
      <c r="G37" s="49">
        <f>AVERAGE('22.07 kawempe-Bwaise'!G37,'23.07 Kawempe-Bwaise'!G37,'24.07 Kawempe-Bwaise'!G37,'25.07 Kawempe-Bwaise'!G37,'26.07 Kawempe-Bwaise-24h'!G37,'27.07 Kawempe-Bwaise-24h'!G37,'28.07 Kawempe-Bwaise'!G37)</f>
        <v>1</v>
      </c>
      <c r="H37" s="49">
        <f>AVERAGE('22.07 kawempe-Bwaise'!H37,'23.07 Kawempe-Bwaise'!H37,'24.07 Kawempe-Bwaise'!H37,'25.07 Kawempe-Bwaise'!H37,'26.07 Kawempe-Bwaise-24h'!H37,'27.07 Kawempe-Bwaise-24h'!H37,'28.07 Kawempe-Bwaise'!H37)</f>
        <v>1</v>
      </c>
      <c r="I37" s="49">
        <f>AVERAGE('22.07 kawempe-Bwaise'!I37,'23.07 Kawempe-Bwaise'!I37,'24.07 Kawempe-Bwaise'!I37,'25.07 Kawempe-Bwaise'!I37,'26.07 Kawempe-Bwaise-24h'!I37,'27.07 Kawempe-Bwaise-24h'!I37,'28.07 Kawempe-Bwaise'!I37)</f>
        <v>7.5714285714285712</v>
      </c>
      <c r="J37" s="49">
        <f>AVERAGE('22.07 kawempe-Bwaise'!J37,'23.07 Kawempe-Bwaise'!J37,'24.07 Kawempe-Bwaise'!J37,'25.07 Kawempe-Bwaise'!J37,'26.07 Kawempe-Bwaise-24h'!J37,'27.07 Kawempe-Bwaise-24h'!J37,'28.07 Kawempe-Bwaise'!J37)</f>
        <v>5.7142857142857144</v>
      </c>
      <c r="K37" s="49">
        <f>AVERAGE('22.07 kawempe-Bwaise'!K37,'23.07 Kawempe-Bwaise'!K37,'24.07 Kawempe-Bwaise'!K37,'25.07 Kawempe-Bwaise'!K37,'26.07 Kawempe-Bwaise-24h'!K37,'27.07 Kawempe-Bwaise-24h'!K37,'28.07 Kawempe-Bwaise'!K37)</f>
        <v>2.5714285714285716</v>
      </c>
      <c r="L37" s="49">
        <f>AVERAGE('22.07 kawempe-Bwaise'!L37,'23.07 Kawempe-Bwaise'!L37,'24.07 Kawempe-Bwaise'!L37,'25.07 Kawempe-Bwaise'!L37,'26.07 Kawempe-Bwaise-24h'!L37,'27.07 Kawempe-Bwaise-24h'!L37,'28.07 Kawempe-Bwaise'!L37)</f>
        <v>1.4285714285714286</v>
      </c>
      <c r="M37" s="49">
        <f>AVERAGE('22.07 kawempe-Bwaise'!M37,'23.07 Kawempe-Bwaise'!M37,'24.07 Kawempe-Bwaise'!M37,'25.07 Kawempe-Bwaise'!M37,'26.07 Kawempe-Bwaise-24h'!M37,'27.07 Kawempe-Bwaise-24h'!M37,'28.07 Kawempe-Bwaise'!M37)</f>
        <v>138.42857142857142</v>
      </c>
      <c r="N37" s="49">
        <f>AVERAGE('22.07 kawempe-Bwaise'!N37,'23.07 Kawempe-Bwaise'!N37,'24.07 Kawempe-Bwaise'!N37,'25.07 Kawempe-Bwaise'!N37,'26.07 Kawempe-Bwaise-24h'!N37,'27.07 Kawempe-Bwaise-24h'!N37,'28.07 Kawempe-Bwaise'!N37)</f>
        <v>0</v>
      </c>
      <c r="O37" s="15">
        <f t="shared" si="0"/>
        <v>107.71428571428571</v>
      </c>
      <c r="P37" s="15">
        <f t="shared" si="1"/>
        <v>246.14285714285711</v>
      </c>
      <c r="R37" s="37" t="s">
        <v>85</v>
      </c>
      <c r="S37" s="35">
        <f t="shared" ref="S37:AF37" si="29">SUM(S10:S12)</f>
        <v>578.71428571428578</v>
      </c>
      <c r="T37" s="16">
        <f t="shared" si="29"/>
        <v>116.57142857142858</v>
      </c>
      <c r="U37" s="16">
        <f t="shared" si="29"/>
        <v>68.285714285714278</v>
      </c>
      <c r="V37" s="16">
        <f t="shared" si="29"/>
        <v>609.28571428571433</v>
      </c>
      <c r="W37" s="16">
        <f t="shared" si="29"/>
        <v>25.999999999999996</v>
      </c>
      <c r="X37" s="16">
        <f t="shared" si="29"/>
        <v>3.7142857142857135</v>
      </c>
      <c r="Y37" s="16">
        <f t="shared" si="29"/>
        <v>85.142857142857139</v>
      </c>
      <c r="Z37" s="16">
        <f t="shared" si="29"/>
        <v>66.142857142857139</v>
      </c>
      <c r="AA37" s="16">
        <f t="shared" si="29"/>
        <v>32.428571428571423</v>
      </c>
      <c r="AB37" s="16">
        <f t="shared" si="29"/>
        <v>17.714285714285712</v>
      </c>
      <c r="AC37" s="16">
        <f t="shared" si="29"/>
        <v>3238.1428571428569</v>
      </c>
      <c r="AD37" s="16">
        <f t="shared" si="29"/>
        <v>0.14285714285714285</v>
      </c>
      <c r="AE37" s="32">
        <f t="shared" si="29"/>
        <v>1604.1428571428571</v>
      </c>
      <c r="AF37" s="32">
        <f t="shared" si="29"/>
        <v>4842.2857142857138</v>
      </c>
    </row>
    <row r="38" spans="2:32" ht="23.1" customHeight="1" x14ac:dyDescent="0.25">
      <c r="B38" s="24" t="s">
        <v>65</v>
      </c>
      <c r="C38" s="49">
        <f>AVERAGE('22.07 kawempe-Bwaise'!C38,'23.07 Kawempe-Bwaise'!C38,'24.07 Kawempe-Bwaise'!C38,'25.07 Kawempe-Bwaise'!C38,'26.07 Kawempe-Bwaise-24h'!C38,'27.07 Kawempe-Bwaise-24h'!C38,'28.07 Kawempe-Bwaise'!C38)</f>
        <v>33.714285714285715</v>
      </c>
      <c r="D38" s="49">
        <f>AVERAGE('22.07 kawempe-Bwaise'!D38,'23.07 Kawempe-Bwaise'!D38,'24.07 Kawempe-Bwaise'!D38,'25.07 Kawempe-Bwaise'!D38,'26.07 Kawempe-Bwaise-24h'!D38,'27.07 Kawempe-Bwaise-24h'!D38,'28.07 Kawempe-Bwaise'!D38)</f>
        <v>13.857142857142858</v>
      </c>
      <c r="E38" s="49">
        <f>AVERAGE('22.07 kawempe-Bwaise'!E38,'23.07 Kawempe-Bwaise'!E38,'24.07 Kawempe-Bwaise'!E38,'25.07 Kawempe-Bwaise'!E38,'26.07 Kawempe-Bwaise-24h'!E38,'27.07 Kawempe-Bwaise-24h'!E38,'28.07 Kawempe-Bwaise'!E38)</f>
        <v>6.1428571428571432</v>
      </c>
      <c r="F38" s="49">
        <f>AVERAGE('22.07 kawempe-Bwaise'!F38,'23.07 Kawempe-Bwaise'!F38,'24.07 Kawempe-Bwaise'!F38,'25.07 Kawempe-Bwaise'!F38,'26.07 Kawempe-Bwaise-24h'!F38,'27.07 Kawempe-Bwaise-24h'!F38,'28.07 Kawempe-Bwaise'!F38)</f>
        <v>38</v>
      </c>
      <c r="G38" s="49">
        <f>AVERAGE('22.07 kawempe-Bwaise'!G38,'23.07 Kawempe-Bwaise'!G38,'24.07 Kawempe-Bwaise'!G38,'25.07 Kawempe-Bwaise'!G38,'26.07 Kawempe-Bwaise-24h'!G38,'27.07 Kawempe-Bwaise-24h'!G38,'28.07 Kawempe-Bwaise'!G38)</f>
        <v>1.7142857142857142</v>
      </c>
      <c r="H38" s="49">
        <f>AVERAGE('22.07 kawempe-Bwaise'!H38,'23.07 Kawempe-Bwaise'!H38,'24.07 Kawempe-Bwaise'!H38,'25.07 Kawempe-Bwaise'!H38,'26.07 Kawempe-Bwaise-24h'!H38,'27.07 Kawempe-Bwaise-24h'!H38,'28.07 Kawempe-Bwaise'!H38)</f>
        <v>0.8571428571428571</v>
      </c>
      <c r="I38" s="49">
        <f>AVERAGE('22.07 kawempe-Bwaise'!I38,'23.07 Kawempe-Bwaise'!I38,'24.07 Kawempe-Bwaise'!I38,'25.07 Kawempe-Bwaise'!I38,'26.07 Kawempe-Bwaise-24h'!I38,'27.07 Kawempe-Bwaise-24h'!I38,'28.07 Kawempe-Bwaise'!I38)</f>
        <v>8</v>
      </c>
      <c r="J38" s="49">
        <f>AVERAGE('22.07 kawempe-Bwaise'!J38,'23.07 Kawempe-Bwaise'!J38,'24.07 Kawempe-Bwaise'!J38,'25.07 Kawempe-Bwaise'!J38,'26.07 Kawempe-Bwaise-24h'!J38,'27.07 Kawempe-Bwaise-24h'!J38,'28.07 Kawempe-Bwaise'!J38)</f>
        <v>3.8571428571428572</v>
      </c>
      <c r="K38" s="49">
        <f>AVERAGE('22.07 kawempe-Bwaise'!K38,'23.07 Kawempe-Bwaise'!K38,'24.07 Kawempe-Bwaise'!K38,'25.07 Kawempe-Bwaise'!K38,'26.07 Kawempe-Bwaise-24h'!K38,'27.07 Kawempe-Bwaise-24h'!K38,'28.07 Kawempe-Bwaise'!K38)</f>
        <v>3.2857142857142856</v>
      </c>
      <c r="L38" s="49">
        <f>AVERAGE('22.07 kawempe-Bwaise'!L38,'23.07 Kawempe-Bwaise'!L38,'24.07 Kawempe-Bwaise'!L38,'25.07 Kawempe-Bwaise'!L38,'26.07 Kawempe-Bwaise-24h'!L38,'27.07 Kawempe-Bwaise-24h'!L38,'28.07 Kawempe-Bwaise'!L38)</f>
        <v>2.5714285714285716</v>
      </c>
      <c r="M38" s="49">
        <f>AVERAGE('22.07 kawempe-Bwaise'!M38,'23.07 Kawempe-Bwaise'!M38,'24.07 Kawempe-Bwaise'!M38,'25.07 Kawempe-Bwaise'!M38,'26.07 Kawempe-Bwaise-24h'!M38,'27.07 Kawempe-Bwaise-24h'!M38,'28.07 Kawempe-Bwaise'!M38)</f>
        <v>145.85714285714286</v>
      </c>
      <c r="N38" s="49">
        <f>AVERAGE('22.07 kawempe-Bwaise'!N38,'23.07 Kawempe-Bwaise'!N38,'24.07 Kawempe-Bwaise'!N38,'25.07 Kawempe-Bwaise'!N38,'26.07 Kawempe-Bwaise-24h'!N38,'27.07 Kawempe-Bwaise-24h'!N38,'28.07 Kawempe-Bwaise'!N38)</f>
        <v>0</v>
      </c>
      <c r="O38" s="15">
        <f t="shared" si="0"/>
        <v>112.00000000000001</v>
      </c>
      <c r="P38" s="15">
        <f t="shared" si="1"/>
        <v>257.85714285714289</v>
      </c>
      <c r="R38" s="28" t="s">
        <v>86</v>
      </c>
      <c r="S38" s="16">
        <f t="shared" ref="S38:AF38" si="30">SUM(S13:S18)</f>
        <v>914</v>
      </c>
      <c r="T38" s="16">
        <f t="shared" si="30"/>
        <v>276</v>
      </c>
      <c r="U38" s="16">
        <f t="shared" si="30"/>
        <v>160.57142857142858</v>
      </c>
      <c r="V38" s="16">
        <f t="shared" si="30"/>
        <v>969.85714285714289</v>
      </c>
      <c r="W38" s="16">
        <f t="shared" si="30"/>
        <v>38.428571428571438</v>
      </c>
      <c r="X38" s="16">
        <f t="shared" si="30"/>
        <v>18</v>
      </c>
      <c r="Y38" s="16">
        <f t="shared" si="30"/>
        <v>187.14285714285714</v>
      </c>
      <c r="Z38" s="16">
        <f t="shared" si="30"/>
        <v>164.28571428571431</v>
      </c>
      <c r="AA38" s="16">
        <f t="shared" si="30"/>
        <v>60.428571428571431</v>
      </c>
      <c r="AB38" s="16">
        <f t="shared" si="30"/>
        <v>40.714285714285708</v>
      </c>
      <c r="AC38" s="16">
        <f t="shared" si="30"/>
        <v>3886.2619047619046</v>
      </c>
      <c r="AD38" s="16">
        <f t="shared" si="30"/>
        <v>0</v>
      </c>
      <c r="AE38" s="32">
        <f t="shared" si="30"/>
        <v>2829.4285714285716</v>
      </c>
      <c r="AF38" s="32">
        <f t="shared" si="30"/>
        <v>6715.6904761904761</v>
      </c>
    </row>
    <row r="39" spans="2:32" ht="23.1" customHeight="1" x14ac:dyDescent="0.25">
      <c r="B39" s="24" t="s">
        <v>66</v>
      </c>
      <c r="C39" s="49">
        <f>AVERAGE('22.07 kawempe-Bwaise'!C39,'23.07 Kawempe-Bwaise'!C39,'24.07 Kawempe-Bwaise'!C39,'25.07 Kawempe-Bwaise'!C39,'26.07 Kawempe-Bwaise-24h'!C39,'27.07 Kawempe-Bwaise-24h'!C39,'28.07 Kawempe-Bwaise'!C39)</f>
        <v>32.571428571428569</v>
      </c>
      <c r="D39" s="49">
        <f>AVERAGE('22.07 kawempe-Bwaise'!D39,'23.07 Kawempe-Bwaise'!D39,'24.07 Kawempe-Bwaise'!D39,'25.07 Kawempe-Bwaise'!D39,'26.07 Kawempe-Bwaise-24h'!D39,'27.07 Kawempe-Bwaise-24h'!D39,'28.07 Kawempe-Bwaise'!D39)</f>
        <v>10</v>
      </c>
      <c r="E39" s="49">
        <f>AVERAGE('22.07 kawempe-Bwaise'!E39,'23.07 Kawempe-Bwaise'!E39,'24.07 Kawempe-Bwaise'!E39,'25.07 Kawempe-Bwaise'!E39,'26.07 Kawempe-Bwaise-24h'!E39,'27.07 Kawempe-Bwaise-24h'!E39,'28.07 Kawempe-Bwaise'!E39)</f>
        <v>5</v>
      </c>
      <c r="F39" s="49">
        <f>AVERAGE('22.07 kawempe-Bwaise'!F39,'23.07 Kawempe-Bwaise'!F39,'24.07 Kawempe-Bwaise'!F39,'25.07 Kawempe-Bwaise'!F39,'26.07 Kawempe-Bwaise-24h'!F39,'27.07 Kawempe-Bwaise-24h'!F39,'28.07 Kawempe-Bwaise'!F39)</f>
        <v>32.285714285714285</v>
      </c>
      <c r="G39" s="49">
        <f>AVERAGE('22.07 kawempe-Bwaise'!G39,'23.07 Kawempe-Bwaise'!G39,'24.07 Kawempe-Bwaise'!G39,'25.07 Kawempe-Bwaise'!G39,'26.07 Kawempe-Bwaise-24h'!G39,'27.07 Kawempe-Bwaise-24h'!G39,'28.07 Kawempe-Bwaise'!G39)</f>
        <v>2</v>
      </c>
      <c r="H39" s="49">
        <f>AVERAGE('22.07 kawempe-Bwaise'!H39,'23.07 Kawempe-Bwaise'!H39,'24.07 Kawempe-Bwaise'!H39,'25.07 Kawempe-Bwaise'!H39,'26.07 Kawempe-Bwaise-24h'!H39,'27.07 Kawempe-Bwaise-24h'!H39,'28.07 Kawempe-Bwaise'!H39)</f>
        <v>0.7142857142857143</v>
      </c>
      <c r="I39" s="49">
        <f>AVERAGE('22.07 kawempe-Bwaise'!I39,'23.07 Kawempe-Bwaise'!I39,'24.07 Kawempe-Bwaise'!I39,'25.07 Kawempe-Bwaise'!I39,'26.07 Kawempe-Bwaise-24h'!I39,'27.07 Kawempe-Bwaise-24h'!I39,'28.07 Kawempe-Bwaise'!I39)</f>
        <v>6.1428571428571432</v>
      </c>
      <c r="J39" s="49">
        <f>AVERAGE('22.07 kawempe-Bwaise'!J39,'23.07 Kawempe-Bwaise'!J39,'24.07 Kawempe-Bwaise'!J39,'25.07 Kawempe-Bwaise'!J39,'26.07 Kawempe-Bwaise-24h'!J39,'27.07 Kawempe-Bwaise-24h'!J39,'28.07 Kawempe-Bwaise'!J39)</f>
        <v>4.7142857142857144</v>
      </c>
      <c r="K39" s="49">
        <f>AVERAGE('22.07 kawempe-Bwaise'!K39,'23.07 Kawempe-Bwaise'!K39,'24.07 Kawempe-Bwaise'!K39,'25.07 Kawempe-Bwaise'!K39,'26.07 Kawempe-Bwaise-24h'!K39,'27.07 Kawempe-Bwaise-24h'!K39,'28.07 Kawempe-Bwaise'!K39)</f>
        <v>1.5714285714285714</v>
      </c>
      <c r="L39" s="49">
        <f>AVERAGE('22.07 kawempe-Bwaise'!L39,'23.07 Kawempe-Bwaise'!L39,'24.07 Kawempe-Bwaise'!L39,'25.07 Kawempe-Bwaise'!L39,'26.07 Kawempe-Bwaise-24h'!L39,'27.07 Kawempe-Bwaise-24h'!L39,'28.07 Kawempe-Bwaise'!L39)</f>
        <v>1.7142857142857142</v>
      </c>
      <c r="M39" s="49">
        <f>AVERAGE('22.07 kawempe-Bwaise'!M39,'23.07 Kawempe-Bwaise'!M39,'24.07 Kawempe-Bwaise'!M39,'25.07 Kawempe-Bwaise'!M39,'26.07 Kawempe-Bwaise-24h'!M39,'27.07 Kawempe-Bwaise-24h'!M39,'28.07 Kawempe-Bwaise'!M39)</f>
        <v>114</v>
      </c>
      <c r="N39" s="49">
        <f>AVERAGE('22.07 kawempe-Bwaise'!N39,'23.07 Kawempe-Bwaise'!N39,'24.07 Kawempe-Bwaise'!N39,'25.07 Kawempe-Bwaise'!N39,'26.07 Kawempe-Bwaise-24h'!N39,'27.07 Kawempe-Bwaise-24h'!N39,'28.07 Kawempe-Bwaise'!N39)</f>
        <v>0</v>
      </c>
      <c r="O39" s="15">
        <f t="shared" si="0"/>
        <v>96.714285714285694</v>
      </c>
      <c r="P39" s="15">
        <f t="shared" si="1"/>
        <v>210.71428571428569</v>
      </c>
      <c r="R39" s="29" t="s">
        <v>87</v>
      </c>
      <c r="S39" s="16">
        <f t="shared" ref="S39:AF39" si="31">SUM(S19:S21)</f>
        <v>387</v>
      </c>
      <c r="T39" s="16">
        <f t="shared" si="31"/>
        <v>137.28571428571428</v>
      </c>
      <c r="U39" s="16">
        <f t="shared" si="31"/>
        <v>78.571428571428569</v>
      </c>
      <c r="V39" s="16">
        <f t="shared" si="31"/>
        <v>493.28571428571428</v>
      </c>
      <c r="W39" s="16">
        <f t="shared" si="31"/>
        <v>19.714285714285715</v>
      </c>
      <c r="X39" s="16">
        <f t="shared" si="31"/>
        <v>11.714285714285715</v>
      </c>
      <c r="Y39" s="16">
        <f t="shared" si="31"/>
        <v>80.714285714285708</v>
      </c>
      <c r="Z39" s="16">
        <f t="shared" si="31"/>
        <v>65.714285714285708</v>
      </c>
      <c r="AA39" s="16">
        <f t="shared" si="31"/>
        <v>34</v>
      </c>
      <c r="AB39" s="16">
        <f t="shared" si="31"/>
        <v>27.571428571428569</v>
      </c>
      <c r="AC39" s="16">
        <f t="shared" si="31"/>
        <v>2304.4285714285716</v>
      </c>
      <c r="AD39" s="16">
        <f t="shared" si="31"/>
        <v>0</v>
      </c>
      <c r="AE39" s="32">
        <f t="shared" si="31"/>
        <v>1335.5714285714284</v>
      </c>
      <c r="AF39" s="32">
        <f t="shared" si="31"/>
        <v>3640</v>
      </c>
    </row>
    <row r="40" spans="2:32" ht="23.1" customHeight="1" x14ac:dyDescent="0.25">
      <c r="B40" s="24" t="s">
        <v>67</v>
      </c>
      <c r="C40" s="49">
        <f>AVERAGE('22.07 kawempe-Bwaise'!C40,'23.07 Kawempe-Bwaise'!C40,'24.07 Kawempe-Bwaise'!C40,'25.07 Kawempe-Bwaise'!C40,'26.07 Kawempe-Bwaise-24h'!C40,'27.07 Kawempe-Bwaise-24h'!C40,'28.07 Kawempe-Bwaise'!C40)</f>
        <v>29.857142857142858</v>
      </c>
      <c r="D40" s="49">
        <f>AVERAGE('22.07 kawempe-Bwaise'!D40,'23.07 Kawempe-Bwaise'!D40,'24.07 Kawempe-Bwaise'!D40,'25.07 Kawempe-Bwaise'!D40,'26.07 Kawempe-Bwaise-24h'!D40,'27.07 Kawempe-Bwaise-24h'!D40,'28.07 Kawempe-Bwaise'!D40)</f>
        <v>11.142857142857142</v>
      </c>
      <c r="E40" s="49">
        <f>AVERAGE('22.07 kawempe-Bwaise'!E40,'23.07 Kawempe-Bwaise'!E40,'24.07 Kawempe-Bwaise'!E40,'25.07 Kawempe-Bwaise'!E40,'26.07 Kawempe-Bwaise-24h'!E40,'27.07 Kawempe-Bwaise-24h'!E40,'28.07 Kawempe-Bwaise'!E40)</f>
        <v>6.8571428571428568</v>
      </c>
      <c r="F40" s="49">
        <f>AVERAGE('22.07 kawempe-Bwaise'!F40,'23.07 Kawempe-Bwaise'!F40,'24.07 Kawempe-Bwaise'!F40,'25.07 Kawempe-Bwaise'!F40,'26.07 Kawempe-Bwaise-24h'!F40,'27.07 Kawempe-Bwaise-24h'!F40,'28.07 Kawempe-Bwaise'!F40)</f>
        <v>36.571428571428569</v>
      </c>
      <c r="G40" s="49">
        <f>AVERAGE('22.07 kawempe-Bwaise'!G40,'23.07 Kawempe-Bwaise'!G40,'24.07 Kawempe-Bwaise'!G40,'25.07 Kawempe-Bwaise'!G40,'26.07 Kawempe-Bwaise-24h'!G40,'27.07 Kawempe-Bwaise-24h'!G40,'28.07 Kawempe-Bwaise'!G40)</f>
        <v>1.7142857142857142</v>
      </c>
      <c r="H40" s="49">
        <f>AVERAGE('22.07 kawempe-Bwaise'!H40,'23.07 Kawempe-Bwaise'!H40,'24.07 Kawempe-Bwaise'!H40,'25.07 Kawempe-Bwaise'!H40,'26.07 Kawempe-Bwaise-24h'!H40,'27.07 Kawempe-Bwaise-24h'!H40,'28.07 Kawempe-Bwaise'!H40)</f>
        <v>1.5714285714285714</v>
      </c>
      <c r="I40" s="49">
        <f>AVERAGE('22.07 kawempe-Bwaise'!I40,'23.07 Kawempe-Bwaise'!I40,'24.07 Kawempe-Bwaise'!I40,'25.07 Kawempe-Bwaise'!I40,'26.07 Kawempe-Bwaise-24h'!I40,'27.07 Kawempe-Bwaise-24h'!I40,'28.07 Kawempe-Bwaise'!I40)</f>
        <v>8.7142857142857135</v>
      </c>
      <c r="J40" s="49">
        <f>AVERAGE('22.07 kawempe-Bwaise'!J40,'23.07 Kawempe-Bwaise'!J40,'24.07 Kawempe-Bwaise'!J40,'25.07 Kawempe-Bwaise'!J40,'26.07 Kawempe-Bwaise-24h'!J40,'27.07 Kawempe-Bwaise-24h'!J40,'28.07 Kawempe-Bwaise'!J40)</f>
        <v>6</v>
      </c>
      <c r="K40" s="49">
        <f>AVERAGE('22.07 kawempe-Bwaise'!K40,'23.07 Kawempe-Bwaise'!K40,'24.07 Kawempe-Bwaise'!K40,'25.07 Kawempe-Bwaise'!K40,'26.07 Kawempe-Bwaise-24h'!K40,'27.07 Kawempe-Bwaise-24h'!K40,'28.07 Kawempe-Bwaise'!K40)</f>
        <v>1.7142857142857142</v>
      </c>
      <c r="L40" s="49">
        <f>AVERAGE('22.07 kawempe-Bwaise'!L40,'23.07 Kawempe-Bwaise'!L40,'24.07 Kawempe-Bwaise'!L40,'25.07 Kawempe-Bwaise'!L40,'26.07 Kawempe-Bwaise-24h'!L40,'27.07 Kawempe-Bwaise-24h'!L40,'28.07 Kawempe-Bwaise'!L40)</f>
        <v>3.8571428571428572</v>
      </c>
      <c r="M40" s="49">
        <f>AVERAGE('22.07 kawempe-Bwaise'!M40,'23.07 Kawempe-Bwaise'!M40,'24.07 Kawempe-Bwaise'!M40,'25.07 Kawempe-Bwaise'!M40,'26.07 Kawempe-Bwaise-24h'!M40,'27.07 Kawempe-Bwaise-24h'!M40,'28.07 Kawempe-Bwaise'!M40)</f>
        <v>130.14285714285714</v>
      </c>
      <c r="N40" s="49">
        <f>AVERAGE('22.07 kawempe-Bwaise'!N40,'23.07 Kawempe-Bwaise'!N40,'24.07 Kawempe-Bwaise'!N40,'25.07 Kawempe-Bwaise'!N40,'26.07 Kawempe-Bwaise-24h'!N40,'27.07 Kawempe-Bwaise-24h'!N40,'28.07 Kawempe-Bwaise'!N40)</f>
        <v>0</v>
      </c>
      <c r="O40" s="15">
        <f t="shared" si="0"/>
        <v>107.99999999999997</v>
      </c>
      <c r="P40" s="15">
        <f t="shared" si="1"/>
        <v>238.14285714285711</v>
      </c>
      <c r="R40" s="5" t="s">
        <v>17</v>
      </c>
      <c r="S40" s="16">
        <f t="shared" ref="S40:AF40" si="32">SUM(S10:S21)</f>
        <v>1879.7142857142858</v>
      </c>
      <c r="T40" s="16">
        <f t="shared" si="32"/>
        <v>529.85714285714289</v>
      </c>
      <c r="U40" s="16">
        <f t="shared" si="32"/>
        <v>307.42857142857144</v>
      </c>
      <c r="V40" s="16">
        <f t="shared" si="32"/>
        <v>2072.4285714285716</v>
      </c>
      <c r="W40" s="16">
        <f t="shared" si="32"/>
        <v>84.142857142857139</v>
      </c>
      <c r="X40" s="16">
        <f t="shared" si="32"/>
        <v>33.428571428571431</v>
      </c>
      <c r="Y40" s="16">
        <f t="shared" si="32"/>
        <v>353</v>
      </c>
      <c r="Z40" s="16">
        <f t="shared" si="32"/>
        <v>296.14285714285717</v>
      </c>
      <c r="AA40" s="16">
        <f t="shared" si="32"/>
        <v>126.85714285714285</v>
      </c>
      <c r="AB40" s="16">
        <f t="shared" si="32"/>
        <v>86.000000000000014</v>
      </c>
      <c r="AC40" s="16">
        <f t="shared" si="32"/>
        <v>9428.8333333333339</v>
      </c>
      <c r="AD40" s="16">
        <f t="shared" si="32"/>
        <v>0.14285714285714285</v>
      </c>
      <c r="AE40" s="32">
        <f t="shared" si="32"/>
        <v>5769.1428571428569</v>
      </c>
      <c r="AF40" s="32">
        <f t="shared" si="32"/>
        <v>15197.976190476191</v>
      </c>
    </row>
    <row r="41" spans="2:32" ht="23.1" customHeight="1" x14ac:dyDescent="0.25">
      <c r="B41" s="23" t="s">
        <v>68</v>
      </c>
      <c r="C41" s="49">
        <f>AVERAGE('22.07 kawempe-Bwaise'!C41,'23.07 Kawempe-Bwaise'!C41,'24.07 Kawempe-Bwaise'!C41,'25.07 Kawempe-Bwaise'!C41,'26.07 Kawempe-Bwaise-24h'!C41,'27.07 Kawempe-Bwaise-24h'!C41,'28.07 Kawempe-Bwaise'!C41)</f>
        <v>35</v>
      </c>
      <c r="D41" s="49">
        <f>AVERAGE('22.07 kawempe-Bwaise'!D41,'23.07 Kawempe-Bwaise'!D41,'24.07 Kawempe-Bwaise'!D41,'25.07 Kawempe-Bwaise'!D41,'26.07 Kawempe-Bwaise-24h'!D41,'27.07 Kawempe-Bwaise-24h'!D41,'28.07 Kawempe-Bwaise'!D41)</f>
        <v>10.857142857142858</v>
      </c>
      <c r="E41" s="49">
        <f>AVERAGE('22.07 kawempe-Bwaise'!E41,'23.07 Kawempe-Bwaise'!E41,'24.07 Kawempe-Bwaise'!E41,'25.07 Kawempe-Bwaise'!E41,'26.07 Kawempe-Bwaise-24h'!E41,'27.07 Kawempe-Bwaise-24h'!E41,'28.07 Kawempe-Bwaise'!E41)</f>
        <v>6.7142857142857144</v>
      </c>
      <c r="F41" s="49">
        <f>AVERAGE('22.07 kawempe-Bwaise'!F41,'23.07 Kawempe-Bwaise'!F41,'24.07 Kawempe-Bwaise'!F41,'25.07 Kawempe-Bwaise'!F41,'26.07 Kawempe-Bwaise-24h'!F41,'27.07 Kawempe-Bwaise-24h'!F41,'28.07 Kawempe-Bwaise'!F41)</f>
        <v>38.285714285714285</v>
      </c>
      <c r="G41" s="49">
        <f>AVERAGE('22.07 kawempe-Bwaise'!G41,'23.07 Kawempe-Bwaise'!G41,'24.07 Kawempe-Bwaise'!G41,'25.07 Kawempe-Bwaise'!G41,'26.07 Kawempe-Bwaise-24h'!G41,'27.07 Kawempe-Bwaise-24h'!G41,'28.07 Kawempe-Bwaise'!G41)</f>
        <v>1</v>
      </c>
      <c r="H41" s="49">
        <f>AVERAGE('22.07 kawempe-Bwaise'!H41,'23.07 Kawempe-Bwaise'!H41,'24.07 Kawempe-Bwaise'!H41,'25.07 Kawempe-Bwaise'!H41,'26.07 Kawempe-Bwaise-24h'!H41,'27.07 Kawempe-Bwaise-24h'!H41,'28.07 Kawempe-Bwaise'!H41)</f>
        <v>1.5714285714285714</v>
      </c>
      <c r="I41" s="49">
        <f>AVERAGE('22.07 kawempe-Bwaise'!I41,'23.07 Kawempe-Bwaise'!I41,'24.07 Kawempe-Bwaise'!I41,'25.07 Kawempe-Bwaise'!I41,'26.07 Kawempe-Bwaise-24h'!I41,'27.07 Kawempe-Bwaise-24h'!I41,'28.07 Kawempe-Bwaise'!I41)</f>
        <v>6.8571428571428568</v>
      </c>
      <c r="J41" s="49">
        <f>AVERAGE('22.07 kawempe-Bwaise'!J41,'23.07 Kawempe-Bwaise'!J41,'24.07 Kawempe-Bwaise'!J41,'25.07 Kawempe-Bwaise'!J41,'26.07 Kawempe-Bwaise-24h'!J41,'27.07 Kawempe-Bwaise-24h'!J41,'28.07 Kawempe-Bwaise'!J41)</f>
        <v>6.4285714285714288</v>
      </c>
      <c r="K41" s="49">
        <f>AVERAGE('22.07 kawempe-Bwaise'!K41,'23.07 Kawempe-Bwaise'!K41,'24.07 Kawempe-Bwaise'!K41,'25.07 Kawempe-Bwaise'!K41,'26.07 Kawempe-Bwaise-24h'!K41,'27.07 Kawempe-Bwaise-24h'!K41,'28.07 Kawempe-Bwaise'!K41)</f>
        <v>1.5714285714285714</v>
      </c>
      <c r="L41" s="49">
        <f>AVERAGE('22.07 kawempe-Bwaise'!L41,'23.07 Kawempe-Bwaise'!L41,'24.07 Kawempe-Bwaise'!L41,'25.07 Kawempe-Bwaise'!L41,'26.07 Kawempe-Bwaise-24h'!L41,'27.07 Kawempe-Bwaise-24h'!L41,'28.07 Kawempe-Bwaise'!L41)</f>
        <v>2</v>
      </c>
      <c r="M41" s="49">
        <f>AVERAGE('22.07 kawempe-Bwaise'!M41,'23.07 Kawempe-Bwaise'!M41,'24.07 Kawempe-Bwaise'!M41,'25.07 Kawempe-Bwaise'!M41,'26.07 Kawempe-Bwaise-24h'!M41,'27.07 Kawempe-Bwaise-24h'!M41,'28.07 Kawempe-Bwaise'!M41)</f>
        <v>125.57142857142857</v>
      </c>
      <c r="N41" s="49">
        <f>AVERAGE('22.07 kawempe-Bwaise'!N41,'23.07 Kawempe-Bwaise'!N41,'24.07 Kawempe-Bwaise'!N41,'25.07 Kawempe-Bwaise'!N41,'26.07 Kawempe-Bwaise-24h'!N41,'27.07 Kawempe-Bwaise-24h'!N41,'28.07 Kawempe-Bwaise'!N41)</f>
        <v>0</v>
      </c>
      <c r="O41" s="15">
        <f t="shared" si="0"/>
        <v>110.28571428571429</v>
      </c>
      <c r="P41" s="15">
        <f t="shared" si="1"/>
        <v>235.85714285714286</v>
      </c>
      <c r="R41" s="5" t="s">
        <v>186</v>
      </c>
      <c r="S41" s="16">
        <f>SUM(S10:S33)</f>
        <v>2810.2142857142858</v>
      </c>
      <c r="T41" s="16">
        <f t="shared" ref="T41:AD41" si="33">SUM(T10:T33)</f>
        <v>575.85714285714289</v>
      </c>
      <c r="U41" s="16">
        <f t="shared" si="33"/>
        <v>392.92857142857144</v>
      </c>
      <c r="V41" s="16">
        <f t="shared" si="33"/>
        <v>2721.9285714285716</v>
      </c>
      <c r="W41" s="16">
        <f t="shared" si="33"/>
        <v>123.64285714285714</v>
      </c>
      <c r="X41" s="16">
        <f t="shared" si="33"/>
        <v>93.428571428571431</v>
      </c>
      <c r="Y41" s="16">
        <f t="shared" si="33"/>
        <v>519</v>
      </c>
      <c r="Z41" s="16">
        <f t="shared" si="33"/>
        <v>464.14285714285717</v>
      </c>
      <c r="AA41" s="16">
        <f t="shared" si="33"/>
        <v>227.35714285714283</v>
      </c>
      <c r="AB41" s="16">
        <f t="shared" si="33"/>
        <v>147</v>
      </c>
      <c r="AC41" s="16">
        <f t="shared" si="33"/>
        <v>13425.833333333334</v>
      </c>
      <c r="AD41" s="16">
        <f t="shared" si="33"/>
        <v>0.14285714285714285</v>
      </c>
      <c r="AE41" s="32">
        <f>SUM(AE10:AE33)</f>
        <v>8075.6428571428569</v>
      </c>
      <c r="AF41" s="32">
        <f>SUM(AF10:AF33)</f>
        <v>21501.476190476191</v>
      </c>
    </row>
    <row r="42" spans="2:32" ht="23.1" customHeight="1" x14ac:dyDescent="0.25">
      <c r="B42" s="24" t="s">
        <v>69</v>
      </c>
      <c r="C42" s="49">
        <f>AVERAGE('22.07 kawempe-Bwaise'!C42,'23.07 Kawempe-Bwaise'!C42,'24.07 Kawempe-Bwaise'!C42,'25.07 Kawempe-Bwaise'!C42,'26.07 Kawempe-Bwaise-24h'!C42,'27.07 Kawempe-Bwaise-24h'!C42,'28.07 Kawempe-Bwaise'!C42)</f>
        <v>41.714285714285715</v>
      </c>
      <c r="D42" s="49">
        <f>AVERAGE('22.07 kawempe-Bwaise'!D42,'23.07 Kawempe-Bwaise'!D42,'24.07 Kawempe-Bwaise'!D42,'25.07 Kawempe-Bwaise'!D42,'26.07 Kawempe-Bwaise-24h'!D42,'27.07 Kawempe-Bwaise-24h'!D42,'28.07 Kawempe-Bwaise'!D42)</f>
        <v>18.142857142857142</v>
      </c>
      <c r="E42" s="49">
        <f>AVERAGE('22.07 kawempe-Bwaise'!E42,'23.07 Kawempe-Bwaise'!E42,'24.07 Kawempe-Bwaise'!E42,'25.07 Kawempe-Bwaise'!E42,'26.07 Kawempe-Bwaise-24h'!E42,'27.07 Kawempe-Bwaise-24h'!E42,'28.07 Kawempe-Bwaise'!E42)</f>
        <v>7</v>
      </c>
      <c r="F42" s="49">
        <f>AVERAGE('22.07 kawempe-Bwaise'!F42,'23.07 Kawempe-Bwaise'!F42,'24.07 Kawempe-Bwaise'!F42,'25.07 Kawempe-Bwaise'!F42,'26.07 Kawempe-Bwaise-24h'!F42,'27.07 Kawempe-Bwaise-24h'!F42,'28.07 Kawempe-Bwaise'!F42)</f>
        <v>36.714285714285715</v>
      </c>
      <c r="G42" s="49">
        <f>AVERAGE('22.07 kawempe-Bwaise'!G42,'23.07 Kawempe-Bwaise'!G42,'24.07 Kawempe-Bwaise'!G42,'25.07 Kawempe-Bwaise'!G42,'26.07 Kawempe-Bwaise-24h'!G42,'27.07 Kawempe-Bwaise-24h'!G42,'28.07 Kawempe-Bwaise'!G42)</f>
        <v>2</v>
      </c>
      <c r="H42" s="49">
        <f>AVERAGE('22.07 kawempe-Bwaise'!H42,'23.07 Kawempe-Bwaise'!H42,'24.07 Kawempe-Bwaise'!H42,'25.07 Kawempe-Bwaise'!H42,'26.07 Kawempe-Bwaise-24h'!H42,'27.07 Kawempe-Bwaise-24h'!H42,'28.07 Kawempe-Bwaise'!H42)</f>
        <v>1.1428571428571428</v>
      </c>
      <c r="I42" s="49">
        <f>AVERAGE('22.07 kawempe-Bwaise'!I42,'23.07 Kawempe-Bwaise'!I42,'24.07 Kawempe-Bwaise'!I42,'25.07 Kawempe-Bwaise'!I42,'26.07 Kawempe-Bwaise-24h'!I42,'27.07 Kawempe-Bwaise-24h'!I42,'28.07 Kawempe-Bwaise'!I42)</f>
        <v>8.4285714285714288</v>
      </c>
      <c r="J42" s="49">
        <f>AVERAGE('22.07 kawempe-Bwaise'!J42,'23.07 Kawempe-Bwaise'!J42,'24.07 Kawempe-Bwaise'!J42,'25.07 Kawempe-Bwaise'!J42,'26.07 Kawempe-Bwaise-24h'!J42,'27.07 Kawempe-Bwaise-24h'!J42,'28.07 Kawempe-Bwaise'!J42)</f>
        <v>7</v>
      </c>
      <c r="K42" s="49">
        <f>AVERAGE('22.07 kawempe-Bwaise'!K42,'23.07 Kawempe-Bwaise'!K42,'24.07 Kawempe-Bwaise'!K42,'25.07 Kawempe-Bwaise'!K42,'26.07 Kawempe-Bwaise-24h'!K42,'27.07 Kawempe-Bwaise-24h'!K42,'28.07 Kawempe-Bwaise'!K42)</f>
        <v>2.7142857142857144</v>
      </c>
      <c r="L42" s="49">
        <f>AVERAGE('22.07 kawempe-Bwaise'!L42,'23.07 Kawempe-Bwaise'!L42,'24.07 Kawempe-Bwaise'!L42,'25.07 Kawempe-Bwaise'!L42,'26.07 Kawempe-Bwaise-24h'!L42,'27.07 Kawempe-Bwaise-24h'!L42,'28.07 Kawempe-Bwaise'!L42)</f>
        <v>2.4285714285714284</v>
      </c>
      <c r="M42" s="49">
        <f>AVERAGE('22.07 kawempe-Bwaise'!M42,'23.07 Kawempe-Bwaise'!M42,'24.07 Kawempe-Bwaise'!M42,'25.07 Kawempe-Bwaise'!M42,'26.07 Kawempe-Bwaise-24h'!M42,'27.07 Kawempe-Bwaise-24h'!M42,'28.07 Kawempe-Bwaise'!M42)</f>
        <v>108.57142857142857</v>
      </c>
      <c r="N42" s="49">
        <f>AVERAGE('22.07 kawempe-Bwaise'!N42,'23.07 Kawempe-Bwaise'!N42,'24.07 Kawempe-Bwaise'!N42,'25.07 Kawempe-Bwaise'!N42,'26.07 Kawempe-Bwaise-24h'!N42,'27.07 Kawempe-Bwaise-24h'!N42,'28.07 Kawempe-Bwaise'!N42)</f>
        <v>0</v>
      </c>
      <c r="O42" s="15">
        <f t="shared" si="0"/>
        <v>127.28571428571429</v>
      </c>
      <c r="P42" s="15">
        <f t="shared" si="1"/>
        <v>235.85714285714286</v>
      </c>
      <c r="R42" s="5" t="s">
        <v>160</v>
      </c>
      <c r="S42" s="48">
        <f>S41/S40</f>
        <v>1.4950220398236813</v>
      </c>
      <c r="T42" s="48">
        <f t="shared" ref="T42:AF42" si="34">T41/T40</f>
        <v>1.0868158533297385</v>
      </c>
      <c r="U42" s="48">
        <f t="shared" si="34"/>
        <v>1.2781133828996283</v>
      </c>
      <c r="V42" s="48">
        <f t="shared" si="34"/>
        <v>1.3134004273798856</v>
      </c>
      <c r="W42" s="48">
        <f t="shared" si="34"/>
        <v>1.4694397283531409</v>
      </c>
      <c r="X42" s="48">
        <f t="shared" si="34"/>
        <v>2.7948717948717947</v>
      </c>
      <c r="Y42" s="48">
        <f t="shared" si="34"/>
        <v>1.4702549575070822</v>
      </c>
      <c r="Z42" s="48">
        <f t="shared" si="34"/>
        <v>1.5672937771345876</v>
      </c>
      <c r="AA42" s="48">
        <f t="shared" si="34"/>
        <v>1.7922297297297296</v>
      </c>
      <c r="AB42" s="48">
        <f t="shared" si="34"/>
        <v>1.7093023255813951</v>
      </c>
      <c r="AC42" s="48">
        <f t="shared" si="34"/>
        <v>1.4239124670779346</v>
      </c>
      <c r="AD42" s="48">
        <f t="shared" si="34"/>
        <v>1</v>
      </c>
      <c r="AE42" s="51">
        <f t="shared" si="34"/>
        <v>1.3997994255150554</v>
      </c>
      <c r="AF42" s="51">
        <f t="shared" si="34"/>
        <v>1.4147591706289215</v>
      </c>
    </row>
    <row r="43" spans="2:32" ht="23.1" customHeight="1" x14ac:dyDescent="0.25">
      <c r="B43" s="23" t="s">
        <v>70</v>
      </c>
      <c r="C43" s="49">
        <f>AVERAGE('22.07 kawempe-Bwaise'!C43,'23.07 Kawempe-Bwaise'!C43,'24.07 Kawempe-Bwaise'!C43,'25.07 Kawempe-Bwaise'!C43,'26.07 Kawempe-Bwaise-24h'!C43,'27.07 Kawempe-Bwaise-24h'!C43,'28.07 Kawempe-Bwaise'!C43)</f>
        <v>41.571428571428569</v>
      </c>
      <c r="D43" s="49">
        <f>AVERAGE('22.07 kawempe-Bwaise'!D43,'23.07 Kawempe-Bwaise'!D43,'24.07 Kawempe-Bwaise'!D43,'25.07 Kawempe-Bwaise'!D43,'26.07 Kawempe-Bwaise-24h'!D43,'27.07 Kawempe-Bwaise-24h'!D43,'28.07 Kawempe-Bwaise'!D43)</f>
        <v>15.857142857142858</v>
      </c>
      <c r="E43" s="49">
        <f>AVERAGE('22.07 kawempe-Bwaise'!E43,'23.07 Kawempe-Bwaise'!E43,'24.07 Kawempe-Bwaise'!E43,'25.07 Kawempe-Bwaise'!E43,'26.07 Kawempe-Bwaise-24h'!E43,'27.07 Kawempe-Bwaise-24h'!E43,'28.07 Kawempe-Bwaise'!E43)</f>
        <v>8.4285714285714288</v>
      </c>
      <c r="F43" s="49">
        <f>AVERAGE('22.07 kawempe-Bwaise'!F43,'23.07 Kawempe-Bwaise'!F43,'24.07 Kawempe-Bwaise'!F43,'25.07 Kawempe-Bwaise'!F43,'26.07 Kawempe-Bwaise-24h'!F43,'27.07 Kawempe-Bwaise-24h'!F43,'28.07 Kawempe-Bwaise'!F43)</f>
        <v>46.857142857142854</v>
      </c>
      <c r="G43" s="49">
        <f>AVERAGE('22.07 kawempe-Bwaise'!G43,'23.07 Kawempe-Bwaise'!G43,'24.07 Kawempe-Bwaise'!G43,'25.07 Kawempe-Bwaise'!G43,'26.07 Kawempe-Bwaise-24h'!G43,'27.07 Kawempe-Bwaise-24h'!G43,'28.07 Kawempe-Bwaise'!G43)</f>
        <v>1.1428571428571428</v>
      </c>
      <c r="H43" s="49">
        <f>AVERAGE('22.07 kawempe-Bwaise'!H43,'23.07 Kawempe-Bwaise'!H43,'24.07 Kawempe-Bwaise'!H43,'25.07 Kawempe-Bwaise'!H43,'26.07 Kawempe-Bwaise-24h'!H43,'27.07 Kawempe-Bwaise-24h'!H43,'28.07 Kawempe-Bwaise'!H43)</f>
        <v>0.8571428571428571</v>
      </c>
      <c r="I43" s="49">
        <f>AVERAGE('22.07 kawempe-Bwaise'!I43,'23.07 Kawempe-Bwaise'!I43,'24.07 Kawempe-Bwaise'!I43,'25.07 Kawempe-Bwaise'!I43,'26.07 Kawempe-Bwaise-24h'!I43,'27.07 Kawempe-Bwaise-24h'!I43,'28.07 Kawempe-Bwaise'!I43)</f>
        <v>8.4285714285714288</v>
      </c>
      <c r="J43" s="49">
        <f>AVERAGE('22.07 kawempe-Bwaise'!J43,'23.07 Kawempe-Bwaise'!J43,'24.07 Kawempe-Bwaise'!J43,'25.07 Kawempe-Bwaise'!J43,'26.07 Kawempe-Bwaise-24h'!J43,'27.07 Kawempe-Bwaise-24h'!J43,'28.07 Kawempe-Bwaise'!J43)</f>
        <v>7.4285714285714288</v>
      </c>
      <c r="K43" s="49">
        <f>AVERAGE('22.07 kawempe-Bwaise'!K43,'23.07 Kawempe-Bwaise'!K43,'24.07 Kawempe-Bwaise'!K43,'25.07 Kawempe-Bwaise'!K43,'26.07 Kawempe-Bwaise-24h'!K43,'27.07 Kawempe-Bwaise-24h'!K43,'28.07 Kawempe-Bwaise'!K43)</f>
        <v>3.1428571428571428</v>
      </c>
      <c r="L43" s="49">
        <f>AVERAGE('22.07 kawempe-Bwaise'!L43,'23.07 Kawempe-Bwaise'!L43,'24.07 Kawempe-Bwaise'!L43,'25.07 Kawempe-Bwaise'!L43,'26.07 Kawempe-Bwaise-24h'!L43,'27.07 Kawempe-Bwaise-24h'!L43,'28.07 Kawempe-Bwaise'!L43)</f>
        <v>1</v>
      </c>
      <c r="M43" s="49">
        <f>AVERAGE('22.07 kawempe-Bwaise'!M43,'23.07 Kawempe-Bwaise'!M43,'24.07 Kawempe-Bwaise'!M43,'25.07 Kawempe-Bwaise'!M43,'26.07 Kawempe-Bwaise-24h'!M43,'27.07 Kawempe-Bwaise-24h'!M43,'28.07 Kawempe-Bwaise'!M43)</f>
        <v>127.14285714285714</v>
      </c>
      <c r="N43" s="49">
        <f>AVERAGE('22.07 kawempe-Bwaise'!N43,'23.07 Kawempe-Bwaise'!N43,'24.07 Kawempe-Bwaise'!N43,'25.07 Kawempe-Bwaise'!N43,'26.07 Kawempe-Bwaise-24h'!N43,'27.07 Kawempe-Bwaise-24h'!N43,'28.07 Kawempe-Bwaise'!N43)</f>
        <v>0</v>
      </c>
      <c r="O43" s="15">
        <f t="shared" si="0"/>
        <v>134.71428571428572</v>
      </c>
      <c r="P43" s="15">
        <f t="shared" si="1"/>
        <v>261.85714285714289</v>
      </c>
    </row>
    <row r="44" spans="2:32" ht="23.1" customHeight="1" x14ac:dyDescent="0.25">
      <c r="B44" s="25" t="s">
        <v>71</v>
      </c>
      <c r="C44" s="49">
        <f>AVERAGE('22.07 kawempe-Bwaise'!C44,'23.07 Kawempe-Bwaise'!C44,'24.07 Kawempe-Bwaise'!C44,'25.07 Kawempe-Bwaise'!C44,'26.07 Kawempe-Bwaise-24h'!C44,'27.07 Kawempe-Bwaise-24h'!C44,'28.07 Kawempe-Bwaise'!C44)</f>
        <v>39.857142857142854</v>
      </c>
      <c r="D44" s="49">
        <f>AVERAGE('22.07 kawempe-Bwaise'!D44,'23.07 Kawempe-Bwaise'!D44,'24.07 Kawempe-Bwaise'!D44,'25.07 Kawempe-Bwaise'!D44,'26.07 Kawempe-Bwaise-24h'!D44,'27.07 Kawempe-Bwaise-24h'!D44,'28.07 Kawempe-Bwaise'!D44)</f>
        <v>14.285714285714286</v>
      </c>
      <c r="E44" s="49">
        <f>AVERAGE('22.07 kawempe-Bwaise'!E44,'23.07 Kawempe-Bwaise'!E44,'24.07 Kawempe-Bwaise'!E44,'25.07 Kawempe-Bwaise'!E44,'26.07 Kawempe-Bwaise-24h'!E44,'27.07 Kawempe-Bwaise-24h'!E44,'28.07 Kawempe-Bwaise'!E44)</f>
        <v>8.2857142857142865</v>
      </c>
      <c r="F44" s="49">
        <f>AVERAGE('22.07 kawempe-Bwaise'!F44,'23.07 Kawempe-Bwaise'!F44,'24.07 Kawempe-Bwaise'!F44,'25.07 Kawempe-Bwaise'!F44,'26.07 Kawempe-Bwaise-24h'!F44,'27.07 Kawempe-Bwaise-24h'!F44,'28.07 Kawempe-Bwaise'!F44)</f>
        <v>41.428571428571431</v>
      </c>
      <c r="G44" s="49">
        <f>AVERAGE('22.07 kawempe-Bwaise'!G44,'23.07 Kawempe-Bwaise'!G44,'24.07 Kawempe-Bwaise'!G44,'25.07 Kawempe-Bwaise'!G44,'26.07 Kawempe-Bwaise-24h'!G44,'27.07 Kawempe-Bwaise-24h'!G44,'28.07 Kawempe-Bwaise'!G44)</f>
        <v>1.5714285714285714</v>
      </c>
      <c r="H44" s="49">
        <f>AVERAGE('22.07 kawempe-Bwaise'!H44,'23.07 Kawempe-Bwaise'!H44,'24.07 Kawempe-Bwaise'!H44,'25.07 Kawempe-Bwaise'!H44,'26.07 Kawempe-Bwaise-24h'!H44,'27.07 Kawempe-Bwaise-24h'!H44,'28.07 Kawempe-Bwaise'!H44)</f>
        <v>0.8571428571428571</v>
      </c>
      <c r="I44" s="49">
        <f>AVERAGE('22.07 kawempe-Bwaise'!I44,'23.07 Kawempe-Bwaise'!I44,'24.07 Kawempe-Bwaise'!I44,'25.07 Kawempe-Bwaise'!I44,'26.07 Kawempe-Bwaise-24h'!I44,'27.07 Kawempe-Bwaise-24h'!I44,'28.07 Kawempe-Bwaise'!I44)</f>
        <v>8.7142857142857135</v>
      </c>
      <c r="J44" s="49">
        <f>AVERAGE('22.07 kawempe-Bwaise'!J44,'23.07 Kawempe-Bwaise'!J44,'24.07 Kawempe-Bwaise'!J44,'25.07 Kawempe-Bwaise'!J44,'26.07 Kawempe-Bwaise-24h'!J44,'27.07 Kawempe-Bwaise-24h'!J44,'28.07 Kawempe-Bwaise'!J44)</f>
        <v>6.2857142857142856</v>
      </c>
      <c r="K44" s="49">
        <f>AVERAGE('22.07 kawempe-Bwaise'!K44,'23.07 Kawempe-Bwaise'!K44,'24.07 Kawempe-Bwaise'!K44,'25.07 Kawempe-Bwaise'!K44,'26.07 Kawempe-Bwaise-24h'!K44,'27.07 Kawempe-Bwaise-24h'!K44,'28.07 Kawempe-Bwaise'!K44)</f>
        <v>2.4285714285714284</v>
      </c>
      <c r="L44" s="49">
        <f>AVERAGE('22.07 kawempe-Bwaise'!L44,'23.07 Kawempe-Bwaise'!L44,'24.07 Kawempe-Bwaise'!L44,'25.07 Kawempe-Bwaise'!L44,'26.07 Kawempe-Bwaise-24h'!L44,'27.07 Kawempe-Bwaise-24h'!L44,'28.07 Kawempe-Bwaise'!L44)</f>
        <v>1.4285714285714286</v>
      </c>
      <c r="M44" s="49">
        <f>AVERAGE('22.07 kawempe-Bwaise'!M44,'23.07 Kawempe-Bwaise'!M44,'24.07 Kawempe-Bwaise'!M44,'25.07 Kawempe-Bwaise'!M44,'26.07 Kawempe-Bwaise-24h'!M44,'27.07 Kawempe-Bwaise-24h'!M44,'28.07 Kawempe-Bwaise'!M44)</f>
        <v>123</v>
      </c>
      <c r="N44" s="49">
        <f>AVERAGE('22.07 kawempe-Bwaise'!N44,'23.07 Kawempe-Bwaise'!N44,'24.07 Kawempe-Bwaise'!N44,'25.07 Kawempe-Bwaise'!N44,'26.07 Kawempe-Bwaise-24h'!N44,'27.07 Kawempe-Bwaise-24h'!N44,'28.07 Kawempe-Bwaise'!N44)</f>
        <v>0</v>
      </c>
      <c r="O44" s="15">
        <f t="shared" si="0"/>
        <v>125.14285714285715</v>
      </c>
      <c r="P44" s="15">
        <f t="shared" si="1"/>
        <v>248.14285714285717</v>
      </c>
    </row>
    <row r="45" spans="2:32" ht="23.1" customHeight="1" x14ac:dyDescent="0.25">
      <c r="B45" s="23" t="s">
        <v>72</v>
      </c>
      <c r="C45" s="49">
        <f>AVERAGE('22.07 kawempe-Bwaise'!C45,'23.07 Kawempe-Bwaise'!C45,'24.07 Kawempe-Bwaise'!C45,'25.07 Kawempe-Bwaise'!C45,'26.07 Kawempe-Bwaise-24h'!C45,'27.07 Kawempe-Bwaise-24h'!C45,'28.07 Kawempe-Bwaise'!C45)</f>
        <v>28</v>
      </c>
      <c r="D45" s="49">
        <f>AVERAGE('22.07 kawempe-Bwaise'!D45,'23.07 Kawempe-Bwaise'!D45,'24.07 Kawempe-Bwaise'!D45,'25.07 Kawempe-Bwaise'!D45,'26.07 Kawempe-Bwaise-24h'!D45,'27.07 Kawempe-Bwaise-24h'!D45,'28.07 Kawempe-Bwaise'!D45)</f>
        <v>10.857142857142858</v>
      </c>
      <c r="E45" s="49">
        <f>AVERAGE('22.07 kawempe-Bwaise'!E45,'23.07 Kawempe-Bwaise'!E45,'24.07 Kawempe-Bwaise'!E45,'25.07 Kawempe-Bwaise'!E45,'26.07 Kawempe-Bwaise-24h'!E45,'27.07 Kawempe-Bwaise-24h'!E45,'28.07 Kawempe-Bwaise'!E45)</f>
        <v>7.8571428571428568</v>
      </c>
      <c r="F45" s="49">
        <f>AVERAGE('22.07 kawempe-Bwaise'!F45,'23.07 Kawempe-Bwaise'!F45,'24.07 Kawempe-Bwaise'!F45,'25.07 Kawempe-Bwaise'!F45,'26.07 Kawempe-Bwaise-24h'!F45,'27.07 Kawempe-Bwaise-24h'!F45,'28.07 Kawempe-Bwaise'!F45)</f>
        <v>39.285714285714285</v>
      </c>
      <c r="G45" s="49">
        <f>AVERAGE('22.07 kawempe-Bwaise'!G45,'23.07 Kawempe-Bwaise'!G45,'24.07 Kawempe-Bwaise'!G45,'25.07 Kawempe-Bwaise'!G45,'26.07 Kawempe-Bwaise-24h'!G45,'27.07 Kawempe-Bwaise-24h'!G45,'28.07 Kawempe-Bwaise'!G45)</f>
        <v>0.7142857142857143</v>
      </c>
      <c r="H45" s="49">
        <f>AVERAGE('22.07 kawempe-Bwaise'!H45,'23.07 Kawempe-Bwaise'!H45,'24.07 Kawempe-Bwaise'!H45,'25.07 Kawempe-Bwaise'!H45,'26.07 Kawempe-Bwaise-24h'!H45,'27.07 Kawempe-Bwaise-24h'!H45,'28.07 Kawempe-Bwaise'!H45)</f>
        <v>1.2857142857142858</v>
      </c>
      <c r="I45" s="49">
        <f>AVERAGE('22.07 kawempe-Bwaise'!I45,'23.07 Kawempe-Bwaise'!I45,'24.07 Kawempe-Bwaise'!I45,'25.07 Kawempe-Bwaise'!I45,'26.07 Kawempe-Bwaise-24h'!I45,'27.07 Kawempe-Bwaise-24h'!I45,'28.07 Kawempe-Bwaise'!I45)</f>
        <v>7.5714285714285712</v>
      </c>
      <c r="J45" s="49">
        <f>AVERAGE('22.07 kawempe-Bwaise'!J45,'23.07 Kawempe-Bwaise'!J45,'24.07 Kawempe-Bwaise'!J45,'25.07 Kawempe-Bwaise'!J45,'26.07 Kawempe-Bwaise-24h'!J45,'27.07 Kawempe-Bwaise-24h'!J45,'28.07 Kawempe-Bwaise'!J45)</f>
        <v>5.8571428571428568</v>
      </c>
      <c r="K45" s="49">
        <f>AVERAGE('22.07 kawempe-Bwaise'!K45,'23.07 Kawempe-Bwaise'!K45,'24.07 Kawempe-Bwaise'!K45,'25.07 Kawempe-Bwaise'!K45,'26.07 Kawempe-Bwaise-24h'!K45,'27.07 Kawempe-Bwaise-24h'!K45,'28.07 Kawempe-Bwaise'!K45)</f>
        <v>1.7142857142857142</v>
      </c>
      <c r="L45" s="49">
        <f>AVERAGE('22.07 kawempe-Bwaise'!L45,'23.07 Kawempe-Bwaise'!L45,'24.07 Kawempe-Bwaise'!L45,'25.07 Kawempe-Bwaise'!L45,'26.07 Kawempe-Bwaise-24h'!L45,'27.07 Kawempe-Bwaise-24h'!L45,'28.07 Kawempe-Bwaise'!L45)</f>
        <v>1.1428571428571428</v>
      </c>
      <c r="M45" s="49">
        <f>AVERAGE('22.07 kawempe-Bwaise'!M45,'23.07 Kawempe-Bwaise'!M45,'24.07 Kawempe-Bwaise'!M45,'25.07 Kawempe-Bwaise'!M45,'26.07 Kawempe-Bwaise-24h'!M45,'27.07 Kawempe-Bwaise-24h'!M45,'28.07 Kawempe-Bwaise'!M45)</f>
        <v>141</v>
      </c>
      <c r="N45" s="49">
        <f>AVERAGE('22.07 kawempe-Bwaise'!N45,'23.07 Kawempe-Bwaise'!N45,'24.07 Kawempe-Bwaise'!N45,'25.07 Kawempe-Bwaise'!N45,'26.07 Kawempe-Bwaise-24h'!N45,'27.07 Kawempe-Bwaise-24h'!N45,'28.07 Kawempe-Bwaise'!N45)</f>
        <v>0</v>
      </c>
      <c r="O45" s="15">
        <f t="shared" si="0"/>
        <v>104.28571428571428</v>
      </c>
      <c r="P45" s="15">
        <f t="shared" si="1"/>
        <v>245.28571428571428</v>
      </c>
    </row>
    <row r="46" spans="2:32" ht="23.1" customHeight="1" x14ac:dyDescent="0.25">
      <c r="B46" s="24" t="s">
        <v>73</v>
      </c>
      <c r="C46" s="49">
        <f>AVERAGE('22.07 kawempe-Bwaise'!C46,'23.07 Kawempe-Bwaise'!C46,'24.07 Kawempe-Bwaise'!C46,'25.07 Kawempe-Bwaise'!C46,'26.07 Kawempe-Bwaise-24h'!C46,'27.07 Kawempe-Bwaise-24h'!C46,'28.07 Kawempe-Bwaise'!C46)</f>
        <v>35.857142857142854</v>
      </c>
      <c r="D46" s="49">
        <f>AVERAGE('22.07 kawempe-Bwaise'!D46,'23.07 Kawempe-Bwaise'!D46,'24.07 Kawempe-Bwaise'!D46,'25.07 Kawempe-Bwaise'!D46,'26.07 Kawempe-Bwaise-24h'!D46,'27.07 Kawempe-Bwaise-24h'!D46,'28.07 Kawempe-Bwaise'!D46)</f>
        <v>14.857142857142858</v>
      </c>
      <c r="E46" s="49">
        <f>AVERAGE('22.07 kawempe-Bwaise'!E46,'23.07 Kawempe-Bwaise'!E46,'24.07 Kawempe-Bwaise'!E46,'25.07 Kawempe-Bwaise'!E46,'26.07 Kawempe-Bwaise-24h'!E46,'27.07 Kawempe-Bwaise-24h'!E46,'28.07 Kawempe-Bwaise'!E46)</f>
        <v>9.2857142857142865</v>
      </c>
      <c r="F46" s="49">
        <f>AVERAGE('22.07 kawempe-Bwaise'!F46,'23.07 Kawempe-Bwaise'!F46,'24.07 Kawempe-Bwaise'!F46,'25.07 Kawempe-Bwaise'!F46,'26.07 Kawempe-Bwaise-24h'!F46,'27.07 Kawempe-Bwaise-24h'!F46,'28.07 Kawempe-Bwaise'!F46)</f>
        <v>43.571428571428569</v>
      </c>
      <c r="G46" s="49">
        <f>AVERAGE('22.07 kawempe-Bwaise'!G46,'23.07 Kawempe-Bwaise'!G46,'24.07 Kawempe-Bwaise'!G46,'25.07 Kawempe-Bwaise'!G46,'26.07 Kawempe-Bwaise-24h'!G46,'27.07 Kawempe-Bwaise-24h'!G46,'28.07 Kawempe-Bwaise'!G46)</f>
        <v>1.1428571428571428</v>
      </c>
      <c r="H46" s="49">
        <f>AVERAGE('22.07 kawempe-Bwaise'!H46,'23.07 Kawempe-Bwaise'!H46,'24.07 Kawempe-Bwaise'!H46,'25.07 Kawempe-Bwaise'!H46,'26.07 Kawempe-Bwaise-24h'!H46,'27.07 Kawempe-Bwaise-24h'!H46,'28.07 Kawempe-Bwaise'!H46)</f>
        <v>0.5714285714285714</v>
      </c>
      <c r="I46" s="49">
        <f>AVERAGE('22.07 kawempe-Bwaise'!I46,'23.07 Kawempe-Bwaise'!I46,'24.07 Kawempe-Bwaise'!I46,'25.07 Kawempe-Bwaise'!I46,'26.07 Kawempe-Bwaise-24h'!I46,'27.07 Kawempe-Bwaise-24h'!I46,'28.07 Kawempe-Bwaise'!I46)</f>
        <v>8.7142857142857135</v>
      </c>
      <c r="J46" s="49">
        <f>AVERAGE('22.07 kawempe-Bwaise'!J46,'23.07 Kawempe-Bwaise'!J46,'24.07 Kawempe-Bwaise'!J46,'25.07 Kawempe-Bwaise'!J46,'26.07 Kawempe-Bwaise-24h'!J46,'27.07 Kawempe-Bwaise-24h'!J46,'28.07 Kawempe-Bwaise'!J46)</f>
        <v>6.1428571428571432</v>
      </c>
      <c r="K46" s="49">
        <f>AVERAGE('22.07 kawempe-Bwaise'!K46,'23.07 Kawempe-Bwaise'!K46,'24.07 Kawempe-Bwaise'!K46,'25.07 Kawempe-Bwaise'!K46,'26.07 Kawempe-Bwaise-24h'!K46,'27.07 Kawempe-Bwaise-24h'!K46,'28.07 Kawempe-Bwaise'!K46)</f>
        <v>2.5714285714285716</v>
      </c>
      <c r="L46" s="49">
        <f>AVERAGE('22.07 kawempe-Bwaise'!L46,'23.07 Kawempe-Bwaise'!L46,'24.07 Kawempe-Bwaise'!L46,'25.07 Kawempe-Bwaise'!L46,'26.07 Kawempe-Bwaise-24h'!L46,'27.07 Kawempe-Bwaise-24h'!L46,'28.07 Kawempe-Bwaise'!L46)</f>
        <v>1.2857142857142858</v>
      </c>
      <c r="M46" s="49">
        <f>AVERAGE('22.07 kawempe-Bwaise'!M46,'23.07 Kawempe-Bwaise'!M46,'24.07 Kawempe-Bwaise'!M46,'25.07 Kawempe-Bwaise'!M46,'26.07 Kawempe-Bwaise-24h'!M46,'27.07 Kawempe-Bwaise-24h'!M46,'28.07 Kawempe-Bwaise'!M46)</f>
        <v>172.14285714285714</v>
      </c>
      <c r="N46" s="49">
        <f>AVERAGE('22.07 kawempe-Bwaise'!N46,'23.07 Kawempe-Bwaise'!N46,'24.07 Kawempe-Bwaise'!N46,'25.07 Kawempe-Bwaise'!N46,'26.07 Kawempe-Bwaise-24h'!N46,'27.07 Kawempe-Bwaise-24h'!N46,'28.07 Kawempe-Bwaise'!N46)</f>
        <v>0</v>
      </c>
      <c r="O46" s="15">
        <f t="shared" si="0"/>
        <v>123.99999999999997</v>
      </c>
      <c r="P46" s="15">
        <f t="shared" si="1"/>
        <v>296.14285714285711</v>
      </c>
    </row>
    <row r="47" spans="2:32" ht="23.1" customHeight="1" x14ac:dyDescent="0.25">
      <c r="B47" s="24" t="s">
        <v>74</v>
      </c>
      <c r="C47" s="49">
        <f>AVERAGE('22.07 kawempe-Bwaise'!C47,'23.07 Kawempe-Bwaise'!C47,'24.07 Kawempe-Bwaise'!C47,'25.07 Kawempe-Bwaise'!C47,'26.07 Kawempe-Bwaise-24h'!C47,'27.07 Kawempe-Bwaise-24h'!C47,'28.07 Kawempe-Bwaise'!C47)</f>
        <v>37.571428571428569</v>
      </c>
      <c r="D47" s="49">
        <f>AVERAGE('22.07 kawempe-Bwaise'!D47,'23.07 Kawempe-Bwaise'!D47,'24.07 Kawempe-Bwaise'!D47,'25.07 Kawempe-Bwaise'!D47,'26.07 Kawempe-Bwaise-24h'!D47,'27.07 Kawempe-Bwaise-24h'!D47,'28.07 Kawempe-Bwaise'!D47)</f>
        <v>14.142857142857142</v>
      </c>
      <c r="E47" s="49">
        <f>AVERAGE('22.07 kawempe-Bwaise'!E47,'23.07 Kawempe-Bwaise'!E47,'24.07 Kawempe-Bwaise'!E47,'25.07 Kawempe-Bwaise'!E47,'26.07 Kawempe-Bwaise-24h'!E47,'27.07 Kawempe-Bwaise-24h'!E47,'28.07 Kawempe-Bwaise'!E47)</f>
        <v>7.1428571428571432</v>
      </c>
      <c r="F47" s="49">
        <f>AVERAGE('22.07 kawempe-Bwaise'!F47,'23.07 Kawempe-Bwaise'!F47,'24.07 Kawempe-Bwaise'!F47,'25.07 Kawempe-Bwaise'!F47,'26.07 Kawempe-Bwaise-24h'!F47,'27.07 Kawempe-Bwaise-24h'!F47,'28.07 Kawempe-Bwaise'!F47)</f>
        <v>39.428571428571431</v>
      </c>
      <c r="G47" s="49">
        <f>AVERAGE('22.07 kawempe-Bwaise'!G47,'23.07 Kawempe-Bwaise'!G47,'24.07 Kawempe-Bwaise'!G47,'25.07 Kawempe-Bwaise'!G47,'26.07 Kawempe-Bwaise-24h'!G47,'27.07 Kawempe-Bwaise-24h'!G47,'28.07 Kawempe-Bwaise'!G47)</f>
        <v>1.2857142857142858</v>
      </c>
      <c r="H47" s="49">
        <f>AVERAGE('22.07 kawempe-Bwaise'!H47,'23.07 Kawempe-Bwaise'!H47,'24.07 Kawempe-Bwaise'!H47,'25.07 Kawempe-Bwaise'!H47,'26.07 Kawempe-Bwaise-24h'!H47,'27.07 Kawempe-Bwaise-24h'!H47,'28.07 Kawempe-Bwaise'!H47)</f>
        <v>1</v>
      </c>
      <c r="I47" s="49">
        <f>AVERAGE('22.07 kawempe-Bwaise'!I47,'23.07 Kawempe-Bwaise'!I47,'24.07 Kawempe-Bwaise'!I47,'25.07 Kawempe-Bwaise'!I47,'26.07 Kawempe-Bwaise-24h'!I47,'27.07 Kawempe-Bwaise-24h'!I47,'28.07 Kawempe-Bwaise'!I47)</f>
        <v>7.4285714285714288</v>
      </c>
      <c r="J47" s="49">
        <f>AVERAGE('22.07 kawempe-Bwaise'!J47,'23.07 Kawempe-Bwaise'!J47,'24.07 Kawempe-Bwaise'!J47,'25.07 Kawempe-Bwaise'!J47,'26.07 Kawempe-Bwaise-24h'!J47,'27.07 Kawempe-Bwaise-24h'!J47,'28.07 Kawempe-Bwaise'!J47)</f>
        <v>6.2857142857142856</v>
      </c>
      <c r="K47" s="49">
        <f>AVERAGE('22.07 kawempe-Bwaise'!K47,'23.07 Kawempe-Bwaise'!K47,'24.07 Kawempe-Bwaise'!K47,'25.07 Kawempe-Bwaise'!K47,'26.07 Kawempe-Bwaise-24h'!K47,'27.07 Kawempe-Bwaise-24h'!K47,'28.07 Kawempe-Bwaise'!K47)</f>
        <v>3</v>
      </c>
      <c r="L47" s="49">
        <f>AVERAGE('22.07 kawempe-Bwaise'!L47,'23.07 Kawempe-Bwaise'!L47,'24.07 Kawempe-Bwaise'!L47,'25.07 Kawempe-Bwaise'!L47,'26.07 Kawempe-Bwaise-24h'!L47,'27.07 Kawempe-Bwaise-24h'!L47,'28.07 Kawempe-Bwaise'!L47)</f>
        <v>1.4285714285714286</v>
      </c>
      <c r="M47" s="49">
        <f>AVERAGE('22.07 kawempe-Bwaise'!M47,'23.07 Kawempe-Bwaise'!M47,'24.07 Kawempe-Bwaise'!M47,'25.07 Kawempe-Bwaise'!M47,'26.07 Kawempe-Bwaise-24h'!M47,'27.07 Kawempe-Bwaise-24h'!M47,'28.07 Kawempe-Bwaise'!M47)</f>
        <v>189.28571428571428</v>
      </c>
      <c r="N47" s="49">
        <f>AVERAGE('22.07 kawempe-Bwaise'!N47,'23.07 Kawempe-Bwaise'!N47,'24.07 Kawempe-Bwaise'!N47,'25.07 Kawempe-Bwaise'!N47,'26.07 Kawempe-Bwaise-24h'!N47,'27.07 Kawempe-Bwaise-24h'!N47,'28.07 Kawempe-Bwaise'!N47)</f>
        <v>0</v>
      </c>
      <c r="O47" s="15">
        <f t="shared" si="0"/>
        <v>118.71428571428572</v>
      </c>
      <c r="P47" s="15">
        <f t="shared" si="1"/>
        <v>308</v>
      </c>
    </row>
    <row r="48" spans="2:32" ht="23.1" customHeight="1" x14ac:dyDescent="0.25">
      <c r="B48" s="24" t="s">
        <v>75</v>
      </c>
      <c r="C48" s="49">
        <f>AVERAGE('22.07 kawempe-Bwaise'!C48,'23.07 Kawempe-Bwaise'!C48,'24.07 Kawempe-Bwaise'!C48,'25.07 Kawempe-Bwaise'!C48,'26.07 Kawempe-Bwaise-24h'!C48,'27.07 Kawempe-Bwaise-24h'!C48,'28.07 Kawempe-Bwaise'!C48)</f>
        <v>36.714285714285715</v>
      </c>
      <c r="D48" s="49">
        <f>AVERAGE('22.07 kawempe-Bwaise'!D48,'23.07 Kawempe-Bwaise'!D48,'24.07 Kawempe-Bwaise'!D48,'25.07 Kawempe-Bwaise'!D48,'26.07 Kawempe-Bwaise-24h'!D48,'27.07 Kawempe-Bwaise-24h'!D48,'28.07 Kawempe-Bwaise'!D48)</f>
        <v>13.428571428571429</v>
      </c>
      <c r="E48" s="49">
        <f>AVERAGE('22.07 kawempe-Bwaise'!E48,'23.07 Kawempe-Bwaise'!E48,'24.07 Kawempe-Bwaise'!E48,'25.07 Kawempe-Bwaise'!E48,'26.07 Kawempe-Bwaise-24h'!E48,'27.07 Kawempe-Bwaise-24h'!E48,'28.07 Kawempe-Bwaise'!E48)</f>
        <v>12.857142857142858</v>
      </c>
      <c r="F48" s="49">
        <f>AVERAGE('22.07 kawempe-Bwaise'!F48,'23.07 Kawempe-Bwaise'!F48,'24.07 Kawempe-Bwaise'!F48,'25.07 Kawempe-Bwaise'!F48,'26.07 Kawempe-Bwaise-24h'!F48,'27.07 Kawempe-Bwaise-24h'!F48,'28.07 Kawempe-Bwaise'!F48)</f>
        <v>43.285714285714285</v>
      </c>
      <c r="G48" s="49">
        <f>AVERAGE('22.07 kawempe-Bwaise'!G48,'23.07 Kawempe-Bwaise'!G48,'24.07 Kawempe-Bwaise'!G48,'25.07 Kawempe-Bwaise'!G48,'26.07 Kawempe-Bwaise-24h'!G48,'27.07 Kawempe-Bwaise-24h'!G48,'28.07 Kawempe-Bwaise'!G48)</f>
        <v>1.2857142857142858</v>
      </c>
      <c r="H48" s="49">
        <f>AVERAGE('22.07 kawempe-Bwaise'!H48,'23.07 Kawempe-Bwaise'!H48,'24.07 Kawempe-Bwaise'!H48,'25.07 Kawempe-Bwaise'!H48,'26.07 Kawempe-Bwaise-24h'!H48,'27.07 Kawempe-Bwaise-24h'!H48,'28.07 Kawempe-Bwaise'!H48)</f>
        <v>1.1428571428571428</v>
      </c>
      <c r="I48" s="49">
        <f>AVERAGE('22.07 kawempe-Bwaise'!I48,'23.07 Kawempe-Bwaise'!I48,'24.07 Kawempe-Bwaise'!I48,'25.07 Kawempe-Bwaise'!I48,'26.07 Kawempe-Bwaise-24h'!I48,'27.07 Kawempe-Bwaise-24h'!I48,'28.07 Kawempe-Bwaise'!I48)</f>
        <v>9</v>
      </c>
      <c r="J48" s="49">
        <f>AVERAGE('22.07 kawempe-Bwaise'!J48,'23.07 Kawempe-Bwaise'!J48,'24.07 Kawempe-Bwaise'!J48,'25.07 Kawempe-Bwaise'!J48,'26.07 Kawempe-Bwaise-24h'!J48,'27.07 Kawempe-Bwaise-24h'!J48,'28.07 Kawempe-Bwaise'!J48)</f>
        <v>8.5714285714285712</v>
      </c>
      <c r="K48" s="49">
        <f>AVERAGE('22.07 kawempe-Bwaise'!K48,'23.07 Kawempe-Bwaise'!K48,'24.07 Kawempe-Bwaise'!K48,'25.07 Kawempe-Bwaise'!K48,'26.07 Kawempe-Bwaise-24h'!K48,'27.07 Kawempe-Bwaise-24h'!K48,'28.07 Kawempe-Bwaise'!K48)</f>
        <v>2.2857142857142856</v>
      </c>
      <c r="L48" s="49">
        <f>AVERAGE('22.07 kawempe-Bwaise'!L48,'23.07 Kawempe-Bwaise'!L48,'24.07 Kawempe-Bwaise'!L48,'25.07 Kawempe-Bwaise'!L48,'26.07 Kawempe-Bwaise-24h'!L48,'27.07 Kawempe-Bwaise-24h'!L48,'28.07 Kawempe-Bwaise'!L48)</f>
        <v>2.2857142857142856</v>
      </c>
      <c r="M48" s="49">
        <f>AVERAGE('22.07 kawempe-Bwaise'!M48,'23.07 Kawempe-Bwaise'!M48,'24.07 Kawempe-Bwaise'!M48,'25.07 Kawempe-Bwaise'!M48,'26.07 Kawempe-Bwaise-24h'!M48,'27.07 Kawempe-Bwaise-24h'!M48,'28.07 Kawempe-Bwaise'!M48)</f>
        <v>179.42857142857142</v>
      </c>
      <c r="N48" s="49">
        <f>AVERAGE('22.07 kawempe-Bwaise'!N48,'23.07 Kawempe-Bwaise'!N48,'24.07 Kawempe-Bwaise'!N48,'25.07 Kawempe-Bwaise'!N48,'26.07 Kawempe-Bwaise-24h'!N48,'27.07 Kawempe-Bwaise-24h'!N48,'28.07 Kawempe-Bwaise'!N48)</f>
        <v>0</v>
      </c>
      <c r="O48" s="15">
        <f t="shared" si="0"/>
        <v>130.85714285714283</v>
      </c>
      <c r="P48" s="15">
        <f t="shared" si="1"/>
        <v>310.28571428571422</v>
      </c>
    </row>
    <row r="49" spans="2:20" ht="23.1" customHeight="1" x14ac:dyDescent="0.25">
      <c r="B49" s="23" t="s">
        <v>76</v>
      </c>
      <c r="C49" s="49">
        <f>AVERAGE('22.07 kawempe-Bwaise'!C49,'23.07 Kawempe-Bwaise'!C49,'24.07 Kawempe-Bwaise'!C49,'25.07 Kawempe-Bwaise'!C49,'26.07 Kawempe-Bwaise-24h'!C49,'27.07 Kawempe-Bwaise-24h'!C49,'28.07 Kawempe-Bwaise'!C49)</f>
        <v>40.571428571428569</v>
      </c>
      <c r="D49" s="49">
        <f>AVERAGE('22.07 kawempe-Bwaise'!D49,'23.07 Kawempe-Bwaise'!D49,'24.07 Kawempe-Bwaise'!D49,'25.07 Kawempe-Bwaise'!D49,'26.07 Kawempe-Bwaise-24h'!D49,'27.07 Kawempe-Bwaise-24h'!D49,'28.07 Kawempe-Bwaise'!D49)</f>
        <v>10.714285714285714</v>
      </c>
      <c r="E49" s="49">
        <f>AVERAGE('22.07 kawempe-Bwaise'!E49,'23.07 Kawempe-Bwaise'!E49,'24.07 Kawempe-Bwaise'!E49,'25.07 Kawempe-Bwaise'!E49,'26.07 Kawempe-Bwaise-24h'!E49,'27.07 Kawempe-Bwaise-24h'!E49,'28.07 Kawempe-Bwaise'!E49)</f>
        <v>7.4285714285714288</v>
      </c>
      <c r="F49" s="49">
        <f>AVERAGE('22.07 kawempe-Bwaise'!F49,'23.07 Kawempe-Bwaise'!F49,'24.07 Kawempe-Bwaise'!F49,'25.07 Kawempe-Bwaise'!F49,'26.07 Kawempe-Bwaise-24h'!F49,'27.07 Kawempe-Bwaise-24h'!F49,'28.07 Kawempe-Bwaise'!F49)</f>
        <v>39</v>
      </c>
      <c r="G49" s="49">
        <f>AVERAGE('22.07 kawempe-Bwaise'!G49,'23.07 Kawempe-Bwaise'!G49,'24.07 Kawempe-Bwaise'!G49,'25.07 Kawempe-Bwaise'!G49,'26.07 Kawempe-Bwaise-24h'!G49,'27.07 Kawempe-Bwaise-24h'!G49,'28.07 Kawempe-Bwaise'!G49)</f>
        <v>1.4285714285714286</v>
      </c>
      <c r="H49" s="49">
        <f>AVERAGE('22.07 kawempe-Bwaise'!H49,'23.07 Kawempe-Bwaise'!H49,'24.07 Kawempe-Bwaise'!H49,'25.07 Kawempe-Bwaise'!H49,'26.07 Kawempe-Bwaise-24h'!H49,'27.07 Kawempe-Bwaise-24h'!H49,'28.07 Kawempe-Bwaise'!H49)</f>
        <v>2</v>
      </c>
      <c r="I49" s="49">
        <f>AVERAGE('22.07 kawempe-Bwaise'!I49,'23.07 Kawempe-Bwaise'!I49,'24.07 Kawempe-Bwaise'!I49,'25.07 Kawempe-Bwaise'!I49,'26.07 Kawempe-Bwaise-24h'!I49,'27.07 Kawempe-Bwaise-24h'!I49,'28.07 Kawempe-Bwaise'!I49)</f>
        <v>7.1428571428571432</v>
      </c>
      <c r="J49" s="49">
        <f>AVERAGE('22.07 kawempe-Bwaise'!J49,'23.07 Kawempe-Bwaise'!J49,'24.07 Kawempe-Bwaise'!J49,'25.07 Kawempe-Bwaise'!J49,'26.07 Kawempe-Bwaise-24h'!J49,'27.07 Kawempe-Bwaise-24h'!J49,'28.07 Kawempe-Bwaise'!J49)</f>
        <v>7.2857142857142856</v>
      </c>
      <c r="K49" s="49">
        <f>AVERAGE('22.07 kawempe-Bwaise'!K49,'23.07 Kawempe-Bwaise'!K49,'24.07 Kawempe-Bwaise'!K49,'25.07 Kawempe-Bwaise'!K49,'26.07 Kawempe-Bwaise-24h'!K49,'27.07 Kawempe-Bwaise-24h'!K49,'28.07 Kawempe-Bwaise'!K49)</f>
        <v>2.4285714285714284</v>
      </c>
      <c r="L49" s="49">
        <f>AVERAGE('22.07 kawempe-Bwaise'!L49,'23.07 Kawempe-Bwaise'!L49,'24.07 Kawempe-Bwaise'!L49,'25.07 Kawempe-Bwaise'!L49,'26.07 Kawempe-Bwaise-24h'!L49,'27.07 Kawempe-Bwaise-24h'!L49,'28.07 Kawempe-Bwaise'!L49)</f>
        <v>4</v>
      </c>
      <c r="M49" s="49">
        <f>AVERAGE('22.07 kawempe-Bwaise'!M49,'23.07 Kawempe-Bwaise'!M49,'24.07 Kawempe-Bwaise'!M49,'25.07 Kawempe-Bwaise'!M49,'26.07 Kawempe-Bwaise-24h'!M49,'27.07 Kawempe-Bwaise-24h'!M49,'28.07 Kawempe-Bwaise'!M49)</f>
        <v>157.42857142857142</v>
      </c>
      <c r="N49" s="49">
        <f>AVERAGE('22.07 kawempe-Bwaise'!N49,'23.07 Kawempe-Bwaise'!N49,'24.07 Kawempe-Bwaise'!N49,'25.07 Kawempe-Bwaise'!N49,'26.07 Kawempe-Bwaise-24h'!N49,'27.07 Kawempe-Bwaise-24h'!N49,'28.07 Kawempe-Bwaise'!N49)</f>
        <v>0</v>
      </c>
      <c r="O49" s="15">
        <f t="shared" si="0"/>
        <v>122.00000000000001</v>
      </c>
      <c r="P49" s="15">
        <f t="shared" si="1"/>
        <v>279.42857142857144</v>
      </c>
    </row>
    <row r="50" spans="2:20" ht="23.1" customHeight="1" x14ac:dyDescent="0.25">
      <c r="B50" s="24" t="s">
        <v>77</v>
      </c>
      <c r="C50" s="49">
        <f>AVERAGE('22.07 kawempe-Bwaise'!C50,'23.07 Kawempe-Bwaise'!C50,'24.07 Kawempe-Bwaise'!C50,'25.07 Kawempe-Bwaise'!C50,'26.07 Kawempe-Bwaise-24h'!C50,'27.07 Kawempe-Bwaise-24h'!C50,'28.07 Kawempe-Bwaise'!C50)</f>
        <v>32.571428571428569</v>
      </c>
      <c r="D50" s="49">
        <f>AVERAGE('22.07 kawempe-Bwaise'!D50,'23.07 Kawempe-Bwaise'!D50,'24.07 Kawempe-Bwaise'!D50,'25.07 Kawempe-Bwaise'!D50,'26.07 Kawempe-Bwaise-24h'!D50,'27.07 Kawempe-Bwaise-24h'!D50,'28.07 Kawempe-Bwaise'!D50)</f>
        <v>12.857142857142858</v>
      </c>
      <c r="E50" s="49">
        <f>AVERAGE('22.07 kawempe-Bwaise'!E50,'23.07 Kawempe-Bwaise'!E50,'24.07 Kawempe-Bwaise'!E50,'25.07 Kawempe-Bwaise'!E50,'26.07 Kawempe-Bwaise-24h'!E50,'27.07 Kawempe-Bwaise-24h'!E50,'28.07 Kawempe-Bwaise'!E50)</f>
        <v>7</v>
      </c>
      <c r="F50" s="49">
        <f>AVERAGE('22.07 kawempe-Bwaise'!F50,'23.07 Kawempe-Bwaise'!F50,'24.07 Kawempe-Bwaise'!F50,'25.07 Kawempe-Bwaise'!F50,'26.07 Kawempe-Bwaise-24h'!F50,'27.07 Kawempe-Bwaise-24h'!F50,'28.07 Kawempe-Bwaise'!F50)</f>
        <v>39.285714285714285</v>
      </c>
      <c r="G50" s="49">
        <f>AVERAGE('22.07 kawempe-Bwaise'!G50,'23.07 Kawempe-Bwaise'!G50,'24.07 Kawempe-Bwaise'!G50,'25.07 Kawempe-Bwaise'!G50,'26.07 Kawempe-Bwaise-24h'!G50,'27.07 Kawempe-Bwaise-24h'!G50,'28.07 Kawempe-Bwaise'!G50)</f>
        <v>1.5714285714285714</v>
      </c>
      <c r="H50" s="49">
        <f>AVERAGE('22.07 kawempe-Bwaise'!H50,'23.07 Kawempe-Bwaise'!H50,'24.07 Kawempe-Bwaise'!H50,'25.07 Kawempe-Bwaise'!H50,'26.07 Kawempe-Bwaise-24h'!H50,'27.07 Kawempe-Bwaise-24h'!H50,'28.07 Kawempe-Bwaise'!H50)</f>
        <v>1.1428571428571428</v>
      </c>
      <c r="I50" s="49">
        <f>AVERAGE('22.07 kawempe-Bwaise'!I50,'23.07 Kawempe-Bwaise'!I50,'24.07 Kawempe-Bwaise'!I50,'25.07 Kawempe-Bwaise'!I50,'26.07 Kawempe-Bwaise-24h'!I50,'27.07 Kawempe-Bwaise-24h'!I50,'28.07 Kawempe-Bwaise'!I50)</f>
        <v>7.5714285714285712</v>
      </c>
      <c r="J50" s="49">
        <f>AVERAGE('22.07 kawempe-Bwaise'!J50,'23.07 Kawempe-Bwaise'!J50,'24.07 Kawempe-Bwaise'!J50,'25.07 Kawempe-Bwaise'!J50,'26.07 Kawempe-Bwaise-24h'!J50,'27.07 Kawempe-Bwaise-24h'!J50,'28.07 Kawempe-Bwaise'!J50)</f>
        <v>5</v>
      </c>
      <c r="K50" s="49">
        <f>AVERAGE('22.07 kawempe-Bwaise'!K50,'23.07 Kawempe-Bwaise'!K50,'24.07 Kawempe-Bwaise'!K50,'25.07 Kawempe-Bwaise'!K50,'26.07 Kawempe-Bwaise-24h'!K50,'27.07 Kawempe-Bwaise-24h'!K50,'28.07 Kawempe-Bwaise'!K50)</f>
        <v>2.1428571428571428</v>
      </c>
      <c r="L50" s="49">
        <f>AVERAGE('22.07 kawempe-Bwaise'!L50,'23.07 Kawempe-Bwaise'!L50,'24.07 Kawempe-Bwaise'!L50,'25.07 Kawempe-Bwaise'!L50,'26.07 Kawempe-Bwaise-24h'!L50,'27.07 Kawempe-Bwaise-24h'!L50,'28.07 Kawempe-Bwaise'!L50)</f>
        <v>3.1428571428571428</v>
      </c>
      <c r="M50" s="49">
        <f>AVERAGE('22.07 kawempe-Bwaise'!M50,'23.07 Kawempe-Bwaise'!M50,'24.07 Kawempe-Bwaise'!M50,'25.07 Kawempe-Bwaise'!M50,'26.07 Kawempe-Bwaise-24h'!M50,'27.07 Kawempe-Bwaise-24h'!M50,'28.07 Kawempe-Bwaise'!M50)</f>
        <v>186</v>
      </c>
      <c r="N50" s="49">
        <f>AVERAGE('22.07 kawempe-Bwaise'!N50,'23.07 Kawempe-Bwaise'!N50,'24.07 Kawempe-Bwaise'!N50,'25.07 Kawempe-Bwaise'!N50,'26.07 Kawempe-Bwaise-24h'!N50,'27.07 Kawempe-Bwaise-24h'!N50,'28.07 Kawempe-Bwaise'!N50)</f>
        <v>0</v>
      </c>
      <c r="O50" s="15">
        <f t="shared" si="0"/>
        <v>112.28571428571428</v>
      </c>
      <c r="P50" s="15">
        <f t="shared" si="1"/>
        <v>298.28571428571428</v>
      </c>
    </row>
    <row r="51" spans="2:20" ht="23.1" customHeight="1" x14ac:dyDescent="0.25">
      <c r="B51" s="24" t="s">
        <v>78</v>
      </c>
      <c r="C51" s="49">
        <f>AVERAGE('22.07 kawempe-Bwaise'!C51,'23.07 Kawempe-Bwaise'!C51,'24.07 Kawempe-Bwaise'!C51,'25.07 Kawempe-Bwaise'!C51,'26.07 Kawempe-Bwaise-24h'!C51,'27.07 Kawempe-Bwaise-24h'!C51,'28.07 Kawempe-Bwaise'!C51)</f>
        <v>34.714285714285715</v>
      </c>
      <c r="D51" s="49">
        <f>AVERAGE('22.07 kawempe-Bwaise'!D51,'23.07 Kawempe-Bwaise'!D51,'24.07 Kawempe-Bwaise'!D51,'25.07 Kawempe-Bwaise'!D51,'26.07 Kawempe-Bwaise-24h'!D51,'27.07 Kawempe-Bwaise-24h'!D51,'28.07 Kawempe-Bwaise'!D51)</f>
        <v>8.7142857142857135</v>
      </c>
      <c r="E51" s="49">
        <f>AVERAGE('22.07 kawempe-Bwaise'!E51,'23.07 Kawempe-Bwaise'!E51,'24.07 Kawempe-Bwaise'!E51,'25.07 Kawempe-Bwaise'!E51,'26.07 Kawempe-Bwaise-24h'!E51,'27.07 Kawempe-Bwaise-24h'!E51,'28.07 Kawempe-Bwaise'!E51)</f>
        <v>5.8571428571428568</v>
      </c>
      <c r="F51" s="49">
        <f>AVERAGE('22.07 kawempe-Bwaise'!F51,'23.07 Kawempe-Bwaise'!F51,'24.07 Kawempe-Bwaise'!F51,'25.07 Kawempe-Bwaise'!F51,'26.07 Kawempe-Bwaise-24h'!F51,'27.07 Kawempe-Bwaise-24h'!F51,'28.07 Kawempe-Bwaise'!F51)</f>
        <v>41.857142857142854</v>
      </c>
      <c r="G51" s="49">
        <f>AVERAGE('22.07 kawempe-Bwaise'!G51,'23.07 Kawempe-Bwaise'!G51,'24.07 Kawempe-Bwaise'!G51,'25.07 Kawempe-Bwaise'!G51,'26.07 Kawempe-Bwaise-24h'!G51,'27.07 Kawempe-Bwaise-24h'!G51,'28.07 Kawempe-Bwaise'!G51)</f>
        <v>1.5714285714285714</v>
      </c>
      <c r="H51" s="49">
        <f>AVERAGE('22.07 kawempe-Bwaise'!H51,'23.07 Kawempe-Bwaise'!H51,'24.07 Kawempe-Bwaise'!H51,'25.07 Kawempe-Bwaise'!H51,'26.07 Kawempe-Bwaise-24h'!H51,'27.07 Kawempe-Bwaise-24h'!H51,'28.07 Kawempe-Bwaise'!H51)</f>
        <v>0.42857142857142855</v>
      </c>
      <c r="I51" s="49">
        <f>AVERAGE('22.07 kawempe-Bwaise'!I51,'23.07 Kawempe-Bwaise'!I51,'24.07 Kawempe-Bwaise'!I51,'25.07 Kawempe-Bwaise'!I51,'26.07 Kawempe-Bwaise-24h'!I51,'27.07 Kawempe-Bwaise-24h'!I51,'28.07 Kawempe-Bwaise'!I51)</f>
        <v>5</v>
      </c>
      <c r="J51" s="49">
        <f>AVERAGE('22.07 kawempe-Bwaise'!J51,'23.07 Kawempe-Bwaise'!J51,'24.07 Kawempe-Bwaise'!J51,'25.07 Kawempe-Bwaise'!J51,'26.07 Kawempe-Bwaise-24h'!J51,'27.07 Kawempe-Bwaise-24h'!J51,'28.07 Kawempe-Bwaise'!J51)</f>
        <v>5.7142857142857144</v>
      </c>
      <c r="K51" s="49">
        <f>AVERAGE('22.07 kawempe-Bwaise'!K51,'23.07 Kawempe-Bwaise'!K51,'24.07 Kawempe-Bwaise'!K51,'25.07 Kawempe-Bwaise'!K51,'26.07 Kawempe-Bwaise-24h'!K51,'27.07 Kawempe-Bwaise-24h'!K51,'28.07 Kawempe-Bwaise'!K51)</f>
        <v>2.2857142857142856</v>
      </c>
      <c r="L51" s="49">
        <f>AVERAGE('22.07 kawempe-Bwaise'!L51,'23.07 Kawempe-Bwaise'!L51,'24.07 Kawempe-Bwaise'!L51,'25.07 Kawempe-Bwaise'!L51,'26.07 Kawempe-Bwaise-24h'!L51,'27.07 Kawempe-Bwaise-24h'!L51,'28.07 Kawempe-Bwaise'!L51)</f>
        <v>3.2857142857142856</v>
      </c>
      <c r="M51" s="49">
        <f>AVERAGE('22.07 kawempe-Bwaise'!M51,'23.07 Kawempe-Bwaise'!M51,'24.07 Kawempe-Bwaise'!M51,'25.07 Kawempe-Bwaise'!M51,'26.07 Kawempe-Bwaise-24h'!M51,'27.07 Kawempe-Bwaise-24h'!M51,'28.07 Kawempe-Bwaise'!M51)</f>
        <v>186.71428571428572</v>
      </c>
      <c r="N51" s="49">
        <f>AVERAGE('22.07 kawempe-Bwaise'!N51,'23.07 Kawempe-Bwaise'!N51,'24.07 Kawempe-Bwaise'!N51,'25.07 Kawempe-Bwaise'!N51,'26.07 Kawempe-Bwaise-24h'!N51,'27.07 Kawempe-Bwaise-24h'!N51,'28.07 Kawempe-Bwaise'!N51)</f>
        <v>0</v>
      </c>
      <c r="O51" s="15">
        <f t="shared" si="0"/>
        <v>109.42857142857143</v>
      </c>
      <c r="P51" s="15">
        <f t="shared" si="1"/>
        <v>296.14285714285717</v>
      </c>
      <c r="R51" s="8"/>
      <c r="T51"/>
    </row>
    <row r="52" spans="2:20" ht="23.1" customHeight="1" x14ac:dyDescent="0.25">
      <c r="B52" s="24" t="s">
        <v>79</v>
      </c>
      <c r="C52" s="49">
        <f>AVERAGE('22.07 kawempe-Bwaise'!C52,'23.07 Kawempe-Bwaise'!C52,'24.07 Kawempe-Bwaise'!C52,'25.07 Kawempe-Bwaise'!C52,'26.07 Kawempe-Bwaise-24h'!C52,'27.07 Kawempe-Bwaise-24h'!C52,'28.07 Kawempe-Bwaise'!C52)</f>
        <v>28.571428571428573</v>
      </c>
      <c r="D52" s="49">
        <f>AVERAGE('22.07 kawempe-Bwaise'!D52,'23.07 Kawempe-Bwaise'!D52,'24.07 Kawempe-Bwaise'!D52,'25.07 Kawempe-Bwaise'!D52,'26.07 Kawempe-Bwaise-24h'!D52,'27.07 Kawempe-Bwaise-24h'!D52,'28.07 Kawempe-Bwaise'!D52)</f>
        <v>9.8571428571428577</v>
      </c>
      <c r="E52" s="49">
        <f>AVERAGE('22.07 kawempe-Bwaise'!E52,'23.07 Kawempe-Bwaise'!E52,'24.07 Kawempe-Bwaise'!E52,'25.07 Kawempe-Bwaise'!E52,'26.07 Kawempe-Bwaise-24h'!E52,'27.07 Kawempe-Bwaise-24h'!E52,'28.07 Kawempe-Bwaise'!E52)</f>
        <v>5</v>
      </c>
      <c r="F52" s="49">
        <f>AVERAGE('22.07 kawempe-Bwaise'!F52,'23.07 Kawempe-Bwaise'!F52,'24.07 Kawempe-Bwaise'!F52,'25.07 Kawempe-Bwaise'!F52,'26.07 Kawempe-Bwaise-24h'!F52,'27.07 Kawempe-Bwaise-24h'!F52,'28.07 Kawempe-Bwaise'!F52)</f>
        <v>42.857142857142854</v>
      </c>
      <c r="G52" s="49">
        <f>AVERAGE('22.07 kawempe-Bwaise'!G52,'23.07 Kawempe-Bwaise'!G52,'24.07 Kawempe-Bwaise'!G52,'25.07 Kawempe-Bwaise'!G52,'26.07 Kawempe-Bwaise-24h'!G52,'27.07 Kawempe-Bwaise-24h'!G52,'28.07 Kawempe-Bwaise'!G52)</f>
        <v>2.1428571428571428</v>
      </c>
      <c r="H52" s="49">
        <f>AVERAGE('22.07 kawempe-Bwaise'!H52,'23.07 Kawempe-Bwaise'!H52,'24.07 Kawempe-Bwaise'!H52,'25.07 Kawempe-Bwaise'!H52,'26.07 Kawempe-Bwaise-24h'!H52,'27.07 Kawempe-Bwaise-24h'!H52,'28.07 Kawempe-Bwaise'!H52)</f>
        <v>0.8571428571428571</v>
      </c>
      <c r="I52" s="49">
        <f>AVERAGE('22.07 kawempe-Bwaise'!I52,'23.07 Kawempe-Bwaise'!I52,'24.07 Kawempe-Bwaise'!I52,'25.07 Kawempe-Bwaise'!I52,'26.07 Kawempe-Bwaise-24h'!I52,'27.07 Kawempe-Bwaise-24h'!I52,'28.07 Kawempe-Bwaise'!I52)</f>
        <v>7.8571428571428568</v>
      </c>
      <c r="J52" s="49">
        <f>AVERAGE('22.07 kawempe-Bwaise'!J52,'23.07 Kawempe-Bwaise'!J52,'24.07 Kawempe-Bwaise'!J52,'25.07 Kawempe-Bwaise'!J52,'26.07 Kawempe-Bwaise-24h'!J52,'27.07 Kawempe-Bwaise-24h'!J52,'28.07 Kawempe-Bwaise'!J52)</f>
        <v>4.8571428571428568</v>
      </c>
      <c r="K52" s="49">
        <f>AVERAGE('22.07 kawempe-Bwaise'!K52,'23.07 Kawempe-Bwaise'!K52,'24.07 Kawempe-Bwaise'!K52,'25.07 Kawempe-Bwaise'!K52,'26.07 Kawempe-Bwaise-24h'!K52,'27.07 Kawempe-Bwaise-24h'!K52,'28.07 Kawempe-Bwaise'!K52)</f>
        <v>3.2857142857142856</v>
      </c>
      <c r="L52" s="49">
        <f>AVERAGE('22.07 kawempe-Bwaise'!L52,'23.07 Kawempe-Bwaise'!L52,'24.07 Kawempe-Bwaise'!L52,'25.07 Kawempe-Bwaise'!L52,'26.07 Kawempe-Bwaise-24h'!L52,'27.07 Kawempe-Bwaise-24h'!L52,'28.07 Kawempe-Bwaise'!L52)</f>
        <v>3.7142857142857144</v>
      </c>
      <c r="M52" s="49">
        <f>AVERAGE('22.07 kawempe-Bwaise'!M52,'23.07 Kawempe-Bwaise'!M52,'24.07 Kawempe-Bwaise'!M52,'25.07 Kawempe-Bwaise'!M52,'26.07 Kawempe-Bwaise-24h'!M52,'27.07 Kawempe-Bwaise-24h'!M52,'28.07 Kawempe-Bwaise'!M52)</f>
        <v>217.57142857142858</v>
      </c>
      <c r="N52" s="49">
        <f>AVERAGE('22.07 kawempe-Bwaise'!N52,'23.07 Kawempe-Bwaise'!N52,'24.07 Kawempe-Bwaise'!N52,'25.07 Kawempe-Bwaise'!N52,'26.07 Kawempe-Bwaise-24h'!N52,'27.07 Kawempe-Bwaise-24h'!N52,'28.07 Kawempe-Bwaise'!N52)</f>
        <v>0</v>
      </c>
      <c r="O52" s="15">
        <f t="shared" si="0"/>
        <v>109</v>
      </c>
      <c r="P52" s="15">
        <f t="shared" si="1"/>
        <v>326.57142857142856</v>
      </c>
      <c r="R52" s="8"/>
      <c r="T52"/>
    </row>
    <row r="53" spans="2:20" ht="23.1" customHeight="1" x14ac:dyDescent="0.25">
      <c r="B53" s="23" t="s">
        <v>80</v>
      </c>
      <c r="C53" s="49">
        <f>AVERAGE('22.07 kawempe-Bwaise'!C53,'23.07 Kawempe-Bwaise'!C53,'24.07 Kawempe-Bwaise'!C53,'25.07 Kawempe-Bwaise'!C53,'26.07 Kawempe-Bwaise-24h'!C53,'27.07 Kawempe-Bwaise-24h'!C53,'28.07 Kawempe-Bwaise'!C53)</f>
        <v>28.571428571428573</v>
      </c>
      <c r="D53" s="49">
        <f>AVERAGE('22.07 kawempe-Bwaise'!D53,'23.07 Kawempe-Bwaise'!D53,'24.07 Kawempe-Bwaise'!D53,'25.07 Kawempe-Bwaise'!D53,'26.07 Kawempe-Bwaise-24h'!D53,'27.07 Kawempe-Bwaise-24h'!D53,'28.07 Kawempe-Bwaise'!D53)</f>
        <v>11.285714285714286</v>
      </c>
      <c r="E53" s="49">
        <f>AVERAGE('22.07 kawempe-Bwaise'!E53,'23.07 Kawempe-Bwaise'!E53,'24.07 Kawempe-Bwaise'!E53,'25.07 Kawempe-Bwaise'!E53,'26.07 Kawempe-Bwaise-24h'!E53,'27.07 Kawempe-Bwaise-24h'!E53,'28.07 Kawempe-Bwaise'!E53)</f>
        <v>5.5714285714285712</v>
      </c>
      <c r="F53" s="49">
        <f>AVERAGE('22.07 kawempe-Bwaise'!F53,'23.07 Kawempe-Bwaise'!F53,'24.07 Kawempe-Bwaise'!F53,'25.07 Kawempe-Bwaise'!F53,'26.07 Kawempe-Bwaise-24h'!F53,'27.07 Kawempe-Bwaise-24h'!F53,'28.07 Kawempe-Bwaise'!F53)</f>
        <v>38</v>
      </c>
      <c r="G53" s="49">
        <f>AVERAGE('22.07 kawempe-Bwaise'!G53,'23.07 Kawempe-Bwaise'!G53,'24.07 Kawempe-Bwaise'!G53,'25.07 Kawempe-Bwaise'!G53,'26.07 Kawempe-Bwaise-24h'!G53,'27.07 Kawempe-Bwaise-24h'!G53,'28.07 Kawempe-Bwaise'!G53)</f>
        <v>1.7142857142857142</v>
      </c>
      <c r="H53" s="49">
        <f>AVERAGE('22.07 kawempe-Bwaise'!H53,'23.07 Kawempe-Bwaise'!H53,'24.07 Kawempe-Bwaise'!H53,'25.07 Kawempe-Bwaise'!H53,'26.07 Kawempe-Bwaise-24h'!H53,'27.07 Kawempe-Bwaise-24h'!H53,'28.07 Kawempe-Bwaise'!H53)</f>
        <v>0.2857142857142857</v>
      </c>
      <c r="I53" s="49">
        <f>AVERAGE('22.07 kawempe-Bwaise'!I53,'23.07 Kawempe-Bwaise'!I53,'24.07 Kawempe-Bwaise'!I53,'25.07 Kawempe-Bwaise'!I53,'26.07 Kawempe-Bwaise-24h'!I53,'27.07 Kawempe-Bwaise-24h'!I53,'28.07 Kawempe-Bwaise'!I53)</f>
        <v>6.5714285714285712</v>
      </c>
      <c r="J53" s="49">
        <f>AVERAGE('22.07 kawempe-Bwaise'!J53,'23.07 Kawempe-Bwaise'!J53,'24.07 Kawempe-Bwaise'!J53,'25.07 Kawempe-Bwaise'!J53,'26.07 Kawempe-Bwaise-24h'!J53,'27.07 Kawempe-Bwaise-24h'!J53,'28.07 Kawempe-Bwaise'!J53)</f>
        <v>3.7142857142857144</v>
      </c>
      <c r="K53" s="49">
        <f>AVERAGE('22.07 kawempe-Bwaise'!K53,'23.07 Kawempe-Bwaise'!K53,'24.07 Kawempe-Bwaise'!K53,'25.07 Kawempe-Bwaise'!K53,'26.07 Kawempe-Bwaise-24h'!K53,'27.07 Kawempe-Bwaise-24h'!K53,'28.07 Kawempe-Bwaise'!K53)</f>
        <v>3.4285714285714284</v>
      </c>
      <c r="L53" s="49">
        <f>AVERAGE('22.07 kawempe-Bwaise'!L53,'23.07 Kawempe-Bwaise'!L53,'24.07 Kawempe-Bwaise'!L53,'25.07 Kawempe-Bwaise'!L53,'26.07 Kawempe-Bwaise-24h'!L53,'27.07 Kawempe-Bwaise-24h'!L53,'28.07 Kawempe-Bwaise'!L53)</f>
        <v>1.1428571428571428</v>
      </c>
      <c r="M53" s="49">
        <f>AVERAGE('22.07 kawempe-Bwaise'!M53,'23.07 Kawempe-Bwaise'!M53,'24.07 Kawempe-Bwaise'!M53,'25.07 Kawempe-Bwaise'!M53,'26.07 Kawempe-Bwaise-24h'!M53,'27.07 Kawempe-Bwaise-24h'!M53,'28.07 Kawempe-Bwaise'!M53)</f>
        <v>188.71428571428572</v>
      </c>
      <c r="N53" s="49">
        <f>AVERAGE('22.07 kawempe-Bwaise'!N53,'23.07 Kawempe-Bwaise'!N53,'24.07 Kawempe-Bwaise'!N53,'25.07 Kawempe-Bwaise'!N53,'26.07 Kawempe-Bwaise-24h'!N53,'27.07 Kawempe-Bwaise-24h'!N53,'28.07 Kawempe-Bwaise'!N53)</f>
        <v>0</v>
      </c>
      <c r="O53" s="15">
        <f t="shared" si="0"/>
        <v>100.28571428571428</v>
      </c>
      <c r="P53" s="15">
        <f t="shared" si="1"/>
        <v>289</v>
      </c>
      <c r="R53" s="8"/>
      <c r="T53"/>
    </row>
    <row r="54" spans="2:20" ht="23.1" customHeight="1" x14ac:dyDescent="0.25">
      <c r="B54" s="23" t="s">
        <v>81</v>
      </c>
      <c r="C54" s="49">
        <f>AVERAGE('22.07 kawempe-Bwaise'!C54,'23.07 Kawempe-Bwaise'!C54,'24.07 Kawempe-Bwaise'!C54,'25.07 Kawempe-Bwaise'!C54,'26.07 Kawempe-Bwaise-24h'!C54,'27.07 Kawempe-Bwaise-24h'!C54,'28.07 Kawempe-Bwaise'!C54)</f>
        <v>34.571428571428569</v>
      </c>
      <c r="D54" s="49">
        <f>AVERAGE('22.07 kawempe-Bwaise'!D54,'23.07 Kawempe-Bwaise'!D54,'24.07 Kawempe-Bwaise'!D54,'25.07 Kawempe-Bwaise'!D54,'26.07 Kawempe-Bwaise-24h'!D54,'27.07 Kawempe-Bwaise-24h'!D54,'28.07 Kawempe-Bwaise'!D54)</f>
        <v>11.857142857142858</v>
      </c>
      <c r="E54" s="49">
        <f>AVERAGE('22.07 kawempe-Bwaise'!E54,'23.07 Kawempe-Bwaise'!E54,'24.07 Kawempe-Bwaise'!E54,'25.07 Kawempe-Bwaise'!E54,'26.07 Kawempe-Bwaise-24h'!E54,'27.07 Kawempe-Bwaise-24h'!E54,'28.07 Kawempe-Bwaise'!E54)</f>
        <v>4</v>
      </c>
      <c r="F54" s="49">
        <f>AVERAGE('22.07 kawempe-Bwaise'!F54,'23.07 Kawempe-Bwaise'!F54,'24.07 Kawempe-Bwaise'!F54,'25.07 Kawempe-Bwaise'!F54,'26.07 Kawempe-Bwaise-24h'!F54,'27.07 Kawempe-Bwaise-24h'!F54,'28.07 Kawempe-Bwaise'!F54)</f>
        <v>39.285714285714285</v>
      </c>
      <c r="G54" s="49">
        <f>AVERAGE('22.07 kawempe-Bwaise'!G54,'23.07 Kawempe-Bwaise'!G54,'24.07 Kawempe-Bwaise'!G54,'25.07 Kawempe-Bwaise'!G54,'26.07 Kawempe-Bwaise-24h'!G54,'27.07 Kawempe-Bwaise-24h'!G54,'28.07 Kawempe-Bwaise'!G54)</f>
        <v>2.1428571428571428</v>
      </c>
      <c r="H54" s="49">
        <f>AVERAGE('22.07 kawempe-Bwaise'!H54,'23.07 Kawempe-Bwaise'!H54,'24.07 Kawempe-Bwaise'!H54,'25.07 Kawempe-Bwaise'!H54,'26.07 Kawempe-Bwaise-24h'!H54,'27.07 Kawempe-Bwaise-24h'!H54,'28.07 Kawempe-Bwaise'!H54)</f>
        <v>0.7142857142857143</v>
      </c>
      <c r="I54" s="49">
        <f>AVERAGE('22.07 kawempe-Bwaise'!I54,'23.07 Kawempe-Bwaise'!I54,'24.07 Kawempe-Bwaise'!I54,'25.07 Kawempe-Bwaise'!I54,'26.07 Kawempe-Bwaise-24h'!I54,'27.07 Kawempe-Bwaise-24h'!I54,'28.07 Kawempe-Bwaise'!I54)</f>
        <v>7.2857142857142856</v>
      </c>
      <c r="J54" s="49">
        <f>AVERAGE('22.07 kawempe-Bwaise'!J54,'23.07 Kawempe-Bwaise'!J54,'24.07 Kawempe-Bwaise'!J54,'25.07 Kawempe-Bwaise'!J54,'26.07 Kawempe-Bwaise-24h'!J54,'27.07 Kawempe-Bwaise-24h'!J54,'28.07 Kawempe-Bwaise'!J54)</f>
        <v>5.8571428571428568</v>
      </c>
      <c r="K54" s="49">
        <f>AVERAGE('22.07 kawempe-Bwaise'!K54,'23.07 Kawempe-Bwaise'!K54,'24.07 Kawempe-Bwaise'!K54,'25.07 Kawempe-Bwaise'!K54,'26.07 Kawempe-Bwaise-24h'!K54,'27.07 Kawempe-Bwaise-24h'!K54,'28.07 Kawempe-Bwaise'!K54)</f>
        <v>2.8571428571428572</v>
      </c>
      <c r="L54" s="49">
        <f>AVERAGE('22.07 kawempe-Bwaise'!L54,'23.07 Kawempe-Bwaise'!L54,'24.07 Kawempe-Bwaise'!L54,'25.07 Kawempe-Bwaise'!L54,'26.07 Kawempe-Bwaise-24h'!L54,'27.07 Kawempe-Bwaise-24h'!L54,'28.07 Kawempe-Bwaise'!L54)</f>
        <v>1.2857142857142858</v>
      </c>
      <c r="M54" s="49">
        <f>AVERAGE('22.07 kawempe-Bwaise'!M54,'23.07 Kawempe-Bwaise'!M54,'24.07 Kawempe-Bwaise'!M54,'25.07 Kawempe-Bwaise'!M54,'26.07 Kawempe-Bwaise-24h'!M54,'27.07 Kawempe-Bwaise-24h'!M54,'28.07 Kawempe-Bwaise'!M54)</f>
        <v>216.71428571428572</v>
      </c>
      <c r="N54" s="49">
        <f>AVERAGE('22.07 kawempe-Bwaise'!N54,'23.07 Kawempe-Bwaise'!N54,'24.07 Kawempe-Bwaise'!N54,'25.07 Kawempe-Bwaise'!N54,'26.07 Kawempe-Bwaise-24h'!N54,'27.07 Kawempe-Bwaise-24h'!N54,'28.07 Kawempe-Bwaise'!N54)</f>
        <v>0</v>
      </c>
      <c r="O54" s="15">
        <f t="shared" si="0"/>
        <v>109.85714285714288</v>
      </c>
      <c r="P54" s="15">
        <f t="shared" si="1"/>
        <v>326.57142857142861</v>
      </c>
      <c r="R54" s="8"/>
      <c r="T54"/>
    </row>
    <row r="55" spans="2:20" ht="23.1" customHeight="1" x14ac:dyDescent="0.25">
      <c r="B55" s="23" t="s">
        <v>82</v>
      </c>
      <c r="C55" s="49">
        <f>AVERAGE('22.07 kawempe-Bwaise'!C55,'23.07 Kawempe-Bwaise'!C55,'24.07 Kawempe-Bwaise'!C55,'25.07 Kawempe-Bwaise'!C55,'26.07 Kawempe-Bwaise-24h'!C55,'27.07 Kawempe-Bwaise-24h'!C55,'28.07 Kawempe-Bwaise'!C55)</f>
        <v>30.428571428571427</v>
      </c>
      <c r="D55" s="49">
        <f>AVERAGE('22.07 kawempe-Bwaise'!D55,'23.07 Kawempe-Bwaise'!D55,'24.07 Kawempe-Bwaise'!D55,'25.07 Kawempe-Bwaise'!D55,'26.07 Kawempe-Bwaise-24h'!D55,'27.07 Kawempe-Bwaise-24h'!D55,'28.07 Kawempe-Bwaise'!D55)</f>
        <v>10.428571428571429</v>
      </c>
      <c r="E55" s="49">
        <f>AVERAGE('22.07 kawempe-Bwaise'!E55,'23.07 Kawempe-Bwaise'!E55,'24.07 Kawempe-Bwaise'!E55,'25.07 Kawempe-Bwaise'!E55,'26.07 Kawempe-Bwaise-24h'!E55,'27.07 Kawempe-Bwaise-24h'!E55,'28.07 Kawempe-Bwaise'!E55)</f>
        <v>5.8571428571428568</v>
      </c>
      <c r="F55" s="49">
        <f>AVERAGE('22.07 kawempe-Bwaise'!F55,'23.07 Kawempe-Bwaise'!F55,'24.07 Kawempe-Bwaise'!F55,'25.07 Kawempe-Bwaise'!F55,'26.07 Kawempe-Bwaise-24h'!F55,'27.07 Kawempe-Bwaise-24h'!F55,'28.07 Kawempe-Bwaise'!F55)</f>
        <v>43</v>
      </c>
      <c r="G55" s="49">
        <f>AVERAGE('22.07 kawempe-Bwaise'!G55,'23.07 Kawempe-Bwaise'!G55,'24.07 Kawempe-Bwaise'!G55,'25.07 Kawempe-Bwaise'!G55,'26.07 Kawempe-Bwaise-24h'!G55,'27.07 Kawempe-Bwaise-24h'!G55,'28.07 Kawempe-Bwaise'!G55)</f>
        <v>2.2857142857142856</v>
      </c>
      <c r="H55" s="49">
        <f>AVERAGE('22.07 kawempe-Bwaise'!H55,'23.07 Kawempe-Bwaise'!H55,'24.07 Kawempe-Bwaise'!H55,'25.07 Kawempe-Bwaise'!H55,'26.07 Kawempe-Bwaise-24h'!H55,'27.07 Kawempe-Bwaise-24h'!H55,'28.07 Kawempe-Bwaise'!H55)</f>
        <v>0.8571428571428571</v>
      </c>
      <c r="I55" s="49">
        <f>AVERAGE('22.07 kawempe-Bwaise'!I55,'23.07 Kawempe-Bwaise'!I55,'24.07 Kawempe-Bwaise'!I55,'25.07 Kawempe-Bwaise'!I55,'26.07 Kawempe-Bwaise-24h'!I55,'27.07 Kawempe-Bwaise-24h'!I55,'28.07 Kawempe-Bwaise'!I55)</f>
        <v>4.7142857142857144</v>
      </c>
      <c r="J55" s="49">
        <f>AVERAGE('22.07 kawempe-Bwaise'!J55,'23.07 Kawempe-Bwaise'!J55,'24.07 Kawempe-Bwaise'!J55,'25.07 Kawempe-Bwaise'!J55,'26.07 Kawempe-Bwaise-24h'!J55,'27.07 Kawempe-Bwaise-24h'!J55,'28.07 Kawempe-Bwaise'!J55)</f>
        <v>4.2857142857142856</v>
      </c>
      <c r="K55" s="49">
        <f>AVERAGE('22.07 kawempe-Bwaise'!K55,'23.07 Kawempe-Bwaise'!K55,'24.07 Kawempe-Bwaise'!K55,'25.07 Kawempe-Bwaise'!K55,'26.07 Kawempe-Bwaise-24h'!K55,'27.07 Kawempe-Bwaise-24h'!K55,'28.07 Kawempe-Bwaise'!K55)</f>
        <v>3.2857142857142856</v>
      </c>
      <c r="L55" s="49">
        <f>AVERAGE('22.07 kawempe-Bwaise'!L55,'23.07 Kawempe-Bwaise'!L55,'24.07 Kawempe-Bwaise'!L55,'25.07 Kawempe-Bwaise'!L55,'26.07 Kawempe-Bwaise-24h'!L55,'27.07 Kawempe-Bwaise-24h'!L55,'28.07 Kawempe-Bwaise'!L55)</f>
        <v>1.7142857142857142</v>
      </c>
      <c r="M55" s="49">
        <f>AVERAGE('22.07 kawempe-Bwaise'!M55,'23.07 Kawempe-Bwaise'!M55,'24.07 Kawempe-Bwaise'!M55,'25.07 Kawempe-Bwaise'!M55,'26.07 Kawempe-Bwaise-24h'!M55,'27.07 Kawempe-Bwaise-24h'!M55,'28.07 Kawempe-Bwaise'!M55)</f>
        <v>207.14285714285714</v>
      </c>
      <c r="N55" s="49">
        <f>AVERAGE('22.07 kawempe-Bwaise'!N55,'23.07 Kawempe-Bwaise'!N55,'24.07 Kawempe-Bwaise'!N55,'25.07 Kawempe-Bwaise'!N55,'26.07 Kawempe-Bwaise-24h'!N55,'27.07 Kawempe-Bwaise-24h'!N55,'28.07 Kawempe-Bwaise'!N55)</f>
        <v>0</v>
      </c>
      <c r="O55" s="15">
        <f t="shared" si="0"/>
        <v>106.85714285714286</v>
      </c>
      <c r="P55" s="15">
        <f t="shared" si="1"/>
        <v>314</v>
      </c>
      <c r="R55" s="8"/>
      <c r="T55"/>
    </row>
    <row r="56" spans="2:20" ht="23.1" customHeight="1" x14ac:dyDescent="0.25">
      <c r="B56" s="23" t="s">
        <v>83</v>
      </c>
      <c r="C56" s="49">
        <f>AVERAGE('22.07 kawempe-Bwaise'!C56,'23.07 Kawempe-Bwaise'!C56,'24.07 Kawempe-Bwaise'!C56,'25.07 Kawempe-Bwaise'!C56,'26.07 Kawempe-Bwaise-24h'!C56,'27.07 Kawempe-Bwaise-24h'!C56,'28.07 Kawempe-Bwaise'!C56)</f>
        <v>26.714285714285715</v>
      </c>
      <c r="D56" s="49">
        <f>AVERAGE('22.07 kawempe-Bwaise'!D56,'23.07 Kawempe-Bwaise'!D56,'24.07 Kawempe-Bwaise'!D56,'25.07 Kawempe-Bwaise'!D56,'26.07 Kawempe-Bwaise-24h'!D56,'27.07 Kawempe-Bwaise-24h'!D56,'28.07 Kawempe-Bwaise'!D56)</f>
        <v>11</v>
      </c>
      <c r="E56" s="49">
        <f>AVERAGE('22.07 kawempe-Bwaise'!E56,'23.07 Kawempe-Bwaise'!E56,'24.07 Kawempe-Bwaise'!E56,'25.07 Kawempe-Bwaise'!E56,'26.07 Kawempe-Bwaise-24h'!E56,'27.07 Kawempe-Bwaise-24h'!E56,'28.07 Kawempe-Bwaise'!E56)</f>
        <v>4.2857142857142856</v>
      </c>
      <c r="F56" s="49">
        <f>AVERAGE('22.07 kawempe-Bwaise'!F56,'23.07 Kawempe-Bwaise'!F56,'24.07 Kawempe-Bwaise'!F56,'25.07 Kawempe-Bwaise'!F56,'26.07 Kawempe-Bwaise-24h'!F56,'27.07 Kawempe-Bwaise-24h'!F56,'28.07 Kawempe-Bwaise'!F56)</f>
        <v>43</v>
      </c>
      <c r="G56" s="49">
        <f>AVERAGE('22.07 kawempe-Bwaise'!G56,'23.07 Kawempe-Bwaise'!G56,'24.07 Kawempe-Bwaise'!G56,'25.07 Kawempe-Bwaise'!G56,'26.07 Kawempe-Bwaise-24h'!G56,'27.07 Kawempe-Bwaise-24h'!G56,'28.07 Kawempe-Bwaise'!G56)</f>
        <v>1.7142857142857142</v>
      </c>
      <c r="H56" s="49">
        <f>AVERAGE('22.07 kawempe-Bwaise'!H56,'23.07 Kawempe-Bwaise'!H56,'24.07 Kawempe-Bwaise'!H56,'25.07 Kawempe-Bwaise'!H56,'26.07 Kawempe-Bwaise-24h'!H56,'27.07 Kawempe-Bwaise-24h'!H56,'28.07 Kawempe-Bwaise'!H56)</f>
        <v>0.8571428571428571</v>
      </c>
      <c r="I56" s="49">
        <f>AVERAGE('22.07 kawempe-Bwaise'!I56,'23.07 Kawempe-Bwaise'!I56,'24.07 Kawempe-Bwaise'!I56,'25.07 Kawempe-Bwaise'!I56,'26.07 Kawempe-Bwaise-24h'!I56,'27.07 Kawempe-Bwaise-24h'!I56,'28.07 Kawempe-Bwaise'!I56)</f>
        <v>5.2857142857142856</v>
      </c>
      <c r="J56" s="49">
        <f>AVERAGE('22.07 kawempe-Bwaise'!J56,'23.07 Kawempe-Bwaise'!J56,'24.07 Kawempe-Bwaise'!J56,'25.07 Kawempe-Bwaise'!J56,'26.07 Kawempe-Bwaise-24h'!J56,'27.07 Kawempe-Bwaise-24h'!J56,'28.07 Kawempe-Bwaise'!J56)</f>
        <v>4.1428571428571432</v>
      </c>
      <c r="K56" s="49">
        <f>AVERAGE('22.07 kawempe-Bwaise'!K56,'23.07 Kawempe-Bwaise'!K56,'24.07 Kawempe-Bwaise'!K56,'25.07 Kawempe-Bwaise'!K56,'26.07 Kawempe-Bwaise-24h'!K56,'27.07 Kawempe-Bwaise-24h'!K56,'28.07 Kawempe-Bwaise'!K56)</f>
        <v>3.4285714285714284</v>
      </c>
      <c r="L56" s="49">
        <f>AVERAGE('22.07 kawempe-Bwaise'!L56,'23.07 Kawempe-Bwaise'!L56,'24.07 Kawempe-Bwaise'!L56,'25.07 Kawempe-Bwaise'!L56,'26.07 Kawempe-Bwaise-24h'!L56,'27.07 Kawempe-Bwaise-24h'!L56,'28.07 Kawempe-Bwaise'!L56)</f>
        <v>2.8571428571428572</v>
      </c>
      <c r="M56" s="49">
        <f>AVERAGE('22.07 kawempe-Bwaise'!M56,'23.07 Kawempe-Bwaise'!M56,'24.07 Kawempe-Bwaise'!M56,'25.07 Kawempe-Bwaise'!M56,'26.07 Kawempe-Bwaise-24h'!M56,'27.07 Kawempe-Bwaise-24h'!M56,'28.07 Kawempe-Bwaise'!M56)</f>
        <v>219.42857142857142</v>
      </c>
      <c r="N56" s="49">
        <f>AVERAGE('22.07 kawempe-Bwaise'!N56,'23.07 Kawempe-Bwaise'!N56,'24.07 Kawempe-Bwaise'!N56,'25.07 Kawempe-Bwaise'!N56,'26.07 Kawempe-Bwaise-24h'!N56,'27.07 Kawempe-Bwaise-24h'!N56,'28.07 Kawempe-Bwaise'!N56)</f>
        <v>0</v>
      </c>
      <c r="O56" s="15">
        <f t="shared" si="0"/>
        <v>103.28571428571429</v>
      </c>
      <c r="P56" s="15">
        <f t="shared" si="1"/>
        <v>322.71428571428572</v>
      </c>
      <c r="R56" s="8"/>
      <c r="T56"/>
    </row>
    <row r="57" spans="2:20" ht="23.1" customHeight="1" x14ac:dyDescent="0.25">
      <c r="B57" s="23" t="s">
        <v>84</v>
      </c>
      <c r="C57" s="49">
        <f>AVERAGE('22.07 kawempe-Bwaise'!C57,'23.07 Kawempe-Bwaise'!C57,'24.07 Kawempe-Bwaise'!C57,'25.07 Kawempe-Bwaise'!C57,'26.07 Kawempe-Bwaise-24h'!C57,'27.07 Kawempe-Bwaise-24h'!C57,'28.07 Kawempe-Bwaise'!C57)</f>
        <v>20.142857142857142</v>
      </c>
      <c r="D57" s="49">
        <f>AVERAGE('22.07 kawempe-Bwaise'!D57,'23.07 Kawempe-Bwaise'!D57,'24.07 Kawempe-Bwaise'!D57,'25.07 Kawempe-Bwaise'!D57,'26.07 Kawempe-Bwaise-24h'!D57,'27.07 Kawempe-Bwaise-24h'!D57,'28.07 Kawempe-Bwaise'!D57)</f>
        <v>8.1428571428571423</v>
      </c>
      <c r="E57" s="49">
        <f>AVERAGE('22.07 kawempe-Bwaise'!E57,'23.07 Kawempe-Bwaise'!E57,'24.07 Kawempe-Bwaise'!E57,'25.07 Kawempe-Bwaise'!E57,'26.07 Kawempe-Bwaise-24h'!E57,'27.07 Kawempe-Bwaise-24h'!E57,'28.07 Kawempe-Bwaise'!E57)</f>
        <v>4.2857142857142856</v>
      </c>
      <c r="F57" s="49">
        <f>AVERAGE('22.07 kawempe-Bwaise'!F57,'23.07 Kawempe-Bwaise'!F57,'24.07 Kawempe-Bwaise'!F57,'25.07 Kawempe-Bwaise'!F57,'26.07 Kawempe-Bwaise-24h'!F57,'27.07 Kawempe-Bwaise-24h'!F57,'28.07 Kawempe-Bwaise'!F57)</f>
        <v>40.714285714285715</v>
      </c>
      <c r="G57" s="49">
        <f>AVERAGE('22.07 kawempe-Bwaise'!G57,'23.07 Kawempe-Bwaise'!G57,'24.07 Kawempe-Bwaise'!G57,'25.07 Kawempe-Bwaise'!G57,'26.07 Kawempe-Bwaise-24h'!G57,'27.07 Kawempe-Bwaise-24h'!G57,'28.07 Kawempe-Bwaise'!G57)</f>
        <v>1.4285714285714286</v>
      </c>
      <c r="H57" s="49">
        <f>AVERAGE('22.07 kawempe-Bwaise'!H57,'23.07 Kawempe-Bwaise'!H57,'24.07 Kawempe-Bwaise'!H57,'25.07 Kawempe-Bwaise'!H57,'26.07 Kawempe-Bwaise-24h'!H57,'27.07 Kawempe-Bwaise-24h'!H57,'28.07 Kawempe-Bwaise'!H57)</f>
        <v>1.8571428571428572</v>
      </c>
      <c r="I57" s="49">
        <f>AVERAGE('22.07 kawempe-Bwaise'!I57,'23.07 Kawempe-Bwaise'!I57,'24.07 Kawempe-Bwaise'!I57,'25.07 Kawempe-Bwaise'!I57,'26.07 Kawempe-Bwaise-24h'!I57,'27.07 Kawempe-Bwaise-24h'!I57,'28.07 Kawempe-Bwaise'!I57)</f>
        <v>4.1428571428571432</v>
      </c>
      <c r="J57" s="49">
        <f>AVERAGE('22.07 kawempe-Bwaise'!J57,'23.07 Kawempe-Bwaise'!J57,'24.07 Kawempe-Bwaise'!J57,'25.07 Kawempe-Bwaise'!J57,'26.07 Kawempe-Bwaise-24h'!J57,'27.07 Kawempe-Bwaise-24h'!J57,'28.07 Kawempe-Bwaise'!J57)</f>
        <v>3.8571428571428572</v>
      </c>
      <c r="K57" s="49">
        <f>AVERAGE('22.07 kawempe-Bwaise'!K57,'23.07 Kawempe-Bwaise'!K57,'24.07 Kawempe-Bwaise'!K57,'25.07 Kawempe-Bwaise'!K57,'26.07 Kawempe-Bwaise-24h'!K57,'27.07 Kawempe-Bwaise-24h'!K57,'28.07 Kawempe-Bwaise'!K57)</f>
        <v>3</v>
      </c>
      <c r="L57" s="49">
        <f>AVERAGE('22.07 kawempe-Bwaise'!L57,'23.07 Kawempe-Bwaise'!L57,'24.07 Kawempe-Bwaise'!L57,'25.07 Kawempe-Bwaise'!L57,'26.07 Kawempe-Bwaise-24h'!L57,'27.07 Kawempe-Bwaise-24h'!L57,'28.07 Kawempe-Bwaise'!L57)</f>
        <v>1.4285714285714286</v>
      </c>
      <c r="M57" s="49">
        <f>AVERAGE('22.07 kawempe-Bwaise'!M57,'23.07 Kawempe-Bwaise'!M57,'24.07 Kawempe-Bwaise'!M57,'25.07 Kawempe-Bwaise'!M57,'26.07 Kawempe-Bwaise-24h'!M57,'27.07 Kawempe-Bwaise-24h'!M57,'28.07 Kawempe-Bwaise'!M57)</f>
        <v>183.85714285714286</v>
      </c>
      <c r="N57" s="49">
        <f>AVERAGE('22.07 kawempe-Bwaise'!N57,'23.07 Kawempe-Bwaise'!N57,'24.07 Kawempe-Bwaise'!N57,'25.07 Kawempe-Bwaise'!N57,'26.07 Kawempe-Bwaise-24h'!N57,'27.07 Kawempe-Bwaise-24h'!N57,'28.07 Kawempe-Bwaise'!N57)</f>
        <v>0</v>
      </c>
      <c r="O57" s="15">
        <f t="shared" si="0"/>
        <v>89</v>
      </c>
      <c r="P57" s="15">
        <f t="shared" si="1"/>
        <v>272.85714285714289</v>
      </c>
      <c r="R57" s="8"/>
      <c r="T57"/>
    </row>
    <row r="58" spans="2:20" ht="23.1" customHeight="1" x14ac:dyDescent="0.25">
      <c r="B58" s="23" t="s">
        <v>99</v>
      </c>
      <c r="C58" s="49">
        <f>AVERAGE('26.07 Kawempe-Bwaise-24h'!C58,'27.07 Kawempe-Bwaise-24h'!C58)</f>
        <v>36</v>
      </c>
      <c r="D58" s="49">
        <f>AVERAGE('26.07 Kawempe-Bwaise-24h'!D58,'27.07 Kawempe-Bwaise-24h'!D58)</f>
        <v>2.5</v>
      </c>
      <c r="E58" s="49">
        <f>AVERAGE('26.07 Kawempe-Bwaise-24h'!E58,'27.07 Kawempe-Bwaise-24h'!E58)</f>
        <v>2.5</v>
      </c>
      <c r="F58" s="49">
        <f>AVERAGE('26.07 Kawempe-Bwaise-24h'!F58,'27.07 Kawempe-Bwaise-24h'!F58)</f>
        <v>28.5</v>
      </c>
      <c r="G58" s="49">
        <f>AVERAGE('26.07 Kawempe-Bwaise-24h'!G58,'27.07 Kawempe-Bwaise-24h'!G58)</f>
        <v>1</v>
      </c>
      <c r="H58" s="49">
        <f>AVERAGE('26.07 Kawempe-Bwaise-24h'!H58,'27.07 Kawempe-Bwaise-24h'!H58)</f>
        <v>2</v>
      </c>
      <c r="I58" s="49">
        <f>AVERAGE('26.07 Kawempe-Bwaise-24h'!I58,'27.07 Kawempe-Bwaise-24h'!I58)</f>
        <v>3</v>
      </c>
      <c r="J58" s="49">
        <f>AVERAGE('26.07 Kawempe-Bwaise-24h'!J58,'27.07 Kawempe-Bwaise-24h'!J58)</f>
        <v>2</v>
      </c>
      <c r="K58" s="49">
        <f>AVERAGE('26.07 Kawempe-Bwaise-24h'!K58,'27.07 Kawempe-Bwaise-24h'!K58)</f>
        <v>1</v>
      </c>
      <c r="L58" s="49">
        <f>AVERAGE('26.07 Kawempe-Bwaise-24h'!L58,'27.07 Kawempe-Bwaise-24h'!L58)</f>
        <v>1.5</v>
      </c>
      <c r="M58" s="49">
        <f>AVERAGE('26.07 Kawempe-Bwaise-24h'!M58,'27.07 Kawempe-Bwaise-24h'!M58)</f>
        <v>127.5</v>
      </c>
      <c r="N58" s="49">
        <f>AVERAGE('26.07 Kawempe-Bwaise-24h'!N58,'27.07 Kawempe-Bwaise-24h'!N58)</f>
        <v>0</v>
      </c>
      <c r="O58" s="15">
        <f t="shared" si="0"/>
        <v>80</v>
      </c>
      <c r="P58" s="15">
        <f t="shared" si="1"/>
        <v>207.5</v>
      </c>
      <c r="R58" s="8"/>
      <c r="T58"/>
    </row>
    <row r="59" spans="2:20" ht="23.1" customHeight="1" x14ac:dyDescent="0.25">
      <c r="B59" s="23" t="s">
        <v>100</v>
      </c>
      <c r="C59" s="49">
        <f>AVERAGE('26.07 Kawempe-Bwaise-24h'!C59,'27.07 Kawempe-Bwaise-24h'!C59)</f>
        <v>37.5</v>
      </c>
      <c r="D59" s="49">
        <f>AVERAGE('26.07 Kawempe-Bwaise-24h'!D59,'27.07 Kawempe-Bwaise-24h'!D59)</f>
        <v>2</v>
      </c>
      <c r="E59" s="49">
        <f>AVERAGE('26.07 Kawempe-Bwaise-24h'!E59,'27.07 Kawempe-Bwaise-24h'!E59)</f>
        <v>4</v>
      </c>
      <c r="F59" s="49">
        <f>AVERAGE('26.07 Kawempe-Bwaise-24h'!F59,'27.07 Kawempe-Bwaise-24h'!F59)</f>
        <v>22</v>
      </c>
      <c r="G59" s="49">
        <f>AVERAGE('26.07 Kawempe-Bwaise-24h'!G59,'27.07 Kawempe-Bwaise-24h'!G59)</f>
        <v>0.5</v>
      </c>
      <c r="H59" s="49">
        <f>AVERAGE('26.07 Kawempe-Bwaise-24h'!H59,'27.07 Kawempe-Bwaise-24h'!H59)</f>
        <v>1.5</v>
      </c>
      <c r="I59" s="49">
        <f>AVERAGE('26.07 Kawempe-Bwaise-24h'!I59,'27.07 Kawempe-Bwaise-24h'!I59)</f>
        <v>2.5</v>
      </c>
      <c r="J59" s="49">
        <f>AVERAGE('26.07 Kawempe-Bwaise-24h'!J59,'27.07 Kawempe-Bwaise-24h'!J59)</f>
        <v>4.5</v>
      </c>
      <c r="K59" s="49">
        <f>AVERAGE('26.07 Kawempe-Bwaise-24h'!K59,'27.07 Kawempe-Bwaise-24h'!K59)</f>
        <v>1</v>
      </c>
      <c r="L59" s="49">
        <f>AVERAGE('26.07 Kawempe-Bwaise-24h'!L59,'27.07 Kawempe-Bwaise-24h'!L59)</f>
        <v>2.5</v>
      </c>
      <c r="M59" s="49">
        <f>AVERAGE('26.07 Kawempe-Bwaise-24h'!M59,'27.07 Kawempe-Bwaise-24h'!M59)</f>
        <v>157.5</v>
      </c>
      <c r="N59" s="49">
        <f>AVERAGE('26.07 Kawempe-Bwaise-24h'!N59,'27.07 Kawempe-Bwaise-24h'!N59)</f>
        <v>0</v>
      </c>
      <c r="O59" s="15">
        <f t="shared" si="0"/>
        <v>78</v>
      </c>
      <c r="P59" s="15">
        <f t="shared" si="1"/>
        <v>235.5</v>
      </c>
      <c r="R59" s="8"/>
      <c r="T59"/>
    </row>
    <row r="60" spans="2:20" ht="23.1" customHeight="1" x14ac:dyDescent="0.25">
      <c r="B60" s="23" t="s">
        <v>101</v>
      </c>
      <c r="C60" s="49">
        <f>AVERAGE('26.07 Kawempe-Bwaise-24h'!C60,'27.07 Kawempe-Bwaise-24h'!C60)</f>
        <v>41.5</v>
      </c>
      <c r="D60" s="49">
        <f>AVERAGE('26.07 Kawempe-Bwaise-24h'!D60,'27.07 Kawempe-Bwaise-24h'!D60)</f>
        <v>1.5</v>
      </c>
      <c r="E60" s="49">
        <f>AVERAGE('26.07 Kawempe-Bwaise-24h'!E60,'27.07 Kawempe-Bwaise-24h'!E60)</f>
        <v>1.5</v>
      </c>
      <c r="F60" s="49">
        <f>AVERAGE('26.07 Kawempe-Bwaise-24h'!F60,'27.07 Kawempe-Bwaise-24h'!F60)</f>
        <v>34.5</v>
      </c>
      <c r="G60" s="49">
        <f>AVERAGE('26.07 Kawempe-Bwaise-24h'!G60,'27.07 Kawempe-Bwaise-24h'!G60)</f>
        <v>1</v>
      </c>
      <c r="H60" s="49">
        <f>AVERAGE('26.07 Kawempe-Bwaise-24h'!H60,'27.07 Kawempe-Bwaise-24h'!H60)</f>
        <v>3</v>
      </c>
      <c r="I60" s="49">
        <f>AVERAGE('26.07 Kawempe-Bwaise-24h'!I60,'27.07 Kawempe-Bwaise-24h'!I60)</f>
        <v>4</v>
      </c>
      <c r="J60" s="49">
        <f>AVERAGE('26.07 Kawempe-Bwaise-24h'!J60,'27.07 Kawempe-Bwaise-24h'!J60)</f>
        <v>9</v>
      </c>
      <c r="K60" s="49">
        <f>AVERAGE('26.07 Kawempe-Bwaise-24h'!K60,'27.07 Kawempe-Bwaise-24h'!K60)</f>
        <v>0.5</v>
      </c>
      <c r="L60" s="49">
        <f>AVERAGE('26.07 Kawempe-Bwaise-24h'!L60,'27.07 Kawempe-Bwaise-24h'!L60)</f>
        <v>1.5</v>
      </c>
      <c r="M60" s="49">
        <f>AVERAGE('26.07 Kawempe-Bwaise-24h'!M60,'27.07 Kawempe-Bwaise-24h'!M60)</f>
        <v>152.5</v>
      </c>
      <c r="N60" s="49">
        <f>AVERAGE('26.07 Kawempe-Bwaise-24h'!N60,'27.07 Kawempe-Bwaise-24h'!N60)</f>
        <v>0</v>
      </c>
      <c r="O60" s="15">
        <f t="shared" si="0"/>
        <v>98</v>
      </c>
      <c r="P60" s="15">
        <f t="shared" si="1"/>
        <v>250.5</v>
      </c>
      <c r="R60" s="8"/>
      <c r="T60"/>
    </row>
    <row r="61" spans="2:20" ht="23.1" customHeight="1" x14ac:dyDescent="0.25">
      <c r="B61" s="23" t="s">
        <v>102</v>
      </c>
      <c r="C61" s="49">
        <f>AVERAGE('26.07 Kawempe-Bwaise-24h'!C61,'27.07 Kawempe-Bwaise-24h'!C61)</f>
        <v>33.5</v>
      </c>
      <c r="D61" s="49">
        <f>AVERAGE('26.07 Kawempe-Bwaise-24h'!D61,'27.07 Kawempe-Bwaise-24h'!D61)</f>
        <v>2.5</v>
      </c>
      <c r="E61" s="49">
        <f>AVERAGE('26.07 Kawempe-Bwaise-24h'!E61,'27.07 Kawempe-Bwaise-24h'!E61)</f>
        <v>3</v>
      </c>
      <c r="F61" s="49">
        <f>AVERAGE('26.07 Kawempe-Bwaise-24h'!F61,'27.07 Kawempe-Bwaise-24h'!F61)</f>
        <v>35</v>
      </c>
      <c r="G61" s="49">
        <f>AVERAGE('26.07 Kawempe-Bwaise-24h'!G61,'27.07 Kawempe-Bwaise-24h'!G61)</f>
        <v>1</v>
      </c>
      <c r="H61" s="49">
        <f>AVERAGE('26.07 Kawempe-Bwaise-24h'!H61,'27.07 Kawempe-Bwaise-24h'!H61)</f>
        <v>2.5</v>
      </c>
      <c r="I61" s="49">
        <f>AVERAGE('26.07 Kawempe-Bwaise-24h'!I61,'27.07 Kawempe-Bwaise-24h'!I61)</f>
        <v>5.5</v>
      </c>
      <c r="J61" s="49">
        <f>AVERAGE('26.07 Kawempe-Bwaise-24h'!J61,'27.07 Kawempe-Bwaise-24h'!J61)</f>
        <v>5.5</v>
      </c>
      <c r="K61" s="49">
        <f>AVERAGE('26.07 Kawempe-Bwaise-24h'!K61,'27.07 Kawempe-Bwaise-24h'!K61)</f>
        <v>1</v>
      </c>
      <c r="L61" s="49">
        <f>AVERAGE('26.07 Kawempe-Bwaise-24h'!L61,'27.07 Kawempe-Bwaise-24h'!L61)</f>
        <v>1.5</v>
      </c>
      <c r="M61" s="49">
        <f>AVERAGE('26.07 Kawempe-Bwaise-24h'!M61,'27.07 Kawempe-Bwaise-24h'!M61)</f>
        <v>243</v>
      </c>
      <c r="N61" s="49">
        <f>AVERAGE('26.07 Kawempe-Bwaise-24h'!N61,'27.07 Kawempe-Bwaise-24h'!N61)</f>
        <v>0</v>
      </c>
      <c r="O61" s="15">
        <f t="shared" si="0"/>
        <v>91</v>
      </c>
      <c r="P61" s="15">
        <f t="shared" si="1"/>
        <v>334</v>
      </c>
      <c r="R61" s="8"/>
      <c r="T61"/>
    </row>
    <row r="62" spans="2:20" ht="23.1" customHeight="1" x14ac:dyDescent="0.25">
      <c r="B62" s="23" t="s">
        <v>107</v>
      </c>
      <c r="C62" s="49">
        <f>AVERAGE('26.07 Kawempe-Bwaise-24h'!C62,'27.07 Kawempe-Bwaise-24h'!C62)</f>
        <v>32</v>
      </c>
      <c r="D62" s="49">
        <f>AVERAGE('26.07 Kawempe-Bwaise-24h'!D62,'27.07 Kawempe-Bwaise-24h'!D62)</f>
        <v>3.5</v>
      </c>
      <c r="E62" s="49">
        <f>AVERAGE('26.07 Kawempe-Bwaise-24h'!E62,'27.07 Kawempe-Bwaise-24h'!E62)</f>
        <v>1.5</v>
      </c>
      <c r="F62" s="49">
        <f>AVERAGE('26.07 Kawempe-Bwaise-24h'!F62,'27.07 Kawempe-Bwaise-24h'!F62)</f>
        <v>29</v>
      </c>
      <c r="G62" s="49">
        <f>AVERAGE('26.07 Kawempe-Bwaise-24h'!G62,'27.07 Kawempe-Bwaise-24h'!G62)</f>
        <v>1</v>
      </c>
      <c r="H62" s="49">
        <f>AVERAGE('26.07 Kawempe-Bwaise-24h'!H62,'27.07 Kawempe-Bwaise-24h'!H62)</f>
        <v>2</v>
      </c>
      <c r="I62" s="49">
        <f>AVERAGE('26.07 Kawempe-Bwaise-24h'!I62,'27.07 Kawempe-Bwaise-24h'!I62)</f>
        <v>3</v>
      </c>
      <c r="J62" s="49">
        <f>AVERAGE('26.07 Kawempe-Bwaise-24h'!J62,'27.07 Kawempe-Bwaise-24h'!J62)</f>
        <v>3</v>
      </c>
      <c r="K62" s="49">
        <f>AVERAGE('26.07 Kawempe-Bwaise-24h'!K62,'27.07 Kawempe-Bwaise-24h'!K62)</f>
        <v>2</v>
      </c>
      <c r="L62" s="49">
        <f>AVERAGE('26.07 Kawempe-Bwaise-24h'!L62,'27.07 Kawempe-Bwaise-24h'!L62)</f>
        <v>1</v>
      </c>
      <c r="M62" s="49">
        <f>AVERAGE('26.07 Kawempe-Bwaise-24h'!M62,'27.07 Kawempe-Bwaise-24h'!M62)</f>
        <v>172.5</v>
      </c>
      <c r="N62" s="49">
        <f>AVERAGE('26.07 Kawempe-Bwaise-24h'!N62,'27.07 Kawempe-Bwaise-24h'!N62)</f>
        <v>0</v>
      </c>
      <c r="O62" s="15">
        <f t="shared" si="0"/>
        <v>78</v>
      </c>
      <c r="P62" s="15">
        <f t="shared" si="1"/>
        <v>250.5</v>
      </c>
      <c r="R62" s="8"/>
      <c r="T62"/>
    </row>
    <row r="63" spans="2:20" ht="23.1" customHeight="1" x14ac:dyDescent="0.25">
      <c r="B63" s="23" t="s">
        <v>108</v>
      </c>
      <c r="C63" s="49">
        <f>AVERAGE('26.07 Kawempe-Bwaise-24h'!C63,'27.07 Kawempe-Bwaise-24h'!C63)</f>
        <v>31.5</v>
      </c>
      <c r="D63" s="49">
        <f>AVERAGE('26.07 Kawempe-Bwaise-24h'!D63,'27.07 Kawempe-Bwaise-24h'!D63)</f>
        <v>4</v>
      </c>
      <c r="E63" s="49">
        <f>AVERAGE('26.07 Kawempe-Bwaise-24h'!E63,'27.07 Kawempe-Bwaise-24h'!E63)</f>
        <v>3.5</v>
      </c>
      <c r="F63" s="49">
        <f>AVERAGE('26.07 Kawempe-Bwaise-24h'!F63,'27.07 Kawempe-Bwaise-24h'!F63)</f>
        <v>26.5</v>
      </c>
      <c r="G63" s="49">
        <f>AVERAGE('26.07 Kawempe-Bwaise-24h'!G63,'27.07 Kawempe-Bwaise-24h'!G63)</f>
        <v>1</v>
      </c>
      <c r="H63" s="49">
        <f>AVERAGE('26.07 Kawempe-Bwaise-24h'!H63,'27.07 Kawempe-Bwaise-24h'!H63)</f>
        <v>0.5</v>
      </c>
      <c r="I63" s="49">
        <f>AVERAGE('26.07 Kawempe-Bwaise-24h'!I63,'27.07 Kawempe-Bwaise-24h'!I63)</f>
        <v>4</v>
      </c>
      <c r="J63" s="49">
        <f>AVERAGE('26.07 Kawempe-Bwaise-24h'!J63,'27.07 Kawempe-Bwaise-24h'!J63)</f>
        <v>2.5</v>
      </c>
      <c r="K63" s="49">
        <f>AVERAGE('26.07 Kawempe-Bwaise-24h'!K63,'27.07 Kawempe-Bwaise-24h'!K63)</f>
        <v>3.5</v>
      </c>
      <c r="L63" s="49">
        <f>AVERAGE('26.07 Kawempe-Bwaise-24h'!L63,'27.07 Kawempe-Bwaise-24h'!L63)</f>
        <v>0</v>
      </c>
      <c r="M63" s="49">
        <f>AVERAGE('26.07 Kawempe-Bwaise-24h'!M63,'27.07 Kawempe-Bwaise-24h'!M63)</f>
        <v>226.5</v>
      </c>
      <c r="N63" s="49">
        <f>AVERAGE('26.07 Kawempe-Bwaise-24h'!N63,'27.07 Kawempe-Bwaise-24h'!N63)</f>
        <v>0</v>
      </c>
      <c r="O63" s="15">
        <f t="shared" si="0"/>
        <v>77</v>
      </c>
      <c r="P63" s="15">
        <f t="shared" si="1"/>
        <v>303.5</v>
      </c>
      <c r="R63" s="8"/>
      <c r="T63"/>
    </row>
    <row r="64" spans="2:20" ht="23.1" customHeight="1" x14ac:dyDescent="0.25">
      <c r="B64" s="23" t="s">
        <v>109</v>
      </c>
      <c r="C64" s="49">
        <f>AVERAGE('26.07 Kawempe-Bwaise-24h'!C64,'27.07 Kawempe-Bwaise-24h'!C64)</f>
        <v>35</v>
      </c>
      <c r="D64" s="49">
        <f>AVERAGE('26.07 Kawempe-Bwaise-24h'!D64,'27.07 Kawempe-Bwaise-24h'!D64)</f>
        <v>3</v>
      </c>
      <c r="E64" s="49">
        <f>AVERAGE('26.07 Kawempe-Bwaise-24h'!E64,'27.07 Kawempe-Bwaise-24h'!E64)</f>
        <v>4</v>
      </c>
      <c r="F64" s="49">
        <f>AVERAGE('26.07 Kawempe-Bwaise-24h'!F64,'27.07 Kawempe-Bwaise-24h'!F64)</f>
        <v>41.5</v>
      </c>
      <c r="G64" s="49">
        <f>AVERAGE('26.07 Kawempe-Bwaise-24h'!G64,'27.07 Kawempe-Bwaise-24h'!G64)</f>
        <v>0.5</v>
      </c>
      <c r="H64" s="49">
        <f>AVERAGE('26.07 Kawempe-Bwaise-24h'!H64,'27.07 Kawempe-Bwaise-24h'!H64)</f>
        <v>0.5</v>
      </c>
      <c r="I64" s="49">
        <f>AVERAGE('26.07 Kawempe-Bwaise-24h'!I64,'27.07 Kawempe-Bwaise-24h'!I64)</f>
        <v>5</v>
      </c>
      <c r="J64" s="49">
        <f>AVERAGE('26.07 Kawempe-Bwaise-24h'!J64,'27.07 Kawempe-Bwaise-24h'!J64)</f>
        <v>7.5</v>
      </c>
      <c r="K64" s="49">
        <f>AVERAGE('26.07 Kawempe-Bwaise-24h'!K64,'27.07 Kawempe-Bwaise-24h'!K64)</f>
        <v>3</v>
      </c>
      <c r="L64" s="49">
        <f>AVERAGE('26.07 Kawempe-Bwaise-24h'!L64,'27.07 Kawempe-Bwaise-24h'!L64)</f>
        <v>1.5</v>
      </c>
      <c r="M64" s="49">
        <f>AVERAGE('26.07 Kawempe-Bwaise-24h'!M64,'27.07 Kawempe-Bwaise-24h'!M64)</f>
        <v>293</v>
      </c>
      <c r="N64" s="49">
        <f>AVERAGE('26.07 Kawempe-Bwaise-24h'!N64,'27.07 Kawempe-Bwaise-24h'!N64)</f>
        <v>0</v>
      </c>
      <c r="O64" s="15">
        <f t="shared" si="0"/>
        <v>101.5</v>
      </c>
      <c r="P64" s="15">
        <f t="shared" si="1"/>
        <v>394.5</v>
      </c>
      <c r="R64" s="8"/>
      <c r="T64"/>
    </row>
    <row r="65" spans="2:20" ht="23.1" customHeight="1" x14ac:dyDescent="0.25">
      <c r="B65" s="23" t="s">
        <v>158</v>
      </c>
      <c r="C65" s="49">
        <f>AVERAGE('26.07 Kawempe-Bwaise-24h'!C65,'27.07 Kawempe-Bwaise-24h'!C65)</f>
        <v>30.5</v>
      </c>
      <c r="D65" s="49">
        <f>AVERAGE('26.07 Kawempe-Bwaise-24h'!D65,'27.07 Kawempe-Bwaise-24h'!D65)</f>
        <v>3.5</v>
      </c>
      <c r="E65" s="49">
        <f>AVERAGE('26.07 Kawempe-Bwaise-24h'!E65,'27.07 Kawempe-Bwaise-24h'!E65)</f>
        <v>2</v>
      </c>
      <c r="F65" s="49">
        <f>AVERAGE('26.07 Kawempe-Bwaise-24h'!F65,'27.07 Kawempe-Bwaise-24h'!F65)</f>
        <v>25.5</v>
      </c>
      <c r="G65" s="49">
        <f>AVERAGE('26.07 Kawempe-Bwaise-24h'!G65,'27.07 Kawempe-Bwaise-24h'!G65)</f>
        <v>3</v>
      </c>
      <c r="H65" s="49">
        <f>AVERAGE('26.07 Kawempe-Bwaise-24h'!H65,'27.07 Kawempe-Bwaise-24h'!H65)</f>
        <v>2</v>
      </c>
      <c r="I65" s="49">
        <f>AVERAGE('26.07 Kawempe-Bwaise-24h'!I65,'27.07 Kawempe-Bwaise-24h'!I65)</f>
        <v>5.5</v>
      </c>
      <c r="J65" s="49">
        <f>AVERAGE('26.07 Kawempe-Bwaise-24h'!J65,'27.07 Kawempe-Bwaise-24h'!J65)</f>
        <v>3</v>
      </c>
      <c r="K65" s="49">
        <f>AVERAGE('26.07 Kawempe-Bwaise-24h'!K65,'27.07 Kawempe-Bwaise-24h'!K65)</f>
        <v>2</v>
      </c>
      <c r="L65" s="49">
        <f>AVERAGE('26.07 Kawempe-Bwaise-24h'!L65,'27.07 Kawempe-Bwaise-24h'!L65)</f>
        <v>2.5</v>
      </c>
      <c r="M65" s="49">
        <f>AVERAGE('26.07 Kawempe-Bwaise-24h'!M65,'27.07 Kawempe-Bwaise-24h'!M65)</f>
        <v>280</v>
      </c>
      <c r="N65" s="49">
        <f>AVERAGE('26.07 Kawempe-Bwaise-24h'!N65,'27.07 Kawempe-Bwaise-24h'!N65)</f>
        <v>0</v>
      </c>
      <c r="O65" s="15">
        <f t="shared" si="0"/>
        <v>79.5</v>
      </c>
      <c r="P65" s="15">
        <f t="shared" si="1"/>
        <v>359.5</v>
      </c>
      <c r="R65" s="8"/>
      <c r="T65"/>
    </row>
    <row r="66" spans="2:20" ht="23.1" customHeight="1" x14ac:dyDescent="0.25">
      <c r="B66" s="23" t="s">
        <v>103</v>
      </c>
      <c r="C66" s="49">
        <f>AVERAGE('26.07 Kawempe-Bwaise-24h'!C66,'27.07 Kawempe-Bwaise-24h'!C66)</f>
        <v>39.5</v>
      </c>
      <c r="D66" s="49">
        <f>AVERAGE('26.07 Kawempe-Bwaise-24h'!D66,'27.07 Kawempe-Bwaise-24h'!D66)</f>
        <v>2</v>
      </c>
      <c r="E66" s="49">
        <f>AVERAGE('26.07 Kawempe-Bwaise-24h'!E66,'27.07 Kawempe-Bwaise-24h'!E66)</f>
        <v>4.5</v>
      </c>
      <c r="F66" s="49">
        <f>AVERAGE('26.07 Kawempe-Bwaise-24h'!F66,'27.07 Kawempe-Bwaise-24h'!F66)</f>
        <v>36</v>
      </c>
      <c r="G66" s="49">
        <f>AVERAGE('26.07 Kawempe-Bwaise-24h'!G66,'27.07 Kawempe-Bwaise-24h'!G66)</f>
        <v>1.5</v>
      </c>
      <c r="H66" s="49">
        <f>AVERAGE('26.07 Kawempe-Bwaise-24h'!H66,'27.07 Kawempe-Bwaise-24h'!H66)</f>
        <v>1.5</v>
      </c>
      <c r="I66" s="49">
        <f>AVERAGE('26.07 Kawempe-Bwaise-24h'!I66,'27.07 Kawempe-Bwaise-24h'!I66)</f>
        <v>2.5</v>
      </c>
      <c r="J66" s="49">
        <f>AVERAGE('26.07 Kawempe-Bwaise-24h'!J66,'27.07 Kawempe-Bwaise-24h'!J66)</f>
        <v>7</v>
      </c>
      <c r="K66" s="49">
        <f>AVERAGE('26.07 Kawempe-Bwaise-24h'!K66,'27.07 Kawempe-Bwaise-24h'!K66)</f>
        <v>3.5</v>
      </c>
      <c r="L66" s="49">
        <f>AVERAGE('26.07 Kawempe-Bwaise-24h'!L66,'27.07 Kawempe-Bwaise-24h'!L66)</f>
        <v>3</v>
      </c>
      <c r="M66" s="49">
        <f>AVERAGE('26.07 Kawempe-Bwaise-24h'!M66,'27.07 Kawempe-Bwaise-24h'!M66)</f>
        <v>222</v>
      </c>
      <c r="N66" s="49">
        <f>AVERAGE('26.07 Kawempe-Bwaise-24h'!N66,'27.07 Kawempe-Bwaise-24h'!N66)</f>
        <v>0</v>
      </c>
      <c r="O66" s="15">
        <f t="shared" si="0"/>
        <v>101</v>
      </c>
      <c r="P66" s="15">
        <f t="shared" si="1"/>
        <v>323</v>
      </c>
      <c r="R66" s="8"/>
      <c r="T66"/>
    </row>
    <row r="67" spans="2:20" ht="23.1" customHeight="1" x14ac:dyDescent="0.25">
      <c r="B67" s="23" t="s">
        <v>104</v>
      </c>
      <c r="C67" s="49">
        <f>AVERAGE('26.07 Kawempe-Bwaise-24h'!C67,'27.07 Kawempe-Bwaise-24h'!C67)</f>
        <v>33.5</v>
      </c>
      <c r="D67" s="49">
        <f>AVERAGE('26.07 Kawempe-Bwaise-24h'!D67,'27.07 Kawempe-Bwaise-24h'!D67)</f>
        <v>2.5</v>
      </c>
      <c r="E67" s="49">
        <f>AVERAGE('26.07 Kawempe-Bwaise-24h'!E67,'27.07 Kawempe-Bwaise-24h'!E67)</f>
        <v>3</v>
      </c>
      <c r="F67" s="49">
        <f>AVERAGE('26.07 Kawempe-Bwaise-24h'!F67,'27.07 Kawempe-Bwaise-24h'!F67)</f>
        <v>29.5</v>
      </c>
      <c r="G67" s="49">
        <f>AVERAGE('26.07 Kawempe-Bwaise-24h'!G67,'27.07 Kawempe-Bwaise-24h'!G67)</f>
        <v>2</v>
      </c>
      <c r="H67" s="49">
        <f>AVERAGE('26.07 Kawempe-Bwaise-24h'!H67,'27.07 Kawempe-Bwaise-24h'!H67)</f>
        <v>1</v>
      </c>
      <c r="I67" s="49">
        <f>AVERAGE('26.07 Kawempe-Bwaise-24h'!I67,'27.07 Kawempe-Bwaise-24h'!I67)</f>
        <v>8</v>
      </c>
      <c r="J67" s="49">
        <f>AVERAGE('26.07 Kawempe-Bwaise-24h'!J67,'27.07 Kawempe-Bwaise-24h'!J67)</f>
        <v>5</v>
      </c>
      <c r="K67" s="49">
        <f>AVERAGE('26.07 Kawempe-Bwaise-24h'!K67,'27.07 Kawempe-Bwaise-24h'!K67)</f>
        <v>2</v>
      </c>
      <c r="L67" s="49">
        <f>AVERAGE('26.07 Kawempe-Bwaise-24h'!L67,'27.07 Kawempe-Bwaise-24h'!L67)</f>
        <v>3</v>
      </c>
      <c r="M67" s="49">
        <f>AVERAGE('26.07 Kawempe-Bwaise-24h'!M67,'27.07 Kawempe-Bwaise-24h'!M67)</f>
        <v>211.5</v>
      </c>
      <c r="N67" s="49">
        <f>AVERAGE('26.07 Kawempe-Bwaise-24h'!N67,'27.07 Kawempe-Bwaise-24h'!N67)</f>
        <v>0</v>
      </c>
      <c r="O67" s="15">
        <f t="shared" si="0"/>
        <v>89.5</v>
      </c>
      <c r="P67" s="15">
        <f t="shared" si="1"/>
        <v>301</v>
      </c>
      <c r="R67" s="8"/>
      <c r="T67"/>
    </row>
    <row r="68" spans="2:20" ht="23.1" customHeight="1" x14ac:dyDescent="0.25">
      <c r="B68" s="23" t="s">
        <v>105</v>
      </c>
      <c r="C68" s="49">
        <f>AVERAGE('26.07 Kawempe-Bwaise-24h'!C68,'27.07 Kawempe-Bwaise-24h'!C68)</f>
        <v>29</v>
      </c>
      <c r="D68" s="49">
        <f>AVERAGE('26.07 Kawempe-Bwaise-24h'!D68,'27.07 Kawempe-Bwaise-24h'!D68)</f>
        <v>1.5</v>
      </c>
      <c r="E68" s="49">
        <f>AVERAGE('26.07 Kawempe-Bwaise-24h'!E68,'27.07 Kawempe-Bwaise-24h'!E68)</f>
        <v>3.5</v>
      </c>
      <c r="F68" s="49">
        <f>AVERAGE('26.07 Kawempe-Bwaise-24h'!F68,'27.07 Kawempe-Bwaise-24h'!F68)</f>
        <v>20</v>
      </c>
      <c r="G68" s="49">
        <f>AVERAGE('26.07 Kawempe-Bwaise-24h'!G68,'27.07 Kawempe-Bwaise-24h'!G68)</f>
        <v>3</v>
      </c>
      <c r="H68" s="49">
        <f>AVERAGE('26.07 Kawempe-Bwaise-24h'!H68,'27.07 Kawempe-Bwaise-24h'!H68)</f>
        <v>0.5</v>
      </c>
      <c r="I68" s="49">
        <f>AVERAGE('26.07 Kawempe-Bwaise-24h'!I68,'27.07 Kawempe-Bwaise-24h'!I68)</f>
        <v>6</v>
      </c>
      <c r="J68" s="49">
        <f>AVERAGE('26.07 Kawempe-Bwaise-24h'!J68,'27.07 Kawempe-Bwaise-24h'!J68)</f>
        <v>7</v>
      </c>
      <c r="K68" s="49">
        <f>AVERAGE('26.07 Kawempe-Bwaise-24h'!K68,'27.07 Kawempe-Bwaise-24h'!K68)</f>
        <v>1.5</v>
      </c>
      <c r="L68" s="49">
        <f>AVERAGE('26.07 Kawempe-Bwaise-24h'!L68,'27.07 Kawempe-Bwaise-24h'!L68)</f>
        <v>1.5</v>
      </c>
      <c r="M68" s="49">
        <f>AVERAGE('26.07 Kawempe-Bwaise-24h'!M68,'27.07 Kawempe-Bwaise-24h'!M68)</f>
        <v>134.5</v>
      </c>
      <c r="N68" s="49">
        <f>AVERAGE('26.07 Kawempe-Bwaise-24h'!N68,'27.07 Kawempe-Bwaise-24h'!N68)</f>
        <v>0</v>
      </c>
      <c r="O68" s="15">
        <f t="shared" si="0"/>
        <v>73.5</v>
      </c>
      <c r="P68" s="15">
        <f t="shared" si="1"/>
        <v>208</v>
      </c>
      <c r="R68" s="8"/>
      <c r="T68"/>
    </row>
    <row r="69" spans="2:20" ht="23.1" customHeight="1" x14ac:dyDescent="0.25">
      <c r="B69" s="23" t="s">
        <v>106</v>
      </c>
      <c r="C69" s="49">
        <f>AVERAGE('26.07 Kawempe-Bwaise-24h'!C69,'27.07 Kawempe-Bwaise-24h'!C69)</f>
        <v>27.5</v>
      </c>
      <c r="D69" s="49">
        <f>AVERAGE('26.07 Kawempe-Bwaise-24h'!D69,'27.07 Kawempe-Bwaise-24h'!D69)</f>
        <v>2</v>
      </c>
      <c r="E69" s="49">
        <f>AVERAGE('26.07 Kawempe-Bwaise-24h'!E69,'27.07 Kawempe-Bwaise-24h'!E69)</f>
        <v>3</v>
      </c>
      <c r="F69" s="49">
        <f>AVERAGE('26.07 Kawempe-Bwaise-24h'!F69,'27.07 Kawempe-Bwaise-24h'!F69)</f>
        <v>21</v>
      </c>
      <c r="G69" s="49">
        <f>AVERAGE('26.07 Kawempe-Bwaise-24h'!G69,'27.07 Kawempe-Bwaise-24h'!G69)</f>
        <v>3</v>
      </c>
      <c r="H69" s="49">
        <f>AVERAGE('26.07 Kawempe-Bwaise-24h'!H69,'27.07 Kawempe-Bwaise-24h'!H69)</f>
        <v>1.5</v>
      </c>
      <c r="I69" s="49">
        <f>AVERAGE('26.07 Kawempe-Bwaise-24h'!I69,'27.07 Kawempe-Bwaise-24h'!I69)</f>
        <v>3.5</v>
      </c>
      <c r="J69" s="49">
        <f>AVERAGE('26.07 Kawempe-Bwaise-24h'!J69,'27.07 Kawempe-Bwaise-24h'!J69)</f>
        <v>3.5</v>
      </c>
      <c r="K69" s="49">
        <f>AVERAGE('26.07 Kawempe-Bwaise-24h'!K69,'27.07 Kawempe-Bwaise-24h'!K69)</f>
        <v>2</v>
      </c>
      <c r="L69" s="49">
        <f>AVERAGE('26.07 Kawempe-Bwaise-24h'!L69,'27.07 Kawempe-Bwaise-24h'!L69)</f>
        <v>0.5</v>
      </c>
      <c r="M69" s="49">
        <f>AVERAGE('26.07 Kawempe-Bwaise-24h'!M69,'27.07 Kawempe-Bwaise-24h'!M69)</f>
        <v>100</v>
      </c>
      <c r="N69" s="49">
        <f>AVERAGE('26.07 Kawempe-Bwaise-24h'!N69,'27.07 Kawempe-Bwaise-24h'!N69)</f>
        <v>0</v>
      </c>
      <c r="O69" s="15">
        <f t="shared" si="0"/>
        <v>67.5</v>
      </c>
      <c r="P69" s="15">
        <f t="shared" si="1"/>
        <v>167.5</v>
      </c>
      <c r="R69" s="8"/>
      <c r="T69"/>
    </row>
    <row r="70" spans="2:20" ht="23.1" customHeight="1" x14ac:dyDescent="0.25">
      <c r="B70" s="23" t="s">
        <v>110</v>
      </c>
      <c r="C70" s="49">
        <f>AVERAGE('26.07 Kawempe-Bwaise-24h'!C70,'27.07 Kawempe-Bwaise-24h'!C70)</f>
        <v>29</v>
      </c>
      <c r="D70" s="49">
        <f>AVERAGE('26.07 Kawempe-Bwaise-24h'!D70,'27.07 Kawempe-Bwaise-24h'!D70)</f>
        <v>1.5</v>
      </c>
      <c r="E70" s="49">
        <f>AVERAGE('26.07 Kawempe-Bwaise-24h'!E70,'27.07 Kawempe-Bwaise-24h'!E70)</f>
        <v>3.5</v>
      </c>
      <c r="F70" s="49">
        <f>AVERAGE('26.07 Kawempe-Bwaise-24h'!F70,'27.07 Kawempe-Bwaise-24h'!F70)</f>
        <v>15.5</v>
      </c>
      <c r="G70" s="49">
        <f>AVERAGE('26.07 Kawempe-Bwaise-24h'!G70,'27.07 Kawempe-Bwaise-24h'!G70)</f>
        <v>2.5</v>
      </c>
      <c r="H70" s="49">
        <f>AVERAGE('26.07 Kawempe-Bwaise-24h'!H70,'27.07 Kawempe-Bwaise-24h'!H70)</f>
        <v>2</v>
      </c>
      <c r="I70" s="49">
        <f>AVERAGE('26.07 Kawempe-Bwaise-24h'!I70,'27.07 Kawempe-Bwaise-24h'!I70)</f>
        <v>4.5</v>
      </c>
      <c r="J70" s="49">
        <f>AVERAGE('26.07 Kawempe-Bwaise-24h'!J70,'27.07 Kawempe-Bwaise-24h'!J70)</f>
        <v>3.5</v>
      </c>
      <c r="K70" s="49">
        <f>AVERAGE('26.07 Kawempe-Bwaise-24h'!K70,'27.07 Kawempe-Bwaise-24h'!K70)</f>
        <v>1.5</v>
      </c>
      <c r="L70" s="49">
        <f>AVERAGE('26.07 Kawempe-Bwaise-24h'!L70,'27.07 Kawempe-Bwaise-24h'!L70)</f>
        <v>1.5</v>
      </c>
      <c r="M70" s="49">
        <f>AVERAGE('26.07 Kawempe-Bwaise-24h'!M70,'27.07 Kawempe-Bwaise-24h'!M70)</f>
        <v>112.5</v>
      </c>
      <c r="N70" s="49">
        <f>AVERAGE('26.07 Kawempe-Bwaise-24h'!N70,'27.07 Kawempe-Bwaise-24h'!N70)</f>
        <v>0</v>
      </c>
      <c r="O70" s="15">
        <f t="shared" si="0"/>
        <v>65</v>
      </c>
      <c r="P70" s="15">
        <f t="shared" si="1"/>
        <v>177.5</v>
      </c>
      <c r="R70" s="8"/>
      <c r="T70"/>
    </row>
    <row r="71" spans="2:20" ht="23.1" customHeight="1" x14ac:dyDescent="0.25">
      <c r="B71" s="23" t="s">
        <v>111</v>
      </c>
      <c r="C71" s="49">
        <f>AVERAGE('26.07 Kawempe-Bwaise-24h'!C71,'27.07 Kawempe-Bwaise-24h'!C71)</f>
        <v>39</v>
      </c>
      <c r="D71" s="49">
        <f>AVERAGE('26.07 Kawempe-Bwaise-24h'!D71,'27.07 Kawempe-Bwaise-24h'!D71)</f>
        <v>0.5</v>
      </c>
      <c r="E71" s="49">
        <f>AVERAGE('26.07 Kawempe-Bwaise-24h'!E71,'27.07 Kawempe-Bwaise-24h'!E71)</f>
        <v>3</v>
      </c>
      <c r="F71" s="49">
        <f>AVERAGE('26.07 Kawempe-Bwaise-24h'!F71,'27.07 Kawempe-Bwaise-24h'!F71)</f>
        <v>15</v>
      </c>
      <c r="G71" s="49">
        <f>AVERAGE('26.07 Kawempe-Bwaise-24h'!G71,'27.07 Kawempe-Bwaise-24h'!G71)</f>
        <v>1.5</v>
      </c>
      <c r="H71" s="49">
        <f>AVERAGE('26.07 Kawempe-Bwaise-24h'!H71,'27.07 Kawempe-Bwaise-24h'!H71)</f>
        <v>0</v>
      </c>
      <c r="I71" s="49">
        <f>AVERAGE('26.07 Kawempe-Bwaise-24h'!I71,'27.07 Kawempe-Bwaise-24h'!I71)</f>
        <v>7</v>
      </c>
      <c r="J71" s="49">
        <f>AVERAGE('26.07 Kawempe-Bwaise-24h'!J71,'27.07 Kawempe-Bwaise-24h'!J71)</f>
        <v>3.5</v>
      </c>
      <c r="K71" s="49">
        <f>AVERAGE('26.07 Kawempe-Bwaise-24h'!K71,'27.07 Kawempe-Bwaise-24h'!K71)</f>
        <v>2.5</v>
      </c>
      <c r="L71" s="49">
        <f>AVERAGE('26.07 Kawempe-Bwaise-24h'!L71,'27.07 Kawempe-Bwaise-24h'!L71)</f>
        <v>0</v>
      </c>
      <c r="M71" s="49">
        <f>AVERAGE('26.07 Kawempe-Bwaise-24h'!M71,'27.07 Kawempe-Bwaise-24h'!M71)</f>
        <v>134</v>
      </c>
      <c r="N71" s="49">
        <f>AVERAGE('26.07 Kawempe-Bwaise-24h'!N71,'27.07 Kawempe-Bwaise-24h'!N71)</f>
        <v>0</v>
      </c>
      <c r="O71" s="15">
        <f t="shared" si="0"/>
        <v>72</v>
      </c>
      <c r="P71" s="15">
        <f t="shared" si="1"/>
        <v>206</v>
      </c>
      <c r="R71" s="8"/>
      <c r="T71"/>
    </row>
    <row r="72" spans="2:20" ht="23.1" customHeight="1" x14ac:dyDescent="0.25">
      <c r="B72" s="23" t="s">
        <v>112</v>
      </c>
      <c r="C72" s="49">
        <f>AVERAGE('26.07 Kawempe-Bwaise-24h'!C72,'27.07 Kawempe-Bwaise-24h'!C72)</f>
        <v>27.5</v>
      </c>
      <c r="D72" s="49">
        <f>AVERAGE('26.07 Kawempe-Bwaise-24h'!D72,'27.07 Kawempe-Bwaise-24h'!D72)</f>
        <v>2</v>
      </c>
      <c r="E72" s="49">
        <f>AVERAGE('26.07 Kawempe-Bwaise-24h'!E72,'27.07 Kawempe-Bwaise-24h'!E72)</f>
        <v>3</v>
      </c>
      <c r="F72" s="49">
        <f>AVERAGE('26.07 Kawempe-Bwaise-24h'!F72,'27.07 Kawempe-Bwaise-24h'!F72)</f>
        <v>21.5</v>
      </c>
      <c r="G72" s="49">
        <f>AVERAGE('26.07 Kawempe-Bwaise-24h'!G72,'27.07 Kawempe-Bwaise-24h'!G72)</f>
        <v>1</v>
      </c>
      <c r="H72" s="49">
        <f>AVERAGE('26.07 Kawempe-Bwaise-24h'!H72,'27.07 Kawempe-Bwaise-24h'!H72)</f>
        <v>2.5</v>
      </c>
      <c r="I72" s="49">
        <f>AVERAGE('26.07 Kawempe-Bwaise-24h'!I72,'27.07 Kawempe-Bwaise-24h'!I72)</f>
        <v>8</v>
      </c>
      <c r="J72" s="49">
        <f>AVERAGE('26.07 Kawempe-Bwaise-24h'!J72,'27.07 Kawempe-Bwaise-24h'!J72)</f>
        <v>5</v>
      </c>
      <c r="K72" s="49">
        <f>AVERAGE('26.07 Kawempe-Bwaise-24h'!K72,'27.07 Kawempe-Bwaise-24h'!K72)</f>
        <v>3</v>
      </c>
      <c r="L72" s="49">
        <f>AVERAGE('26.07 Kawempe-Bwaise-24h'!L72,'27.07 Kawempe-Bwaise-24h'!L72)</f>
        <v>0.5</v>
      </c>
      <c r="M72" s="49">
        <f>AVERAGE('26.07 Kawempe-Bwaise-24h'!M72,'27.07 Kawempe-Bwaise-24h'!M72)</f>
        <v>137.5</v>
      </c>
      <c r="N72" s="49">
        <f>AVERAGE('26.07 Kawempe-Bwaise-24h'!N72,'27.07 Kawempe-Bwaise-24h'!N72)</f>
        <v>0</v>
      </c>
      <c r="O72" s="15">
        <f t="shared" si="0"/>
        <v>74</v>
      </c>
      <c r="P72" s="15">
        <f t="shared" si="1"/>
        <v>211.5</v>
      </c>
      <c r="R72" s="8"/>
      <c r="T72"/>
    </row>
    <row r="73" spans="2:20" ht="23.1" customHeight="1" x14ac:dyDescent="0.25">
      <c r="B73" s="23" t="s">
        <v>113</v>
      </c>
      <c r="C73" s="49">
        <f>AVERAGE('26.07 Kawempe-Bwaise-24h'!C73,'27.07 Kawempe-Bwaise-24h'!C73)</f>
        <v>33</v>
      </c>
      <c r="D73" s="49">
        <f>AVERAGE('26.07 Kawempe-Bwaise-24h'!D73,'27.07 Kawempe-Bwaise-24h'!D73)</f>
        <v>1.5</v>
      </c>
      <c r="E73" s="49">
        <f>AVERAGE('26.07 Kawempe-Bwaise-24h'!E73,'27.07 Kawempe-Bwaise-24h'!E73)</f>
        <v>5.5</v>
      </c>
      <c r="F73" s="49">
        <f>AVERAGE('26.07 Kawempe-Bwaise-24h'!F73,'27.07 Kawempe-Bwaise-24h'!F73)</f>
        <v>16.5</v>
      </c>
      <c r="G73" s="49">
        <f>AVERAGE('26.07 Kawempe-Bwaise-24h'!G73,'27.07 Kawempe-Bwaise-24h'!G73)</f>
        <v>1.5</v>
      </c>
      <c r="H73" s="49">
        <f>AVERAGE('26.07 Kawempe-Bwaise-24h'!H73,'27.07 Kawempe-Bwaise-24h'!H73)</f>
        <v>1.5</v>
      </c>
      <c r="I73" s="49">
        <f>AVERAGE('26.07 Kawempe-Bwaise-24h'!I73,'27.07 Kawempe-Bwaise-24h'!I73)</f>
        <v>6</v>
      </c>
      <c r="J73" s="49">
        <f>AVERAGE('26.07 Kawempe-Bwaise-24h'!J73,'27.07 Kawempe-Bwaise-24h'!J73)</f>
        <v>4.5</v>
      </c>
      <c r="K73" s="49">
        <f>AVERAGE('26.07 Kawempe-Bwaise-24h'!K73,'27.07 Kawempe-Bwaise-24h'!K73)</f>
        <v>1.5</v>
      </c>
      <c r="L73" s="49">
        <f>AVERAGE('26.07 Kawempe-Bwaise-24h'!L73,'27.07 Kawempe-Bwaise-24h'!L73)</f>
        <v>1</v>
      </c>
      <c r="M73" s="49">
        <f>AVERAGE('26.07 Kawempe-Bwaise-24h'!M73,'27.07 Kawempe-Bwaise-24h'!M73)</f>
        <v>126.5</v>
      </c>
      <c r="N73" s="49">
        <f>AVERAGE('26.07 Kawempe-Bwaise-24h'!N73,'27.07 Kawempe-Bwaise-24h'!N73)</f>
        <v>0</v>
      </c>
      <c r="O73" s="15">
        <f t="shared" si="0"/>
        <v>72.5</v>
      </c>
      <c r="P73" s="15">
        <f t="shared" si="1"/>
        <v>199</v>
      </c>
      <c r="R73" s="8"/>
      <c r="T73"/>
    </row>
    <row r="74" spans="2:20" ht="23.1" customHeight="1" x14ac:dyDescent="0.25">
      <c r="B74" s="23" t="s">
        <v>114</v>
      </c>
      <c r="C74" s="49">
        <f>AVERAGE('26.07 Kawempe-Bwaise-24h'!C74,'27.07 Kawempe-Bwaise-24h'!C74)</f>
        <v>47.5</v>
      </c>
      <c r="D74" s="49">
        <f>AVERAGE('26.07 Kawempe-Bwaise-24h'!D74,'27.07 Kawempe-Bwaise-24h'!D74)</f>
        <v>1</v>
      </c>
      <c r="E74" s="49">
        <f>AVERAGE('26.07 Kawempe-Bwaise-24h'!E74,'27.07 Kawempe-Bwaise-24h'!E74)</f>
        <v>2</v>
      </c>
      <c r="F74" s="49">
        <f>AVERAGE('26.07 Kawempe-Bwaise-24h'!F74,'27.07 Kawempe-Bwaise-24h'!F74)</f>
        <v>18.5</v>
      </c>
      <c r="G74" s="49">
        <f>AVERAGE('26.07 Kawempe-Bwaise-24h'!G74,'27.07 Kawempe-Bwaise-24h'!G74)</f>
        <v>3</v>
      </c>
      <c r="H74" s="49">
        <f>AVERAGE('26.07 Kawempe-Bwaise-24h'!H74,'27.07 Kawempe-Bwaise-24h'!H74)</f>
        <v>1.5</v>
      </c>
      <c r="I74" s="49">
        <f>AVERAGE('26.07 Kawempe-Bwaise-24h'!I74,'27.07 Kawempe-Bwaise-24h'!I74)</f>
        <v>7</v>
      </c>
      <c r="J74" s="49">
        <f>AVERAGE('26.07 Kawempe-Bwaise-24h'!J74,'27.07 Kawempe-Bwaise-24h'!J74)</f>
        <v>8</v>
      </c>
      <c r="K74" s="49">
        <f>AVERAGE('26.07 Kawempe-Bwaise-24h'!K74,'27.07 Kawempe-Bwaise-24h'!K74)</f>
        <v>3.5</v>
      </c>
      <c r="L74" s="49">
        <f>AVERAGE('26.07 Kawempe-Bwaise-24h'!L74,'27.07 Kawempe-Bwaise-24h'!L74)</f>
        <v>2</v>
      </c>
      <c r="M74" s="49">
        <f>AVERAGE('26.07 Kawempe-Bwaise-24h'!M74,'27.07 Kawempe-Bwaise-24h'!M74)</f>
        <v>117.5</v>
      </c>
      <c r="N74" s="49">
        <f>AVERAGE('26.07 Kawempe-Bwaise-24h'!N74,'27.07 Kawempe-Bwaise-24h'!N74)</f>
        <v>0</v>
      </c>
      <c r="O74" s="15">
        <f t="shared" ref="O74:O105" si="35">SUM(C74:L74,N74)</f>
        <v>94</v>
      </c>
      <c r="P74" s="15">
        <f t="shared" ref="P74:P105" si="36">SUM(C74:N74)</f>
        <v>211.5</v>
      </c>
      <c r="R74" s="8"/>
      <c r="T74"/>
    </row>
    <row r="75" spans="2:20" ht="23.1" customHeight="1" x14ac:dyDescent="0.25">
      <c r="B75" s="23" t="s">
        <v>115</v>
      </c>
      <c r="C75" s="49">
        <f>AVERAGE('26.07 Kawempe-Bwaise-24h'!C75,'27.07 Kawempe-Bwaise-24h'!C75)</f>
        <v>33.5</v>
      </c>
      <c r="D75" s="49">
        <f>AVERAGE('26.07 Kawempe-Bwaise-24h'!D75,'27.07 Kawempe-Bwaise-24h'!D75)</f>
        <v>1</v>
      </c>
      <c r="E75" s="49">
        <f>AVERAGE('26.07 Kawempe-Bwaise-24h'!E75,'27.07 Kawempe-Bwaise-24h'!E75)</f>
        <v>2</v>
      </c>
      <c r="F75" s="49">
        <f>AVERAGE('26.07 Kawempe-Bwaise-24h'!F75,'27.07 Kawempe-Bwaise-24h'!F75)</f>
        <v>9.5</v>
      </c>
      <c r="G75" s="49">
        <f>AVERAGE('26.07 Kawempe-Bwaise-24h'!G75,'27.07 Kawempe-Bwaise-24h'!G75)</f>
        <v>0.5</v>
      </c>
      <c r="H75" s="49">
        <f>AVERAGE('26.07 Kawempe-Bwaise-24h'!H75,'27.07 Kawempe-Bwaise-24h'!H75)</f>
        <v>0.5</v>
      </c>
      <c r="I75" s="49">
        <f>AVERAGE('26.07 Kawempe-Bwaise-24h'!I75,'27.07 Kawempe-Bwaise-24h'!I75)</f>
        <v>4</v>
      </c>
      <c r="J75" s="49">
        <f>AVERAGE('26.07 Kawempe-Bwaise-24h'!J75,'27.07 Kawempe-Bwaise-24h'!J75)</f>
        <v>2.5</v>
      </c>
      <c r="K75" s="49">
        <f>AVERAGE('26.07 Kawempe-Bwaise-24h'!K75,'27.07 Kawempe-Bwaise-24h'!K75)</f>
        <v>1</v>
      </c>
      <c r="L75" s="49">
        <f>AVERAGE('26.07 Kawempe-Bwaise-24h'!L75,'27.07 Kawempe-Bwaise-24h'!L75)</f>
        <v>0.5</v>
      </c>
      <c r="M75" s="49">
        <f>AVERAGE('26.07 Kawempe-Bwaise-24h'!M75,'27.07 Kawempe-Bwaise-24h'!M75)</f>
        <v>95.5</v>
      </c>
      <c r="N75" s="49">
        <f>AVERAGE('26.07 Kawempe-Bwaise-24h'!N75,'27.07 Kawempe-Bwaise-24h'!N75)</f>
        <v>0</v>
      </c>
      <c r="O75" s="15">
        <f t="shared" si="35"/>
        <v>55</v>
      </c>
      <c r="P75" s="15">
        <f t="shared" si="36"/>
        <v>150.5</v>
      </c>
      <c r="R75" s="8"/>
      <c r="T75"/>
    </row>
    <row r="76" spans="2:20" ht="23.1" customHeight="1" x14ac:dyDescent="0.25">
      <c r="B76" s="23" t="s">
        <v>116</v>
      </c>
      <c r="C76" s="49">
        <f>AVERAGE('26.07 Kawempe-Bwaise-24h'!C76,'27.07 Kawempe-Bwaise-24h'!C76)</f>
        <v>22</v>
      </c>
      <c r="D76" s="49">
        <f>AVERAGE('26.07 Kawempe-Bwaise-24h'!D76,'27.07 Kawempe-Bwaise-24h'!D76)</f>
        <v>1</v>
      </c>
      <c r="E76" s="49">
        <f>AVERAGE('26.07 Kawempe-Bwaise-24h'!E76,'27.07 Kawempe-Bwaise-24h'!E76)</f>
        <v>1</v>
      </c>
      <c r="F76" s="49">
        <f>AVERAGE('26.07 Kawempe-Bwaise-24h'!F76,'27.07 Kawempe-Bwaise-24h'!F76)</f>
        <v>12.5</v>
      </c>
      <c r="G76" s="49">
        <f>AVERAGE('26.07 Kawempe-Bwaise-24h'!G76,'27.07 Kawempe-Bwaise-24h'!G76)</f>
        <v>1</v>
      </c>
      <c r="H76" s="49">
        <f>AVERAGE('26.07 Kawempe-Bwaise-24h'!H76,'27.07 Kawempe-Bwaise-24h'!H76)</f>
        <v>1</v>
      </c>
      <c r="I76" s="49">
        <f>AVERAGE('26.07 Kawempe-Bwaise-24h'!I76,'27.07 Kawempe-Bwaise-24h'!I76)</f>
        <v>8.5</v>
      </c>
      <c r="J76" s="49">
        <f>AVERAGE('26.07 Kawempe-Bwaise-24h'!J76,'27.07 Kawempe-Bwaise-24h'!J76)</f>
        <v>4.5</v>
      </c>
      <c r="K76" s="49">
        <f>AVERAGE('26.07 Kawempe-Bwaise-24h'!K76,'27.07 Kawempe-Bwaise-24h'!K76)</f>
        <v>0.5</v>
      </c>
      <c r="L76" s="49">
        <f>AVERAGE('26.07 Kawempe-Bwaise-24h'!L76,'27.07 Kawempe-Bwaise-24h'!L76)</f>
        <v>0.5</v>
      </c>
      <c r="M76" s="49">
        <f>AVERAGE('26.07 Kawempe-Bwaise-24h'!M76,'27.07 Kawempe-Bwaise-24h'!M76)</f>
        <v>93</v>
      </c>
      <c r="N76" s="49">
        <f>AVERAGE('26.07 Kawempe-Bwaise-24h'!N76,'27.07 Kawempe-Bwaise-24h'!N76)</f>
        <v>0</v>
      </c>
      <c r="O76" s="15">
        <f t="shared" si="35"/>
        <v>52.5</v>
      </c>
      <c r="P76" s="15">
        <f t="shared" si="36"/>
        <v>145.5</v>
      </c>
      <c r="R76" s="8"/>
      <c r="T76"/>
    </row>
    <row r="77" spans="2:20" ht="23.1" customHeight="1" x14ac:dyDescent="0.25">
      <c r="B77" s="23" t="s">
        <v>117</v>
      </c>
      <c r="C77" s="49">
        <f>AVERAGE('26.07 Kawempe-Bwaise-24h'!C77,'27.07 Kawempe-Bwaise-24h'!C77)</f>
        <v>18</v>
      </c>
      <c r="D77" s="49">
        <f>AVERAGE('26.07 Kawempe-Bwaise-24h'!D77,'27.07 Kawempe-Bwaise-24h'!D77)</f>
        <v>0.5</v>
      </c>
      <c r="E77" s="49">
        <f>AVERAGE('26.07 Kawempe-Bwaise-24h'!E77,'27.07 Kawempe-Bwaise-24h'!E77)</f>
        <v>1</v>
      </c>
      <c r="F77" s="49">
        <f>AVERAGE('26.07 Kawempe-Bwaise-24h'!F77,'27.07 Kawempe-Bwaise-24h'!F77)</f>
        <v>7</v>
      </c>
      <c r="G77" s="49">
        <f>AVERAGE('26.07 Kawempe-Bwaise-24h'!G77,'27.07 Kawempe-Bwaise-24h'!G77)</f>
        <v>2</v>
      </c>
      <c r="H77" s="49">
        <f>AVERAGE('26.07 Kawempe-Bwaise-24h'!H77,'27.07 Kawempe-Bwaise-24h'!H77)</f>
        <v>0</v>
      </c>
      <c r="I77" s="49">
        <f>AVERAGE('26.07 Kawempe-Bwaise-24h'!I77,'27.07 Kawempe-Bwaise-24h'!I77)</f>
        <v>2.5</v>
      </c>
      <c r="J77" s="49">
        <f>AVERAGE('26.07 Kawempe-Bwaise-24h'!J77,'27.07 Kawempe-Bwaise-24h'!J77)</f>
        <v>3.5</v>
      </c>
      <c r="K77" s="49">
        <f>AVERAGE('26.07 Kawempe-Bwaise-24h'!K77,'27.07 Kawempe-Bwaise-24h'!K77)</f>
        <v>3</v>
      </c>
      <c r="L77" s="49">
        <f>AVERAGE('26.07 Kawempe-Bwaise-24h'!L77,'27.07 Kawempe-Bwaise-24h'!L77)</f>
        <v>3.5</v>
      </c>
      <c r="M77" s="49">
        <f>AVERAGE('26.07 Kawempe-Bwaise-24h'!M77,'27.07 Kawempe-Bwaise-24h'!M77)</f>
        <v>70</v>
      </c>
      <c r="N77" s="49">
        <f>AVERAGE('26.07 Kawempe-Bwaise-24h'!N77,'27.07 Kawempe-Bwaise-24h'!N77)</f>
        <v>0</v>
      </c>
      <c r="O77" s="15">
        <f t="shared" si="35"/>
        <v>41</v>
      </c>
      <c r="P77" s="15">
        <f t="shared" si="36"/>
        <v>111</v>
      </c>
      <c r="R77" s="8"/>
      <c r="T77"/>
    </row>
    <row r="78" spans="2:20" ht="23.1" customHeight="1" x14ac:dyDescent="0.25">
      <c r="B78" s="24" t="s">
        <v>118</v>
      </c>
      <c r="C78" s="49">
        <f>AVERAGE('26.07 Kawempe-Bwaise-24h'!C78,'27.07 Kawempe-Bwaise-24h'!C78)</f>
        <v>8.5</v>
      </c>
      <c r="D78" s="49">
        <f>AVERAGE('26.07 Kawempe-Bwaise-24h'!D78,'27.07 Kawempe-Bwaise-24h'!D78)</f>
        <v>0</v>
      </c>
      <c r="E78" s="49">
        <f>AVERAGE('26.07 Kawempe-Bwaise-24h'!E78,'27.07 Kawempe-Bwaise-24h'!E78)</f>
        <v>0</v>
      </c>
      <c r="F78" s="49">
        <f>AVERAGE('26.07 Kawempe-Bwaise-24h'!F78,'27.07 Kawempe-Bwaise-24h'!F78)</f>
        <v>1.5</v>
      </c>
      <c r="G78" s="49">
        <f>AVERAGE('26.07 Kawempe-Bwaise-24h'!G78,'27.07 Kawempe-Bwaise-24h'!G78)</f>
        <v>0.5</v>
      </c>
      <c r="H78" s="49">
        <f>AVERAGE('26.07 Kawempe-Bwaise-24h'!H78,'27.07 Kawempe-Bwaise-24h'!H78)</f>
        <v>0</v>
      </c>
      <c r="I78" s="49">
        <f>AVERAGE('26.07 Kawempe-Bwaise-24h'!I78,'27.07 Kawempe-Bwaise-24h'!I78)</f>
        <v>1</v>
      </c>
      <c r="J78" s="49">
        <f>AVERAGE('26.07 Kawempe-Bwaise-24h'!J78,'27.07 Kawempe-Bwaise-24h'!J78)</f>
        <v>4</v>
      </c>
      <c r="K78" s="49">
        <f>AVERAGE('26.07 Kawempe-Bwaise-24h'!K78,'27.07 Kawempe-Bwaise-24h'!K78)</f>
        <v>2</v>
      </c>
      <c r="L78" s="49">
        <f>AVERAGE('26.07 Kawempe-Bwaise-24h'!L78,'27.07 Kawempe-Bwaise-24h'!L78)</f>
        <v>1</v>
      </c>
      <c r="M78" s="49">
        <f>AVERAGE('26.07 Kawempe-Bwaise-24h'!M78,'27.07 Kawempe-Bwaise-24h'!M78)</f>
        <v>40.5</v>
      </c>
      <c r="N78" s="49">
        <f>AVERAGE('26.07 Kawempe-Bwaise-24h'!N78,'27.07 Kawempe-Bwaise-24h'!N78)</f>
        <v>0</v>
      </c>
      <c r="O78" s="15">
        <f t="shared" si="35"/>
        <v>18.5</v>
      </c>
      <c r="P78" s="15">
        <f t="shared" si="36"/>
        <v>59</v>
      </c>
      <c r="R78" s="8"/>
      <c r="T78"/>
    </row>
    <row r="79" spans="2:20" ht="23.1" customHeight="1" x14ac:dyDescent="0.25">
      <c r="B79" s="23" t="s">
        <v>119</v>
      </c>
      <c r="C79" s="49">
        <f>AVERAGE('26.07 Kawempe-Bwaise-24h'!C79,'27.07 Kawempe-Bwaise-24h'!C79)</f>
        <v>10</v>
      </c>
      <c r="D79" s="49">
        <f>AVERAGE('26.07 Kawempe-Bwaise-24h'!D79,'27.07 Kawempe-Bwaise-24h'!D79)</f>
        <v>0</v>
      </c>
      <c r="E79" s="49">
        <f>AVERAGE('26.07 Kawempe-Bwaise-24h'!E79,'27.07 Kawempe-Bwaise-24h'!E79)</f>
        <v>1</v>
      </c>
      <c r="F79" s="49">
        <f>AVERAGE('26.07 Kawempe-Bwaise-24h'!F79,'27.07 Kawempe-Bwaise-24h'!F79)</f>
        <v>4.5</v>
      </c>
      <c r="G79" s="49">
        <f>AVERAGE('26.07 Kawempe-Bwaise-24h'!G79,'27.07 Kawempe-Bwaise-24h'!G79)</f>
        <v>0.5</v>
      </c>
      <c r="H79" s="49">
        <f>AVERAGE('26.07 Kawempe-Bwaise-24h'!H79,'27.07 Kawempe-Bwaise-24h'!H79)</f>
        <v>0.5</v>
      </c>
      <c r="I79" s="49">
        <f>AVERAGE('26.07 Kawempe-Bwaise-24h'!I79,'27.07 Kawempe-Bwaise-24h'!I79)</f>
        <v>0</v>
      </c>
      <c r="J79" s="49">
        <f>AVERAGE('26.07 Kawempe-Bwaise-24h'!J79,'27.07 Kawempe-Bwaise-24h'!J79)</f>
        <v>2.5</v>
      </c>
      <c r="K79" s="49">
        <f>AVERAGE('26.07 Kawempe-Bwaise-24h'!K79,'27.07 Kawempe-Bwaise-24h'!K79)</f>
        <v>4</v>
      </c>
      <c r="L79" s="49">
        <f>AVERAGE('26.07 Kawempe-Bwaise-24h'!L79,'27.07 Kawempe-Bwaise-24h'!L79)</f>
        <v>0.5</v>
      </c>
      <c r="M79" s="49">
        <f>AVERAGE('26.07 Kawempe-Bwaise-24h'!M79,'27.07 Kawempe-Bwaise-24h'!M79)</f>
        <v>21.5</v>
      </c>
      <c r="N79" s="49">
        <f>AVERAGE('26.07 Kawempe-Bwaise-24h'!N79,'27.07 Kawempe-Bwaise-24h'!N79)</f>
        <v>0</v>
      </c>
      <c r="O79" s="15">
        <f t="shared" si="35"/>
        <v>23.5</v>
      </c>
      <c r="P79" s="15">
        <f t="shared" si="36"/>
        <v>45</v>
      </c>
      <c r="R79" s="8"/>
      <c r="T79"/>
    </row>
    <row r="80" spans="2:20" ht="23.1" customHeight="1" x14ac:dyDescent="0.25">
      <c r="B80" s="25" t="s">
        <v>120</v>
      </c>
      <c r="C80" s="49">
        <f>AVERAGE('26.07 Kawempe-Bwaise-24h'!C80,'27.07 Kawempe-Bwaise-24h'!C80)</f>
        <v>8.5</v>
      </c>
      <c r="D80" s="49">
        <f>AVERAGE('26.07 Kawempe-Bwaise-24h'!D80,'27.07 Kawempe-Bwaise-24h'!D80)</f>
        <v>0</v>
      </c>
      <c r="E80" s="49">
        <f>AVERAGE('26.07 Kawempe-Bwaise-24h'!E80,'27.07 Kawempe-Bwaise-24h'!E80)</f>
        <v>0</v>
      </c>
      <c r="F80" s="49">
        <f>AVERAGE('26.07 Kawempe-Bwaise-24h'!F80,'27.07 Kawempe-Bwaise-24h'!F80)</f>
        <v>2.5</v>
      </c>
      <c r="G80" s="49">
        <f>AVERAGE('26.07 Kawempe-Bwaise-24h'!G80,'27.07 Kawempe-Bwaise-24h'!G80)</f>
        <v>0</v>
      </c>
      <c r="H80" s="49">
        <f>AVERAGE('26.07 Kawempe-Bwaise-24h'!H80,'27.07 Kawempe-Bwaise-24h'!H80)</f>
        <v>0.5</v>
      </c>
      <c r="I80" s="49">
        <f>AVERAGE('26.07 Kawempe-Bwaise-24h'!I80,'27.07 Kawempe-Bwaise-24h'!I80)</f>
        <v>1.5</v>
      </c>
      <c r="J80" s="49">
        <f>AVERAGE('26.07 Kawempe-Bwaise-24h'!J80,'27.07 Kawempe-Bwaise-24h'!J80)</f>
        <v>1.5</v>
      </c>
      <c r="K80" s="49">
        <f>AVERAGE('26.07 Kawempe-Bwaise-24h'!K80,'27.07 Kawempe-Bwaise-24h'!K80)</f>
        <v>2.5</v>
      </c>
      <c r="L80" s="49">
        <f>AVERAGE('26.07 Kawempe-Bwaise-24h'!L80,'27.07 Kawempe-Bwaise-24h'!L80)</f>
        <v>1.5</v>
      </c>
      <c r="M80" s="49">
        <f>AVERAGE('26.07 Kawempe-Bwaise-24h'!M80,'27.07 Kawempe-Bwaise-24h'!M80)</f>
        <v>24</v>
      </c>
      <c r="N80" s="49">
        <f>AVERAGE('26.07 Kawempe-Bwaise-24h'!N80,'27.07 Kawempe-Bwaise-24h'!N80)</f>
        <v>0</v>
      </c>
      <c r="O80" s="15">
        <f t="shared" si="35"/>
        <v>18.5</v>
      </c>
      <c r="P80" s="15">
        <f t="shared" si="36"/>
        <v>42.5</v>
      </c>
      <c r="R80" s="8"/>
      <c r="T80"/>
    </row>
    <row r="81" spans="2:20" ht="23.1" customHeight="1" x14ac:dyDescent="0.25">
      <c r="B81" s="23" t="s">
        <v>121</v>
      </c>
      <c r="C81" s="49">
        <f>AVERAGE('26.07 Kawempe-Bwaise-24h'!C81,'27.07 Kawempe-Bwaise-24h'!C81)</f>
        <v>15</v>
      </c>
      <c r="D81" s="49">
        <f>AVERAGE('26.07 Kawempe-Bwaise-24h'!D81,'27.07 Kawempe-Bwaise-24h'!D81)</f>
        <v>0</v>
      </c>
      <c r="E81" s="49">
        <f>AVERAGE('26.07 Kawempe-Bwaise-24h'!E81,'27.07 Kawempe-Bwaise-24h'!E81)</f>
        <v>1.5</v>
      </c>
      <c r="F81" s="49">
        <f>AVERAGE('26.07 Kawempe-Bwaise-24h'!F81,'27.07 Kawempe-Bwaise-24h'!F81)</f>
        <v>2</v>
      </c>
      <c r="G81" s="49">
        <f>AVERAGE('26.07 Kawempe-Bwaise-24h'!G81,'27.07 Kawempe-Bwaise-24h'!G81)</f>
        <v>0</v>
      </c>
      <c r="H81" s="49">
        <f>AVERAGE('26.07 Kawempe-Bwaise-24h'!H81,'27.07 Kawempe-Bwaise-24h'!H81)</f>
        <v>0.5</v>
      </c>
      <c r="I81" s="49">
        <f>AVERAGE('26.07 Kawempe-Bwaise-24h'!I81,'27.07 Kawempe-Bwaise-24h'!I81)</f>
        <v>1.5</v>
      </c>
      <c r="J81" s="49">
        <f>AVERAGE('26.07 Kawempe-Bwaise-24h'!J81,'27.07 Kawempe-Bwaise-24h'!J81)</f>
        <v>3</v>
      </c>
      <c r="K81" s="49">
        <f>AVERAGE('26.07 Kawempe-Bwaise-24h'!K81,'27.07 Kawempe-Bwaise-24h'!K81)</f>
        <v>0.5</v>
      </c>
      <c r="L81" s="49">
        <f>AVERAGE('26.07 Kawempe-Bwaise-24h'!L81,'27.07 Kawempe-Bwaise-24h'!L81)</f>
        <v>0.5</v>
      </c>
      <c r="M81" s="49">
        <f>AVERAGE('26.07 Kawempe-Bwaise-24h'!M81,'27.07 Kawempe-Bwaise-24h'!M81)</f>
        <v>28</v>
      </c>
      <c r="N81" s="49">
        <f>AVERAGE('26.07 Kawempe-Bwaise-24h'!N81,'27.07 Kawempe-Bwaise-24h'!N81)</f>
        <v>0</v>
      </c>
      <c r="O81" s="15">
        <f t="shared" si="35"/>
        <v>24.5</v>
      </c>
      <c r="P81" s="15">
        <f t="shared" si="36"/>
        <v>52.5</v>
      </c>
      <c r="R81" s="8"/>
      <c r="T81"/>
    </row>
    <row r="82" spans="2:20" ht="23.1" customHeight="1" x14ac:dyDescent="0.25">
      <c r="B82" s="24" t="s">
        <v>122</v>
      </c>
      <c r="C82" s="49">
        <f>AVERAGE('26.07 Kawempe-Bwaise-24h'!C82,'27.07 Kawempe-Bwaise-24h'!C82)</f>
        <v>12.5</v>
      </c>
      <c r="D82" s="49">
        <f>AVERAGE('26.07 Kawempe-Bwaise-24h'!D82,'27.07 Kawempe-Bwaise-24h'!D82)</f>
        <v>0.5</v>
      </c>
      <c r="E82" s="49">
        <f>AVERAGE('26.07 Kawempe-Bwaise-24h'!E82,'27.07 Kawempe-Bwaise-24h'!E82)</f>
        <v>2</v>
      </c>
      <c r="F82" s="49">
        <f>AVERAGE('26.07 Kawempe-Bwaise-24h'!F82,'27.07 Kawempe-Bwaise-24h'!F82)</f>
        <v>1</v>
      </c>
      <c r="G82" s="49">
        <f>AVERAGE('26.07 Kawempe-Bwaise-24h'!G82,'27.07 Kawempe-Bwaise-24h'!G82)</f>
        <v>0</v>
      </c>
      <c r="H82" s="49">
        <f>AVERAGE('26.07 Kawempe-Bwaise-24h'!H82,'27.07 Kawempe-Bwaise-24h'!H82)</f>
        <v>0.5</v>
      </c>
      <c r="I82" s="49">
        <f>AVERAGE('26.07 Kawempe-Bwaise-24h'!I82,'27.07 Kawempe-Bwaise-24h'!I82)</f>
        <v>1.5</v>
      </c>
      <c r="J82" s="49">
        <f>AVERAGE('26.07 Kawempe-Bwaise-24h'!J82,'27.07 Kawempe-Bwaise-24h'!J82)</f>
        <v>2.5</v>
      </c>
      <c r="K82" s="49">
        <f>AVERAGE('26.07 Kawempe-Bwaise-24h'!K82,'27.07 Kawempe-Bwaise-24h'!K82)</f>
        <v>1</v>
      </c>
      <c r="L82" s="49">
        <f>AVERAGE('26.07 Kawempe-Bwaise-24h'!L82,'27.07 Kawempe-Bwaise-24h'!L82)</f>
        <v>1.5</v>
      </c>
      <c r="M82" s="49">
        <f>AVERAGE('26.07 Kawempe-Bwaise-24h'!M82,'27.07 Kawempe-Bwaise-24h'!M82)</f>
        <v>36</v>
      </c>
      <c r="N82" s="49">
        <f>AVERAGE('26.07 Kawempe-Bwaise-24h'!N82,'27.07 Kawempe-Bwaise-24h'!N82)</f>
        <v>0</v>
      </c>
      <c r="O82" s="15">
        <f t="shared" si="35"/>
        <v>23</v>
      </c>
      <c r="P82" s="15">
        <f t="shared" si="36"/>
        <v>59</v>
      </c>
      <c r="R82" s="8"/>
      <c r="T82"/>
    </row>
    <row r="83" spans="2:20" ht="23.1" customHeight="1" x14ac:dyDescent="0.25">
      <c r="B83" s="23" t="s">
        <v>123</v>
      </c>
      <c r="C83" s="49">
        <f>AVERAGE('26.07 Kawempe-Bwaise-24h'!C83,'27.07 Kawempe-Bwaise-24h'!C83)</f>
        <v>7</v>
      </c>
      <c r="D83" s="49">
        <f>AVERAGE('26.07 Kawempe-Bwaise-24h'!D83,'27.07 Kawempe-Bwaise-24h'!D83)</f>
        <v>0</v>
      </c>
      <c r="E83" s="49">
        <f>AVERAGE('26.07 Kawempe-Bwaise-24h'!E83,'27.07 Kawempe-Bwaise-24h'!E83)</f>
        <v>0</v>
      </c>
      <c r="F83" s="49">
        <f>AVERAGE('26.07 Kawempe-Bwaise-24h'!F83,'27.07 Kawempe-Bwaise-24h'!F83)</f>
        <v>2.5</v>
      </c>
      <c r="G83" s="49">
        <f>AVERAGE('26.07 Kawempe-Bwaise-24h'!G83,'27.07 Kawempe-Bwaise-24h'!G83)</f>
        <v>0.5</v>
      </c>
      <c r="H83" s="49">
        <f>AVERAGE('26.07 Kawempe-Bwaise-24h'!H83,'27.07 Kawempe-Bwaise-24h'!H83)</f>
        <v>0</v>
      </c>
      <c r="I83" s="49">
        <f>AVERAGE('26.07 Kawempe-Bwaise-24h'!I83,'27.07 Kawempe-Bwaise-24h'!I83)</f>
        <v>0</v>
      </c>
      <c r="J83" s="49">
        <f>AVERAGE('26.07 Kawempe-Bwaise-24h'!J83,'27.07 Kawempe-Bwaise-24h'!J83)</f>
        <v>5</v>
      </c>
      <c r="K83" s="49">
        <f>AVERAGE('26.07 Kawempe-Bwaise-24h'!K83,'27.07 Kawempe-Bwaise-24h'!K83)</f>
        <v>2.5</v>
      </c>
      <c r="L83" s="49">
        <f>AVERAGE('26.07 Kawempe-Bwaise-24h'!L83,'27.07 Kawempe-Bwaise-24h'!L83)</f>
        <v>1</v>
      </c>
      <c r="M83" s="49">
        <f>AVERAGE('26.07 Kawempe-Bwaise-24h'!M83,'27.07 Kawempe-Bwaise-24h'!M83)</f>
        <v>15</v>
      </c>
      <c r="N83" s="49">
        <f>AVERAGE('26.07 Kawempe-Bwaise-24h'!N83,'27.07 Kawempe-Bwaise-24h'!N83)</f>
        <v>0</v>
      </c>
      <c r="O83" s="15">
        <f t="shared" si="35"/>
        <v>18.5</v>
      </c>
      <c r="P83" s="15">
        <f t="shared" si="36"/>
        <v>33.5</v>
      </c>
      <c r="R83" s="8"/>
      <c r="T83"/>
    </row>
    <row r="84" spans="2:20" ht="23.1" customHeight="1" x14ac:dyDescent="0.25">
      <c r="B84" s="25" t="s">
        <v>124</v>
      </c>
      <c r="C84" s="49">
        <f>AVERAGE('26.07 Kawempe-Bwaise-24h'!C84,'27.07 Kawempe-Bwaise-24h'!C84)</f>
        <v>6</v>
      </c>
      <c r="D84" s="49">
        <f>AVERAGE('26.07 Kawempe-Bwaise-24h'!D84,'27.07 Kawempe-Bwaise-24h'!D84)</f>
        <v>0</v>
      </c>
      <c r="E84" s="49">
        <f>AVERAGE('26.07 Kawempe-Bwaise-24h'!E84,'27.07 Kawempe-Bwaise-24h'!E84)</f>
        <v>2</v>
      </c>
      <c r="F84" s="49">
        <f>AVERAGE('26.07 Kawempe-Bwaise-24h'!F84,'27.07 Kawempe-Bwaise-24h'!F84)</f>
        <v>0.5</v>
      </c>
      <c r="G84" s="49">
        <f>AVERAGE('26.07 Kawempe-Bwaise-24h'!G84,'27.07 Kawempe-Bwaise-24h'!G84)</f>
        <v>0</v>
      </c>
      <c r="H84" s="49">
        <f>AVERAGE('26.07 Kawempe-Bwaise-24h'!H84,'27.07 Kawempe-Bwaise-24h'!H84)</f>
        <v>0</v>
      </c>
      <c r="I84" s="49">
        <f>AVERAGE('26.07 Kawempe-Bwaise-24h'!I84,'27.07 Kawempe-Bwaise-24h'!I84)</f>
        <v>1</v>
      </c>
      <c r="J84" s="49">
        <f>AVERAGE('26.07 Kawempe-Bwaise-24h'!J84,'27.07 Kawempe-Bwaise-24h'!J84)</f>
        <v>1</v>
      </c>
      <c r="K84" s="49">
        <f>AVERAGE('26.07 Kawempe-Bwaise-24h'!K84,'27.07 Kawempe-Bwaise-24h'!K84)</f>
        <v>1</v>
      </c>
      <c r="L84" s="49">
        <f>AVERAGE('26.07 Kawempe-Bwaise-24h'!L84,'27.07 Kawempe-Bwaise-24h'!L84)</f>
        <v>1</v>
      </c>
      <c r="M84" s="49">
        <f>AVERAGE('26.07 Kawempe-Bwaise-24h'!M84,'27.07 Kawempe-Bwaise-24h'!M84)</f>
        <v>21.5</v>
      </c>
      <c r="N84" s="49">
        <f>AVERAGE('26.07 Kawempe-Bwaise-24h'!N84,'27.07 Kawempe-Bwaise-24h'!N84)</f>
        <v>0</v>
      </c>
      <c r="O84" s="15">
        <f t="shared" si="35"/>
        <v>12.5</v>
      </c>
      <c r="P84" s="15">
        <f t="shared" si="36"/>
        <v>34</v>
      </c>
      <c r="R84" s="8"/>
      <c r="T84"/>
    </row>
    <row r="85" spans="2:20" ht="23.1" customHeight="1" x14ac:dyDescent="0.25">
      <c r="B85" s="23" t="s">
        <v>125</v>
      </c>
      <c r="C85" s="49">
        <f>AVERAGE('26.07 Kawempe-Bwaise-24h'!C85,'27.07 Kawempe-Bwaise-24h'!C85)</f>
        <v>10.5</v>
      </c>
      <c r="D85" s="49">
        <f>AVERAGE('26.07 Kawempe-Bwaise-24h'!D85,'27.07 Kawempe-Bwaise-24h'!D85)</f>
        <v>0</v>
      </c>
      <c r="E85" s="49">
        <f>AVERAGE('26.07 Kawempe-Bwaise-24h'!E85,'27.07 Kawempe-Bwaise-24h'!E85)</f>
        <v>1.5</v>
      </c>
      <c r="F85" s="49">
        <f>AVERAGE('26.07 Kawempe-Bwaise-24h'!F85,'27.07 Kawempe-Bwaise-24h'!F85)</f>
        <v>1.5</v>
      </c>
      <c r="G85" s="49">
        <f>AVERAGE('26.07 Kawempe-Bwaise-24h'!G85,'27.07 Kawempe-Bwaise-24h'!G85)</f>
        <v>0</v>
      </c>
      <c r="H85" s="49">
        <f>AVERAGE('26.07 Kawempe-Bwaise-24h'!H85,'27.07 Kawempe-Bwaise-24h'!H85)</f>
        <v>0</v>
      </c>
      <c r="I85" s="49">
        <f>AVERAGE('26.07 Kawempe-Bwaise-24h'!I85,'27.07 Kawempe-Bwaise-24h'!I85)</f>
        <v>0.5</v>
      </c>
      <c r="J85" s="49">
        <f>AVERAGE('26.07 Kawempe-Bwaise-24h'!J85,'27.07 Kawempe-Bwaise-24h'!J85)</f>
        <v>6</v>
      </c>
      <c r="K85" s="49">
        <f>AVERAGE('26.07 Kawempe-Bwaise-24h'!K85,'27.07 Kawempe-Bwaise-24h'!K85)</f>
        <v>1.5</v>
      </c>
      <c r="L85" s="49">
        <f>AVERAGE('26.07 Kawempe-Bwaise-24h'!L85,'27.07 Kawempe-Bwaise-24h'!L85)</f>
        <v>2.5</v>
      </c>
      <c r="M85" s="49">
        <f>AVERAGE('26.07 Kawempe-Bwaise-24h'!M85,'27.07 Kawempe-Bwaise-24h'!M85)</f>
        <v>25</v>
      </c>
      <c r="N85" s="49">
        <f>AVERAGE('26.07 Kawempe-Bwaise-24h'!N85,'27.07 Kawempe-Bwaise-24h'!N85)</f>
        <v>0</v>
      </c>
      <c r="O85" s="15">
        <f t="shared" si="35"/>
        <v>24</v>
      </c>
      <c r="P85" s="15">
        <f t="shared" si="36"/>
        <v>49</v>
      </c>
      <c r="R85" s="8"/>
      <c r="T85"/>
    </row>
    <row r="86" spans="2:20" ht="23.1" customHeight="1" x14ac:dyDescent="0.25">
      <c r="B86" s="24" t="s">
        <v>126</v>
      </c>
      <c r="C86" s="49">
        <f>AVERAGE('26.07 Kawempe-Bwaise-24h'!C86,'27.07 Kawempe-Bwaise-24h'!C86)</f>
        <v>5.5</v>
      </c>
      <c r="D86" s="49">
        <f>AVERAGE('26.07 Kawempe-Bwaise-24h'!D86,'27.07 Kawempe-Bwaise-24h'!D86)</f>
        <v>0</v>
      </c>
      <c r="E86" s="49">
        <f>AVERAGE('26.07 Kawempe-Bwaise-24h'!E86,'27.07 Kawempe-Bwaise-24h'!E86)</f>
        <v>1</v>
      </c>
      <c r="F86" s="49">
        <f>AVERAGE('26.07 Kawempe-Bwaise-24h'!F86,'27.07 Kawempe-Bwaise-24h'!F86)</f>
        <v>1.5</v>
      </c>
      <c r="G86" s="49">
        <f>AVERAGE('26.07 Kawempe-Bwaise-24h'!G86,'27.07 Kawempe-Bwaise-24h'!G86)</f>
        <v>0</v>
      </c>
      <c r="H86" s="49">
        <f>AVERAGE('26.07 Kawempe-Bwaise-24h'!H86,'27.07 Kawempe-Bwaise-24h'!H86)</f>
        <v>1</v>
      </c>
      <c r="I86" s="49">
        <f>AVERAGE('26.07 Kawempe-Bwaise-24h'!I86,'27.07 Kawempe-Bwaise-24h'!I86)</f>
        <v>1</v>
      </c>
      <c r="J86" s="49">
        <f>AVERAGE('26.07 Kawempe-Bwaise-24h'!J86,'27.07 Kawempe-Bwaise-24h'!J86)</f>
        <v>1</v>
      </c>
      <c r="K86" s="49">
        <f>AVERAGE('26.07 Kawempe-Bwaise-24h'!K86,'27.07 Kawempe-Bwaise-24h'!K86)</f>
        <v>1</v>
      </c>
      <c r="L86" s="49">
        <f>AVERAGE('26.07 Kawempe-Bwaise-24h'!L86,'27.07 Kawempe-Bwaise-24h'!L86)</f>
        <v>1.5</v>
      </c>
      <c r="M86" s="49">
        <f>AVERAGE('26.07 Kawempe-Bwaise-24h'!M86,'27.07 Kawempe-Bwaise-24h'!M86)</f>
        <v>20</v>
      </c>
      <c r="N86" s="49">
        <f>AVERAGE('26.07 Kawempe-Bwaise-24h'!N86,'27.07 Kawempe-Bwaise-24h'!N86)</f>
        <v>0</v>
      </c>
      <c r="O86" s="15">
        <f t="shared" si="35"/>
        <v>13.5</v>
      </c>
      <c r="P86" s="15">
        <f t="shared" si="36"/>
        <v>33.5</v>
      </c>
      <c r="R86" s="8"/>
      <c r="T86"/>
    </row>
    <row r="87" spans="2:20" ht="23.1" customHeight="1" x14ac:dyDescent="0.25">
      <c r="B87" s="23" t="s">
        <v>127</v>
      </c>
      <c r="C87" s="49">
        <f>AVERAGE('26.07 Kawempe-Bwaise-24h'!C87,'27.07 Kawempe-Bwaise-24h'!C87)</f>
        <v>5.5</v>
      </c>
      <c r="D87" s="49">
        <f>AVERAGE('26.07 Kawempe-Bwaise-24h'!D87,'27.07 Kawempe-Bwaise-24h'!D87)</f>
        <v>0</v>
      </c>
      <c r="E87" s="49">
        <f>AVERAGE('26.07 Kawempe-Bwaise-24h'!E87,'27.07 Kawempe-Bwaise-24h'!E87)</f>
        <v>0.5</v>
      </c>
      <c r="F87" s="49">
        <f>AVERAGE('26.07 Kawempe-Bwaise-24h'!F87,'27.07 Kawempe-Bwaise-24h'!F87)</f>
        <v>0.5</v>
      </c>
      <c r="G87" s="49">
        <f>AVERAGE('26.07 Kawempe-Bwaise-24h'!G87,'27.07 Kawempe-Bwaise-24h'!G87)</f>
        <v>0</v>
      </c>
      <c r="H87" s="49">
        <f>AVERAGE('26.07 Kawempe-Bwaise-24h'!H87,'27.07 Kawempe-Bwaise-24h'!H87)</f>
        <v>0</v>
      </c>
      <c r="I87" s="49">
        <f>AVERAGE('26.07 Kawempe-Bwaise-24h'!I87,'27.07 Kawempe-Bwaise-24h'!I87)</f>
        <v>2</v>
      </c>
      <c r="J87" s="49">
        <f>AVERAGE('26.07 Kawempe-Bwaise-24h'!J87,'27.07 Kawempe-Bwaise-24h'!J87)</f>
        <v>2.5</v>
      </c>
      <c r="K87" s="49">
        <f>AVERAGE('26.07 Kawempe-Bwaise-24h'!K87,'27.07 Kawempe-Bwaise-24h'!K87)</f>
        <v>3</v>
      </c>
      <c r="L87" s="49">
        <f>AVERAGE('26.07 Kawempe-Bwaise-24h'!L87,'27.07 Kawempe-Bwaise-24h'!L87)</f>
        <v>0.5</v>
      </c>
      <c r="M87" s="49">
        <f>AVERAGE('26.07 Kawempe-Bwaise-24h'!M87,'27.07 Kawempe-Bwaise-24h'!M87)</f>
        <v>18.5</v>
      </c>
      <c r="N87" s="49">
        <f>AVERAGE('26.07 Kawempe-Bwaise-24h'!N87,'27.07 Kawempe-Bwaise-24h'!N87)</f>
        <v>0</v>
      </c>
      <c r="O87" s="15">
        <f t="shared" si="35"/>
        <v>14.5</v>
      </c>
      <c r="P87" s="15">
        <f t="shared" si="36"/>
        <v>33</v>
      </c>
      <c r="R87" s="8"/>
      <c r="T87"/>
    </row>
    <row r="88" spans="2:20" ht="23.1" customHeight="1" x14ac:dyDescent="0.25">
      <c r="B88" s="25" t="s">
        <v>128</v>
      </c>
      <c r="C88" s="49">
        <f>AVERAGE('26.07 Kawempe-Bwaise-24h'!C88,'27.07 Kawempe-Bwaise-24h'!C88)</f>
        <v>3.5</v>
      </c>
      <c r="D88" s="49">
        <f>AVERAGE('26.07 Kawempe-Bwaise-24h'!D88,'27.07 Kawempe-Bwaise-24h'!D88)</f>
        <v>0</v>
      </c>
      <c r="E88" s="49">
        <f>AVERAGE('26.07 Kawempe-Bwaise-24h'!E88,'27.07 Kawempe-Bwaise-24h'!E88)</f>
        <v>0</v>
      </c>
      <c r="F88" s="49">
        <f>AVERAGE('26.07 Kawempe-Bwaise-24h'!F88,'27.07 Kawempe-Bwaise-24h'!F88)</f>
        <v>0.5</v>
      </c>
      <c r="G88" s="49">
        <f>AVERAGE('26.07 Kawempe-Bwaise-24h'!G88,'27.07 Kawempe-Bwaise-24h'!G88)</f>
        <v>0</v>
      </c>
      <c r="H88" s="49">
        <f>AVERAGE('26.07 Kawempe-Bwaise-24h'!H88,'27.07 Kawempe-Bwaise-24h'!H88)</f>
        <v>0.5</v>
      </c>
      <c r="I88" s="49">
        <f>AVERAGE('26.07 Kawempe-Bwaise-24h'!I88,'27.07 Kawempe-Bwaise-24h'!I88)</f>
        <v>0</v>
      </c>
      <c r="J88" s="49">
        <f>AVERAGE('26.07 Kawempe-Bwaise-24h'!J88,'27.07 Kawempe-Bwaise-24h'!J88)</f>
        <v>1.5</v>
      </c>
      <c r="K88" s="49">
        <f>AVERAGE('26.07 Kawempe-Bwaise-24h'!K88,'27.07 Kawempe-Bwaise-24h'!K88)</f>
        <v>2.5</v>
      </c>
      <c r="L88" s="49">
        <f>AVERAGE('26.07 Kawempe-Bwaise-24h'!L88,'27.07 Kawempe-Bwaise-24h'!L88)</f>
        <v>0.5</v>
      </c>
      <c r="M88" s="49">
        <f>AVERAGE('26.07 Kawempe-Bwaise-24h'!M88,'27.07 Kawempe-Bwaise-24h'!M88)</f>
        <v>22</v>
      </c>
      <c r="N88" s="49">
        <f>AVERAGE('26.07 Kawempe-Bwaise-24h'!N88,'27.07 Kawempe-Bwaise-24h'!N88)</f>
        <v>0</v>
      </c>
      <c r="O88" s="15">
        <f t="shared" si="35"/>
        <v>9</v>
      </c>
      <c r="P88" s="15">
        <f t="shared" si="36"/>
        <v>31</v>
      </c>
      <c r="R88" s="8"/>
      <c r="T88"/>
    </row>
    <row r="89" spans="2:20" ht="23.1" customHeight="1" x14ac:dyDescent="0.25">
      <c r="B89" s="23" t="s">
        <v>129</v>
      </c>
      <c r="C89" s="49">
        <f>AVERAGE('26.07 Kawempe-Bwaise-24h'!C89,'27.07 Kawempe-Bwaise-24h'!C89)</f>
        <v>13</v>
      </c>
      <c r="D89" s="49">
        <f>AVERAGE('26.07 Kawempe-Bwaise-24h'!D89,'27.07 Kawempe-Bwaise-24h'!D89)</f>
        <v>0.5</v>
      </c>
      <c r="E89" s="49">
        <f>AVERAGE('26.07 Kawempe-Bwaise-24h'!E89,'27.07 Kawempe-Bwaise-24h'!E89)</f>
        <v>0</v>
      </c>
      <c r="F89" s="49">
        <f>AVERAGE('26.07 Kawempe-Bwaise-24h'!F89,'27.07 Kawempe-Bwaise-24h'!F89)</f>
        <v>1</v>
      </c>
      <c r="G89" s="49">
        <f>AVERAGE('26.07 Kawempe-Bwaise-24h'!G89,'27.07 Kawempe-Bwaise-24h'!G89)</f>
        <v>0</v>
      </c>
      <c r="H89" s="49">
        <f>AVERAGE('26.07 Kawempe-Bwaise-24h'!H89,'27.07 Kawempe-Bwaise-24h'!H89)</f>
        <v>0.5</v>
      </c>
      <c r="I89" s="49">
        <f>AVERAGE('26.07 Kawempe-Bwaise-24h'!I89,'27.07 Kawempe-Bwaise-24h'!I89)</f>
        <v>1</v>
      </c>
      <c r="J89" s="49">
        <f>AVERAGE('26.07 Kawempe-Bwaise-24h'!J89,'27.07 Kawempe-Bwaise-24h'!J89)</f>
        <v>1.5</v>
      </c>
      <c r="K89" s="49">
        <f>AVERAGE('26.07 Kawempe-Bwaise-24h'!K89,'27.07 Kawempe-Bwaise-24h'!K89)</f>
        <v>2</v>
      </c>
      <c r="L89" s="49">
        <f>AVERAGE('26.07 Kawempe-Bwaise-24h'!L89,'27.07 Kawempe-Bwaise-24h'!L89)</f>
        <v>0</v>
      </c>
      <c r="M89" s="49">
        <f>AVERAGE('26.07 Kawempe-Bwaise-24h'!M89,'27.07 Kawempe-Bwaise-24h'!M89)</f>
        <v>23.5</v>
      </c>
      <c r="N89" s="49">
        <f>AVERAGE('26.07 Kawempe-Bwaise-24h'!N89,'27.07 Kawempe-Bwaise-24h'!N89)</f>
        <v>0</v>
      </c>
      <c r="O89" s="15">
        <f t="shared" si="35"/>
        <v>19.5</v>
      </c>
      <c r="P89" s="15">
        <f t="shared" si="36"/>
        <v>43</v>
      </c>
      <c r="R89" s="8"/>
      <c r="T89"/>
    </row>
    <row r="90" spans="2:20" ht="23.1" customHeight="1" x14ac:dyDescent="0.25">
      <c r="B90" s="24" t="s">
        <v>130</v>
      </c>
      <c r="C90" s="49">
        <f>AVERAGE('26.07 Kawempe-Bwaise-24h'!C90,'27.07 Kawempe-Bwaise-24h'!C90)</f>
        <v>3.5</v>
      </c>
      <c r="D90" s="49">
        <f>AVERAGE('26.07 Kawempe-Bwaise-24h'!D90,'27.07 Kawempe-Bwaise-24h'!D90)</f>
        <v>0</v>
      </c>
      <c r="E90" s="49">
        <f>AVERAGE('26.07 Kawempe-Bwaise-24h'!E90,'27.07 Kawempe-Bwaise-24h'!E90)</f>
        <v>0</v>
      </c>
      <c r="F90" s="49">
        <f>AVERAGE('26.07 Kawempe-Bwaise-24h'!F90,'27.07 Kawempe-Bwaise-24h'!F90)</f>
        <v>0.5</v>
      </c>
      <c r="G90" s="49">
        <f>AVERAGE('26.07 Kawempe-Bwaise-24h'!G90,'27.07 Kawempe-Bwaise-24h'!G90)</f>
        <v>0</v>
      </c>
      <c r="H90" s="49">
        <f>AVERAGE('26.07 Kawempe-Bwaise-24h'!H90,'27.07 Kawempe-Bwaise-24h'!H90)</f>
        <v>0.5</v>
      </c>
      <c r="I90" s="49">
        <f>AVERAGE('26.07 Kawempe-Bwaise-24h'!I90,'27.07 Kawempe-Bwaise-24h'!I90)</f>
        <v>0.5</v>
      </c>
      <c r="J90" s="49">
        <f>AVERAGE('26.07 Kawempe-Bwaise-24h'!J90,'27.07 Kawempe-Bwaise-24h'!J90)</f>
        <v>3</v>
      </c>
      <c r="K90" s="49">
        <f>AVERAGE('26.07 Kawempe-Bwaise-24h'!K90,'27.07 Kawempe-Bwaise-24h'!K90)</f>
        <v>3</v>
      </c>
      <c r="L90" s="49">
        <f>AVERAGE('26.07 Kawempe-Bwaise-24h'!L90,'27.07 Kawempe-Bwaise-24h'!L90)</f>
        <v>0</v>
      </c>
      <c r="M90" s="49">
        <f>AVERAGE('26.07 Kawempe-Bwaise-24h'!M90,'27.07 Kawempe-Bwaise-24h'!M90)</f>
        <v>14</v>
      </c>
      <c r="N90" s="49">
        <f>AVERAGE('26.07 Kawempe-Bwaise-24h'!N90,'27.07 Kawempe-Bwaise-24h'!N90)</f>
        <v>0</v>
      </c>
      <c r="O90" s="15">
        <f t="shared" si="35"/>
        <v>11</v>
      </c>
      <c r="P90" s="15">
        <f t="shared" si="36"/>
        <v>25</v>
      </c>
      <c r="R90" s="8"/>
      <c r="T90"/>
    </row>
    <row r="91" spans="2:20" ht="23.1" customHeight="1" x14ac:dyDescent="0.25">
      <c r="B91" s="23" t="s">
        <v>131</v>
      </c>
      <c r="C91" s="49">
        <f>AVERAGE('26.07 Kawempe-Bwaise-24h'!C91,'27.07 Kawempe-Bwaise-24h'!C91)</f>
        <v>6</v>
      </c>
      <c r="D91" s="49">
        <f>AVERAGE('26.07 Kawempe-Bwaise-24h'!D91,'27.07 Kawempe-Bwaise-24h'!D91)</f>
        <v>0</v>
      </c>
      <c r="E91" s="49">
        <f>AVERAGE('26.07 Kawempe-Bwaise-24h'!E91,'27.07 Kawempe-Bwaise-24h'!E91)</f>
        <v>1</v>
      </c>
      <c r="F91" s="49">
        <f>AVERAGE('26.07 Kawempe-Bwaise-24h'!F91,'27.07 Kawempe-Bwaise-24h'!F91)</f>
        <v>2</v>
      </c>
      <c r="G91" s="49">
        <f>AVERAGE('26.07 Kawempe-Bwaise-24h'!G91,'27.07 Kawempe-Bwaise-24h'!G91)</f>
        <v>0</v>
      </c>
      <c r="H91" s="49">
        <f>AVERAGE('26.07 Kawempe-Bwaise-24h'!H91,'27.07 Kawempe-Bwaise-24h'!H91)</f>
        <v>1.5</v>
      </c>
      <c r="I91" s="49">
        <f>AVERAGE('26.07 Kawempe-Bwaise-24h'!I91,'27.07 Kawempe-Bwaise-24h'!I91)</f>
        <v>1.5</v>
      </c>
      <c r="J91" s="49">
        <f>AVERAGE('26.07 Kawempe-Bwaise-24h'!J91,'27.07 Kawempe-Bwaise-24h'!J91)</f>
        <v>2.5</v>
      </c>
      <c r="K91" s="49">
        <f>AVERAGE('26.07 Kawempe-Bwaise-24h'!K91,'27.07 Kawempe-Bwaise-24h'!K91)</f>
        <v>1</v>
      </c>
      <c r="L91" s="49">
        <f>AVERAGE('26.07 Kawempe-Bwaise-24h'!L91,'27.07 Kawempe-Bwaise-24h'!L91)</f>
        <v>0.5</v>
      </c>
      <c r="M91" s="49">
        <f>AVERAGE('26.07 Kawempe-Bwaise-24h'!M91,'27.07 Kawempe-Bwaise-24h'!M91)</f>
        <v>18.5</v>
      </c>
      <c r="N91" s="49">
        <f>AVERAGE('26.07 Kawempe-Bwaise-24h'!N91,'27.07 Kawempe-Bwaise-24h'!N91)</f>
        <v>0</v>
      </c>
      <c r="O91" s="15">
        <f t="shared" si="35"/>
        <v>16</v>
      </c>
      <c r="P91" s="15">
        <f t="shared" si="36"/>
        <v>34.5</v>
      </c>
      <c r="R91" s="8"/>
      <c r="T91"/>
    </row>
    <row r="92" spans="2:20" ht="23.1" customHeight="1" x14ac:dyDescent="0.25">
      <c r="B92" s="25" t="s">
        <v>132</v>
      </c>
      <c r="C92" s="49">
        <f>AVERAGE('26.07 Kawempe-Bwaise-24h'!C92,'27.07 Kawempe-Bwaise-24h'!C92)</f>
        <v>5</v>
      </c>
      <c r="D92" s="49">
        <f>AVERAGE('26.07 Kawempe-Bwaise-24h'!D92,'27.07 Kawempe-Bwaise-24h'!D92)</f>
        <v>0</v>
      </c>
      <c r="E92" s="49">
        <f>AVERAGE('26.07 Kawempe-Bwaise-24h'!E92,'27.07 Kawempe-Bwaise-24h'!E92)</f>
        <v>0</v>
      </c>
      <c r="F92" s="49">
        <f>AVERAGE('26.07 Kawempe-Bwaise-24h'!F92,'27.07 Kawempe-Bwaise-24h'!F92)</f>
        <v>0</v>
      </c>
      <c r="G92" s="49">
        <f>AVERAGE('26.07 Kawempe-Bwaise-24h'!G92,'27.07 Kawempe-Bwaise-24h'!G92)</f>
        <v>0</v>
      </c>
      <c r="H92" s="49">
        <f>AVERAGE('26.07 Kawempe-Bwaise-24h'!H92,'27.07 Kawempe-Bwaise-24h'!H92)</f>
        <v>3.5</v>
      </c>
      <c r="I92" s="49">
        <f>AVERAGE('26.07 Kawempe-Bwaise-24h'!I92,'27.07 Kawempe-Bwaise-24h'!I92)</f>
        <v>0</v>
      </c>
      <c r="J92" s="49">
        <f>AVERAGE('26.07 Kawempe-Bwaise-24h'!J92,'27.07 Kawempe-Bwaise-24h'!J92)</f>
        <v>1.5</v>
      </c>
      <c r="K92" s="49">
        <f>AVERAGE('26.07 Kawempe-Bwaise-24h'!K92,'27.07 Kawempe-Bwaise-24h'!K92)</f>
        <v>1.5</v>
      </c>
      <c r="L92" s="49">
        <f>AVERAGE('26.07 Kawempe-Bwaise-24h'!L92,'27.07 Kawempe-Bwaise-24h'!L92)</f>
        <v>0.5</v>
      </c>
      <c r="M92" s="49">
        <f>AVERAGE('26.07 Kawempe-Bwaise-24h'!M92,'27.07 Kawempe-Bwaise-24h'!M92)</f>
        <v>19</v>
      </c>
      <c r="N92" s="49">
        <f>AVERAGE('26.07 Kawempe-Bwaise-24h'!N92,'27.07 Kawempe-Bwaise-24h'!N92)</f>
        <v>0</v>
      </c>
      <c r="O92" s="15">
        <f t="shared" si="35"/>
        <v>12</v>
      </c>
      <c r="P92" s="15">
        <f t="shared" si="36"/>
        <v>31</v>
      </c>
      <c r="R92" s="8"/>
      <c r="T92"/>
    </row>
    <row r="93" spans="2:20" ht="23.1" customHeight="1" x14ac:dyDescent="0.25">
      <c r="B93" s="23" t="s">
        <v>133</v>
      </c>
      <c r="C93" s="49">
        <f>AVERAGE('26.07 Kawempe-Bwaise-24h'!C93,'27.07 Kawempe-Bwaise-24h'!C93)</f>
        <v>9</v>
      </c>
      <c r="D93" s="49">
        <f>AVERAGE('26.07 Kawempe-Bwaise-24h'!D93,'27.07 Kawempe-Bwaise-24h'!D93)</f>
        <v>0</v>
      </c>
      <c r="E93" s="49">
        <f>AVERAGE('26.07 Kawempe-Bwaise-24h'!E93,'27.07 Kawempe-Bwaise-24h'!E93)</f>
        <v>0.5</v>
      </c>
      <c r="F93" s="49">
        <f>AVERAGE('26.07 Kawempe-Bwaise-24h'!F93,'27.07 Kawempe-Bwaise-24h'!F93)</f>
        <v>5</v>
      </c>
      <c r="G93" s="49">
        <f>AVERAGE('26.07 Kawempe-Bwaise-24h'!G93,'27.07 Kawempe-Bwaise-24h'!G93)</f>
        <v>0</v>
      </c>
      <c r="H93" s="49">
        <f>AVERAGE('26.07 Kawempe-Bwaise-24h'!H93,'27.07 Kawempe-Bwaise-24h'!H93)</f>
        <v>1</v>
      </c>
      <c r="I93" s="49">
        <f>AVERAGE('26.07 Kawempe-Bwaise-24h'!I93,'27.07 Kawempe-Bwaise-24h'!I93)</f>
        <v>1</v>
      </c>
      <c r="J93" s="49">
        <f>AVERAGE('26.07 Kawempe-Bwaise-24h'!J93,'27.07 Kawempe-Bwaise-24h'!J93)</f>
        <v>3</v>
      </c>
      <c r="K93" s="49">
        <f>AVERAGE('26.07 Kawempe-Bwaise-24h'!K93,'27.07 Kawempe-Bwaise-24h'!K93)</f>
        <v>3.5</v>
      </c>
      <c r="L93" s="49">
        <f>AVERAGE('26.07 Kawempe-Bwaise-24h'!L93,'27.07 Kawempe-Bwaise-24h'!L93)</f>
        <v>0.5</v>
      </c>
      <c r="M93" s="49">
        <f>AVERAGE('26.07 Kawempe-Bwaise-24h'!M93,'27.07 Kawempe-Bwaise-24h'!M93)</f>
        <v>19</v>
      </c>
      <c r="N93" s="49">
        <f>AVERAGE('26.07 Kawempe-Bwaise-24h'!N93,'27.07 Kawempe-Bwaise-24h'!N93)</f>
        <v>0</v>
      </c>
      <c r="O93" s="15">
        <f t="shared" si="35"/>
        <v>23.5</v>
      </c>
      <c r="P93" s="15">
        <f t="shared" si="36"/>
        <v>42.5</v>
      </c>
      <c r="R93" s="8"/>
      <c r="T93"/>
    </row>
    <row r="94" spans="2:20" ht="23.1" customHeight="1" x14ac:dyDescent="0.25">
      <c r="B94" s="24" t="s">
        <v>134</v>
      </c>
      <c r="C94" s="49">
        <f>AVERAGE('26.07 Kawempe-Bwaise-24h'!C94,'27.07 Kawempe-Bwaise-24h'!C94)</f>
        <v>4</v>
      </c>
      <c r="D94" s="49">
        <f>AVERAGE('26.07 Kawempe-Bwaise-24h'!D94,'27.07 Kawempe-Bwaise-24h'!D94)</f>
        <v>0.5</v>
      </c>
      <c r="E94" s="49">
        <f>AVERAGE('26.07 Kawempe-Bwaise-24h'!E94,'27.07 Kawempe-Bwaise-24h'!E94)</f>
        <v>1</v>
      </c>
      <c r="F94" s="49">
        <f>AVERAGE('26.07 Kawempe-Bwaise-24h'!F94,'27.07 Kawempe-Bwaise-24h'!F94)</f>
        <v>5</v>
      </c>
      <c r="G94" s="49">
        <f>AVERAGE('26.07 Kawempe-Bwaise-24h'!G94,'27.07 Kawempe-Bwaise-24h'!G94)</f>
        <v>0.5</v>
      </c>
      <c r="H94" s="49">
        <f>AVERAGE('26.07 Kawempe-Bwaise-24h'!H94,'27.07 Kawempe-Bwaise-24h'!H94)</f>
        <v>2</v>
      </c>
      <c r="I94" s="49">
        <f>AVERAGE('26.07 Kawempe-Bwaise-24h'!I94,'27.07 Kawempe-Bwaise-24h'!I94)</f>
        <v>3</v>
      </c>
      <c r="J94" s="49">
        <f>AVERAGE('26.07 Kawempe-Bwaise-24h'!J94,'27.07 Kawempe-Bwaise-24h'!J94)</f>
        <v>3</v>
      </c>
      <c r="K94" s="49">
        <f>AVERAGE('26.07 Kawempe-Bwaise-24h'!K94,'27.07 Kawempe-Bwaise-24h'!K94)</f>
        <v>4</v>
      </c>
      <c r="L94" s="49">
        <f>AVERAGE('26.07 Kawempe-Bwaise-24h'!L94,'27.07 Kawempe-Bwaise-24h'!L94)</f>
        <v>1.5</v>
      </c>
      <c r="M94" s="49">
        <f>AVERAGE('26.07 Kawempe-Bwaise-24h'!M94,'27.07 Kawempe-Bwaise-24h'!M94)</f>
        <v>35</v>
      </c>
      <c r="N94" s="49">
        <f>AVERAGE('26.07 Kawempe-Bwaise-24h'!N94,'27.07 Kawempe-Bwaise-24h'!N94)</f>
        <v>0</v>
      </c>
      <c r="O94" s="15">
        <f t="shared" si="35"/>
        <v>24.5</v>
      </c>
      <c r="P94" s="15">
        <f t="shared" si="36"/>
        <v>59.5</v>
      </c>
      <c r="R94" s="8"/>
      <c r="T94"/>
    </row>
    <row r="95" spans="2:20" ht="23.1" customHeight="1" x14ac:dyDescent="0.25">
      <c r="B95" s="23" t="s">
        <v>135</v>
      </c>
      <c r="C95" s="49">
        <f>AVERAGE('26.07 Kawempe-Bwaise-24h'!C95,'27.07 Kawempe-Bwaise-24h'!C95)</f>
        <v>8.5</v>
      </c>
      <c r="D95" s="49">
        <f>AVERAGE('26.07 Kawempe-Bwaise-24h'!D95,'27.07 Kawempe-Bwaise-24h'!D95)</f>
        <v>0</v>
      </c>
      <c r="E95" s="49">
        <f>AVERAGE('26.07 Kawempe-Bwaise-24h'!E95,'27.07 Kawempe-Bwaise-24h'!E95)</f>
        <v>1</v>
      </c>
      <c r="F95" s="49">
        <f>AVERAGE('26.07 Kawempe-Bwaise-24h'!F95,'27.07 Kawempe-Bwaise-24h'!F95)</f>
        <v>5</v>
      </c>
      <c r="G95" s="49">
        <f>AVERAGE('26.07 Kawempe-Bwaise-24h'!G95,'27.07 Kawempe-Bwaise-24h'!G95)</f>
        <v>0.5</v>
      </c>
      <c r="H95" s="49">
        <f>AVERAGE('26.07 Kawempe-Bwaise-24h'!H95,'27.07 Kawempe-Bwaise-24h'!H95)</f>
        <v>2</v>
      </c>
      <c r="I95" s="49">
        <f>AVERAGE('26.07 Kawempe-Bwaise-24h'!I95,'27.07 Kawempe-Bwaise-24h'!I95)</f>
        <v>2.5</v>
      </c>
      <c r="J95" s="49">
        <f>AVERAGE('26.07 Kawempe-Bwaise-24h'!J95,'27.07 Kawempe-Bwaise-24h'!J95)</f>
        <v>2</v>
      </c>
      <c r="K95" s="49">
        <f>AVERAGE('26.07 Kawempe-Bwaise-24h'!K95,'27.07 Kawempe-Bwaise-24h'!K95)</f>
        <v>3</v>
      </c>
      <c r="L95" s="49">
        <f>AVERAGE('26.07 Kawempe-Bwaise-24h'!L95,'27.07 Kawempe-Bwaise-24h'!L95)</f>
        <v>0</v>
      </c>
      <c r="M95" s="49">
        <f>AVERAGE('26.07 Kawempe-Bwaise-24h'!M95,'27.07 Kawempe-Bwaise-24h'!M95)</f>
        <v>27</v>
      </c>
      <c r="N95" s="49">
        <f>AVERAGE('26.07 Kawempe-Bwaise-24h'!N95,'27.07 Kawempe-Bwaise-24h'!N95)</f>
        <v>0</v>
      </c>
      <c r="O95" s="15">
        <f t="shared" si="35"/>
        <v>24.5</v>
      </c>
      <c r="P95" s="15">
        <f t="shared" si="36"/>
        <v>51.5</v>
      </c>
      <c r="R95" s="8"/>
      <c r="T95"/>
    </row>
    <row r="96" spans="2:20" ht="23.1" customHeight="1" x14ac:dyDescent="0.25">
      <c r="B96" s="25" t="s">
        <v>136</v>
      </c>
      <c r="C96" s="49">
        <f>AVERAGE('26.07 Kawempe-Bwaise-24h'!C96,'27.07 Kawempe-Bwaise-24h'!C96)</f>
        <v>13.5</v>
      </c>
      <c r="D96" s="49">
        <f>AVERAGE('26.07 Kawempe-Bwaise-24h'!D96,'27.07 Kawempe-Bwaise-24h'!D96)</f>
        <v>0</v>
      </c>
      <c r="E96" s="49">
        <f>AVERAGE('26.07 Kawempe-Bwaise-24h'!E96,'27.07 Kawempe-Bwaise-24h'!E96)</f>
        <v>1</v>
      </c>
      <c r="F96" s="49">
        <f>AVERAGE('26.07 Kawempe-Bwaise-24h'!F96,'27.07 Kawempe-Bwaise-24h'!F96)</f>
        <v>9</v>
      </c>
      <c r="G96" s="49">
        <f>AVERAGE('26.07 Kawempe-Bwaise-24h'!G96,'27.07 Kawempe-Bwaise-24h'!G96)</f>
        <v>0</v>
      </c>
      <c r="H96" s="49">
        <f>AVERAGE('26.07 Kawempe-Bwaise-24h'!H96,'27.07 Kawempe-Bwaise-24h'!H96)</f>
        <v>2</v>
      </c>
      <c r="I96" s="49">
        <f>AVERAGE('26.07 Kawempe-Bwaise-24h'!I96,'27.07 Kawempe-Bwaise-24h'!I96)</f>
        <v>1</v>
      </c>
      <c r="J96" s="49">
        <f>AVERAGE('26.07 Kawempe-Bwaise-24h'!J96,'27.07 Kawempe-Bwaise-24h'!J96)</f>
        <v>6.5</v>
      </c>
      <c r="K96" s="49">
        <f>AVERAGE('26.07 Kawempe-Bwaise-24h'!K96,'27.07 Kawempe-Bwaise-24h'!K96)</f>
        <v>2.5</v>
      </c>
      <c r="L96" s="49">
        <f>AVERAGE('26.07 Kawempe-Bwaise-24h'!L96,'27.07 Kawempe-Bwaise-24h'!L96)</f>
        <v>1.5</v>
      </c>
      <c r="M96" s="49">
        <f>AVERAGE('26.07 Kawempe-Bwaise-24h'!M96,'27.07 Kawempe-Bwaise-24h'!M96)</f>
        <v>31.5</v>
      </c>
      <c r="N96" s="49">
        <f>AVERAGE('26.07 Kawempe-Bwaise-24h'!N96,'27.07 Kawempe-Bwaise-24h'!N96)</f>
        <v>0</v>
      </c>
      <c r="O96" s="15">
        <f t="shared" si="35"/>
        <v>37</v>
      </c>
      <c r="P96" s="15">
        <f t="shared" si="36"/>
        <v>68.5</v>
      </c>
      <c r="R96" s="8"/>
      <c r="T96"/>
    </row>
    <row r="97" spans="2:20" ht="23.1" customHeight="1" x14ac:dyDescent="0.25">
      <c r="B97" s="23" t="s">
        <v>137</v>
      </c>
      <c r="C97" s="49">
        <f>AVERAGE('26.07 Kawempe-Bwaise-24h'!C97,'27.07 Kawempe-Bwaise-24h'!C97)</f>
        <v>7</v>
      </c>
      <c r="D97" s="49">
        <f>AVERAGE('26.07 Kawempe-Bwaise-24h'!D97,'27.07 Kawempe-Bwaise-24h'!D97)</f>
        <v>1</v>
      </c>
      <c r="E97" s="49">
        <f>AVERAGE('26.07 Kawempe-Bwaise-24h'!E97,'27.07 Kawempe-Bwaise-24h'!E97)</f>
        <v>0.5</v>
      </c>
      <c r="F97" s="49">
        <f>AVERAGE('26.07 Kawempe-Bwaise-24h'!F97,'27.07 Kawempe-Bwaise-24h'!F97)</f>
        <v>5</v>
      </c>
      <c r="G97" s="49">
        <f>AVERAGE('26.07 Kawempe-Bwaise-24h'!G97,'27.07 Kawempe-Bwaise-24h'!G97)</f>
        <v>1</v>
      </c>
      <c r="H97" s="49">
        <f>AVERAGE('26.07 Kawempe-Bwaise-24h'!H97,'27.07 Kawempe-Bwaise-24h'!H97)</f>
        <v>3.5</v>
      </c>
      <c r="I97" s="49">
        <f>AVERAGE('26.07 Kawempe-Bwaise-24h'!I97,'27.07 Kawempe-Bwaise-24h'!I97)</f>
        <v>2</v>
      </c>
      <c r="J97" s="49">
        <f>AVERAGE('26.07 Kawempe-Bwaise-24h'!J97,'27.07 Kawempe-Bwaise-24h'!J97)</f>
        <v>2</v>
      </c>
      <c r="K97" s="49">
        <f>AVERAGE('26.07 Kawempe-Bwaise-24h'!K97,'27.07 Kawempe-Bwaise-24h'!K97)</f>
        <v>2</v>
      </c>
      <c r="L97" s="49">
        <f>AVERAGE('26.07 Kawempe-Bwaise-24h'!L97,'27.07 Kawempe-Bwaise-24h'!L97)</f>
        <v>2</v>
      </c>
      <c r="M97" s="49">
        <f>AVERAGE('26.07 Kawempe-Bwaise-24h'!M97,'27.07 Kawempe-Bwaise-24h'!M97)</f>
        <v>20.5</v>
      </c>
      <c r="N97" s="49">
        <f>AVERAGE('26.07 Kawempe-Bwaise-24h'!N97,'27.07 Kawempe-Bwaise-24h'!N97)</f>
        <v>0</v>
      </c>
      <c r="O97" s="15">
        <f t="shared" si="35"/>
        <v>26</v>
      </c>
      <c r="P97" s="15">
        <f t="shared" si="36"/>
        <v>46.5</v>
      </c>
      <c r="R97" s="8"/>
      <c r="T97"/>
    </row>
    <row r="98" spans="2:20" ht="23.1" customHeight="1" x14ac:dyDescent="0.25">
      <c r="B98" s="24" t="s">
        <v>138</v>
      </c>
      <c r="C98" s="49">
        <f>AVERAGE('26.07 Kawempe-Bwaise-24h'!C98,'27.07 Kawempe-Bwaise-24h'!C98)</f>
        <v>13</v>
      </c>
      <c r="D98" s="49">
        <f>AVERAGE('26.07 Kawempe-Bwaise-24h'!D98,'27.07 Kawempe-Bwaise-24h'!D98)</f>
        <v>0</v>
      </c>
      <c r="E98" s="49">
        <f>AVERAGE('26.07 Kawempe-Bwaise-24h'!E98,'27.07 Kawempe-Bwaise-24h'!E98)</f>
        <v>0.5</v>
      </c>
      <c r="F98" s="49">
        <f>AVERAGE('26.07 Kawempe-Bwaise-24h'!F98,'27.07 Kawempe-Bwaise-24h'!F98)</f>
        <v>8</v>
      </c>
      <c r="G98" s="49">
        <f>AVERAGE('26.07 Kawempe-Bwaise-24h'!G98,'27.07 Kawempe-Bwaise-24h'!G98)</f>
        <v>0.5</v>
      </c>
      <c r="H98" s="49">
        <f>AVERAGE('26.07 Kawempe-Bwaise-24h'!H98,'27.07 Kawempe-Bwaise-24h'!H98)</f>
        <v>4.5</v>
      </c>
      <c r="I98" s="49">
        <f>AVERAGE('26.07 Kawempe-Bwaise-24h'!I98,'27.07 Kawempe-Bwaise-24h'!I98)</f>
        <v>16</v>
      </c>
      <c r="J98" s="49">
        <f>AVERAGE('26.07 Kawempe-Bwaise-24h'!J98,'27.07 Kawempe-Bwaise-24h'!J98)</f>
        <v>2</v>
      </c>
      <c r="K98" s="49">
        <f>AVERAGE('26.07 Kawempe-Bwaise-24h'!K98,'27.07 Kawempe-Bwaise-24h'!K98)</f>
        <v>1.5</v>
      </c>
      <c r="L98" s="49">
        <f>AVERAGE('26.07 Kawempe-Bwaise-24h'!L98,'27.07 Kawempe-Bwaise-24h'!L98)</f>
        <v>0.5</v>
      </c>
      <c r="M98" s="49">
        <f>AVERAGE('26.07 Kawempe-Bwaise-24h'!M98,'27.07 Kawempe-Bwaise-24h'!M98)</f>
        <v>23</v>
      </c>
      <c r="N98" s="49">
        <f>AVERAGE('26.07 Kawempe-Bwaise-24h'!N98,'27.07 Kawempe-Bwaise-24h'!N98)</f>
        <v>0</v>
      </c>
      <c r="O98" s="15">
        <f t="shared" si="35"/>
        <v>46.5</v>
      </c>
      <c r="P98" s="15">
        <f t="shared" si="36"/>
        <v>69.5</v>
      </c>
      <c r="R98" s="8"/>
      <c r="T98"/>
    </row>
    <row r="99" spans="2:20" ht="23.1" customHeight="1" x14ac:dyDescent="0.25">
      <c r="B99" s="23" t="s">
        <v>139</v>
      </c>
      <c r="C99" s="49">
        <f>AVERAGE('26.07 Kawempe-Bwaise-24h'!C99,'27.07 Kawempe-Bwaise-24h'!C99)</f>
        <v>4.5</v>
      </c>
      <c r="D99" s="49">
        <f>AVERAGE('26.07 Kawempe-Bwaise-24h'!D99,'27.07 Kawempe-Bwaise-24h'!D99)</f>
        <v>0</v>
      </c>
      <c r="E99" s="49">
        <f>AVERAGE('26.07 Kawempe-Bwaise-24h'!E99,'27.07 Kawempe-Bwaise-24h'!E99)</f>
        <v>0</v>
      </c>
      <c r="F99" s="49">
        <f>AVERAGE('26.07 Kawempe-Bwaise-24h'!F99,'27.07 Kawempe-Bwaise-24h'!F99)</f>
        <v>5.5</v>
      </c>
      <c r="G99" s="49">
        <f>AVERAGE('26.07 Kawempe-Bwaise-24h'!G99,'27.07 Kawempe-Bwaise-24h'!G99)</f>
        <v>0</v>
      </c>
      <c r="H99" s="49">
        <f>AVERAGE('26.07 Kawempe-Bwaise-24h'!H99,'27.07 Kawempe-Bwaise-24h'!H99)</f>
        <v>3.5</v>
      </c>
      <c r="I99" s="49">
        <f>AVERAGE('26.07 Kawempe-Bwaise-24h'!I99,'27.07 Kawempe-Bwaise-24h'!I99)</f>
        <v>2.5</v>
      </c>
      <c r="J99" s="49">
        <f>AVERAGE('26.07 Kawempe-Bwaise-24h'!J99,'27.07 Kawempe-Bwaise-24h'!J99)</f>
        <v>0.5</v>
      </c>
      <c r="K99" s="49">
        <f>AVERAGE('26.07 Kawempe-Bwaise-24h'!K99,'27.07 Kawempe-Bwaise-24h'!K99)</f>
        <v>0.5</v>
      </c>
      <c r="L99" s="49">
        <f>AVERAGE('26.07 Kawempe-Bwaise-24h'!L99,'27.07 Kawempe-Bwaise-24h'!L99)</f>
        <v>1</v>
      </c>
      <c r="M99" s="49">
        <f>AVERAGE('26.07 Kawempe-Bwaise-24h'!M99,'27.07 Kawempe-Bwaise-24h'!M99)</f>
        <v>26.5</v>
      </c>
      <c r="N99" s="49">
        <f>AVERAGE('26.07 Kawempe-Bwaise-24h'!N99,'27.07 Kawempe-Bwaise-24h'!N99)</f>
        <v>0</v>
      </c>
      <c r="O99" s="15">
        <f t="shared" si="35"/>
        <v>18</v>
      </c>
      <c r="P99" s="15">
        <f t="shared" si="36"/>
        <v>44.5</v>
      </c>
      <c r="R99" s="8"/>
      <c r="T99"/>
    </row>
    <row r="100" spans="2:20" ht="23.1" customHeight="1" x14ac:dyDescent="0.25">
      <c r="B100" s="25" t="s">
        <v>140</v>
      </c>
      <c r="C100" s="49">
        <f>AVERAGE('26.07 Kawempe-Bwaise-24h'!C100,'27.07 Kawempe-Bwaise-24h'!C100)</f>
        <v>15.5</v>
      </c>
      <c r="D100" s="49">
        <f>AVERAGE('26.07 Kawempe-Bwaise-24h'!D100,'27.07 Kawempe-Bwaise-24h'!D100)</f>
        <v>0.5</v>
      </c>
      <c r="E100" s="49">
        <f>AVERAGE('26.07 Kawempe-Bwaise-24h'!E100,'27.07 Kawempe-Bwaise-24h'!E100)</f>
        <v>1</v>
      </c>
      <c r="F100" s="49">
        <f>AVERAGE('26.07 Kawempe-Bwaise-24h'!F100,'27.07 Kawempe-Bwaise-24h'!F100)</f>
        <v>12</v>
      </c>
      <c r="G100" s="49">
        <f>AVERAGE('26.07 Kawempe-Bwaise-24h'!G100,'27.07 Kawempe-Bwaise-24h'!G100)</f>
        <v>0</v>
      </c>
      <c r="H100" s="49">
        <f>AVERAGE('26.07 Kawempe-Bwaise-24h'!H100,'27.07 Kawempe-Bwaise-24h'!H100)</f>
        <v>0</v>
      </c>
      <c r="I100" s="49">
        <f>AVERAGE('26.07 Kawempe-Bwaise-24h'!I100,'27.07 Kawempe-Bwaise-24h'!I100)</f>
        <v>3</v>
      </c>
      <c r="J100" s="49">
        <f>AVERAGE('26.07 Kawempe-Bwaise-24h'!J100,'27.07 Kawempe-Bwaise-24h'!J100)</f>
        <v>4</v>
      </c>
      <c r="K100" s="49">
        <f>AVERAGE('26.07 Kawempe-Bwaise-24h'!K100,'27.07 Kawempe-Bwaise-24h'!K100)</f>
        <v>1</v>
      </c>
      <c r="L100" s="49">
        <f>AVERAGE('26.07 Kawempe-Bwaise-24h'!L100,'27.07 Kawempe-Bwaise-24h'!L100)</f>
        <v>1</v>
      </c>
      <c r="M100" s="49">
        <f>AVERAGE('26.07 Kawempe-Bwaise-24h'!M100,'27.07 Kawempe-Bwaise-24h'!M100)</f>
        <v>23.5</v>
      </c>
      <c r="N100" s="49">
        <f>AVERAGE('26.07 Kawempe-Bwaise-24h'!N100,'27.07 Kawempe-Bwaise-24h'!N100)</f>
        <v>0</v>
      </c>
      <c r="O100" s="15">
        <f t="shared" si="35"/>
        <v>38</v>
      </c>
      <c r="P100" s="15">
        <f t="shared" si="36"/>
        <v>61.5</v>
      </c>
      <c r="R100" s="8"/>
      <c r="T100"/>
    </row>
    <row r="101" spans="2:20" ht="23.1" customHeight="1" x14ac:dyDescent="0.25">
      <c r="B101" s="23" t="s">
        <v>141</v>
      </c>
      <c r="C101" s="49">
        <f>AVERAGE('26.07 Kawempe-Bwaise-24h'!C101,'27.07 Kawempe-Bwaise-24h'!C101)</f>
        <v>10</v>
      </c>
      <c r="D101" s="49">
        <f>AVERAGE('26.07 Kawempe-Bwaise-24h'!D101,'27.07 Kawempe-Bwaise-24h'!D101)</f>
        <v>1</v>
      </c>
      <c r="E101" s="49">
        <f>AVERAGE('26.07 Kawempe-Bwaise-24h'!E101,'27.07 Kawempe-Bwaise-24h'!E101)</f>
        <v>2</v>
      </c>
      <c r="F101" s="49">
        <f>AVERAGE('26.07 Kawempe-Bwaise-24h'!F101,'27.07 Kawempe-Bwaise-24h'!F101)</f>
        <v>15.5</v>
      </c>
      <c r="G101" s="49">
        <f>AVERAGE('26.07 Kawempe-Bwaise-24h'!G101,'27.07 Kawempe-Bwaise-24h'!G101)</f>
        <v>0.5</v>
      </c>
      <c r="H101" s="49">
        <f>AVERAGE('26.07 Kawempe-Bwaise-24h'!H101,'27.07 Kawempe-Bwaise-24h'!H101)</f>
        <v>1.5</v>
      </c>
      <c r="I101" s="49">
        <f>AVERAGE('26.07 Kawempe-Bwaise-24h'!I101,'27.07 Kawempe-Bwaise-24h'!I101)</f>
        <v>2</v>
      </c>
      <c r="J101" s="49">
        <f>AVERAGE('26.07 Kawempe-Bwaise-24h'!J101,'27.07 Kawempe-Bwaise-24h'!J101)</f>
        <v>3</v>
      </c>
      <c r="K101" s="49">
        <f>AVERAGE('26.07 Kawempe-Bwaise-24h'!K101,'27.07 Kawempe-Bwaise-24h'!K101)</f>
        <v>3</v>
      </c>
      <c r="L101" s="49">
        <f>AVERAGE('26.07 Kawempe-Bwaise-24h'!L101,'27.07 Kawempe-Bwaise-24h'!L101)</f>
        <v>0.5</v>
      </c>
      <c r="M101" s="49">
        <f>AVERAGE('26.07 Kawempe-Bwaise-24h'!M101,'27.07 Kawempe-Bwaise-24h'!M101)</f>
        <v>24</v>
      </c>
      <c r="N101" s="49">
        <f>AVERAGE('26.07 Kawempe-Bwaise-24h'!N101,'27.07 Kawempe-Bwaise-24h'!N101)</f>
        <v>0</v>
      </c>
      <c r="O101" s="15">
        <f t="shared" si="35"/>
        <v>39</v>
      </c>
      <c r="P101" s="15">
        <f t="shared" si="36"/>
        <v>63</v>
      </c>
      <c r="R101" s="8"/>
      <c r="T101"/>
    </row>
    <row r="102" spans="2:20" ht="23.1" customHeight="1" x14ac:dyDescent="0.25">
      <c r="B102" s="24" t="s">
        <v>142</v>
      </c>
      <c r="C102" s="49">
        <f>AVERAGE('26.07 Kawempe-Bwaise-24h'!C102,'27.07 Kawempe-Bwaise-24h'!C102)</f>
        <v>17</v>
      </c>
      <c r="D102" s="49">
        <f>AVERAGE('26.07 Kawempe-Bwaise-24h'!D102,'27.07 Kawempe-Bwaise-24h'!D102)</f>
        <v>0.5</v>
      </c>
      <c r="E102" s="49">
        <f>AVERAGE('26.07 Kawempe-Bwaise-24h'!E102,'27.07 Kawempe-Bwaise-24h'!E102)</f>
        <v>3.5</v>
      </c>
      <c r="F102" s="49">
        <f>AVERAGE('26.07 Kawempe-Bwaise-24h'!F102,'27.07 Kawempe-Bwaise-24h'!F102)</f>
        <v>19.5</v>
      </c>
      <c r="G102" s="49">
        <f>AVERAGE('26.07 Kawempe-Bwaise-24h'!G102,'27.07 Kawempe-Bwaise-24h'!G102)</f>
        <v>0</v>
      </c>
      <c r="H102" s="49">
        <f>AVERAGE('26.07 Kawempe-Bwaise-24h'!H102,'27.07 Kawempe-Bwaise-24h'!H102)</f>
        <v>0.5</v>
      </c>
      <c r="I102" s="49">
        <f>AVERAGE('26.07 Kawempe-Bwaise-24h'!I102,'27.07 Kawempe-Bwaise-24h'!I102)</f>
        <v>4.5</v>
      </c>
      <c r="J102" s="49">
        <f>AVERAGE('26.07 Kawempe-Bwaise-24h'!J102,'27.07 Kawempe-Bwaise-24h'!J102)</f>
        <v>2.5</v>
      </c>
      <c r="K102" s="49">
        <f>AVERAGE('26.07 Kawempe-Bwaise-24h'!K102,'27.07 Kawempe-Bwaise-24h'!K102)</f>
        <v>3.5</v>
      </c>
      <c r="L102" s="49">
        <f>AVERAGE('26.07 Kawempe-Bwaise-24h'!L102,'27.07 Kawempe-Bwaise-24h'!L102)</f>
        <v>2.5</v>
      </c>
      <c r="M102" s="49">
        <f>AVERAGE('26.07 Kawempe-Bwaise-24h'!M102,'27.07 Kawempe-Bwaise-24h'!M102)</f>
        <v>50.5</v>
      </c>
      <c r="N102" s="49">
        <f>AVERAGE('26.07 Kawempe-Bwaise-24h'!N102,'27.07 Kawempe-Bwaise-24h'!N102)</f>
        <v>0</v>
      </c>
      <c r="O102" s="15">
        <f t="shared" si="35"/>
        <v>54</v>
      </c>
      <c r="P102" s="15">
        <f t="shared" si="36"/>
        <v>104.5</v>
      </c>
      <c r="R102" s="8"/>
      <c r="T102"/>
    </row>
    <row r="103" spans="2:20" ht="23.1" customHeight="1" x14ac:dyDescent="0.25">
      <c r="B103" s="23" t="s">
        <v>143</v>
      </c>
      <c r="C103" s="49">
        <f>AVERAGE('26.07 Kawempe-Bwaise-24h'!C103,'27.07 Kawempe-Bwaise-24h'!C103)</f>
        <v>9</v>
      </c>
      <c r="D103" s="49">
        <f>AVERAGE('26.07 Kawempe-Bwaise-24h'!D103,'27.07 Kawempe-Bwaise-24h'!D103)</f>
        <v>0</v>
      </c>
      <c r="E103" s="49">
        <f>AVERAGE('26.07 Kawempe-Bwaise-24h'!E103,'27.07 Kawempe-Bwaise-24h'!E103)</f>
        <v>1.5</v>
      </c>
      <c r="F103" s="49">
        <f>AVERAGE('26.07 Kawempe-Bwaise-24h'!F103,'27.07 Kawempe-Bwaise-24h'!F103)</f>
        <v>19.5</v>
      </c>
      <c r="G103" s="49">
        <f>AVERAGE('26.07 Kawempe-Bwaise-24h'!G103,'27.07 Kawempe-Bwaise-24h'!G103)</f>
        <v>0.5</v>
      </c>
      <c r="H103" s="49">
        <f>AVERAGE('26.07 Kawempe-Bwaise-24h'!H103,'27.07 Kawempe-Bwaise-24h'!H103)</f>
        <v>1</v>
      </c>
      <c r="I103" s="49">
        <f>AVERAGE('26.07 Kawempe-Bwaise-24h'!I103,'27.07 Kawempe-Bwaise-24h'!I103)</f>
        <v>4</v>
      </c>
      <c r="J103" s="49">
        <f>AVERAGE('26.07 Kawempe-Bwaise-24h'!J103,'27.07 Kawempe-Bwaise-24h'!J103)</f>
        <v>2.5</v>
      </c>
      <c r="K103" s="49">
        <f>AVERAGE('26.07 Kawempe-Bwaise-24h'!K103,'27.07 Kawempe-Bwaise-24h'!K103)</f>
        <v>0.5</v>
      </c>
      <c r="L103" s="49">
        <f>AVERAGE('26.07 Kawempe-Bwaise-24h'!L103,'27.07 Kawempe-Bwaise-24h'!L103)</f>
        <v>3</v>
      </c>
      <c r="M103" s="49">
        <f>AVERAGE('26.07 Kawempe-Bwaise-24h'!M103,'27.07 Kawempe-Bwaise-24h'!M103)</f>
        <v>50.5</v>
      </c>
      <c r="N103" s="49">
        <f>AVERAGE('26.07 Kawempe-Bwaise-24h'!N103,'27.07 Kawempe-Bwaise-24h'!N103)</f>
        <v>0</v>
      </c>
      <c r="O103" s="15">
        <f t="shared" si="35"/>
        <v>41.5</v>
      </c>
      <c r="P103" s="15">
        <f t="shared" si="36"/>
        <v>92</v>
      </c>
      <c r="R103" s="8"/>
      <c r="T103"/>
    </row>
    <row r="104" spans="2:20" ht="23.1" customHeight="1" x14ac:dyDescent="0.25">
      <c r="B104" s="25" t="s">
        <v>144</v>
      </c>
      <c r="C104" s="49">
        <f>AVERAGE('26.07 Kawempe-Bwaise-24h'!C104,'27.07 Kawempe-Bwaise-24h'!C104)</f>
        <v>21.5</v>
      </c>
      <c r="D104" s="49">
        <f>AVERAGE('26.07 Kawempe-Bwaise-24h'!D104,'27.07 Kawempe-Bwaise-24h'!D104)</f>
        <v>0.5</v>
      </c>
      <c r="E104" s="49">
        <f>AVERAGE('26.07 Kawempe-Bwaise-24h'!E104,'27.07 Kawempe-Bwaise-24h'!E104)</f>
        <v>4</v>
      </c>
      <c r="F104" s="49">
        <f>AVERAGE('26.07 Kawempe-Bwaise-24h'!F104,'27.07 Kawempe-Bwaise-24h'!F104)</f>
        <v>26.5</v>
      </c>
      <c r="G104" s="49">
        <f>AVERAGE('26.07 Kawempe-Bwaise-24h'!G104,'27.07 Kawempe-Bwaise-24h'!G104)</f>
        <v>1</v>
      </c>
      <c r="H104" s="49">
        <f>AVERAGE('26.07 Kawempe-Bwaise-24h'!H104,'27.07 Kawempe-Bwaise-24h'!H104)</f>
        <v>0.5</v>
      </c>
      <c r="I104" s="49">
        <f>AVERAGE('26.07 Kawempe-Bwaise-24h'!I104,'27.07 Kawempe-Bwaise-24h'!I104)</f>
        <v>5</v>
      </c>
      <c r="J104" s="49">
        <f>AVERAGE('26.07 Kawempe-Bwaise-24h'!J104,'27.07 Kawempe-Bwaise-24h'!J104)</f>
        <v>1.5</v>
      </c>
      <c r="K104" s="49">
        <f>AVERAGE('26.07 Kawempe-Bwaise-24h'!K104,'27.07 Kawempe-Bwaise-24h'!K104)</f>
        <v>3</v>
      </c>
      <c r="L104" s="49">
        <f>AVERAGE('26.07 Kawempe-Bwaise-24h'!L104,'27.07 Kawempe-Bwaise-24h'!L104)</f>
        <v>2</v>
      </c>
      <c r="M104" s="49">
        <f>AVERAGE('26.07 Kawempe-Bwaise-24h'!M104,'27.07 Kawempe-Bwaise-24h'!M104)</f>
        <v>55.5</v>
      </c>
      <c r="N104" s="49">
        <f>AVERAGE('26.07 Kawempe-Bwaise-24h'!N104,'27.07 Kawempe-Bwaise-24h'!N104)</f>
        <v>0</v>
      </c>
      <c r="O104" s="15">
        <f t="shared" si="35"/>
        <v>65.5</v>
      </c>
      <c r="P104" s="15">
        <f t="shared" si="36"/>
        <v>121</v>
      </c>
      <c r="R104" s="8"/>
      <c r="T104"/>
    </row>
    <row r="105" spans="2:20" ht="23.1" customHeight="1" x14ac:dyDescent="0.25">
      <c r="B105" s="23" t="s">
        <v>145</v>
      </c>
      <c r="C105" s="49">
        <f>AVERAGE('26.07 Kawempe-Bwaise-24h'!C105,'27.07 Kawempe-Bwaise-24h'!C105)</f>
        <v>21.5</v>
      </c>
      <c r="D105" s="49">
        <f>AVERAGE('26.07 Kawempe-Bwaise-24h'!D105,'27.07 Kawempe-Bwaise-24h'!D105)</f>
        <v>1.5</v>
      </c>
      <c r="E105" s="49">
        <f>AVERAGE('26.07 Kawempe-Bwaise-24h'!E105,'27.07 Kawempe-Bwaise-24h'!E105)</f>
        <v>1.5</v>
      </c>
      <c r="F105" s="49">
        <f>AVERAGE('26.07 Kawempe-Bwaise-24h'!F105,'27.07 Kawempe-Bwaise-24h'!F105)</f>
        <v>27</v>
      </c>
      <c r="G105" s="49">
        <f>AVERAGE('26.07 Kawempe-Bwaise-24h'!G105,'27.07 Kawempe-Bwaise-24h'!G105)</f>
        <v>2</v>
      </c>
      <c r="H105" s="49">
        <f>AVERAGE('26.07 Kawempe-Bwaise-24h'!H105,'27.07 Kawempe-Bwaise-24h'!H105)</f>
        <v>1</v>
      </c>
      <c r="I105" s="49">
        <f>AVERAGE('26.07 Kawempe-Bwaise-24h'!I105,'27.07 Kawempe-Bwaise-24h'!I105)</f>
        <v>6.5</v>
      </c>
      <c r="J105" s="49">
        <f>AVERAGE('26.07 Kawempe-Bwaise-24h'!J105,'27.07 Kawempe-Bwaise-24h'!J105)</f>
        <v>2</v>
      </c>
      <c r="K105" s="49">
        <f>AVERAGE('26.07 Kawempe-Bwaise-24h'!K105,'27.07 Kawempe-Bwaise-24h'!K105)</f>
        <v>4</v>
      </c>
      <c r="L105" s="49">
        <f>AVERAGE('26.07 Kawempe-Bwaise-24h'!L105,'27.07 Kawempe-Bwaise-24h'!L105)</f>
        <v>2.5</v>
      </c>
      <c r="M105" s="49">
        <f>AVERAGE('26.07 Kawempe-Bwaise-24h'!M105,'27.07 Kawempe-Bwaise-24h'!M105)</f>
        <v>56.5</v>
      </c>
      <c r="N105" s="49">
        <f>AVERAGE('26.07 Kawempe-Bwaise-24h'!N105,'27.07 Kawempe-Bwaise-24h'!N105)</f>
        <v>0</v>
      </c>
      <c r="O105" s="15">
        <f t="shared" si="35"/>
        <v>69.5</v>
      </c>
      <c r="P105" s="15">
        <f t="shared" si="36"/>
        <v>126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2810.2142857142867</v>
      </c>
      <c r="D106" s="16">
        <f t="shared" ref="D106:P106" si="37">SUM(D10:D105)</f>
        <v>575.85714285714278</v>
      </c>
      <c r="E106" s="16">
        <f t="shared" si="37"/>
        <v>392.92857142857139</v>
      </c>
      <c r="F106" s="16">
        <f t="shared" si="37"/>
        <v>2721.9285714285711</v>
      </c>
      <c r="G106" s="16">
        <f t="shared" si="37"/>
        <v>123.64285714285714</v>
      </c>
      <c r="H106" s="16">
        <f t="shared" si="37"/>
        <v>93.428571428571431</v>
      </c>
      <c r="I106" s="16">
        <f t="shared" si="37"/>
        <v>519</v>
      </c>
      <c r="J106" s="16">
        <f t="shared" si="37"/>
        <v>464.14285714285711</v>
      </c>
      <c r="K106" s="16">
        <f t="shared" si="37"/>
        <v>227.35714285714286</v>
      </c>
      <c r="L106" s="16">
        <f t="shared" si="37"/>
        <v>147</v>
      </c>
      <c r="M106" s="16">
        <f t="shared" si="37"/>
        <v>13425.833333333334</v>
      </c>
      <c r="N106" s="16">
        <f t="shared" si="37"/>
        <v>0.14285714285714285</v>
      </c>
      <c r="O106" s="16">
        <f t="shared" si="37"/>
        <v>8075.6428571428587</v>
      </c>
      <c r="P106" s="16">
        <f t="shared" si="37"/>
        <v>21501.476190476191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0.13069866742261332</v>
      </c>
      <c r="D107" s="43">
        <f t="shared" si="38"/>
        <v>2.6782214288719929E-2</v>
      </c>
      <c r="E107" s="43">
        <f t="shared" si="38"/>
        <v>1.8274492781226535E-2</v>
      </c>
      <c r="F107" s="43">
        <f t="shared" si="38"/>
        <v>0.12659263705039075</v>
      </c>
      <c r="G107" s="43">
        <f t="shared" si="38"/>
        <v>5.7504357397387997E-3</v>
      </c>
      <c r="H107" s="43">
        <f t="shared" si="38"/>
        <v>4.3452166074976024E-3</v>
      </c>
      <c r="I107" s="43">
        <f t="shared" si="38"/>
        <v>2.413787757651191E-2</v>
      </c>
      <c r="J107" s="43">
        <f t="shared" si="38"/>
        <v>2.1586557733577538E-2</v>
      </c>
      <c r="K107" s="43">
        <f t="shared" si="38"/>
        <v>1.0574024817786597E-2</v>
      </c>
      <c r="L107" s="43">
        <f t="shared" si="38"/>
        <v>6.8367398916132005E-3</v>
      </c>
      <c r="M107" s="43">
        <f t="shared" si="38"/>
        <v>0.62441449202823285</v>
      </c>
      <c r="N107" s="43">
        <f t="shared" si="38"/>
        <v>6.6440620909749273E-6</v>
      </c>
      <c r="R107" s="8"/>
      <c r="T107"/>
    </row>
    <row r="108" spans="2:20" ht="23.1" customHeight="1" x14ac:dyDescent="0.25">
      <c r="B108" s="42" t="s">
        <v>94</v>
      </c>
      <c r="C108" s="44">
        <f t="shared" ref="C108:L108" si="39">C106/$O$106</f>
        <v>0.34798644955288838</v>
      </c>
      <c r="D108" s="44">
        <f t="shared" si="39"/>
        <v>7.1307901184337358E-2</v>
      </c>
      <c r="E108" s="44">
        <f t="shared" si="39"/>
        <v>4.865601146304141E-2</v>
      </c>
      <c r="F108" s="44">
        <f t="shared" si="39"/>
        <v>0.3370541044941136</v>
      </c>
      <c r="G108" s="44">
        <f t="shared" si="39"/>
        <v>1.5310590045905232E-2</v>
      </c>
      <c r="H108" s="44">
        <f t="shared" si="39"/>
        <v>1.1569180693266345E-2</v>
      </c>
      <c r="I108" s="44">
        <f t="shared" si="39"/>
        <v>6.4267329447456625E-2</v>
      </c>
      <c r="J108" s="44">
        <f t="shared" si="39"/>
        <v>5.747441601287822E-2</v>
      </c>
      <c r="K108" s="44">
        <f t="shared" si="39"/>
        <v>2.8153442008155029E-2</v>
      </c>
      <c r="L108" s="44">
        <f t="shared" si="39"/>
        <v>1.820288521922182E-2</v>
      </c>
      <c r="M108" s="44"/>
      <c r="N108" s="44">
        <f>N106/$O$106</f>
        <v>1.768987873588126E-5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R111" s="8"/>
      <c r="T111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R112" s="8"/>
      <c r="T112"/>
    </row>
    <row r="113" spans="2:20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R113" s="8"/>
      <c r="T113"/>
    </row>
    <row r="114" spans="2:20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R114" s="8"/>
      <c r="T114"/>
    </row>
    <row r="115" spans="2:20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R115" s="8"/>
      <c r="T115"/>
    </row>
    <row r="116" spans="2:20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R116" s="8"/>
      <c r="T116"/>
    </row>
    <row r="117" spans="2:20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R117" s="8"/>
      <c r="T117"/>
    </row>
    <row r="118" spans="2:20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R118" s="8"/>
      <c r="T118"/>
    </row>
    <row r="119" spans="2:20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R119" s="8"/>
      <c r="T119"/>
    </row>
    <row r="120" spans="2:20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R120" s="8"/>
      <c r="T120"/>
    </row>
    <row r="121" spans="2:20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R121" s="8"/>
      <c r="T121"/>
    </row>
    <row r="122" spans="2:20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R122" s="8"/>
      <c r="T122"/>
    </row>
    <row r="123" spans="2:20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R123" s="8"/>
      <c r="T123"/>
    </row>
    <row r="124" spans="2:20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R124" s="8"/>
      <c r="T124"/>
    </row>
    <row r="125" spans="2:20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R125" s="8"/>
      <c r="T125"/>
    </row>
    <row r="126" spans="2:20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R126" s="8"/>
      <c r="T126"/>
    </row>
    <row r="127" spans="2:20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R127" s="8"/>
      <c r="T127"/>
    </row>
    <row r="128" spans="2:20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R128" s="8"/>
      <c r="T128"/>
    </row>
    <row r="129" spans="2:20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R129" s="8"/>
      <c r="T129"/>
    </row>
    <row r="130" spans="2:20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Q130" s="7"/>
      <c r="R130" s="8"/>
      <c r="T130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Q131" s="7"/>
      <c r="R131" s="8"/>
      <c r="T131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Q132" s="7"/>
      <c r="R132" s="8"/>
      <c r="T132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Q133" s="7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Q134" s="7"/>
    </row>
    <row r="135" spans="2:20" s="7" customFormat="1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/>
      <c r="P135"/>
      <c r="S135" s="8"/>
      <c r="T135" s="8"/>
    </row>
    <row r="136" spans="2:20" s="7" customFormat="1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/>
      <c r="P136"/>
      <c r="S136" s="8"/>
      <c r="T136" s="8"/>
    </row>
    <row r="137" spans="2:20" s="7" customFormat="1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/>
      <c r="P137"/>
      <c r="S137" s="8"/>
      <c r="T137" s="8"/>
    </row>
    <row r="138" spans="2:20" s="7" customFormat="1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/>
      <c r="P138"/>
      <c r="S138" s="8"/>
      <c r="T138" s="8"/>
    </row>
    <row r="139" spans="2:20" s="7" customFormat="1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/>
      <c r="P139"/>
      <c r="S139" s="8"/>
      <c r="T139" s="8"/>
    </row>
    <row r="140" spans="2:20" s="7" customFormat="1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/>
      <c r="P140"/>
      <c r="S140" s="8"/>
      <c r="T140" s="8"/>
    </row>
    <row r="141" spans="2:20" s="7" customFormat="1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/>
      <c r="P141"/>
      <c r="S141" s="8"/>
      <c r="T141" s="8"/>
    </row>
    <row r="142" spans="2:20" s="7" customFormat="1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/>
      <c r="P142"/>
      <c r="S142" s="8"/>
      <c r="T142" s="8"/>
    </row>
    <row r="143" spans="2:20" s="7" customFormat="1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/>
      <c r="P143"/>
      <c r="S143" s="8"/>
      <c r="T143" s="8"/>
    </row>
    <row r="144" spans="2:20" s="7" customFormat="1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/>
      <c r="P144"/>
      <c r="S144" s="8"/>
      <c r="T144" s="8"/>
    </row>
    <row r="145" spans="2:20" s="7" customFormat="1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/>
      <c r="P145"/>
      <c r="S145" s="8"/>
      <c r="T145" s="8"/>
    </row>
    <row r="146" spans="2:20" s="7" customFormat="1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/>
      <c r="P146"/>
      <c r="S146" s="8"/>
      <c r="T146" s="8"/>
    </row>
    <row r="147" spans="2:20" s="7" customFormat="1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/>
      <c r="P147"/>
      <c r="Q147"/>
      <c r="S147" s="8"/>
      <c r="T147" s="8"/>
    </row>
    <row r="148" spans="2:20" s="7" customFormat="1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/>
      <c r="P148"/>
      <c r="Q148"/>
      <c r="S148" s="8"/>
      <c r="T148" s="8"/>
    </row>
    <row r="149" spans="2:20" s="7" customFormat="1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/>
      <c r="P149"/>
      <c r="Q149"/>
      <c r="S149" s="8"/>
      <c r="T149" s="8"/>
    </row>
    <row r="150" spans="2:20" s="7" customFormat="1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/>
      <c r="P150"/>
      <c r="Q150"/>
      <c r="S150" s="8"/>
      <c r="T150" s="8"/>
    </row>
    <row r="151" spans="2:20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20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20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20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20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20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20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20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20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20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2.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18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G62" zoomScale="60" workbookViewId="0">
      <selection activeCell="Y93" sqref="Y9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28" width="10.7109375" customWidth="1"/>
    <col min="29" max="29" width="15.5703125" bestFit="1" customWidth="1"/>
    <col min="30" max="31" width="10.7109375" customWidth="1"/>
    <col min="32" max="32" width="11.85546875" bestFit="1" customWidth="1"/>
    <col min="33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'28.07 Kawempe-Bwaise'!C3:G3</f>
        <v>MCC - C1 - STN23 - BOMBO 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169</v>
      </c>
      <c r="E5" s="66"/>
      <c r="F5" s="41" t="s">
        <v>1</v>
      </c>
      <c r="G5" s="63" t="str">
        <f>'Avg Week Kawempe-Bwaise'!G5:H5</f>
        <v>Before Steel and Tube</v>
      </c>
      <c r="H5" s="64"/>
      <c r="I5" s="14"/>
      <c r="J5" s="2" t="s">
        <v>5</v>
      </c>
      <c r="K5" s="63" t="str">
        <f>'Avg Week Kawempe-Bwaise'!K5:L5</f>
        <v>Nakiwuge Allen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Kawempe-Bwaise'!K6:L6</f>
        <v>Salima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Bwaise-Kawempe'!C10+'Avg Week Kawempe-Bwaise'!C10</f>
        <v>86.857142857142861</v>
      </c>
      <c r="D10" s="49">
        <f>'Avg Week Bwaise-Kawempe'!D10+'Avg Week Kawempe-Bwaise'!D10</f>
        <v>14.571428571428571</v>
      </c>
      <c r="E10" s="49">
        <f>'Avg Week Bwaise-Kawempe'!E10+'Avg Week Kawempe-Bwaise'!E10</f>
        <v>7.7142857142857144</v>
      </c>
      <c r="F10" s="49">
        <f>'Avg Week Bwaise-Kawempe'!F10+'Avg Week Kawempe-Bwaise'!F10</f>
        <v>76.142857142857139</v>
      </c>
      <c r="G10" s="49">
        <f>'Avg Week Bwaise-Kawempe'!G10+'Avg Week Kawempe-Bwaise'!G10</f>
        <v>9.4285714285714288</v>
      </c>
      <c r="H10" s="49">
        <f>'Avg Week Bwaise-Kawempe'!H10+'Avg Week Kawempe-Bwaise'!H10</f>
        <v>2</v>
      </c>
      <c r="I10" s="49">
        <f>'Avg Week Bwaise-Kawempe'!I10+'Avg Week Kawempe-Bwaise'!I10</f>
        <v>12</v>
      </c>
      <c r="J10" s="49">
        <f>'Avg Week Bwaise-Kawempe'!J10+'Avg Week Kawempe-Bwaise'!J10</f>
        <v>9.4285714285714288</v>
      </c>
      <c r="K10" s="49">
        <f>'Avg Week Bwaise-Kawempe'!K10+'Avg Week Kawempe-Bwaise'!K10</f>
        <v>4.4285714285714288</v>
      </c>
      <c r="L10" s="49">
        <f>'Avg Week Bwaise-Kawempe'!L10+'Avg Week Kawempe-Bwaise'!L10</f>
        <v>3.1428571428571428</v>
      </c>
      <c r="M10" s="49">
        <f>'Avg Week Bwaise-Kawempe'!M10+'Avg Week Kawempe-Bwaise'!M10</f>
        <v>329.14285714285711</v>
      </c>
      <c r="N10" s="49">
        <f>'Avg Week Bwaise-Kawempe'!N10+'Avg Week Kawempe-Bwaise'!N10</f>
        <v>0</v>
      </c>
      <c r="O10" s="15">
        <f t="shared" ref="O10:O73" si="0">SUM(C10:L10,N10)</f>
        <v>225.71428571428567</v>
      </c>
      <c r="P10" s="15">
        <f t="shared" ref="P10:P73" si="1">SUM(C10:N10)</f>
        <v>554.85714285714278</v>
      </c>
      <c r="R10" s="1" t="s">
        <v>6</v>
      </c>
      <c r="S10" s="17">
        <f t="shared" ref="S10:AF10" si="2">SUM(C10:C13)</f>
        <v>312.85714285714283</v>
      </c>
      <c r="T10" s="17">
        <f t="shared" si="2"/>
        <v>51.428571428571431</v>
      </c>
      <c r="U10" s="17">
        <f t="shared" si="2"/>
        <v>35.142857142857146</v>
      </c>
      <c r="V10" s="17">
        <f t="shared" si="2"/>
        <v>333.42857142857144</v>
      </c>
      <c r="W10" s="17">
        <f t="shared" si="2"/>
        <v>36.285714285714278</v>
      </c>
      <c r="X10" s="17">
        <f t="shared" si="2"/>
        <v>5.5714285714285703</v>
      </c>
      <c r="Y10" s="17">
        <f t="shared" si="2"/>
        <v>48.285714285714285</v>
      </c>
      <c r="Z10" s="17">
        <f t="shared" si="2"/>
        <v>26.857142857142858</v>
      </c>
      <c r="AA10" s="17">
        <f t="shared" si="2"/>
        <v>13.428571428571431</v>
      </c>
      <c r="AB10" s="17">
        <f t="shared" si="2"/>
        <v>10.285714285714285</v>
      </c>
      <c r="AC10" s="17">
        <f t="shared" si="2"/>
        <v>1587.1428571428571</v>
      </c>
      <c r="AD10" s="17">
        <f t="shared" si="2"/>
        <v>0.14285714285714285</v>
      </c>
      <c r="AE10" s="31">
        <f t="shared" si="2"/>
        <v>873.71428571428578</v>
      </c>
      <c r="AF10" s="31">
        <f t="shared" si="2"/>
        <v>2460.8571428571427</v>
      </c>
    </row>
    <row r="11" spans="2:32" s="6" customFormat="1" ht="23.1" customHeight="1" x14ac:dyDescent="0.25">
      <c r="B11" s="23" t="s">
        <v>38</v>
      </c>
      <c r="C11" s="49">
        <f>'Avg Week Bwaise-Kawempe'!C11+'Avg Week Kawempe-Bwaise'!C11</f>
        <v>69.857142857142861</v>
      </c>
      <c r="D11" s="49">
        <f>'Avg Week Bwaise-Kawempe'!D11+'Avg Week Kawempe-Bwaise'!D11</f>
        <v>10.428571428571429</v>
      </c>
      <c r="E11" s="49">
        <f>'Avg Week Bwaise-Kawempe'!E11+'Avg Week Kawempe-Bwaise'!E11</f>
        <v>7.4285714285714288</v>
      </c>
      <c r="F11" s="49">
        <f>'Avg Week Bwaise-Kawempe'!F11+'Avg Week Kawempe-Bwaise'!F11</f>
        <v>77.571428571428569</v>
      </c>
      <c r="G11" s="49">
        <f>'Avg Week Bwaise-Kawempe'!G11+'Avg Week Kawempe-Bwaise'!G11</f>
        <v>7.1428571428571423</v>
      </c>
      <c r="H11" s="49">
        <f>'Avg Week Bwaise-Kawempe'!H11+'Avg Week Kawempe-Bwaise'!H11</f>
        <v>1.857142857142857</v>
      </c>
      <c r="I11" s="49">
        <f>'Avg Week Bwaise-Kawempe'!I11+'Avg Week Kawempe-Bwaise'!I11</f>
        <v>10.571428571428571</v>
      </c>
      <c r="J11" s="49">
        <f>'Avg Week Bwaise-Kawempe'!J11+'Avg Week Kawempe-Bwaise'!J11</f>
        <v>5.8571428571428568</v>
      </c>
      <c r="K11" s="49">
        <f>'Avg Week Bwaise-Kawempe'!K11+'Avg Week Kawempe-Bwaise'!K11</f>
        <v>3.285714285714286</v>
      </c>
      <c r="L11" s="49">
        <f>'Avg Week Bwaise-Kawempe'!L11+'Avg Week Kawempe-Bwaise'!L11</f>
        <v>2.4285714285714288</v>
      </c>
      <c r="M11" s="49">
        <f>'Avg Week Bwaise-Kawempe'!M11+'Avg Week Kawempe-Bwaise'!M11</f>
        <v>372.71428571428572</v>
      </c>
      <c r="N11" s="49">
        <f>'Avg Week Bwaise-Kawempe'!N11+'Avg Week Kawempe-Bwaise'!N11</f>
        <v>0.14285714285714285</v>
      </c>
      <c r="O11" s="15">
        <f t="shared" si="0"/>
        <v>196.57142857142856</v>
      </c>
      <c r="P11" s="15">
        <f t="shared" si="1"/>
        <v>569.28571428571422</v>
      </c>
      <c r="R11" s="1" t="s">
        <v>7</v>
      </c>
      <c r="S11" s="17">
        <f t="shared" ref="S11:AF11" si="3">SUM(C14:C17)</f>
        <v>273.57142857142856</v>
      </c>
      <c r="T11" s="17">
        <f t="shared" si="3"/>
        <v>57.142857142857139</v>
      </c>
      <c r="U11" s="17">
        <f t="shared" si="3"/>
        <v>37.285714285714292</v>
      </c>
      <c r="V11" s="17">
        <f t="shared" si="3"/>
        <v>373</v>
      </c>
      <c r="W11" s="17">
        <f t="shared" si="3"/>
        <v>14.714285714285714</v>
      </c>
      <c r="X11" s="17">
        <f t="shared" si="3"/>
        <v>4.7142857142857135</v>
      </c>
      <c r="Y11" s="17">
        <f t="shared" si="3"/>
        <v>52.428571428571423</v>
      </c>
      <c r="Z11" s="17">
        <f t="shared" si="3"/>
        <v>29.285714285714285</v>
      </c>
      <c r="AA11" s="17">
        <f t="shared" si="3"/>
        <v>15.285714285714286</v>
      </c>
      <c r="AB11" s="17">
        <f t="shared" si="3"/>
        <v>12.714285714285715</v>
      </c>
      <c r="AC11" s="17">
        <f t="shared" si="3"/>
        <v>1722.8571428571427</v>
      </c>
      <c r="AD11" s="17">
        <f t="shared" si="3"/>
        <v>0.2857142857142857</v>
      </c>
      <c r="AE11" s="31">
        <f t="shared" si="3"/>
        <v>870.42857142857144</v>
      </c>
      <c r="AF11" s="31">
        <f t="shared" si="3"/>
        <v>2593.2857142857147</v>
      </c>
    </row>
    <row r="12" spans="2:32" ht="23.1" customHeight="1" x14ac:dyDescent="0.25">
      <c r="B12" s="23" t="s">
        <v>39</v>
      </c>
      <c r="C12" s="49">
        <f>'Avg Week Bwaise-Kawempe'!C12+'Avg Week Kawempe-Bwaise'!C12</f>
        <v>80.571428571428569</v>
      </c>
      <c r="D12" s="49">
        <f>'Avg Week Bwaise-Kawempe'!D12+'Avg Week Kawempe-Bwaise'!D12</f>
        <v>13.428571428571427</v>
      </c>
      <c r="E12" s="49">
        <f>'Avg Week Bwaise-Kawempe'!E12+'Avg Week Kawempe-Bwaise'!E12</f>
        <v>10.571428571428571</v>
      </c>
      <c r="F12" s="49">
        <f>'Avg Week Bwaise-Kawempe'!F12+'Avg Week Kawempe-Bwaise'!F12</f>
        <v>96.714285714285708</v>
      </c>
      <c r="G12" s="49">
        <f>'Avg Week Bwaise-Kawempe'!G12+'Avg Week Kawempe-Bwaise'!G12</f>
        <v>8.5714285714285712</v>
      </c>
      <c r="H12" s="49">
        <f>'Avg Week Bwaise-Kawempe'!H12+'Avg Week Kawempe-Bwaise'!H12</f>
        <v>0.8571428571428571</v>
      </c>
      <c r="I12" s="49">
        <f>'Avg Week Bwaise-Kawempe'!I12+'Avg Week Kawempe-Bwaise'!I12</f>
        <v>12.285714285714285</v>
      </c>
      <c r="J12" s="49">
        <f>'Avg Week Bwaise-Kawempe'!J12+'Avg Week Kawempe-Bwaise'!J12</f>
        <v>5.7142857142857144</v>
      </c>
      <c r="K12" s="49">
        <f>'Avg Week Bwaise-Kawempe'!K12+'Avg Week Kawempe-Bwaise'!K12</f>
        <v>3</v>
      </c>
      <c r="L12" s="49">
        <f>'Avg Week Bwaise-Kawempe'!L12+'Avg Week Kawempe-Bwaise'!L12</f>
        <v>2</v>
      </c>
      <c r="M12" s="49">
        <f>'Avg Week Bwaise-Kawempe'!M12+'Avg Week Kawempe-Bwaise'!M12</f>
        <v>422</v>
      </c>
      <c r="N12" s="49">
        <f>'Avg Week Bwaise-Kawempe'!N12+'Avg Week Kawempe-Bwaise'!N12</f>
        <v>0</v>
      </c>
      <c r="O12" s="15">
        <f t="shared" si="0"/>
        <v>233.71428571428572</v>
      </c>
      <c r="P12" s="15">
        <f t="shared" si="1"/>
        <v>655.71428571428578</v>
      </c>
      <c r="R12" s="1" t="s">
        <v>8</v>
      </c>
      <c r="S12" s="17">
        <f t="shared" ref="S12:AF12" si="4">SUM(C18:C21)</f>
        <v>296.57142857142856</v>
      </c>
      <c r="T12" s="17">
        <f t="shared" si="4"/>
        <v>61.142857142857139</v>
      </c>
      <c r="U12" s="17">
        <f t="shared" si="4"/>
        <v>59.428571428571431</v>
      </c>
      <c r="V12" s="17">
        <f t="shared" si="4"/>
        <v>353.42857142857144</v>
      </c>
      <c r="W12" s="17">
        <f t="shared" si="4"/>
        <v>13.857142857142858</v>
      </c>
      <c r="X12" s="17">
        <f t="shared" si="4"/>
        <v>4.7142857142857144</v>
      </c>
      <c r="Y12" s="17">
        <f t="shared" si="4"/>
        <v>65</v>
      </c>
      <c r="Z12" s="17">
        <f t="shared" si="4"/>
        <v>36.857142857142854</v>
      </c>
      <c r="AA12" s="17">
        <f t="shared" si="4"/>
        <v>17.428571428571427</v>
      </c>
      <c r="AB12" s="17">
        <f t="shared" si="4"/>
        <v>13.571428571428571</v>
      </c>
      <c r="AC12" s="17">
        <f t="shared" si="4"/>
        <v>1690.1428571428571</v>
      </c>
      <c r="AD12" s="17">
        <f t="shared" si="4"/>
        <v>0.14285714285714285</v>
      </c>
      <c r="AE12" s="31">
        <f t="shared" si="4"/>
        <v>922.14285714285711</v>
      </c>
      <c r="AF12" s="31">
        <f t="shared" si="4"/>
        <v>2612.2857142857142</v>
      </c>
    </row>
    <row r="13" spans="2:32" ht="23.1" customHeight="1" x14ac:dyDescent="0.25">
      <c r="B13" s="23" t="s">
        <v>40</v>
      </c>
      <c r="C13" s="49">
        <f>'Avg Week Bwaise-Kawempe'!C13+'Avg Week Kawempe-Bwaise'!C13</f>
        <v>75.571428571428569</v>
      </c>
      <c r="D13" s="49">
        <f>'Avg Week Bwaise-Kawempe'!D13+'Avg Week Kawempe-Bwaise'!D13</f>
        <v>13</v>
      </c>
      <c r="E13" s="49">
        <f>'Avg Week Bwaise-Kawempe'!E13+'Avg Week Kawempe-Bwaise'!E13</f>
        <v>9.4285714285714288</v>
      </c>
      <c r="F13" s="49">
        <f>'Avg Week Bwaise-Kawempe'!F13+'Avg Week Kawempe-Bwaise'!F13</f>
        <v>83</v>
      </c>
      <c r="G13" s="49">
        <f>'Avg Week Bwaise-Kawempe'!G13+'Avg Week Kawempe-Bwaise'!G13</f>
        <v>11.142857142857142</v>
      </c>
      <c r="H13" s="49">
        <f>'Avg Week Bwaise-Kawempe'!H13+'Avg Week Kawempe-Bwaise'!H13</f>
        <v>0.8571428571428571</v>
      </c>
      <c r="I13" s="49">
        <f>'Avg Week Bwaise-Kawempe'!I13+'Avg Week Kawempe-Bwaise'!I13</f>
        <v>13.428571428571429</v>
      </c>
      <c r="J13" s="49">
        <f>'Avg Week Bwaise-Kawempe'!J13+'Avg Week Kawempe-Bwaise'!J13</f>
        <v>5.8571428571428568</v>
      </c>
      <c r="K13" s="49">
        <f>'Avg Week Bwaise-Kawempe'!K13+'Avg Week Kawempe-Bwaise'!K13</f>
        <v>2.7142857142857144</v>
      </c>
      <c r="L13" s="49">
        <f>'Avg Week Bwaise-Kawempe'!L13+'Avg Week Kawempe-Bwaise'!L13</f>
        <v>2.7142857142857144</v>
      </c>
      <c r="M13" s="49">
        <f>'Avg Week Bwaise-Kawempe'!M13+'Avg Week Kawempe-Bwaise'!M13</f>
        <v>463.28571428571428</v>
      </c>
      <c r="N13" s="49">
        <f>'Avg Week Bwaise-Kawempe'!N13+'Avg Week Kawempe-Bwaise'!N13</f>
        <v>0</v>
      </c>
      <c r="O13" s="15">
        <f t="shared" si="0"/>
        <v>217.71428571428572</v>
      </c>
      <c r="P13" s="15">
        <f t="shared" si="1"/>
        <v>681</v>
      </c>
      <c r="R13" s="1" t="s">
        <v>9</v>
      </c>
      <c r="S13" s="17">
        <f t="shared" ref="S13:AF13" si="5">SUM(C22:C25)</f>
        <v>289.14285714285711</v>
      </c>
      <c r="T13" s="17">
        <f t="shared" si="5"/>
        <v>62.857142857142854</v>
      </c>
      <c r="U13" s="17">
        <f t="shared" si="5"/>
        <v>45.571428571428569</v>
      </c>
      <c r="V13" s="17">
        <f t="shared" si="5"/>
        <v>335.28571428571433</v>
      </c>
      <c r="W13" s="17">
        <f t="shared" si="5"/>
        <v>11</v>
      </c>
      <c r="X13" s="17">
        <f t="shared" si="5"/>
        <v>2.2857142857142856</v>
      </c>
      <c r="Y13" s="17">
        <f t="shared" si="5"/>
        <v>82.000000000000014</v>
      </c>
      <c r="Z13" s="17">
        <f t="shared" si="5"/>
        <v>38.571428571428569</v>
      </c>
      <c r="AA13" s="17">
        <f t="shared" si="5"/>
        <v>17.428571428571427</v>
      </c>
      <c r="AB13" s="17">
        <f t="shared" si="5"/>
        <v>15.428571428571431</v>
      </c>
      <c r="AC13" s="17">
        <f t="shared" si="5"/>
        <v>1414.1428571428571</v>
      </c>
      <c r="AD13" s="17">
        <f t="shared" si="5"/>
        <v>0</v>
      </c>
      <c r="AE13" s="31">
        <f t="shared" si="5"/>
        <v>899.57142857142867</v>
      </c>
      <c r="AF13" s="31">
        <f t="shared" si="5"/>
        <v>2313.7142857142858</v>
      </c>
    </row>
    <row r="14" spans="2:32" ht="23.1" customHeight="1" x14ac:dyDescent="0.25">
      <c r="B14" s="23" t="s">
        <v>41</v>
      </c>
      <c r="C14" s="49">
        <f>'Avg Week Bwaise-Kawempe'!C14+'Avg Week Kawempe-Bwaise'!C14</f>
        <v>69.857142857142861</v>
      </c>
      <c r="D14" s="49">
        <f>'Avg Week Bwaise-Kawempe'!D14+'Avg Week Kawempe-Bwaise'!D14</f>
        <v>13.285714285714285</v>
      </c>
      <c r="E14" s="49">
        <f>'Avg Week Bwaise-Kawempe'!E14+'Avg Week Kawempe-Bwaise'!E14</f>
        <v>9.2857142857142865</v>
      </c>
      <c r="F14" s="49">
        <f>'Avg Week Bwaise-Kawempe'!F14+'Avg Week Kawempe-Bwaise'!F14</f>
        <v>87.285714285714278</v>
      </c>
      <c r="G14" s="49">
        <f>'Avg Week Bwaise-Kawempe'!G14+'Avg Week Kawempe-Bwaise'!G14</f>
        <v>5.4285714285714288</v>
      </c>
      <c r="H14" s="49">
        <f>'Avg Week Bwaise-Kawempe'!H14+'Avg Week Kawempe-Bwaise'!H14</f>
        <v>1.2857142857142856</v>
      </c>
      <c r="I14" s="49">
        <f>'Avg Week Bwaise-Kawempe'!I14+'Avg Week Kawempe-Bwaise'!I14</f>
        <v>11.714285714285714</v>
      </c>
      <c r="J14" s="49">
        <f>'Avg Week Bwaise-Kawempe'!J14+'Avg Week Kawempe-Bwaise'!J14</f>
        <v>7.5714285714285712</v>
      </c>
      <c r="K14" s="49">
        <f>'Avg Week Bwaise-Kawempe'!K14+'Avg Week Kawempe-Bwaise'!K14</f>
        <v>3.8571428571428572</v>
      </c>
      <c r="L14" s="49">
        <f>'Avg Week Bwaise-Kawempe'!L14+'Avg Week Kawempe-Bwaise'!L14</f>
        <v>3.1428571428571432</v>
      </c>
      <c r="M14" s="49">
        <f>'Avg Week Bwaise-Kawempe'!M14+'Avg Week Kawempe-Bwaise'!M14</f>
        <v>403.14285714285711</v>
      </c>
      <c r="N14" s="49">
        <f>'Avg Week Bwaise-Kawempe'!N14+'Avg Week Kawempe-Bwaise'!N14</f>
        <v>0</v>
      </c>
      <c r="O14" s="15">
        <f t="shared" si="0"/>
        <v>212.71428571428572</v>
      </c>
      <c r="P14" s="15">
        <f t="shared" si="1"/>
        <v>615.85714285714289</v>
      </c>
      <c r="R14" s="1" t="s">
        <v>10</v>
      </c>
      <c r="S14" s="17">
        <f t="shared" ref="S14:AF14" si="6">SUM(C26:C29)</f>
        <v>319.42857142857144</v>
      </c>
      <c r="T14" s="17">
        <f t="shared" si="6"/>
        <v>72.428571428571431</v>
      </c>
      <c r="U14" s="17">
        <f t="shared" si="6"/>
        <v>56.285714285714278</v>
      </c>
      <c r="V14" s="17">
        <f t="shared" si="6"/>
        <v>311.57142857142856</v>
      </c>
      <c r="W14" s="17">
        <f t="shared" si="6"/>
        <v>12.142857142857142</v>
      </c>
      <c r="X14" s="17">
        <f t="shared" si="6"/>
        <v>5.1428571428571423</v>
      </c>
      <c r="Y14" s="17">
        <f t="shared" si="6"/>
        <v>77.142857142857139</v>
      </c>
      <c r="Z14" s="17">
        <f t="shared" si="6"/>
        <v>42.571428571428569</v>
      </c>
      <c r="AA14" s="17">
        <f t="shared" si="6"/>
        <v>14.857142857142856</v>
      </c>
      <c r="AB14" s="17">
        <f t="shared" si="6"/>
        <v>20.714285714285715</v>
      </c>
      <c r="AC14" s="17">
        <f t="shared" si="6"/>
        <v>1297.547619047619</v>
      </c>
      <c r="AD14" s="17">
        <f t="shared" si="6"/>
        <v>0</v>
      </c>
      <c r="AE14" s="31">
        <f t="shared" si="6"/>
        <v>932.28571428571422</v>
      </c>
      <c r="AF14" s="31">
        <f t="shared" si="6"/>
        <v>2229.8333333333335</v>
      </c>
    </row>
    <row r="15" spans="2:32" ht="23.1" customHeight="1" x14ac:dyDescent="0.25">
      <c r="B15" s="23" t="s">
        <v>42</v>
      </c>
      <c r="C15" s="49">
        <f>'Avg Week Bwaise-Kawempe'!C15+'Avg Week Kawempe-Bwaise'!C15</f>
        <v>71.142857142857139</v>
      </c>
      <c r="D15" s="49">
        <f>'Avg Week Bwaise-Kawempe'!D15+'Avg Week Kawempe-Bwaise'!D15</f>
        <v>15.571428571428571</v>
      </c>
      <c r="E15" s="49">
        <f>'Avg Week Bwaise-Kawempe'!E15+'Avg Week Kawempe-Bwaise'!E15</f>
        <v>9.2857142857142865</v>
      </c>
      <c r="F15" s="49">
        <f>'Avg Week Bwaise-Kawempe'!F15+'Avg Week Kawempe-Bwaise'!F15</f>
        <v>94.285714285714278</v>
      </c>
      <c r="G15" s="49">
        <f>'Avg Week Bwaise-Kawempe'!G15+'Avg Week Kawempe-Bwaise'!G15</f>
        <v>3.1428571428571428</v>
      </c>
      <c r="H15" s="49">
        <f>'Avg Week Bwaise-Kawempe'!H15+'Avg Week Kawempe-Bwaise'!H15</f>
        <v>1.5714285714285714</v>
      </c>
      <c r="I15" s="49">
        <f>'Avg Week Bwaise-Kawempe'!I15+'Avg Week Kawempe-Bwaise'!I15</f>
        <v>14.142857142857142</v>
      </c>
      <c r="J15" s="49">
        <f>'Avg Week Bwaise-Kawempe'!J15+'Avg Week Kawempe-Bwaise'!J15</f>
        <v>7.2857142857142865</v>
      </c>
      <c r="K15" s="49">
        <f>'Avg Week Bwaise-Kawempe'!K15+'Avg Week Kawempe-Bwaise'!K15</f>
        <v>3</v>
      </c>
      <c r="L15" s="49">
        <f>'Avg Week Bwaise-Kawempe'!L15+'Avg Week Kawempe-Bwaise'!L15</f>
        <v>3.5714285714285712</v>
      </c>
      <c r="M15" s="49">
        <f>'Avg Week Bwaise-Kawempe'!M15+'Avg Week Kawempe-Bwaise'!M15</f>
        <v>439.42857142857144</v>
      </c>
      <c r="N15" s="49">
        <f>'Avg Week Bwaise-Kawempe'!N15+'Avg Week Kawempe-Bwaise'!N15</f>
        <v>0.14285714285714285</v>
      </c>
      <c r="O15" s="15">
        <f t="shared" si="0"/>
        <v>223.14285714285714</v>
      </c>
      <c r="P15" s="15">
        <f t="shared" si="1"/>
        <v>662.57142857142856</v>
      </c>
      <c r="R15" s="1" t="s">
        <v>11</v>
      </c>
      <c r="S15" s="17">
        <f t="shared" ref="S15:AF15" si="7">SUM(C30:C33)</f>
        <v>297.57142857142856</v>
      </c>
      <c r="T15" s="17">
        <f t="shared" si="7"/>
        <v>63.571428571428569</v>
      </c>
      <c r="U15" s="17">
        <f t="shared" si="7"/>
        <v>47.285714285714292</v>
      </c>
      <c r="V15" s="17">
        <f t="shared" si="7"/>
        <v>307.28571428571428</v>
      </c>
      <c r="W15" s="17">
        <f t="shared" si="7"/>
        <v>13.428571428571427</v>
      </c>
      <c r="X15" s="17">
        <f t="shared" si="7"/>
        <v>8.2857142857142865</v>
      </c>
      <c r="Y15" s="17">
        <f t="shared" si="7"/>
        <v>82</v>
      </c>
      <c r="Z15" s="17">
        <f t="shared" si="7"/>
        <v>41.142857142857146</v>
      </c>
      <c r="AA15" s="17">
        <f t="shared" si="7"/>
        <v>16.857142857142858</v>
      </c>
      <c r="AB15" s="17">
        <f t="shared" si="7"/>
        <v>18.142857142857142</v>
      </c>
      <c r="AC15" s="17">
        <f t="shared" si="7"/>
        <v>1104.4285714285713</v>
      </c>
      <c r="AD15" s="17">
        <f t="shared" si="7"/>
        <v>0</v>
      </c>
      <c r="AE15" s="31">
        <f t="shared" si="7"/>
        <v>895.57142857142844</v>
      </c>
      <c r="AF15" s="31">
        <f t="shared" si="7"/>
        <v>2000</v>
      </c>
    </row>
    <row r="16" spans="2:32" ht="23.1" customHeight="1" x14ac:dyDescent="0.25">
      <c r="B16" s="23" t="s">
        <v>43</v>
      </c>
      <c r="C16" s="49">
        <f>'Avg Week Bwaise-Kawempe'!C16+'Avg Week Kawempe-Bwaise'!C16</f>
        <v>71.142857142857139</v>
      </c>
      <c r="D16" s="49">
        <f>'Avg Week Bwaise-Kawempe'!D16+'Avg Week Kawempe-Bwaise'!D16</f>
        <v>14.714285714285715</v>
      </c>
      <c r="E16" s="49">
        <f>'Avg Week Bwaise-Kawempe'!E16+'Avg Week Kawempe-Bwaise'!E16</f>
        <v>8.7142857142857153</v>
      </c>
      <c r="F16" s="49">
        <f>'Avg Week Bwaise-Kawempe'!F16+'Avg Week Kawempe-Bwaise'!F16</f>
        <v>97.285714285714292</v>
      </c>
      <c r="G16" s="49">
        <f>'Avg Week Bwaise-Kawempe'!G16+'Avg Week Kawempe-Bwaise'!G16</f>
        <v>3.7142857142857144</v>
      </c>
      <c r="H16" s="49">
        <f>'Avg Week Bwaise-Kawempe'!H16+'Avg Week Kawempe-Bwaise'!H16</f>
        <v>0.42857142857142855</v>
      </c>
      <c r="I16" s="49">
        <f>'Avg Week Bwaise-Kawempe'!I16+'Avg Week Kawempe-Bwaise'!I16</f>
        <v>14</v>
      </c>
      <c r="J16" s="49">
        <f>'Avg Week Bwaise-Kawempe'!J16+'Avg Week Kawempe-Bwaise'!J16</f>
        <v>7</v>
      </c>
      <c r="K16" s="49">
        <f>'Avg Week Bwaise-Kawempe'!K16+'Avg Week Kawempe-Bwaise'!K16</f>
        <v>3.8571428571428572</v>
      </c>
      <c r="L16" s="49">
        <f>'Avg Week Bwaise-Kawempe'!L16+'Avg Week Kawempe-Bwaise'!L16</f>
        <v>2.2857142857142856</v>
      </c>
      <c r="M16" s="49">
        <f>'Avg Week Bwaise-Kawempe'!M16+'Avg Week Kawempe-Bwaise'!M16</f>
        <v>485.57142857142856</v>
      </c>
      <c r="N16" s="49">
        <f>'Avg Week Bwaise-Kawempe'!N16+'Avg Week Kawempe-Bwaise'!N16</f>
        <v>0</v>
      </c>
      <c r="O16" s="15">
        <f t="shared" si="0"/>
        <v>223.14285714285717</v>
      </c>
      <c r="P16" s="15">
        <f t="shared" si="1"/>
        <v>708.71428571428578</v>
      </c>
      <c r="R16" s="1" t="s">
        <v>12</v>
      </c>
      <c r="S16" s="17">
        <f t="shared" ref="S16:AF16" si="8">SUM(C34:C37)</f>
        <v>300.85714285714283</v>
      </c>
      <c r="T16" s="17">
        <f t="shared" si="8"/>
        <v>74</v>
      </c>
      <c r="U16" s="17">
        <f t="shared" si="8"/>
        <v>51.571428571428569</v>
      </c>
      <c r="V16" s="17">
        <f t="shared" si="8"/>
        <v>301.42857142857144</v>
      </c>
      <c r="W16" s="17">
        <f t="shared" si="8"/>
        <v>10.428571428571427</v>
      </c>
      <c r="X16" s="17">
        <f t="shared" si="8"/>
        <v>5.1428571428571423</v>
      </c>
      <c r="Y16" s="17">
        <f t="shared" si="8"/>
        <v>66.857142857142861</v>
      </c>
      <c r="Z16" s="17">
        <f t="shared" si="8"/>
        <v>44.857142857142861</v>
      </c>
      <c r="AA16" s="17">
        <f t="shared" si="8"/>
        <v>18.142857142857142</v>
      </c>
      <c r="AB16" s="17">
        <f t="shared" si="8"/>
        <v>17.142857142857146</v>
      </c>
      <c r="AC16" s="17">
        <f t="shared" si="8"/>
        <v>1031.4285714285713</v>
      </c>
      <c r="AD16" s="17">
        <f t="shared" si="8"/>
        <v>0</v>
      </c>
      <c r="AE16" s="31">
        <f t="shared" si="8"/>
        <v>890.42857142857156</v>
      </c>
      <c r="AF16" s="31">
        <f t="shared" si="8"/>
        <v>1921.8571428571431</v>
      </c>
    </row>
    <row r="17" spans="2:32" ht="23.1" customHeight="1" x14ac:dyDescent="0.25">
      <c r="B17" s="23" t="s">
        <v>44</v>
      </c>
      <c r="C17" s="49">
        <f>'Avg Week Bwaise-Kawempe'!C17+'Avg Week Kawempe-Bwaise'!C17</f>
        <v>61.428571428571431</v>
      </c>
      <c r="D17" s="49">
        <f>'Avg Week Bwaise-Kawempe'!D17+'Avg Week Kawempe-Bwaise'!D17</f>
        <v>13.571428571428573</v>
      </c>
      <c r="E17" s="49">
        <f>'Avg Week Bwaise-Kawempe'!E17+'Avg Week Kawempe-Bwaise'!E17</f>
        <v>10</v>
      </c>
      <c r="F17" s="49">
        <f>'Avg Week Bwaise-Kawempe'!F17+'Avg Week Kawempe-Bwaise'!F17</f>
        <v>94.142857142857139</v>
      </c>
      <c r="G17" s="49">
        <f>'Avg Week Bwaise-Kawempe'!G17+'Avg Week Kawempe-Bwaise'!G17</f>
        <v>2.4285714285714288</v>
      </c>
      <c r="H17" s="49">
        <f>'Avg Week Bwaise-Kawempe'!H17+'Avg Week Kawempe-Bwaise'!H17</f>
        <v>1.4285714285714286</v>
      </c>
      <c r="I17" s="49">
        <f>'Avg Week Bwaise-Kawempe'!I17+'Avg Week Kawempe-Bwaise'!I17</f>
        <v>12.571428571428571</v>
      </c>
      <c r="J17" s="49">
        <f>'Avg Week Bwaise-Kawempe'!J17+'Avg Week Kawempe-Bwaise'!J17</f>
        <v>7.4285714285714288</v>
      </c>
      <c r="K17" s="49">
        <f>'Avg Week Bwaise-Kawempe'!K17+'Avg Week Kawempe-Bwaise'!K17</f>
        <v>4.5714285714285712</v>
      </c>
      <c r="L17" s="49">
        <f>'Avg Week Bwaise-Kawempe'!L17+'Avg Week Kawempe-Bwaise'!L17</f>
        <v>3.7142857142857144</v>
      </c>
      <c r="M17" s="49">
        <f>'Avg Week Bwaise-Kawempe'!M17+'Avg Week Kawempe-Bwaise'!M17</f>
        <v>394.71428571428567</v>
      </c>
      <c r="N17" s="49">
        <f>'Avg Week Bwaise-Kawempe'!N17+'Avg Week Kawempe-Bwaise'!N17</f>
        <v>0.14285714285714285</v>
      </c>
      <c r="O17" s="15">
        <f t="shared" si="0"/>
        <v>211.42857142857142</v>
      </c>
      <c r="P17" s="15">
        <f t="shared" si="1"/>
        <v>606.14285714285711</v>
      </c>
      <c r="R17" s="1" t="s">
        <v>13</v>
      </c>
      <c r="S17" s="17">
        <f t="shared" ref="S17:AF17" si="9">SUM(C38:C41)</f>
        <v>263.28571428571428</v>
      </c>
      <c r="T17" s="17">
        <f t="shared" si="9"/>
        <v>69.857142857142861</v>
      </c>
      <c r="U17" s="17">
        <f t="shared" si="9"/>
        <v>48.571428571428577</v>
      </c>
      <c r="V17" s="17">
        <f t="shared" si="9"/>
        <v>275.85714285714283</v>
      </c>
      <c r="W17" s="17">
        <f t="shared" si="9"/>
        <v>11.285714285714285</v>
      </c>
      <c r="X17" s="17">
        <f t="shared" si="9"/>
        <v>7</v>
      </c>
      <c r="Y17" s="17">
        <f t="shared" si="9"/>
        <v>75.857142857142861</v>
      </c>
      <c r="Z17" s="17">
        <f t="shared" si="9"/>
        <v>34.428571428571431</v>
      </c>
      <c r="AA17" s="17">
        <f t="shared" si="9"/>
        <v>14.714285714285714</v>
      </c>
      <c r="AB17" s="17">
        <f t="shared" si="9"/>
        <v>22.285714285714285</v>
      </c>
      <c r="AC17" s="17">
        <f t="shared" si="9"/>
        <v>874.71428571428567</v>
      </c>
      <c r="AD17" s="17">
        <f t="shared" si="9"/>
        <v>0</v>
      </c>
      <c r="AE17" s="31">
        <f t="shared" si="9"/>
        <v>823.14285714285711</v>
      </c>
      <c r="AF17" s="31">
        <f t="shared" si="9"/>
        <v>1697.8571428571427</v>
      </c>
    </row>
    <row r="18" spans="2:32" ht="23.1" customHeight="1" x14ac:dyDescent="0.25">
      <c r="B18" s="23" t="s">
        <v>45</v>
      </c>
      <c r="C18" s="49">
        <f>'Avg Week Bwaise-Kawempe'!C18+'Avg Week Kawempe-Bwaise'!C18</f>
        <v>68.571428571428569</v>
      </c>
      <c r="D18" s="49">
        <f>'Avg Week Bwaise-Kawempe'!D18+'Avg Week Kawempe-Bwaise'!D18</f>
        <v>15.714285714285714</v>
      </c>
      <c r="E18" s="49">
        <f>'Avg Week Bwaise-Kawempe'!E18+'Avg Week Kawempe-Bwaise'!E18</f>
        <v>15.714285714285715</v>
      </c>
      <c r="F18" s="49">
        <f>'Avg Week Bwaise-Kawempe'!F18+'Avg Week Kawempe-Bwaise'!F18</f>
        <v>85.857142857142861</v>
      </c>
      <c r="G18" s="49">
        <f>'Avg Week Bwaise-Kawempe'!G18+'Avg Week Kawempe-Bwaise'!G18</f>
        <v>2.2857142857142856</v>
      </c>
      <c r="H18" s="49">
        <f>'Avg Week Bwaise-Kawempe'!H18+'Avg Week Kawempe-Bwaise'!H18</f>
        <v>1</v>
      </c>
      <c r="I18" s="49">
        <f>'Avg Week Bwaise-Kawempe'!I18+'Avg Week Kawempe-Bwaise'!I18</f>
        <v>15.857142857142858</v>
      </c>
      <c r="J18" s="49">
        <f>'Avg Week Bwaise-Kawempe'!J18+'Avg Week Kawempe-Bwaise'!J18</f>
        <v>9</v>
      </c>
      <c r="K18" s="49">
        <f>'Avg Week Bwaise-Kawempe'!K18+'Avg Week Kawempe-Bwaise'!K18</f>
        <v>6</v>
      </c>
      <c r="L18" s="49">
        <f>'Avg Week Bwaise-Kawempe'!L18+'Avg Week Kawempe-Bwaise'!L18</f>
        <v>4.5714285714285712</v>
      </c>
      <c r="M18" s="49">
        <f>'Avg Week Bwaise-Kawempe'!M18+'Avg Week Kawempe-Bwaise'!M18</f>
        <v>443.57142857142856</v>
      </c>
      <c r="N18" s="49">
        <f>'Avg Week Bwaise-Kawempe'!N18+'Avg Week Kawempe-Bwaise'!N18</f>
        <v>0</v>
      </c>
      <c r="O18" s="15">
        <f t="shared" si="0"/>
        <v>224.57142857142858</v>
      </c>
      <c r="P18" s="15">
        <f t="shared" si="1"/>
        <v>668.14285714285711</v>
      </c>
      <c r="R18" s="1" t="s">
        <v>14</v>
      </c>
      <c r="S18" s="17">
        <f t="shared" ref="S18:AF18" si="10">SUM(C42:C45)</f>
        <v>285.57142857142856</v>
      </c>
      <c r="T18" s="17">
        <f t="shared" si="10"/>
        <v>81.714285714285722</v>
      </c>
      <c r="U18" s="17">
        <f t="shared" si="10"/>
        <v>57.428571428571431</v>
      </c>
      <c r="V18" s="17">
        <f t="shared" si="10"/>
        <v>289.71428571428572</v>
      </c>
      <c r="W18" s="17">
        <f t="shared" si="10"/>
        <v>9.7142857142857135</v>
      </c>
      <c r="X18" s="17">
        <f t="shared" si="10"/>
        <v>5.7142857142857135</v>
      </c>
      <c r="Y18" s="17">
        <f t="shared" si="10"/>
        <v>77.428571428571431</v>
      </c>
      <c r="Z18" s="17">
        <f t="shared" si="10"/>
        <v>40.428571428571431</v>
      </c>
      <c r="AA18" s="17">
        <f t="shared" si="10"/>
        <v>15.714285714285715</v>
      </c>
      <c r="AB18" s="17">
        <f t="shared" si="10"/>
        <v>18</v>
      </c>
      <c r="AC18" s="17">
        <f t="shared" si="10"/>
        <v>889.14285714285711</v>
      </c>
      <c r="AD18" s="17">
        <f t="shared" si="10"/>
        <v>0</v>
      </c>
      <c r="AE18" s="31">
        <f t="shared" si="10"/>
        <v>881.42857142857133</v>
      </c>
      <c r="AF18" s="31">
        <f t="shared" si="10"/>
        <v>1770.5714285714287</v>
      </c>
    </row>
    <row r="19" spans="2:32" ht="23.1" customHeight="1" x14ac:dyDescent="0.25">
      <c r="B19" s="23" t="s">
        <v>46</v>
      </c>
      <c r="C19" s="49">
        <f>'Avg Week Bwaise-Kawempe'!C19+'Avg Week Kawempe-Bwaise'!C19</f>
        <v>81.571428571428569</v>
      </c>
      <c r="D19" s="49">
        <f>'Avg Week Bwaise-Kawempe'!D19+'Avg Week Kawempe-Bwaise'!D19</f>
        <v>14.285714285714285</v>
      </c>
      <c r="E19" s="49">
        <f>'Avg Week Bwaise-Kawempe'!E19+'Avg Week Kawempe-Bwaise'!E19</f>
        <v>13.285714285714285</v>
      </c>
      <c r="F19" s="49">
        <f>'Avg Week Bwaise-Kawempe'!F19+'Avg Week Kawempe-Bwaise'!F19</f>
        <v>94.714285714285722</v>
      </c>
      <c r="G19" s="49">
        <f>'Avg Week Bwaise-Kawempe'!G19+'Avg Week Kawempe-Bwaise'!G19</f>
        <v>4</v>
      </c>
      <c r="H19" s="49">
        <f>'Avg Week Bwaise-Kawempe'!H19+'Avg Week Kawempe-Bwaise'!H19</f>
        <v>1</v>
      </c>
      <c r="I19" s="49">
        <f>'Avg Week Bwaise-Kawempe'!I19+'Avg Week Kawempe-Bwaise'!I19</f>
        <v>16.571428571428569</v>
      </c>
      <c r="J19" s="49">
        <f>'Avg Week Bwaise-Kawempe'!J19+'Avg Week Kawempe-Bwaise'!J19</f>
        <v>9.8571428571428577</v>
      </c>
      <c r="K19" s="49">
        <f>'Avg Week Bwaise-Kawempe'!K19+'Avg Week Kawempe-Bwaise'!K19</f>
        <v>5.2857142857142856</v>
      </c>
      <c r="L19" s="49">
        <f>'Avg Week Bwaise-Kawempe'!L19+'Avg Week Kawempe-Bwaise'!L19</f>
        <v>3.2857142857142856</v>
      </c>
      <c r="M19" s="49">
        <f>'Avg Week Bwaise-Kawempe'!M19+'Avg Week Kawempe-Bwaise'!M19</f>
        <v>474</v>
      </c>
      <c r="N19" s="49">
        <f>'Avg Week Bwaise-Kawempe'!N19+'Avg Week Kawempe-Bwaise'!N19</f>
        <v>0</v>
      </c>
      <c r="O19" s="15">
        <f t="shared" si="0"/>
        <v>243.85714285714286</v>
      </c>
      <c r="P19" s="15">
        <f t="shared" si="1"/>
        <v>717.85714285714289</v>
      </c>
      <c r="R19" s="1" t="s">
        <v>15</v>
      </c>
      <c r="S19" s="17">
        <f t="shared" ref="S19:AF19" si="11">SUM(C46:C49)</f>
        <v>315.71428571428572</v>
      </c>
      <c r="T19" s="17">
        <f t="shared" si="11"/>
        <v>77.428571428571431</v>
      </c>
      <c r="U19" s="17">
        <f t="shared" si="11"/>
        <v>56.428571428571431</v>
      </c>
      <c r="V19" s="17">
        <f t="shared" si="11"/>
        <v>308.42857142857144</v>
      </c>
      <c r="W19" s="17">
        <f t="shared" si="11"/>
        <v>11.142857142857142</v>
      </c>
      <c r="X19" s="17">
        <f t="shared" si="11"/>
        <v>7.5714285714285712</v>
      </c>
      <c r="Y19" s="17">
        <f t="shared" si="11"/>
        <v>75.428571428571431</v>
      </c>
      <c r="Z19" s="17">
        <f t="shared" si="11"/>
        <v>41.571428571428569</v>
      </c>
      <c r="AA19" s="17">
        <f t="shared" si="11"/>
        <v>18.571428571428569</v>
      </c>
      <c r="AB19" s="17">
        <f t="shared" si="11"/>
        <v>23.142857142857139</v>
      </c>
      <c r="AC19" s="17">
        <f t="shared" si="11"/>
        <v>1224.7142857142858</v>
      </c>
      <c r="AD19" s="17">
        <f t="shared" si="11"/>
        <v>0</v>
      </c>
      <c r="AE19" s="31">
        <f t="shared" si="11"/>
        <v>935.42857142857144</v>
      </c>
      <c r="AF19" s="31">
        <f t="shared" si="11"/>
        <v>2160.1428571428573</v>
      </c>
    </row>
    <row r="20" spans="2:32" ht="23.1" customHeight="1" x14ac:dyDescent="0.25">
      <c r="B20" s="23" t="s">
        <v>47</v>
      </c>
      <c r="C20" s="49">
        <f>'Avg Week Bwaise-Kawempe'!C20+'Avg Week Kawempe-Bwaise'!C20</f>
        <v>77</v>
      </c>
      <c r="D20" s="49">
        <f>'Avg Week Bwaise-Kawempe'!D20+'Avg Week Kawempe-Bwaise'!D20</f>
        <v>16</v>
      </c>
      <c r="E20" s="49">
        <f>'Avg Week Bwaise-Kawempe'!E20+'Avg Week Kawempe-Bwaise'!E20</f>
        <v>17.571428571428569</v>
      </c>
      <c r="F20" s="49">
        <f>'Avg Week Bwaise-Kawempe'!F20+'Avg Week Kawempe-Bwaise'!F20</f>
        <v>90.714285714285708</v>
      </c>
      <c r="G20" s="49">
        <f>'Avg Week Bwaise-Kawempe'!G20+'Avg Week Kawempe-Bwaise'!G20</f>
        <v>4.4285714285714288</v>
      </c>
      <c r="H20" s="49">
        <f>'Avg Week Bwaise-Kawempe'!H20+'Avg Week Kawempe-Bwaise'!H20</f>
        <v>2</v>
      </c>
      <c r="I20" s="49">
        <f>'Avg Week Bwaise-Kawempe'!I20+'Avg Week Kawempe-Bwaise'!I20</f>
        <v>14.857142857142858</v>
      </c>
      <c r="J20" s="49">
        <f>'Avg Week Bwaise-Kawempe'!J20+'Avg Week Kawempe-Bwaise'!J20</f>
        <v>8.2857142857142847</v>
      </c>
      <c r="K20" s="49">
        <f>'Avg Week Bwaise-Kawempe'!K20+'Avg Week Kawempe-Bwaise'!K20</f>
        <v>2.2857142857142856</v>
      </c>
      <c r="L20" s="49">
        <f>'Avg Week Bwaise-Kawempe'!L20+'Avg Week Kawempe-Bwaise'!L20</f>
        <v>3.2857142857142856</v>
      </c>
      <c r="M20" s="49">
        <f>'Avg Week Bwaise-Kawempe'!M20+'Avg Week Kawempe-Bwaise'!M20</f>
        <v>413.71428571428572</v>
      </c>
      <c r="N20" s="49">
        <f>'Avg Week Bwaise-Kawempe'!N20+'Avg Week Kawempe-Bwaise'!N20</f>
        <v>0</v>
      </c>
      <c r="O20" s="15">
        <f t="shared" si="0"/>
        <v>236.42857142857139</v>
      </c>
      <c r="P20" s="15">
        <f t="shared" si="1"/>
        <v>650.14285714285711</v>
      </c>
      <c r="R20" s="1" t="s">
        <v>16</v>
      </c>
      <c r="S20" s="17">
        <f t="shared" ref="S20:AF20" si="12">SUM(C50:C53)</f>
        <v>294.14285714285711</v>
      </c>
      <c r="T20" s="17">
        <f t="shared" si="12"/>
        <v>63.142857142857146</v>
      </c>
      <c r="U20" s="17">
        <f t="shared" si="12"/>
        <v>42.571428571428569</v>
      </c>
      <c r="V20" s="17">
        <f t="shared" si="12"/>
        <v>300.85714285714283</v>
      </c>
      <c r="W20" s="17">
        <f t="shared" si="12"/>
        <v>12.285714285714286</v>
      </c>
      <c r="X20" s="17">
        <f t="shared" si="12"/>
        <v>4.1428571428571423</v>
      </c>
      <c r="Y20" s="17">
        <f t="shared" si="12"/>
        <v>69.285714285714278</v>
      </c>
      <c r="Z20" s="17">
        <f t="shared" si="12"/>
        <v>32</v>
      </c>
      <c r="AA20" s="17">
        <f t="shared" si="12"/>
        <v>17.571428571428569</v>
      </c>
      <c r="AB20" s="17">
        <f t="shared" si="12"/>
        <v>24.571428571428573</v>
      </c>
      <c r="AC20" s="17">
        <f t="shared" si="12"/>
        <v>1277.4285714285716</v>
      </c>
      <c r="AD20" s="17">
        <f t="shared" si="12"/>
        <v>0</v>
      </c>
      <c r="AE20" s="31">
        <f t="shared" si="12"/>
        <v>860.57142857142867</v>
      </c>
      <c r="AF20" s="31">
        <f t="shared" si="12"/>
        <v>2138</v>
      </c>
    </row>
    <row r="21" spans="2:32" ht="23.1" customHeight="1" x14ac:dyDescent="0.25">
      <c r="B21" s="23" t="s">
        <v>48</v>
      </c>
      <c r="C21" s="49">
        <f>'Avg Week Bwaise-Kawempe'!C21+'Avg Week Kawempe-Bwaise'!C21</f>
        <v>69.428571428571431</v>
      </c>
      <c r="D21" s="49">
        <f>'Avg Week Bwaise-Kawempe'!D21+'Avg Week Kawempe-Bwaise'!D21</f>
        <v>15.142857142857142</v>
      </c>
      <c r="E21" s="49">
        <f>'Avg Week Bwaise-Kawempe'!E21+'Avg Week Kawempe-Bwaise'!E21</f>
        <v>12.857142857142858</v>
      </c>
      <c r="F21" s="49">
        <f>'Avg Week Bwaise-Kawempe'!F21+'Avg Week Kawempe-Bwaise'!F21</f>
        <v>82.142857142857139</v>
      </c>
      <c r="G21" s="49">
        <f>'Avg Week Bwaise-Kawempe'!G21+'Avg Week Kawempe-Bwaise'!G21</f>
        <v>3.1428571428571428</v>
      </c>
      <c r="H21" s="49">
        <f>'Avg Week Bwaise-Kawempe'!H21+'Avg Week Kawempe-Bwaise'!H21</f>
        <v>0.71428571428571419</v>
      </c>
      <c r="I21" s="49">
        <f>'Avg Week Bwaise-Kawempe'!I21+'Avg Week Kawempe-Bwaise'!I21</f>
        <v>17.714285714285715</v>
      </c>
      <c r="J21" s="49">
        <f>'Avg Week Bwaise-Kawempe'!J21+'Avg Week Kawempe-Bwaise'!J21</f>
        <v>9.7142857142857135</v>
      </c>
      <c r="K21" s="49">
        <f>'Avg Week Bwaise-Kawempe'!K21+'Avg Week Kawempe-Bwaise'!K21</f>
        <v>3.8571428571428572</v>
      </c>
      <c r="L21" s="49">
        <f>'Avg Week Bwaise-Kawempe'!L21+'Avg Week Kawempe-Bwaise'!L21</f>
        <v>2.4285714285714284</v>
      </c>
      <c r="M21" s="49">
        <f>'Avg Week Bwaise-Kawempe'!M21+'Avg Week Kawempe-Bwaise'!M21</f>
        <v>358.85714285714289</v>
      </c>
      <c r="N21" s="49">
        <f>'Avg Week Bwaise-Kawempe'!N21+'Avg Week Kawempe-Bwaise'!N21</f>
        <v>0.14285714285714285</v>
      </c>
      <c r="O21" s="15">
        <f t="shared" si="0"/>
        <v>217.28571428571428</v>
      </c>
      <c r="P21" s="15">
        <f t="shared" si="1"/>
        <v>576.14285714285711</v>
      </c>
      <c r="R21" s="36" t="s">
        <v>20</v>
      </c>
      <c r="S21" s="34">
        <f t="shared" ref="S21:AF21" si="13">SUM(C54:C57)</f>
        <v>289.85714285714289</v>
      </c>
      <c r="T21" s="17">
        <f t="shared" si="13"/>
        <v>62.571428571428577</v>
      </c>
      <c r="U21" s="17">
        <f t="shared" si="13"/>
        <v>34.428571428571431</v>
      </c>
      <c r="V21" s="17">
        <f t="shared" si="13"/>
        <v>300.71428571428572</v>
      </c>
      <c r="W21" s="17">
        <f t="shared" si="13"/>
        <v>14.428571428571429</v>
      </c>
      <c r="X21" s="17">
        <f t="shared" si="13"/>
        <v>5.5714285714285712</v>
      </c>
      <c r="Y21" s="17">
        <f t="shared" si="13"/>
        <v>61.857142857142854</v>
      </c>
      <c r="Z21" s="17">
        <f t="shared" si="13"/>
        <v>29.142857142857146</v>
      </c>
      <c r="AA21" s="17">
        <f t="shared" si="13"/>
        <v>19.714285714285715</v>
      </c>
      <c r="AB21" s="17">
        <f t="shared" si="13"/>
        <v>17.428571428571431</v>
      </c>
      <c r="AC21" s="17">
        <f t="shared" si="13"/>
        <v>1454</v>
      </c>
      <c r="AD21" s="17">
        <f t="shared" si="13"/>
        <v>0</v>
      </c>
      <c r="AE21" s="31">
        <f t="shared" si="13"/>
        <v>835.71428571428567</v>
      </c>
      <c r="AF21" s="31">
        <f t="shared" si="13"/>
        <v>2289.7142857142858</v>
      </c>
    </row>
    <row r="22" spans="2:32" ht="23.1" customHeight="1" x14ac:dyDescent="0.25">
      <c r="B22" s="23" t="s">
        <v>49</v>
      </c>
      <c r="C22" s="49">
        <f>'Avg Week Bwaise-Kawempe'!C22+'Avg Week Kawempe-Bwaise'!C22</f>
        <v>70.285714285714278</v>
      </c>
      <c r="D22" s="49">
        <f>'Avg Week Bwaise-Kawempe'!D22+'Avg Week Kawempe-Bwaise'!D22</f>
        <v>13.571428571428571</v>
      </c>
      <c r="E22" s="49">
        <f>'Avg Week Bwaise-Kawempe'!E22+'Avg Week Kawempe-Bwaise'!E22</f>
        <v>11.142857142857142</v>
      </c>
      <c r="F22" s="49">
        <f>'Avg Week Bwaise-Kawempe'!F22+'Avg Week Kawempe-Bwaise'!F22</f>
        <v>76.714285714285722</v>
      </c>
      <c r="G22" s="49">
        <f>'Avg Week Bwaise-Kawempe'!G22+'Avg Week Kawempe-Bwaise'!G22</f>
        <v>3.2857142857142856</v>
      </c>
      <c r="H22" s="49">
        <f>'Avg Week Bwaise-Kawempe'!H22+'Avg Week Kawempe-Bwaise'!H22</f>
        <v>0.42857142857142855</v>
      </c>
      <c r="I22" s="49">
        <f>'Avg Week Bwaise-Kawempe'!I22+'Avg Week Kawempe-Bwaise'!I22</f>
        <v>20</v>
      </c>
      <c r="J22" s="49">
        <f>'Avg Week Bwaise-Kawempe'!J22+'Avg Week Kawempe-Bwaise'!J22</f>
        <v>8.8571428571428577</v>
      </c>
      <c r="K22" s="49">
        <f>'Avg Week Bwaise-Kawempe'!K22+'Avg Week Kawempe-Bwaise'!K22</f>
        <v>3.8571428571428572</v>
      </c>
      <c r="L22" s="49">
        <f>'Avg Week Bwaise-Kawempe'!L22+'Avg Week Kawempe-Bwaise'!L22</f>
        <v>3.2857142857142856</v>
      </c>
      <c r="M22" s="49">
        <f>'Avg Week Bwaise-Kawempe'!M22+'Avg Week Kawempe-Bwaise'!M22</f>
        <v>360.14285714285711</v>
      </c>
      <c r="N22" s="49">
        <f>'Avg Week Bwaise-Kawempe'!N22+'Avg Week Kawempe-Bwaise'!N22</f>
        <v>0</v>
      </c>
      <c r="O22" s="15">
        <f t="shared" si="0"/>
        <v>211.42857142857142</v>
      </c>
      <c r="P22" s="15">
        <f t="shared" si="1"/>
        <v>571.57142857142856</v>
      </c>
      <c r="R22" s="1" t="s">
        <v>146</v>
      </c>
      <c r="S22" s="34">
        <f>SUM(C58:C61)</f>
        <v>205</v>
      </c>
      <c r="T22" s="34">
        <f t="shared" ref="T22:AF22" si="14">SUM(D58:D61)</f>
        <v>13</v>
      </c>
      <c r="U22" s="34">
        <f t="shared" si="14"/>
        <v>15.5</v>
      </c>
      <c r="V22" s="34">
        <f t="shared" si="14"/>
        <v>180.5</v>
      </c>
      <c r="W22" s="34">
        <f t="shared" si="14"/>
        <v>9</v>
      </c>
      <c r="X22" s="34">
        <f t="shared" si="14"/>
        <v>11</v>
      </c>
      <c r="Y22" s="34">
        <f t="shared" si="14"/>
        <v>25.5</v>
      </c>
      <c r="Z22" s="34">
        <f t="shared" si="14"/>
        <v>28</v>
      </c>
      <c r="AA22" s="34">
        <f t="shared" si="14"/>
        <v>9</v>
      </c>
      <c r="AB22" s="34">
        <f t="shared" si="14"/>
        <v>9</v>
      </c>
      <c r="AC22" s="34">
        <f t="shared" si="14"/>
        <v>1012.5</v>
      </c>
      <c r="AD22" s="34">
        <f t="shared" si="14"/>
        <v>0</v>
      </c>
      <c r="AE22" s="31">
        <f t="shared" si="14"/>
        <v>505.5</v>
      </c>
      <c r="AF22" s="31">
        <f t="shared" si="14"/>
        <v>1518</v>
      </c>
    </row>
    <row r="23" spans="2:32" ht="23.1" customHeight="1" x14ac:dyDescent="0.25">
      <c r="B23" s="23" t="s">
        <v>50</v>
      </c>
      <c r="C23" s="49">
        <f>'Avg Week Bwaise-Kawempe'!C23+'Avg Week Kawempe-Bwaise'!C23</f>
        <v>73.857142857142861</v>
      </c>
      <c r="D23" s="49">
        <f>'Avg Week Bwaise-Kawempe'!D23+'Avg Week Kawempe-Bwaise'!D23</f>
        <v>17.714285714285715</v>
      </c>
      <c r="E23" s="49">
        <f>'Avg Week Bwaise-Kawempe'!E23+'Avg Week Kawempe-Bwaise'!E23</f>
        <v>10.857142857142858</v>
      </c>
      <c r="F23" s="49">
        <f>'Avg Week Bwaise-Kawempe'!F23+'Avg Week Kawempe-Bwaise'!F23</f>
        <v>86.571428571428569</v>
      </c>
      <c r="G23" s="49">
        <f>'Avg Week Bwaise-Kawempe'!G23+'Avg Week Kawempe-Bwaise'!G23</f>
        <v>3.2857142857142856</v>
      </c>
      <c r="H23" s="49">
        <f>'Avg Week Bwaise-Kawempe'!H23+'Avg Week Kawempe-Bwaise'!H23</f>
        <v>1</v>
      </c>
      <c r="I23" s="49">
        <f>'Avg Week Bwaise-Kawempe'!I23+'Avg Week Kawempe-Bwaise'!I23</f>
        <v>19.857142857142858</v>
      </c>
      <c r="J23" s="49">
        <f>'Avg Week Bwaise-Kawempe'!J23+'Avg Week Kawempe-Bwaise'!J23</f>
        <v>10.142857142857142</v>
      </c>
      <c r="K23" s="49">
        <f>'Avg Week Bwaise-Kawempe'!K23+'Avg Week Kawempe-Bwaise'!K23</f>
        <v>4</v>
      </c>
      <c r="L23" s="49">
        <f>'Avg Week Bwaise-Kawempe'!L23+'Avg Week Kawempe-Bwaise'!L23</f>
        <v>3.7142857142857144</v>
      </c>
      <c r="M23" s="49">
        <f>'Avg Week Bwaise-Kawempe'!M23+'Avg Week Kawempe-Bwaise'!M23</f>
        <v>344.57142857142856</v>
      </c>
      <c r="N23" s="49">
        <f>'Avg Week Bwaise-Kawempe'!N23+'Avg Week Kawempe-Bwaise'!N23</f>
        <v>0</v>
      </c>
      <c r="O23" s="15">
        <f t="shared" si="0"/>
        <v>231</v>
      </c>
      <c r="P23" s="15">
        <f t="shared" si="1"/>
        <v>575.57142857142856</v>
      </c>
      <c r="R23" s="1" t="s">
        <v>147</v>
      </c>
      <c r="S23" s="34">
        <f>SUM(C62:C65)</f>
        <v>279</v>
      </c>
      <c r="T23" s="34">
        <f t="shared" ref="T23:AF23" si="15">SUM(D62:D65)</f>
        <v>23</v>
      </c>
      <c r="U23" s="34">
        <f t="shared" si="15"/>
        <v>21</v>
      </c>
      <c r="V23" s="34">
        <f t="shared" si="15"/>
        <v>211</v>
      </c>
      <c r="W23" s="34">
        <f t="shared" si="15"/>
        <v>9.5</v>
      </c>
      <c r="X23" s="34">
        <f t="shared" si="15"/>
        <v>7</v>
      </c>
      <c r="Y23" s="34">
        <f t="shared" si="15"/>
        <v>41.5</v>
      </c>
      <c r="Z23" s="34">
        <f t="shared" si="15"/>
        <v>29</v>
      </c>
      <c r="AA23" s="34">
        <f t="shared" si="15"/>
        <v>18.5</v>
      </c>
      <c r="AB23" s="34">
        <f t="shared" si="15"/>
        <v>12.5</v>
      </c>
      <c r="AC23" s="34">
        <f t="shared" si="15"/>
        <v>1614.5</v>
      </c>
      <c r="AD23" s="34">
        <f t="shared" si="15"/>
        <v>0</v>
      </c>
      <c r="AE23" s="31">
        <f t="shared" si="15"/>
        <v>652</v>
      </c>
      <c r="AF23" s="31">
        <f t="shared" si="15"/>
        <v>2266.5</v>
      </c>
    </row>
    <row r="24" spans="2:32" ht="23.1" customHeight="1" x14ac:dyDescent="0.25">
      <c r="B24" s="23" t="s">
        <v>51</v>
      </c>
      <c r="C24" s="49">
        <f>'Avg Week Bwaise-Kawempe'!C24+'Avg Week Kawempe-Bwaise'!C24</f>
        <v>71.285714285714278</v>
      </c>
      <c r="D24" s="49">
        <f>'Avg Week Bwaise-Kawempe'!D24+'Avg Week Kawempe-Bwaise'!D24</f>
        <v>16.285714285714285</v>
      </c>
      <c r="E24" s="49">
        <f>'Avg Week Bwaise-Kawempe'!E24+'Avg Week Kawempe-Bwaise'!E24</f>
        <v>12.714285714285715</v>
      </c>
      <c r="F24" s="49">
        <f>'Avg Week Bwaise-Kawempe'!F24+'Avg Week Kawempe-Bwaise'!F24</f>
        <v>94.142857142857139</v>
      </c>
      <c r="G24" s="49">
        <f>'Avg Week Bwaise-Kawempe'!G24+'Avg Week Kawempe-Bwaise'!G24</f>
        <v>2.2857142857142856</v>
      </c>
      <c r="H24" s="49">
        <f>'Avg Week Bwaise-Kawempe'!H24+'Avg Week Kawempe-Bwaise'!H24</f>
        <v>0.71428571428571419</v>
      </c>
      <c r="I24" s="49">
        <f>'Avg Week Bwaise-Kawempe'!I24+'Avg Week Kawempe-Bwaise'!I24</f>
        <v>25.714285714285715</v>
      </c>
      <c r="J24" s="49">
        <f>'Avg Week Bwaise-Kawempe'!J24+'Avg Week Kawempe-Bwaise'!J24</f>
        <v>9.8571428571428577</v>
      </c>
      <c r="K24" s="49">
        <f>'Avg Week Bwaise-Kawempe'!K24+'Avg Week Kawempe-Bwaise'!K24</f>
        <v>5.2857142857142856</v>
      </c>
      <c r="L24" s="49">
        <f>'Avg Week Bwaise-Kawempe'!L24+'Avg Week Kawempe-Bwaise'!L24</f>
        <v>5.7142857142857144</v>
      </c>
      <c r="M24" s="49">
        <f>'Avg Week Bwaise-Kawempe'!M24+'Avg Week Kawempe-Bwaise'!M24</f>
        <v>396.57142857142856</v>
      </c>
      <c r="N24" s="49">
        <f>'Avg Week Bwaise-Kawempe'!N24+'Avg Week Kawempe-Bwaise'!N24</f>
        <v>0</v>
      </c>
      <c r="O24" s="15">
        <f t="shared" si="0"/>
        <v>244</v>
      </c>
      <c r="P24" s="15">
        <f t="shared" si="1"/>
        <v>640.57142857142856</v>
      </c>
      <c r="R24" s="1" t="s">
        <v>148</v>
      </c>
      <c r="S24" s="34">
        <f>SUM(C66:C69)</f>
        <v>301</v>
      </c>
      <c r="T24" s="34">
        <f t="shared" ref="T24:AF24" si="16">SUM(D66:D69)</f>
        <v>14</v>
      </c>
      <c r="U24" s="34">
        <f t="shared" si="16"/>
        <v>31.5</v>
      </c>
      <c r="V24" s="34">
        <f t="shared" si="16"/>
        <v>221</v>
      </c>
      <c r="W24" s="34">
        <f t="shared" si="16"/>
        <v>18</v>
      </c>
      <c r="X24" s="34">
        <f t="shared" si="16"/>
        <v>6.5</v>
      </c>
      <c r="Y24" s="34">
        <f t="shared" si="16"/>
        <v>37</v>
      </c>
      <c r="Z24" s="34">
        <f t="shared" si="16"/>
        <v>37.5</v>
      </c>
      <c r="AA24" s="34">
        <f t="shared" si="16"/>
        <v>15</v>
      </c>
      <c r="AB24" s="34">
        <f t="shared" si="16"/>
        <v>13</v>
      </c>
      <c r="AC24" s="34">
        <f t="shared" si="16"/>
        <v>1322.5</v>
      </c>
      <c r="AD24" s="34">
        <f t="shared" si="16"/>
        <v>0</v>
      </c>
      <c r="AE24" s="31">
        <f t="shared" si="16"/>
        <v>694.5</v>
      </c>
      <c r="AF24" s="31">
        <f t="shared" si="16"/>
        <v>2017</v>
      </c>
    </row>
    <row r="25" spans="2:32" ht="23.1" customHeight="1" x14ac:dyDescent="0.25">
      <c r="B25" s="23" t="s">
        <v>52</v>
      </c>
      <c r="C25" s="49">
        <f>'Avg Week Bwaise-Kawempe'!C25+'Avg Week Kawempe-Bwaise'!C25</f>
        <v>73.714285714285722</v>
      </c>
      <c r="D25" s="49">
        <f>'Avg Week Bwaise-Kawempe'!D25+'Avg Week Kawempe-Bwaise'!D25</f>
        <v>15.285714285714285</v>
      </c>
      <c r="E25" s="49">
        <f>'Avg Week Bwaise-Kawempe'!E25+'Avg Week Kawempe-Bwaise'!E25</f>
        <v>10.857142857142858</v>
      </c>
      <c r="F25" s="49">
        <f>'Avg Week Bwaise-Kawempe'!F25+'Avg Week Kawempe-Bwaise'!F25</f>
        <v>77.857142857142861</v>
      </c>
      <c r="G25" s="49">
        <f>'Avg Week Bwaise-Kawempe'!G25+'Avg Week Kawempe-Bwaise'!G25</f>
        <v>2.1428571428571428</v>
      </c>
      <c r="H25" s="49">
        <f>'Avg Week Bwaise-Kawempe'!H25+'Avg Week Kawempe-Bwaise'!H25</f>
        <v>0.14285714285714285</v>
      </c>
      <c r="I25" s="49">
        <f>'Avg Week Bwaise-Kawempe'!I25+'Avg Week Kawempe-Bwaise'!I25</f>
        <v>16.428571428571431</v>
      </c>
      <c r="J25" s="49">
        <f>'Avg Week Bwaise-Kawempe'!J25+'Avg Week Kawempe-Bwaise'!J25</f>
        <v>9.7142857142857153</v>
      </c>
      <c r="K25" s="49">
        <f>'Avg Week Bwaise-Kawempe'!K25+'Avg Week Kawempe-Bwaise'!K25</f>
        <v>4.2857142857142856</v>
      </c>
      <c r="L25" s="49">
        <f>'Avg Week Bwaise-Kawempe'!L25+'Avg Week Kawempe-Bwaise'!L25</f>
        <v>2.7142857142857144</v>
      </c>
      <c r="M25" s="49">
        <f>'Avg Week Bwaise-Kawempe'!M25+'Avg Week Kawempe-Bwaise'!M25</f>
        <v>312.85714285714289</v>
      </c>
      <c r="N25" s="49">
        <f>'Avg Week Bwaise-Kawempe'!N25+'Avg Week Kawempe-Bwaise'!N25</f>
        <v>0</v>
      </c>
      <c r="O25" s="15">
        <f t="shared" si="0"/>
        <v>213.14285714285717</v>
      </c>
      <c r="P25" s="15">
        <f t="shared" si="1"/>
        <v>526</v>
      </c>
      <c r="R25" s="1" t="s">
        <v>149</v>
      </c>
      <c r="S25" s="34">
        <f>SUM(C70:C73)</f>
        <v>330.5</v>
      </c>
      <c r="T25" s="34">
        <f t="shared" ref="T25:AF25" si="17">SUM(D70:D73)</f>
        <v>12.5</v>
      </c>
      <c r="U25" s="34">
        <f t="shared" si="17"/>
        <v>26</v>
      </c>
      <c r="V25" s="34">
        <f t="shared" si="17"/>
        <v>187.5</v>
      </c>
      <c r="W25" s="34">
        <f t="shared" si="17"/>
        <v>16.5</v>
      </c>
      <c r="X25" s="34">
        <f t="shared" si="17"/>
        <v>8.5</v>
      </c>
      <c r="Y25" s="34">
        <f t="shared" si="17"/>
        <v>47.5</v>
      </c>
      <c r="Z25" s="34">
        <f t="shared" si="17"/>
        <v>26</v>
      </c>
      <c r="AA25" s="34">
        <f t="shared" si="17"/>
        <v>19.5</v>
      </c>
      <c r="AB25" s="34">
        <f t="shared" si="17"/>
        <v>6.5</v>
      </c>
      <c r="AC25" s="34">
        <f t="shared" si="17"/>
        <v>1130.5</v>
      </c>
      <c r="AD25" s="34">
        <f t="shared" si="17"/>
        <v>0</v>
      </c>
      <c r="AE25" s="31">
        <f t="shared" si="17"/>
        <v>681</v>
      </c>
      <c r="AF25" s="31">
        <f t="shared" si="17"/>
        <v>1811.5</v>
      </c>
    </row>
    <row r="26" spans="2:32" ht="23.1" customHeight="1" x14ac:dyDescent="0.25">
      <c r="B26" s="23" t="s">
        <v>53</v>
      </c>
      <c r="C26" s="49">
        <f>'Avg Week Bwaise-Kawempe'!C26+'Avg Week Kawempe-Bwaise'!C26</f>
        <v>80.857142857142861</v>
      </c>
      <c r="D26" s="49">
        <f>'Avg Week Bwaise-Kawempe'!D26+'Avg Week Kawempe-Bwaise'!D26</f>
        <v>16.714285714285715</v>
      </c>
      <c r="E26" s="49">
        <f>'Avg Week Bwaise-Kawempe'!E26+'Avg Week Kawempe-Bwaise'!E26</f>
        <v>15.285714285714285</v>
      </c>
      <c r="F26" s="49">
        <f>'Avg Week Bwaise-Kawempe'!F26+'Avg Week Kawempe-Bwaise'!F26</f>
        <v>74.142857142857139</v>
      </c>
      <c r="G26" s="49">
        <f>'Avg Week Bwaise-Kawempe'!G26+'Avg Week Kawempe-Bwaise'!G26</f>
        <v>1.7142857142857144</v>
      </c>
      <c r="H26" s="49">
        <f>'Avg Week Bwaise-Kawempe'!H26+'Avg Week Kawempe-Bwaise'!H26</f>
        <v>1.2857142857142856</v>
      </c>
      <c r="I26" s="49">
        <f>'Avg Week Bwaise-Kawempe'!I26+'Avg Week Kawempe-Bwaise'!I26</f>
        <v>23</v>
      </c>
      <c r="J26" s="49">
        <f>'Avg Week Bwaise-Kawempe'!J26+'Avg Week Kawempe-Bwaise'!J26</f>
        <v>10.857142857142858</v>
      </c>
      <c r="K26" s="49">
        <f>'Avg Week Bwaise-Kawempe'!K26+'Avg Week Kawempe-Bwaise'!K26</f>
        <v>5.1428571428571423</v>
      </c>
      <c r="L26" s="49">
        <f>'Avg Week Bwaise-Kawempe'!L26+'Avg Week Kawempe-Bwaise'!L26</f>
        <v>4.4285714285714288</v>
      </c>
      <c r="M26" s="49">
        <f>'Avg Week Bwaise-Kawempe'!M26+'Avg Week Kawempe-Bwaise'!M26</f>
        <v>329.6904761904762</v>
      </c>
      <c r="N26" s="49">
        <f>'Avg Week Bwaise-Kawempe'!N26+'Avg Week Kawempe-Bwaise'!N26</f>
        <v>0</v>
      </c>
      <c r="O26" s="15">
        <f t="shared" si="0"/>
        <v>233.42857142857142</v>
      </c>
      <c r="P26" s="15">
        <f t="shared" si="1"/>
        <v>563.11904761904759</v>
      </c>
      <c r="R26" s="1" t="s">
        <v>150</v>
      </c>
      <c r="S26" s="34">
        <f>SUM(C74:C77)</f>
        <v>298</v>
      </c>
      <c r="T26" s="34">
        <f t="shared" ref="T26:AF26" si="18">SUM(D74:D77)</f>
        <v>15.5</v>
      </c>
      <c r="U26" s="34">
        <f t="shared" si="18"/>
        <v>16</v>
      </c>
      <c r="V26" s="34">
        <f t="shared" si="18"/>
        <v>132</v>
      </c>
      <c r="W26" s="34">
        <f t="shared" si="18"/>
        <v>11.5</v>
      </c>
      <c r="X26" s="34">
        <f t="shared" si="18"/>
        <v>11</v>
      </c>
      <c r="Y26" s="34">
        <f t="shared" si="18"/>
        <v>39</v>
      </c>
      <c r="Z26" s="34">
        <f t="shared" si="18"/>
        <v>34</v>
      </c>
      <c r="AA26" s="34">
        <f t="shared" si="18"/>
        <v>20.5</v>
      </c>
      <c r="AB26" s="34">
        <f t="shared" si="18"/>
        <v>9.5</v>
      </c>
      <c r="AC26" s="34">
        <f t="shared" si="18"/>
        <v>881</v>
      </c>
      <c r="AD26" s="34">
        <f t="shared" si="18"/>
        <v>0</v>
      </c>
      <c r="AE26" s="31">
        <f t="shared" si="18"/>
        <v>587</v>
      </c>
      <c r="AF26" s="31">
        <f t="shared" si="18"/>
        <v>1468</v>
      </c>
    </row>
    <row r="27" spans="2:32" ht="23.1" customHeight="1" x14ac:dyDescent="0.25">
      <c r="B27" s="23" t="s">
        <v>54</v>
      </c>
      <c r="C27" s="49">
        <f>'Avg Week Bwaise-Kawempe'!C27+'Avg Week Kawempe-Bwaise'!C27</f>
        <v>73.571428571428584</v>
      </c>
      <c r="D27" s="49">
        <f>'Avg Week Bwaise-Kawempe'!D27+'Avg Week Kawempe-Bwaise'!D27</f>
        <v>19.285714285714285</v>
      </c>
      <c r="E27" s="49">
        <f>'Avg Week Bwaise-Kawempe'!E27+'Avg Week Kawempe-Bwaise'!E27</f>
        <v>13.142857142857142</v>
      </c>
      <c r="F27" s="49">
        <f>'Avg Week Bwaise-Kawempe'!F27+'Avg Week Kawempe-Bwaise'!F27</f>
        <v>83.571428571428584</v>
      </c>
      <c r="G27" s="49">
        <f>'Avg Week Bwaise-Kawempe'!G27+'Avg Week Kawempe-Bwaise'!G27</f>
        <v>3</v>
      </c>
      <c r="H27" s="49">
        <f>'Avg Week Bwaise-Kawempe'!H27+'Avg Week Kawempe-Bwaise'!H27</f>
        <v>2.1428571428571428</v>
      </c>
      <c r="I27" s="49">
        <f>'Avg Week Bwaise-Kawempe'!I27+'Avg Week Kawempe-Bwaise'!I27</f>
        <v>19.571428571428569</v>
      </c>
      <c r="J27" s="49">
        <f>'Avg Week Bwaise-Kawempe'!J27+'Avg Week Kawempe-Bwaise'!J27</f>
        <v>9.2857142857142847</v>
      </c>
      <c r="K27" s="49">
        <f>'Avg Week Bwaise-Kawempe'!K27+'Avg Week Kawempe-Bwaise'!K27</f>
        <v>2.7142857142857144</v>
      </c>
      <c r="L27" s="49">
        <f>'Avg Week Bwaise-Kawempe'!L27+'Avg Week Kawempe-Bwaise'!L27</f>
        <v>6.4285714285714288</v>
      </c>
      <c r="M27" s="49">
        <f>'Avg Week Bwaise-Kawempe'!M27+'Avg Week Kawempe-Bwaise'!M27</f>
        <v>353.14285714285711</v>
      </c>
      <c r="N27" s="49">
        <f>'Avg Week Bwaise-Kawempe'!N27+'Avg Week Kawempe-Bwaise'!N27</f>
        <v>0</v>
      </c>
      <c r="O27" s="15">
        <f t="shared" si="0"/>
        <v>232.71428571428569</v>
      </c>
      <c r="P27" s="15">
        <f t="shared" si="1"/>
        <v>585.85714285714278</v>
      </c>
      <c r="R27" s="1" t="s">
        <v>151</v>
      </c>
      <c r="S27" s="34">
        <f>SUM(C78:C81)</f>
        <v>96.5</v>
      </c>
      <c r="T27" s="34">
        <f t="shared" ref="T27:AF27" si="19">SUM(D78:D81)</f>
        <v>3.5</v>
      </c>
      <c r="U27" s="34">
        <f t="shared" si="19"/>
        <v>7.5</v>
      </c>
      <c r="V27" s="34">
        <f t="shared" si="19"/>
        <v>44</v>
      </c>
      <c r="W27" s="34">
        <f t="shared" si="19"/>
        <v>2.5</v>
      </c>
      <c r="X27" s="34">
        <f t="shared" si="19"/>
        <v>4.5</v>
      </c>
      <c r="Y27" s="34">
        <f t="shared" si="19"/>
        <v>14.5</v>
      </c>
      <c r="Z27" s="34">
        <f t="shared" si="19"/>
        <v>20</v>
      </c>
      <c r="AA27" s="34">
        <f t="shared" si="19"/>
        <v>14</v>
      </c>
      <c r="AB27" s="34">
        <f t="shared" si="19"/>
        <v>5.5</v>
      </c>
      <c r="AC27" s="34">
        <f t="shared" si="19"/>
        <v>283</v>
      </c>
      <c r="AD27" s="34">
        <f t="shared" si="19"/>
        <v>0</v>
      </c>
      <c r="AE27" s="31">
        <f t="shared" si="19"/>
        <v>212.5</v>
      </c>
      <c r="AF27" s="31">
        <f t="shared" si="19"/>
        <v>495.5</v>
      </c>
    </row>
    <row r="28" spans="2:32" ht="23.1" customHeight="1" x14ac:dyDescent="0.25">
      <c r="B28" s="23" t="s">
        <v>55</v>
      </c>
      <c r="C28" s="49">
        <f>'Avg Week Bwaise-Kawempe'!C28+'Avg Week Kawempe-Bwaise'!C28</f>
        <v>86.142857142857139</v>
      </c>
      <c r="D28" s="49">
        <f>'Avg Week Bwaise-Kawempe'!D28+'Avg Week Kawempe-Bwaise'!D28</f>
        <v>20.714285714285715</v>
      </c>
      <c r="E28" s="49">
        <f>'Avg Week Bwaise-Kawempe'!E28+'Avg Week Kawempe-Bwaise'!E28</f>
        <v>15.285714285714285</v>
      </c>
      <c r="F28" s="49">
        <f>'Avg Week Bwaise-Kawempe'!F28+'Avg Week Kawempe-Bwaise'!F28</f>
        <v>73.142857142857139</v>
      </c>
      <c r="G28" s="49">
        <f>'Avg Week Bwaise-Kawempe'!G28+'Avg Week Kawempe-Bwaise'!G28</f>
        <v>3.5714285714285716</v>
      </c>
      <c r="H28" s="49">
        <f>'Avg Week Bwaise-Kawempe'!H28+'Avg Week Kawempe-Bwaise'!H28</f>
        <v>1.1428571428571428</v>
      </c>
      <c r="I28" s="49">
        <f>'Avg Week Bwaise-Kawempe'!I28+'Avg Week Kawempe-Bwaise'!I28</f>
        <v>18.714285714285715</v>
      </c>
      <c r="J28" s="49">
        <f>'Avg Week Bwaise-Kawempe'!J28+'Avg Week Kawempe-Bwaise'!J28</f>
        <v>10.571428571428573</v>
      </c>
      <c r="K28" s="49">
        <f>'Avg Week Bwaise-Kawempe'!K28+'Avg Week Kawempe-Bwaise'!K28</f>
        <v>3.8571428571428572</v>
      </c>
      <c r="L28" s="49">
        <f>'Avg Week Bwaise-Kawempe'!L28+'Avg Week Kawempe-Bwaise'!L28</f>
        <v>5.4285714285714288</v>
      </c>
      <c r="M28" s="49">
        <f>'Avg Week Bwaise-Kawempe'!M28+'Avg Week Kawempe-Bwaise'!M28</f>
        <v>311.85714285714289</v>
      </c>
      <c r="N28" s="49">
        <f>'Avg Week Bwaise-Kawempe'!N28+'Avg Week Kawempe-Bwaise'!N28</f>
        <v>0</v>
      </c>
      <c r="O28" s="15">
        <f t="shared" si="0"/>
        <v>238.57142857142858</v>
      </c>
      <c r="P28" s="15">
        <f t="shared" si="1"/>
        <v>550.42857142857144</v>
      </c>
      <c r="R28" s="1" t="s">
        <v>152</v>
      </c>
      <c r="S28" s="34">
        <f>SUM(C82:C85)</f>
        <v>84</v>
      </c>
      <c r="T28" s="34">
        <f t="shared" ref="T28:AF28" si="20">SUM(D82:D85)</f>
        <v>4.5</v>
      </c>
      <c r="U28" s="34">
        <f t="shared" si="20"/>
        <v>11</v>
      </c>
      <c r="V28" s="34">
        <f t="shared" si="20"/>
        <v>17.5</v>
      </c>
      <c r="W28" s="34">
        <f t="shared" si="20"/>
        <v>0.5</v>
      </c>
      <c r="X28" s="34">
        <f t="shared" si="20"/>
        <v>0.5</v>
      </c>
      <c r="Y28" s="34">
        <f t="shared" si="20"/>
        <v>7.5</v>
      </c>
      <c r="Z28" s="34">
        <f t="shared" si="20"/>
        <v>28.5</v>
      </c>
      <c r="AA28" s="34">
        <f t="shared" si="20"/>
        <v>22.5</v>
      </c>
      <c r="AB28" s="34">
        <f t="shared" si="20"/>
        <v>8.5</v>
      </c>
      <c r="AC28" s="34">
        <f t="shared" si="20"/>
        <v>271.5</v>
      </c>
      <c r="AD28" s="34">
        <f t="shared" si="20"/>
        <v>0</v>
      </c>
      <c r="AE28" s="31">
        <f t="shared" si="20"/>
        <v>185</v>
      </c>
      <c r="AF28" s="31">
        <f t="shared" si="20"/>
        <v>456.5</v>
      </c>
    </row>
    <row r="29" spans="2:32" ht="23.1" customHeight="1" x14ac:dyDescent="0.25">
      <c r="B29" s="23" t="s">
        <v>56</v>
      </c>
      <c r="C29" s="49">
        <f>'Avg Week Bwaise-Kawempe'!C29+'Avg Week Kawempe-Bwaise'!C29</f>
        <v>78.857142857142861</v>
      </c>
      <c r="D29" s="49">
        <f>'Avg Week Bwaise-Kawempe'!D29+'Avg Week Kawempe-Bwaise'!D29</f>
        <v>15.714285714285715</v>
      </c>
      <c r="E29" s="49">
        <f>'Avg Week Bwaise-Kawempe'!E29+'Avg Week Kawempe-Bwaise'!E29</f>
        <v>12.571428571428573</v>
      </c>
      <c r="F29" s="49">
        <f>'Avg Week Bwaise-Kawempe'!F29+'Avg Week Kawempe-Bwaise'!F29</f>
        <v>80.714285714285708</v>
      </c>
      <c r="G29" s="49">
        <f>'Avg Week Bwaise-Kawempe'!G29+'Avg Week Kawempe-Bwaise'!G29</f>
        <v>3.8571428571428568</v>
      </c>
      <c r="H29" s="49">
        <f>'Avg Week Bwaise-Kawempe'!H29+'Avg Week Kawempe-Bwaise'!H29</f>
        <v>0.5714285714285714</v>
      </c>
      <c r="I29" s="49">
        <f>'Avg Week Bwaise-Kawempe'!I29+'Avg Week Kawempe-Bwaise'!I29</f>
        <v>15.857142857142858</v>
      </c>
      <c r="J29" s="49">
        <f>'Avg Week Bwaise-Kawempe'!J29+'Avg Week Kawempe-Bwaise'!J29</f>
        <v>11.857142857142856</v>
      </c>
      <c r="K29" s="49">
        <f>'Avg Week Bwaise-Kawempe'!K29+'Avg Week Kawempe-Bwaise'!K29</f>
        <v>3.1428571428571428</v>
      </c>
      <c r="L29" s="49">
        <f>'Avg Week Bwaise-Kawempe'!L29+'Avg Week Kawempe-Bwaise'!L29</f>
        <v>4.4285714285714288</v>
      </c>
      <c r="M29" s="49">
        <f>'Avg Week Bwaise-Kawempe'!M29+'Avg Week Kawempe-Bwaise'!M29</f>
        <v>302.85714285714289</v>
      </c>
      <c r="N29" s="49">
        <f>'Avg Week Bwaise-Kawempe'!N29+'Avg Week Kawempe-Bwaise'!N29</f>
        <v>0</v>
      </c>
      <c r="O29" s="15">
        <f t="shared" si="0"/>
        <v>227.57142857142858</v>
      </c>
      <c r="P29" s="15">
        <f t="shared" si="1"/>
        <v>530.42857142857144</v>
      </c>
      <c r="R29" s="1" t="s">
        <v>153</v>
      </c>
      <c r="S29" s="34">
        <f>SUM(C86:C89)</f>
        <v>67.5</v>
      </c>
      <c r="T29" s="34">
        <f t="shared" ref="T29:AF29" si="21">SUM(D86:D89)</f>
        <v>3.5</v>
      </c>
      <c r="U29" s="34">
        <f t="shared" si="21"/>
        <v>4</v>
      </c>
      <c r="V29" s="34">
        <f t="shared" si="21"/>
        <v>7.5</v>
      </c>
      <c r="W29" s="34">
        <f t="shared" si="21"/>
        <v>0</v>
      </c>
      <c r="X29" s="34">
        <f t="shared" si="21"/>
        <v>2.5</v>
      </c>
      <c r="Y29" s="34">
        <f t="shared" si="21"/>
        <v>9</v>
      </c>
      <c r="Z29" s="34">
        <f t="shared" si="21"/>
        <v>15</v>
      </c>
      <c r="AA29" s="34">
        <f t="shared" si="21"/>
        <v>19</v>
      </c>
      <c r="AB29" s="34">
        <f t="shared" si="21"/>
        <v>3</v>
      </c>
      <c r="AC29" s="34">
        <f t="shared" si="21"/>
        <v>198.5</v>
      </c>
      <c r="AD29" s="34">
        <f t="shared" si="21"/>
        <v>0</v>
      </c>
      <c r="AE29" s="31">
        <f t="shared" si="21"/>
        <v>131</v>
      </c>
      <c r="AF29" s="31">
        <f t="shared" si="21"/>
        <v>329.5</v>
      </c>
    </row>
    <row r="30" spans="2:32" ht="23.1" customHeight="1" x14ac:dyDescent="0.25">
      <c r="B30" s="23" t="s">
        <v>57</v>
      </c>
      <c r="C30" s="49">
        <f>'Avg Week Bwaise-Kawempe'!C30+'Avg Week Kawempe-Bwaise'!C30</f>
        <v>84.714285714285722</v>
      </c>
      <c r="D30" s="49">
        <f>'Avg Week Bwaise-Kawempe'!D30+'Avg Week Kawempe-Bwaise'!D30</f>
        <v>15.857142857142858</v>
      </c>
      <c r="E30" s="49">
        <f>'Avg Week Bwaise-Kawempe'!E30+'Avg Week Kawempe-Bwaise'!E30</f>
        <v>14.857142857142858</v>
      </c>
      <c r="F30" s="49">
        <f>'Avg Week Bwaise-Kawempe'!F30+'Avg Week Kawempe-Bwaise'!F30</f>
        <v>81.571428571428569</v>
      </c>
      <c r="G30" s="49">
        <f>'Avg Week Bwaise-Kawempe'!G30+'Avg Week Kawempe-Bwaise'!G30</f>
        <v>3.5714285714285712</v>
      </c>
      <c r="H30" s="49">
        <f>'Avg Week Bwaise-Kawempe'!H30+'Avg Week Kawempe-Bwaise'!H30</f>
        <v>1.1428571428571428</v>
      </c>
      <c r="I30" s="49">
        <f>'Avg Week Bwaise-Kawempe'!I30+'Avg Week Kawempe-Bwaise'!I30</f>
        <v>22.285714285714285</v>
      </c>
      <c r="J30" s="49">
        <f>'Avg Week Bwaise-Kawempe'!J30+'Avg Week Kawempe-Bwaise'!J30</f>
        <v>11.428571428571429</v>
      </c>
      <c r="K30" s="49">
        <f>'Avg Week Bwaise-Kawempe'!K30+'Avg Week Kawempe-Bwaise'!K30</f>
        <v>6.1428571428571423</v>
      </c>
      <c r="L30" s="49">
        <f>'Avg Week Bwaise-Kawempe'!L30+'Avg Week Kawempe-Bwaise'!L30</f>
        <v>6.4285714285714288</v>
      </c>
      <c r="M30" s="49">
        <f>'Avg Week Bwaise-Kawempe'!M30+'Avg Week Kawempe-Bwaise'!M30</f>
        <v>295.85714285714289</v>
      </c>
      <c r="N30" s="49">
        <f>'Avg Week Bwaise-Kawempe'!N30+'Avg Week Kawempe-Bwaise'!N30</f>
        <v>0</v>
      </c>
      <c r="O30" s="15">
        <f t="shared" si="0"/>
        <v>247.99999999999997</v>
      </c>
      <c r="P30" s="15">
        <f t="shared" si="1"/>
        <v>543.85714285714289</v>
      </c>
      <c r="R30" s="1" t="s">
        <v>154</v>
      </c>
      <c r="S30" s="34">
        <f>SUM(C90:C93)</f>
        <v>57</v>
      </c>
      <c r="T30" s="34">
        <f t="shared" ref="T30:AF30" si="22">SUM(D90:D93)</f>
        <v>1.5</v>
      </c>
      <c r="U30" s="34">
        <f t="shared" si="22"/>
        <v>4</v>
      </c>
      <c r="V30" s="34">
        <f t="shared" si="22"/>
        <v>12.5</v>
      </c>
      <c r="W30" s="34">
        <f t="shared" si="22"/>
        <v>0.5</v>
      </c>
      <c r="X30" s="34">
        <f t="shared" si="22"/>
        <v>6.5</v>
      </c>
      <c r="Y30" s="34">
        <f t="shared" si="22"/>
        <v>6</v>
      </c>
      <c r="Z30" s="34">
        <f t="shared" si="22"/>
        <v>19</v>
      </c>
      <c r="AA30" s="34">
        <f t="shared" si="22"/>
        <v>19</v>
      </c>
      <c r="AB30" s="34">
        <f t="shared" si="22"/>
        <v>2</v>
      </c>
      <c r="AC30" s="34">
        <f t="shared" si="22"/>
        <v>150.5</v>
      </c>
      <c r="AD30" s="34">
        <f t="shared" si="22"/>
        <v>0</v>
      </c>
      <c r="AE30" s="31">
        <f>SUM(O90:O93)</f>
        <v>128</v>
      </c>
      <c r="AF30" s="31">
        <f t="shared" si="22"/>
        <v>278.5</v>
      </c>
    </row>
    <row r="31" spans="2:32" ht="23.1" customHeight="1" x14ac:dyDescent="0.25">
      <c r="B31" s="24" t="s">
        <v>58</v>
      </c>
      <c r="C31" s="49">
        <f>'Avg Week Bwaise-Kawempe'!C31+'Avg Week Kawempe-Bwaise'!C31</f>
        <v>78</v>
      </c>
      <c r="D31" s="49">
        <f>'Avg Week Bwaise-Kawempe'!D31+'Avg Week Kawempe-Bwaise'!D31</f>
        <v>17</v>
      </c>
      <c r="E31" s="49">
        <f>'Avg Week Bwaise-Kawempe'!E31+'Avg Week Kawempe-Bwaise'!E31</f>
        <v>11.857142857142858</v>
      </c>
      <c r="F31" s="49">
        <f>'Avg Week Bwaise-Kawempe'!F31+'Avg Week Kawempe-Bwaise'!F31</f>
        <v>81.714285714285722</v>
      </c>
      <c r="G31" s="49">
        <f>'Avg Week Bwaise-Kawempe'!G31+'Avg Week Kawempe-Bwaise'!G31</f>
        <v>3.1428571428571428</v>
      </c>
      <c r="H31" s="49">
        <f>'Avg Week Bwaise-Kawempe'!H31+'Avg Week Kawempe-Bwaise'!H31</f>
        <v>4.1428571428571432</v>
      </c>
      <c r="I31" s="49">
        <f>'Avg Week Bwaise-Kawempe'!I31+'Avg Week Kawempe-Bwaise'!I31</f>
        <v>21.714285714285715</v>
      </c>
      <c r="J31" s="49">
        <f>'Avg Week Bwaise-Kawempe'!J31+'Avg Week Kawempe-Bwaise'!J31</f>
        <v>9.5714285714285712</v>
      </c>
      <c r="K31" s="49">
        <f>'Avg Week Bwaise-Kawempe'!K31+'Avg Week Kawempe-Bwaise'!K31</f>
        <v>3</v>
      </c>
      <c r="L31" s="49">
        <f>'Avg Week Bwaise-Kawempe'!L31+'Avg Week Kawempe-Bwaise'!L31</f>
        <v>4</v>
      </c>
      <c r="M31" s="49">
        <f>'Avg Week Bwaise-Kawempe'!M31+'Avg Week Kawempe-Bwaise'!M31</f>
        <v>289.28571428571428</v>
      </c>
      <c r="N31" s="49">
        <f>'Avg Week Bwaise-Kawempe'!N31+'Avg Week Kawempe-Bwaise'!N31</f>
        <v>0</v>
      </c>
      <c r="O31" s="15">
        <f t="shared" si="0"/>
        <v>234.14285714285717</v>
      </c>
      <c r="P31" s="15">
        <f t="shared" si="1"/>
        <v>523.42857142857144</v>
      </c>
      <c r="R31" s="1" t="s">
        <v>155</v>
      </c>
      <c r="S31" s="34">
        <f>SUM(C94:C97)</f>
        <v>61.5</v>
      </c>
      <c r="T31" s="34">
        <f t="shared" ref="T31:AF31" si="23">SUM(D94:D97)</f>
        <v>3.5</v>
      </c>
      <c r="U31" s="34">
        <f t="shared" si="23"/>
        <v>5.5</v>
      </c>
      <c r="V31" s="34">
        <f t="shared" si="23"/>
        <v>33</v>
      </c>
      <c r="W31" s="34">
        <f t="shared" si="23"/>
        <v>2</v>
      </c>
      <c r="X31" s="34">
        <f t="shared" si="23"/>
        <v>9.5</v>
      </c>
      <c r="Y31" s="34">
        <f t="shared" si="23"/>
        <v>15.5</v>
      </c>
      <c r="Z31" s="34">
        <f t="shared" si="23"/>
        <v>19.5</v>
      </c>
      <c r="AA31" s="34">
        <f t="shared" si="23"/>
        <v>18.5</v>
      </c>
      <c r="AB31" s="34">
        <f t="shared" si="23"/>
        <v>6</v>
      </c>
      <c r="AC31" s="34">
        <f t="shared" si="23"/>
        <v>194.5</v>
      </c>
      <c r="AD31" s="34">
        <f t="shared" si="23"/>
        <v>0</v>
      </c>
      <c r="AE31" s="31">
        <f t="shared" si="23"/>
        <v>174.5</v>
      </c>
      <c r="AF31" s="31">
        <f t="shared" si="23"/>
        <v>369</v>
      </c>
    </row>
    <row r="32" spans="2:32" ht="23.1" customHeight="1" x14ac:dyDescent="0.25">
      <c r="B32" s="24" t="s">
        <v>59</v>
      </c>
      <c r="C32" s="49">
        <f>'Avg Week Bwaise-Kawempe'!C32+'Avg Week Kawempe-Bwaise'!C32</f>
        <v>66.857142857142861</v>
      </c>
      <c r="D32" s="49">
        <f>'Avg Week Bwaise-Kawempe'!D32+'Avg Week Kawempe-Bwaise'!D32</f>
        <v>13.142857142857142</v>
      </c>
      <c r="E32" s="49">
        <f>'Avg Week Bwaise-Kawempe'!E32+'Avg Week Kawempe-Bwaise'!E32</f>
        <v>11.142857142857142</v>
      </c>
      <c r="F32" s="49">
        <f>'Avg Week Bwaise-Kawempe'!F32+'Avg Week Kawempe-Bwaise'!F32</f>
        <v>73.428571428571431</v>
      </c>
      <c r="G32" s="49">
        <f>'Avg Week Bwaise-Kawempe'!G32+'Avg Week Kawempe-Bwaise'!G32</f>
        <v>3</v>
      </c>
      <c r="H32" s="49">
        <f>'Avg Week Bwaise-Kawempe'!H32+'Avg Week Kawempe-Bwaise'!H32</f>
        <v>2.4285714285714288</v>
      </c>
      <c r="I32" s="49">
        <f>'Avg Week Bwaise-Kawempe'!I32+'Avg Week Kawempe-Bwaise'!I32</f>
        <v>17.142857142857142</v>
      </c>
      <c r="J32" s="49">
        <f>'Avg Week Bwaise-Kawempe'!J32+'Avg Week Kawempe-Bwaise'!J32</f>
        <v>10.428571428571429</v>
      </c>
      <c r="K32" s="49">
        <f>'Avg Week Bwaise-Kawempe'!K32+'Avg Week Kawempe-Bwaise'!K32</f>
        <v>2.8571428571428572</v>
      </c>
      <c r="L32" s="49">
        <f>'Avg Week Bwaise-Kawempe'!L32+'Avg Week Kawempe-Bwaise'!L32</f>
        <v>3</v>
      </c>
      <c r="M32" s="49">
        <f>'Avg Week Bwaise-Kawempe'!M32+'Avg Week Kawempe-Bwaise'!M32</f>
        <v>250.14285714285714</v>
      </c>
      <c r="N32" s="49">
        <f>'Avg Week Bwaise-Kawempe'!N32+'Avg Week Kawempe-Bwaise'!N32</f>
        <v>0</v>
      </c>
      <c r="O32" s="15">
        <f t="shared" si="0"/>
        <v>203.42857142857139</v>
      </c>
      <c r="P32" s="15">
        <f t="shared" si="1"/>
        <v>453.57142857142856</v>
      </c>
      <c r="R32" s="1" t="s">
        <v>156</v>
      </c>
      <c r="S32" s="34">
        <f>SUM(C98:C101)</f>
        <v>83</v>
      </c>
      <c r="T32" s="34">
        <f t="shared" ref="T32:AF32" si="24">SUM(D98:D101)</f>
        <v>5.5</v>
      </c>
      <c r="U32" s="34">
        <f t="shared" si="24"/>
        <v>6</v>
      </c>
      <c r="V32" s="34">
        <f t="shared" si="24"/>
        <v>69.5</v>
      </c>
      <c r="W32" s="34">
        <f t="shared" si="24"/>
        <v>2</v>
      </c>
      <c r="X32" s="34">
        <f t="shared" si="24"/>
        <v>10</v>
      </c>
      <c r="Y32" s="34">
        <f t="shared" si="24"/>
        <v>32</v>
      </c>
      <c r="Z32" s="34">
        <f t="shared" si="24"/>
        <v>21</v>
      </c>
      <c r="AA32" s="34">
        <f t="shared" si="24"/>
        <v>14.5</v>
      </c>
      <c r="AB32" s="34">
        <f t="shared" si="24"/>
        <v>6.5</v>
      </c>
      <c r="AC32" s="34">
        <f t="shared" si="24"/>
        <v>205</v>
      </c>
      <c r="AD32" s="34">
        <f t="shared" si="24"/>
        <v>0</v>
      </c>
      <c r="AE32" s="31">
        <f t="shared" si="24"/>
        <v>250</v>
      </c>
      <c r="AF32" s="31">
        <f t="shared" si="24"/>
        <v>455</v>
      </c>
    </row>
    <row r="33" spans="2:32" ht="23.1" customHeight="1" x14ac:dyDescent="0.25">
      <c r="B33" s="23" t="s">
        <v>60</v>
      </c>
      <c r="C33" s="49">
        <f>'Avg Week Bwaise-Kawempe'!C33+'Avg Week Kawempe-Bwaise'!C33</f>
        <v>68</v>
      </c>
      <c r="D33" s="49">
        <f>'Avg Week Bwaise-Kawempe'!D33+'Avg Week Kawempe-Bwaise'!D33</f>
        <v>17.571428571428573</v>
      </c>
      <c r="E33" s="49">
        <f>'Avg Week Bwaise-Kawempe'!E33+'Avg Week Kawempe-Bwaise'!E33</f>
        <v>9.4285714285714288</v>
      </c>
      <c r="F33" s="49">
        <f>'Avg Week Bwaise-Kawempe'!F33+'Avg Week Kawempe-Bwaise'!F33</f>
        <v>70.571428571428569</v>
      </c>
      <c r="G33" s="49">
        <f>'Avg Week Bwaise-Kawempe'!G33+'Avg Week Kawempe-Bwaise'!G33</f>
        <v>3.7142857142857144</v>
      </c>
      <c r="H33" s="49">
        <f>'Avg Week Bwaise-Kawempe'!H33+'Avg Week Kawempe-Bwaise'!H33</f>
        <v>0.5714285714285714</v>
      </c>
      <c r="I33" s="49">
        <f>'Avg Week Bwaise-Kawempe'!I33+'Avg Week Kawempe-Bwaise'!I33</f>
        <v>20.857142857142858</v>
      </c>
      <c r="J33" s="49">
        <f>'Avg Week Bwaise-Kawempe'!J33+'Avg Week Kawempe-Bwaise'!J33</f>
        <v>9.7142857142857135</v>
      </c>
      <c r="K33" s="49">
        <f>'Avg Week Bwaise-Kawempe'!K33+'Avg Week Kawempe-Bwaise'!K33</f>
        <v>4.8571428571428568</v>
      </c>
      <c r="L33" s="49">
        <f>'Avg Week Bwaise-Kawempe'!L33+'Avg Week Kawempe-Bwaise'!L33</f>
        <v>4.7142857142857144</v>
      </c>
      <c r="M33" s="49">
        <f>'Avg Week Bwaise-Kawempe'!M33+'Avg Week Kawempe-Bwaise'!M33</f>
        <v>269.14285714285717</v>
      </c>
      <c r="N33" s="49">
        <f>'Avg Week Bwaise-Kawempe'!N33+'Avg Week Kawempe-Bwaise'!N33</f>
        <v>0</v>
      </c>
      <c r="O33" s="15">
        <f t="shared" si="0"/>
        <v>210.00000000000003</v>
      </c>
      <c r="P33" s="15">
        <f t="shared" si="1"/>
        <v>479.14285714285722</v>
      </c>
      <c r="R33" s="1" t="s">
        <v>157</v>
      </c>
      <c r="S33" s="34">
        <f>SUM(C102:C105)</f>
        <v>137.5</v>
      </c>
      <c r="T33" s="34">
        <f t="shared" ref="T33:AF33" si="25">SUM(D102:D105)</f>
        <v>7.5</v>
      </c>
      <c r="U33" s="34">
        <f t="shared" si="25"/>
        <v>18.5</v>
      </c>
      <c r="V33" s="34">
        <f t="shared" si="25"/>
        <v>170</v>
      </c>
      <c r="W33" s="34">
        <f t="shared" si="25"/>
        <v>5</v>
      </c>
      <c r="X33" s="34">
        <f t="shared" si="25"/>
        <v>7</v>
      </c>
      <c r="Y33" s="34">
        <f t="shared" si="25"/>
        <v>32.5</v>
      </c>
      <c r="Z33" s="34">
        <f t="shared" si="25"/>
        <v>24.5</v>
      </c>
      <c r="AA33" s="34">
        <f t="shared" si="25"/>
        <v>22</v>
      </c>
      <c r="AB33" s="34">
        <f t="shared" si="25"/>
        <v>21.5</v>
      </c>
      <c r="AC33" s="34">
        <f t="shared" si="25"/>
        <v>421</v>
      </c>
      <c r="AD33" s="34">
        <f t="shared" si="25"/>
        <v>0</v>
      </c>
      <c r="AE33" s="31">
        <f t="shared" si="25"/>
        <v>446</v>
      </c>
      <c r="AF33" s="31">
        <f t="shared" si="25"/>
        <v>867</v>
      </c>
    </row>
    <row r="34" spans="2:32" ht="23.1" customHeight="1" x14ac:dyDescent="0.25">
      <c r="B34" s="24" t="s">
        <v>61</v>
      </c>
      <c r="C34" s="49">
        <f>'Avg Week Bwaise-Kawempe'!C34+'Avg Week Kawempe-Bwaise'!C34</f>
        <v>79.142857142857139</v>
      </c>
      <c r="D34" s="49">
        <f>'Avg Week Bwaise-Kawempe'!D34+'Avg Week Kawempe-Bwaise'!D34</f>
        <v>21.857142857142858</v>
      </c>
      <c r="E34" s="49">
        <f>'Avg Week Bwaise-Kawempe'!E34+'Avg Week Kawempe-Bwaise'!E34</f>
        <v>12.714285714285715</v>
      </c>
      <c r="F34" s="49">
        <f>'Avg Week Bwaise-Kawempe'!F34+'Avg Week Kawempe-Bwaise'!F34</f>
        <v>82.857142857142861</v>
      </c>
      <c r="G34" s="49">
        <f>'Avg Week Bwaise-Kawempe'!G34+'Avg Week Kawempe-Bwaise'!G34</f>
        <v>2.4285714285714288</v>
      </c>
      <c r="H34" s="49">
        <f>'Avg Week Bwaise-Kawempe'!H34+'Avg Week Kawempe-Bwaise'!H34</f>
        <v>0.5714285714285714</v>
      </c>
      <c r="I34" s="49">
        <f>'Avg Week Bwaise-Kawempe'!I34+'Avg Week Kawempe-Bwaise'!I34</f>
        <v>17.857142857142858</v>
      </c>
      <c r="J34" s="49">
        <f>'Avg Week Bwaise-Kawempe'!J34+'Avg Week Kawempe-Bwaise'!J34</f>
        <v>9.571428571428573</v>
      </c>
      <c r="K34" s="49">
        <f>'Avg Week Bwaise-Kawempe'!K34+'Avg Week Kawempe-Bwaise'!K34</f>
        <v>3.7142857142857144</v>
      </c>
      <c r="L34" s="49">
        <f>'Avg Week Bwaise-Kawempe'!L34+'Avg Week Kawempe-Bwaise'!L34</f>
        <v>4.8571428571428577</v>
      </c>
      <c r="M34" s="49">
        <f>'Avg Week Bwaise-Kawempe'!M34+'Avg Week Kawempe-Bwaise'!M34</f>
        <v>265.71428571428572</v>
      </c>
      <c r="N34" s="49">
        <f>'Avg Week Bwaise-Kawempe'!N34+'Avg Week Kawempe-Bwaise'!N34</f>
        <v>0</v>
      </c>
      <c r="O34" s="15">
        <f t="shared" si="0"/>
        <v>235.57142857142861</v>
      </c>
      <c r="P34" s="15">
        <f t="shared" si="1"/>
        <v>501.28571428571433</v>
      </c>
      <c r="R34" s="38" t="s">
        <v>90</v>
      </c>
      <c r="S34" s="39">
        <f t="shared" ref="S34:AF34" si="26">MAX(S10:S12)</f>
        <v>312.85714285714283</v>
      </c>
      <c r="T34" s="39">
        <f t="shared" si="26"/>
        <v>61.142857142857139</v>
      </c>
      <c r="U34" s="39">
        <f t="shared" si="26"/>
        <v>59.428571428571431</v>
      </c>
      <c r="V34" s="39">
        <f t="shared" si="26"/>
        <v>373</v>
      </c>
      <c r="W34" s="39">
        <f t="shared" si="26"/>
        <v>36.285714285714278</v>
      </c>
      <c r="X34" s="39">
        <f t="shared" si="26"/>
        <v>5.5714285714285703</v>
      </c>
      <c r="Y34" s="39">
        <f t="shared" si="26"/>
        <v>65</v>
      </c>
      <c r="Z34" s="39">
        <f t="shared" si="26"/>
        <v>36.857142857142854</v>
      </c>
      <c r="AA34" s="39">
        <f t="shared" si="26"/>
        <v>17.428571428571427</v>
      </c>
      <c r="AB34" s="39">
        <f t="shared" si="26"/>
        <v>13.571428571428571</v>
      </c>
      <c r="AC34" s="39">
        <f t="shared" si="26"/>
        <v>1722.8571428571427</v>
      </c>
      <c r="AD34" s="39">
        <f t="shared" si="26"/>
        <v>0.2857142857142857</v>
      </c>
      <c r="AE34" s="40">
        <f t="shared" si="26"/>
        <v>922.14285714285711</v>
      </c>
      <c r="AF34" s="40">
        <f t="shared" si="26"/>
        <v>2612.2857142857142</v>
      </c>
    </row>
    <row r="35" spans="2:32" ht="23.1" customHeight="1" x14ac:dyDescent="0.25">
      <c r="B35" s="24" t="s">
        <v>62</v>
      </c>
      <c r="C35" s="49">
        <f>'Avg Week Bwaise-Kawempe'!C35+'Avg Week Kawempe-Bwaise'!C35</f>
        <v>72.428571428571431</v>
      </c>
      <c r="D35" s="49">
        <f>'Avg Week Bwaise-Kawempe'!D35+'Avg Week Kawempe-Bwaise'!D35</f>
        <v>17.714285714285715</v>
      </c>
      <c r="E35" s="49">
        <f>'Avg Week Bwaise-Kawempe'!E35+'Avg Week Kawempe-Bwaise'!E35</f>
        <v>14.571428571428571</v>
      </c>
      <c r="F35" s="49">
        <f>'Avg Week Bwaise-Kawempe'!F35+'Avg Week Kawempe-Bwaise'!F35</f>
        <v>68.285714285714278</v>
      </c>
      <c r="G35" s="49">
        <f>'Avg Week Bwaise-Kawempe'!G35+'Avg Week Kawempe-Bwaise'!G35</f>
        <v>2.5714285714285712</v>
      </c>
      <c r="H35" s="49">
        <f>'Avg Week Bwaise-Kawempe'!H35+'Avg Week Kawempe-Bwaise'!H35</f>
        <v>1.4285714285714286</v>
      </c>
      <c r="I35" s="49">
        <f>'Avg Week Bwaise-Kawempe'!I35+'Avg Week Kawempe-Bwaise'!I35</f>
        <v>17</v>
      </c>
      <c r="J35" s="49">
        <f>'Avg Week Bwaise-Kawempe'!J35+'Avg Week Kawempe-Bwaise'!J35</f>
        <v>11.428571428571427</v>
      </c>
      <c r="K35" s="49">
        <f>'Avg Week Bwaise-Kawempe'!K35+'Avg Week Kawempe-Bwaise'!K35</f>
        <v>4.8571428571428568</v>
      </c>
      <c r="L35" s="49">
        <f>'Avg Week Bwaise-Kawempe'!L35+'Avg Week Kawempe-Bwaise'!L35</f>
        <v>3.7142857142857144</v>
      </c>
      <c r="M35" s="49">
        <f>'Avg Week Bwaise-Kawempe'!M35+'Avg Week Kawempe-Bwaise'!M35</f>
        <v>252.42857142857144</v>
      </c>
      <c r="N35" s="49">
        <f>'Avg Week Bwaise-Kawempe'!N35+'Avg Week Kawempe-Bwaise'!N35</f>
        <v>0</v>
      </c>
      <c r="O35" s="15">
        <f t="shared" si="0"/>
        <v>214</v>
      </c>
      <c r="P35" s="15">
        <f t="shared" si="1"/>
        <v>466.42857142857144</v>
      </c>
      <c r="R35" s="38" t="s">
        <v>91</v>
      </c>
      <c r="S35" s="39">
        <f t="shared" ref="S35:AF35" si="27">MAX(S13:S18)</f>
        <v>319.42857142857144</v>
      </c>
      <c r="T35" s="39">
        <f t="shared" si="27"/>
        <v>81.714285714285722</v>
      </c>
      <c r="U35" s="39">
        <f t="shared" si="27"/>
        <v>57.428571428571431</v>
      </c>
      <c r="V35" s="39">
        <f t="shared" si="27"/>
        <v>335.28571428571433</v>
      </c>
      <c r="W35" s="39">
        <f t="shared" si="27"/>
        <v>13.428571428571427</v>
      </c>
      <c r="X35" s="39">
        <f t="shared" si="27"/>
        <v>8.2857142857142865</v>
      </c>
      <c r="Y35" s="39">
        <f t="shared" si="27"/>
        <v>82.000000000000014</v>
      </c>
      <c r="Z35" s="39">
        <f t="shared" si="27"/>
        <v>44.857142857142861</v>
      </c>
      <c r="AA35" s="39">
        <f t="shared" si="27"/>
        <v>18.142857142857142</v>
      </c>
      <c r="AB35" s="39">
        <f t="shared" si="27"/>
        <v>22.285714285714285</v>
      </c>
      <c r="AC35" s="39">
        <f t="shared" si="27"/>
        <v>1414.1428571428571</v>
      </c>
      <c r="AD35" s="39">
        <f t="shared" si="27"/>
        <v>0</v>
      </c>
      <c r="AE35" s="40">
        <f t="shared" si="27"/>
        <v>932.28571428571422</v>
      </c>
      <c r="AF35" s="40">
        <f t="shared" si="27"/>
        <v>2313.7142857142858</v>
      </c>
    </row>
    <row r="36" spans="2:32" ht="23.1" customHeight="1" x14ac:dyDescent="0.25">
      <c r="B36" s="24" t="s">
        <v>63</v>
      </c>
      <c r="C36" s="49">
        <f>'Avg Week Bwaise-Kawempe'!C36+'Avg Week Kawempe-Bwaise'!C36</f>
        <v>75.857142857142861</v>
      </c>
      <c r="D36" s="49">
        <f>'Avg Week Bwaise-Kawempe'!D36+'Avg Week Kawempe-Bwaise'!D36</f>
        <v>16</v>
      </c>
      <c r="E36" s="49">
        <f>'Avg Week Bwaise-Kawempe'!E36+'Avg Week Kawempe-Bwaise'!E36</f>
        <v>14.142857142857142</v>
      </c>
      <c r="F36" s="49">
        <f>'Avg Week Bwaise-Kawempe'!F36+'Avg Week Kawempe-Bwaise'!F36</f>
        <v>76.857142857142861</v>
      </c>
      <c r="G36" s="49">
        <f>'Avg Week Bwaise-Kawempe'!G36+'Avg Week Kawempe-Bwaise'!G36</f>
        <v>3.1428571428571432</v>
      </c>
      <c r="H36" s="49">
        <f>'Avg Week Bwaise-Kawempe'!H36+'Avg Week Kawempe-Bwaise'!H36</f>
        <v>1.1428571428571428</v>
      </c>
      <c r="I36" s="49">
        <f>'Avg Week Bwaise-Kawempe'!I36+'Avg Week Kawempe-Bwaise'!I36</f>
        <v>16</v>
      </c>
      <c r="J36" s="49">
        <f>'Avg Week Bwaise-Kawempe'!J36+'Avg Week Kawempe-Bwaise'!J36</f>
        <v>13.714285714285715</v>
      </c>
      <c r="K36" s="49">
        <f>'Avg Week Bwaise-Kawempe'!K36+'Avg Week Kawempe-Bwaise'!K36</f>
        <v>4.7142857142857144</v>
      </c>
      <c r="L36" s="49">
        <f>'Avg Week Bwaise-Kawempe'!L36+'Avg Week Kawempe-Bwaise'!L36</f>
        <v>4.4285714285714288</v>
      </c>
      <c r="M36" s="49">
        <f>'Avg Week Bwaise-Kawempe'!M36+'Avg Week Kawempe-Bwaise'!M36</f>
        <v>297.42857142857144</v>
      </c>
      <c r="N36" s="49">
        <f>'Avg Week Bwaise-Kawempe'!N36+'Avg Week Kawempe-Bwaise'!N36</f>
        <v>0</v>
      </c>
      <c r="O36" s="15">
        <f t="shared" si="0"/>
        <v>226</v>
      </c>
      <c r="P36" s="15">
        <f t="shared" si="1"/>
        <v>523.42857142857144</v>
      </c>
      <c r="R36" s="38" t="s">
        <v>92</v>
      </c>
      <c r="S36" s="39">
        <f t="shared" ref="S36:AF36" si="28">MAX(S19:S21)</f>
        <v>315.71428571428572</v>
      </c>
      <c r="T36" s="39">
        <f t="shared" si="28"/>
        <v>77.428571428571431</v>
      </c>
      <c r="U36" s="39">
        <f t="shared" si="28"/>
        <v>56.428571428571431</v>
      </c>
      <c r="V36" s="39">
        <f t="shared" si="28"/>
        <v>308.42857142857144</v>
      </c>
      <c r="W36" s="39">
        <f t="shared" si="28"/>
        <v>14.428571428571429</v>
      </c>
      <c r="X36" s="39">
        <f t="shared" si="28"/>
        <v>7.5714285714285712</v>
      </c>
      <c r="Y36" s="39">
        <f t="shared" si="28"/>
        <v>75.428571428571431</v>
      </c>
      <c r="Z36" s="39">
        <f t="shared" si="28"/>
        <v>41.571428571428569</v>
      </c>
      <c r="AA36" s="39">
        <f t="shared" si="28"/>
        <v>19.714285714285715</v>
      </c>
      <c r="AB36" s="39">
        <f t="shared" si="28"/>
        <v>24.571428571428573</v>
      </c>
      <c r="AC36" s="39">
        <f t="shared" si="28"/>
        <v>1454</v>
      </c>
      <c r="AD36" s="39">
        <f t="shared" si="28"/>
        <v>0</v>
      </c>
      <c r="AE36" s="40">
        <f t="shared" si="28"/>
        <v>935.42857142857144</v>
      </c>
      <c r="AF36" s="40">
        <f t="shared" si="28"/>
        <v>2289.7142857142858</v>
      </c>
    </row>
    <row r="37" spans="2:32" ht="23.1" customHeight="1" x14ac:dyDescent="0.25">
      <c r="B37" s="23" t="s">
        <v>64</v>
      </c>
      <c r="C37" s="49">
        <f>'Avg Week Bwaise-Kawempe'!C37+'Avg Week Kawempe-Bwaise'!C37</f>
        <v>73.428571428571431</v>
      </c>
      <c r="D37" s="49">
        <f>'Avg Week Bwaise-Kawempe'!D37+'Avg Week Kawempe-Bwaise'!D37</f>
        <v>18.428571428571431</v>
      </c>
      <c r="E37" s="49">
        <f>'Avg Week Bwaise-Kawempe'!E37+'Avg Week Kawempe-Bwaise'!E37</f>
        <v>10.142857142857142</v>
      </c>
      <c r="F37" s="49">
        <f>'Avg Week Bwaise-Kawempe'!F37+'Avg Week Kawempe-Bwaise'!F37</f>
        <v>73.428571428571416</v>
      </c>
      <c r="G37" s="49">
        <f>'Avg Week Bwaise-Kawempe'!G37+'Avg Week Kawempe-Bwaise'!G37</f>
        <v>2.2857142857142856</v>
      </c>
      <c r="H37" s="49">
        <f>'Avg Week Bwaise-Kawempe'!H37+'Avg Week Kawempe-Bwaise'!H37</f>
        <v>2</v>
      </c>
      <c r="I37" s="49">
        <f>'Avg Week Bwaise-Kawempe'!I37+'Avg Week Kawempe-Bwaise'!I37</f>
        <v>16</v>
      </c>
      <c r="J37" s="49">
        <f>'Avg Week Bwaise-Kawempe'!J37+'Avg Week Kawempe-Bwaise'!J37</f>
        <v>10.142857142857142</v>
      </c>
      <c r="K37" s="49">
        <f>'Avg Week Bwaise-Kawempe'!K37+'Avg Week Kawempe-Bwaise'!K37</f>
        <v>4.8571428571428577</v>
      </c>
      <c r="L37" s="49">
        <f>'Avg Week Bwaise-Kawempe'!L37+'Avg Week Kawempe-Bwaise'!L37</f>
        <v>4.1428571428571432</v>
      </c>
      <c r="M37" s="49">
        <f>'Avg Week Bwaise-Kawempe'!M37+'Avg Week Kawempe-Bwaise'!M37</f>
        <v>215.85714285714283</v>
      </c>
      <c r="N37" s="49">
        <f>'Avg Week Bwaise-Kawempe'!N37+'Avg Week Kawempe-Bwaise'!N37</f>
        <v>0</v>
      </c>
      <c r="O37" s="15">
        <f t="shared" si="0"/>
        <v>214.85714285714283</v>
      </c>
      <c r="P37" s="15">
        <f t="shared" si="1"/>
        <v>430.71428571428567</v>
      </c>
      <c r="R37" s="37" t="s">
        <v>85</v>
      </c>
      <c r="S37" s="35">
        <f t="shared" ref="S37:AF37" si="29">SUM(S10:S12)</f>
        <v>882.99999999999989</v>
      </c>
      <c r="T37" s="16">
        <f t="shared" si="29"/>
        <v>169.71428571428572</v>
      </c>
      <c r="U37" s="16">
        <f t="shared" si="29"/>
        <v>131.85714285714289</v>
      </c>
      <c r="V37" s="16">
        <f t="shared" si="29"/>
        <v>1059.8571428571429</v>
      </c>
      <c r="W37" s="16">
        <f t="shared" si="29"/>
        <v>64.857142857142847</v>
      </c>
      <c r="X37" s="16">
        <f t="shared" si="29"/>
        <v>15</v>
      </c>
      <c r="Y37" s="16">
        <f t="shared" si="29"/>
        <v>165.71428571428572</v>
      </c>
      <c r="Z37" s="16">
        <f t="shared" si="29"/>
        <v>93</v>
      </c>
      <c r="AA37" s="16">
        <f t="shared" si="29"/>
        <v>46.142857142857139</v>
      </c>
      <c r="AB37" s="16">
        <f t="shared" si="29"/>
        <v>36.571428571428569</v>
      </c>
      <c r="AC37" s="16">
        <f t="shared" si="29"/>
        <v>5000.1428571428569</v>
      </c>
      <c r="AD37" s="16">
        <f t="shared" si="29"/>
        <v>0.5714285714285714</v>
      </c>
      <c r="AE37" s="32">
        <f t="shared" si="29"/>
        <v>2666.2857142857147</v>
      </c>
      <c r="AF37" s="32">
        <f t="shared" si="29"/>
        <v>7666.4285714285706</v>
      </c>
    </row>
    <row r="38" spans="2:32" ht="23.1" customHeight="1" x14ac:dyDescent="0.25">
      <c r="B38" s="24" t="s">
        <v>65</v>
      </c>
      <c r="C38" s="49">
        <f>'Avg Week Bwaise-Kawempe'!C38+'Avg Week Kawempe-Bwaise'!C38</f>
        <v>70.428571428571431</v>
      </c>
      <c r="D38" s="49">
        <f>'Avg Week Bwaise-Kawempe'!D38+'Avg Week Kawempe-Bwaise'!D38</f>
        <v>20.142857142857142</v>
      </c>
      <c r="E38" s="49">
        <f>'Avg Week Bwaise-Kawempe'!E38+'Avg Week Kawempe-Bwaise'!E38</f>
        <v>12.571428571428573</v>
      </c>
      <c r="F38" s="49">
        <f>'Avg Week Bwaise-Kawempe'!F38+'Avg Week Kawempe-Bwaise'!F38</f>
        <v>70</v>
      </c>
      <c r="G38" s="49">
        <f>'Avg Week Bwaise-Kawempe'!G38+'Avg Week Kawempe-Bwaise'!G38</f>
        <v>3.4285714285714284</v>
      </c>
      <c r="H38" s="49">
        <f>'Avg Week Bwaise-Kawempe'!H38+'Avg Week Kawempe-Bwaise'!H38</f>
        <v>1.2857142857142856</v>
      </c>
      <c r="I38" s="49">
        <f>'Avg Week Bwaise-Kawempe'!I38+'Avg Week Kawempe-Bwaise'!I38</f>
        <v>20.714285714285715</v>
      </c>
      <c r="J38" s="49">
        <f>'Avg Week Bwaise-Kawempe'!J38+'Avg Week Kawempe-Bwaise'!J38</f>
        <v>5.8571428571428577</v>
      </c>
      <c r="K38" s="49">
        <f>'Avg Week Bwaise-Kawempe'!K38+'Avg Week Kawempe-Bwaise'!K38</f>
        <v>4.1428571428571423</v>
      </c>
      <c r="L38" s="49">
        <f>'Avg Week Bwaise-Kawempe'!L38+'Avg Week Kawempe-Bwaise'!L38</f>
        <v>4.8571428571428577</v>
      </c>
      <c r="M38" s="49">
        <f>'Avg Week Bwaise-Kawempe'!M38+'Avg Week Kawempe-Bwaise'!M38</f>
        <v>232</v>
      </c>
      <c r="N38" s="49">
        <f>'Avg Week Bwaise-Kawempe'!N38+'Avg Week Kawempe-Bwaise'!N38</f>
        <v>0</v>
      </c>
      <c r="O38" s="15">
        <f t="shared" si="0"/>
        <v>213.42857142857142</v>
      </c>
      <c r="P38" s="15">
        <f t="shared" si="1"/>
        <v>445.42857142857144</v>
      </c>
      <c r="R38" s="28" t="s">
        <v>86</v>
      </c>
      <c r="S38" s="16">
        <f t="shared" ref="S38:AF38" si="30">SUM(S13:S18)</f>
        <v>1755.8571428571427</v>
      </c>
      <c r="T38" s="16">
        <f t="shared" si="30"/>
        <v>424.42857142857139</v>
      </c>
      <c r="U38" s="16">
        <f t="shared" si="30"/>
        <v>306.71428571428572</v>
      </c>
      <c r="V38" s="16">
        <f t="shared" si="30"/>
        <v>1821.1428571428571</v>
      </c>
      <c r="W38" s="16">
        <f t="shared" si="30"/>
        <v>68</v>
      </c>
      <c r="X38" s="16">
        <f t="shared" si="30"/>
        <v>33.571428571428569</v>
      </c>
      <c r="Y38" s="16">
        <f t="shared" si="30"/>
        <v>461.28571428571433</v>
      </c>
      <c r="Z38" s="16">
        <f t="shared" si="30"/>
        <v>242</v>
      </c>
      <c r="AA38" s="16">
        <f t="shared" si="30"/>
        <v>97.714285714285694</v>
      </c>
      <c r="AB38" s="16">
        <f t="shared" si="30"/>
        <v>111.71428571428572</v>
      </c>
      <c r="AC38" s="16">
        <f t="shared" si="30"/>
        <v>6611.4047619047615</v>
      </c>
      <c r="AD38" s="16">
        <f t="shared" si="30"/>
        <v>0</v>
      </c>
      <c r="AE38" s="32">
        <f t="shared" si="30"/>
        <v>5322.4285714285716</v>
      </c>
      <c r="AF38" s="32">
        <f t="shared" si="30"/>
        <v>11933.833333333336</v>
      </c>
    </row>
    <row r="39" spans="2:32" ht="23.1" customHeight="1" x14ac:dyDescent="0.25">
      <c r="B39" s="24" t="s">
        <v>66</v>
      </c>
      <c r="C39" s="49">
        <f>'Avg Week Bwaise-Kawempe'!C39+'Avg Week Kawempe-Bwaise'!C39</f>
        <v>60.428571428571431</v>
      </c>
      <c r="D39" s="49">
        <f>'Avg Week Bwaise-Kawempe'!D39+'Avg Week Kawempe-Bwaise'!D39</f>
        <v>16</v>
      </c>
      <c r="E39" s="49">
        <f>'Avg Week Bwaise-Kawempe'!E39+'Avg Week Kawempe-Bwaise'!E39</f>
        <v>10</v>
      </c>
      <c r="F39" s="49">
        <f>'Avg Week Bwaise-Kawempe'!F39+'Avg Week Kawempe-Bwaise'!F39</f>
        <v>64.571428571428569</v>
      </c>
      <c r="G39" s="49">
        <f>'Avg Week Bwaise-Kawempe'!G39+'Avg Week Kawempe-Bwaise'!G39</f>
        <v>2.4285714285714284</v>
      </c>
      <c r="H39" s="49">
        <f>'Avg Week Bwaise-Kawempe'!H39+'Avg Week Kawempe-Bwaise'!H39</f>
        <v>0.85714285714285721</v>
      </c>
      <c r="I39" s="49">
        <f>'Avg Week Bwaise-Kawempe'!I39+'Avg Week Kawempe-Bwaise'!I39</f>
        <v>17.428571428571431</v>
      </c>
      <c r="J39" s="49">
        <f>'Avg Week Bwaise-Kawempe'!J39+'Avg Week Kawempe-Bwaise'!J39</f>
        <v>10.714285714285715</v>
      </c>
      <c r="K39" s="49">
        <f>'Avg Week Bwaise-Kawempe'!K39+'Avg Week Kawempe-Bwaise'!K39</f>
        <v>3.5714285714285712</v>
      </c>
      <c r="L39" s="49">
        <f>'Avg Week Bwaise-Kawempe'!L39+'Avg Week Kawempe-Bwaise'!L39</f>
        <v>4</v>
      </c>
      <c r="M39" s="49">
        <f>'Avg Week Bwaise-Kawempe'!M39+'Avg Week Kawempe-Bwaise'!M39</f>
        <v>199.42857142857144</v>
      </c>
      <c r="N39" s="49">
        <f>'Avg Week Bwaise-Kawempe'!N39+'Avg Week Kawempe-Bwaise'!N39</f>
        <v>0</v>
      </c>
      <c r="O39" s="15">
        <f t="shared" si="0"/>
        <v>190.00000000000003</v>
      </c>
      <c r="P39" s="15">
        <f t="shared" si="1"/>
        <v>389.42857142857144</v>
      </c>
      <c r="R39" s="29" t="s">
        <v>87</v>
      </c>
      <c r="S39" s="16">
        <f t="shared" ref="S39:AF39" si="31">SUM(S19:S21)</f>
        <v>899.71428571428578</v>
      </c>
      <c r="T39" s="16">
        <f t="shared" si="31"/>
        <v>203.14285714285717</v>
      </c>
      <c r="U39" s="16">
        <f t="shared" si="31"/>
        <v>133.42857142857144</v>
      </c>
      <c r="V39" s="16">
        <f t="shared" si="31"/>
        <v>910</v>
      </c>
      <c r="W39" s="16">
        <f t="shared" si="31"/>
        <v>37.857142857142861</v>
      </c>
      <c r="X39" s="16">
        <f t="shared" si="31"/>
        <v>17.285714285714285</v>
      </c>
      <c r="Y39" s="16">
        <f t="shared" si="31"/>
        <v>206.57142857142858</v>
      </c>
      <c r="Z39" s="16">
        <f t="shared" si="31"/>
        <v>102.71428571428572</v>
      </c>
      <c r="AA39" s="16">
        <f t="shared" si="31"/>
        <v>55.857142857142854</v>
      </c>
      <c r="AB39" s="16">
        <f t="shared" si="31"/>
        <v>65.142857142857139</v>
      </c>
      <c r="AC39" s="16">
        <f t="shared" si="31"/>
        <v>3956.1428571428573</v>
      </c>
      <c r="AD39" s="16">
        <f t="shared" si="31"/>
        <v>0</v>
      </c>
      <c r="AE39" s="32">
        <f t="shared" si="31"/>
        <v>2631.7142857142858</v>
      </c>
      <c r="AF39" s="32">
        <f t="shared" si="31"/>
        <v>6587.8571428571431</v>
      </c>
    </row>
    <row r="40" spans="2:32" ht="23.1" customHeight="1" x14ac:dyDescent="0.25">
      <c r="B40" s="24" t="s">
        <v>67</v>
      </c>
      <c r="C40" s="49">
        <f>'Avg Week Bwaise-Kawempe'!C40+'Avg Week Kawempe-Bwaise'!C40</f>
        <v>61.857142857142861</v>
      </c>
      <c r="D40" s="49">
        <f>'Avg Week Bwaise-Kawempe'!D40+'Avg Week Kawempe-Bwaise'!D40</f>
        <v>18</v>
      </c>
      <c r="E40" s="49">
        <f>'Avg Week Bwaise-Kawempe'!E40+'Avg Week Kawempe-Bwaise'!E40</f>
        <v>13.571428571428571</v>
      </c>
      <c r="F40" s="49">
        <f>'Avg Week Bwaise-Kawempe'!F40+'Avg Week Kawempe-Bwaise'!F40</f>
        <v>69.857142857142861</v>
      </c>
      <c r="G40" s="49">
        <f>'Avg Week Bwaise-Kawempe'!G40+'Avg Week Kawempe-Bwaise'!G40</f>
        <v>3.1428571428571428</v>
      </c>
      <c r="H40" s="49">
        <f>'Avg Week Bwaise-Kawempe'!H40+'Avg Week Kawempe-Bwaise'!H40</f>
        <v>2</v>
      </c>
      <c r="I40" s="49">
        <f>'Avg Week Bwaise-Kawempe'!I40+'Avg Week Kawempe-Bwaise'!I40</f>
        <v>20.428571428571427</v>
      </c>
      <c r="J40" s="49">
        <f>'Avg Week Bwaise-Kawempe'!J40+'Avg Week Kawempe-Bwaise'!J40</f>
        <v>9</v>
      </c>
      <c r="K40" s="49">
        <f>'Avg Week Bwaise-Kawempe'!K40+'Avg Week Kawempe-Bwaise'!K40</f>
        <v>3.5714285714285712</v>
      </c>
      <c r="L40" s="49">
        <f>'Avg Week Bwaise-Kawempe'!L40+'Avg Week Kawempe-Bwaise'!L40</f>
        <v>8.1428571428571423</v>
      </c>
      <c r="M40" s="49">
        <f>'Avg Week Bwaise-Kawempe'!M40+'Avg Week Kawempe-Bwaise'!M40</f>
        <v>221.71428571428572</v>
      </c>
      <c r="N40" s="49">
        <f>'Avg Week Bwaise-Kawempe'!N40+'Avg Week Kawempe-Bwaise'!N40</f>
        <v>0</v>
      </c>
      <c r="O40" s="15">
        <f t="shared" si="0"/>
        <v>209.57142857142856</v>
      </c>
      <c r="P40" s="15">
        <f t="shared" si="1"/>
        <v>431.28571428571428</v>
      </c>
      <c r="R40" s="5" t="s">
        <v>17</v>
      </c>
      <c r="S40" s="16">
        <f t="shared" ref="S40:AF40" si="32">SUM(S10:S21)</f>
        <v>3538.5714285714284</v>
      </c>
      <c r="T40" s="16">
        <f t="shared" si="32"/>
        <v>797.28571428571422</v>
      </c>
      <c r="U40" s="16">
        <f t="shared" si="32"/>
        <v>572</v>
      </c>
      <c r="V40" s="16">
        <f t="shared" si="32"/>
        <v>3791</v>
      </c>
      <c r="W40" s="16">
        <f t="shared" si="32"/>
        <v>170.71428571428569</v>
      </c>
      <c r="X40" s="16">
        <f t="shared" si="32"/>
        <v>65.857142857142861</v>
      </c>
      <c r="Y40" s="16">
        <f t="shared" si="32"/>
        <v>833.57142857142867</v>
      </c>
      <c r="Z40" s="16">
        <f t="shared" si="32"/>
        <v>437.71428571428572</v>
      </c>
      <c r="AA40" s="16">
        <f t="shared" si="32"/>
        <v>199.71428571428572</v>
      </c>
      <c r="AB40" s="16">
        <f t="shared" si="32"/>
        <v>213.42857142857144</v>
      </c>
      <c r="AC40" s="16">
        <f t="shared" si="32"/>
        <v>15567.690476190477</v>
      </c>
      <c r="AD40" s="16">
        <f t="shared" si="32"/>
        <v>0.5714285714285714</v>
      </c>
      <c r="AE40" s="32">
        <f t="shared" si="32"/>
        <v>10620.428571428572</v>
      </c>
      <c r="AF40" s="32">
        <f t="shared" si="32"/>
        <v>26188.11904761905</v>
      </c>
    </row>
    <row r="41" spans="2:32" ht="23.1" customHeight="1" x14ac:dyDescent="0.25">
      <c r="B41" s="23" t="s">
        <v>68</v>
      </c>
      <c r="C41" s="49">
        <f>'Avg Week Bwaise-Kawempe'!C41+'Avg Week Kawempe-Bwaise'!C41</f>
        <v>70.571428571428569</v>
      </c>
      <c r="D41" s="49">
        <f>'Avg Week Bwaise-Kawempe'!D41+'Avg Week Kawempe-Bwaise'!D41</f>
        <v>15.714285714285715</v>
      </c>
      <c r="E41" s="49">
        <f>'Avg Week Bwaise-Kawempe'!E41+'Avg Week Kawempe-Bwaise'!E41</f>
        <v>12.428571428571429</v>
      </c>
      <c r="F41" s="49">
        <f>'Avg Week Bwaise-Kawempe'!F41+'Avg Week Kawempe-Bwaise'!F41</f>
        <v>71.428571428571431</v>
      </c>
      <c r="G41" s="49">
        <f>'Avg Week Bwaise-Kawempe'!G41+'Avg Week Kawempe-Bwaise'!G41</f>
        <v>2.2857142857142856</v>
      </c>
      <c r="H41" s="49">
        <f>'Avg Week Bwaise-Kawempe'!H41+'Avg Week Kawempe-Bwaise'!H41</f>
        <v>2.8571428571428572</v>
      </c>
      <c r="I41" s="49">
        <f>'Avg Week Bwaise-Kawempe'!I41+'Avg Week Kawempe-Bwaise'!I41</f>
        <v>17.285714285714285</v>
      </c>
      <c r="J41" s="49">
        <f>'Avg Week Bwaise-Kawempe'!J41+'Avg Week Kawempe-Bwaise'!J41</f>
        <v>8.8571428571428577</v>
      </c>
      <c r="K41" s="49">
        <f>'Avg Week Bwaise-Kawempe'!K41+'Avg Week Kawempe-Bwaise'!K41</f>
        <v>3.4285714285714288</v>
      </c>
      <c r="L41" s="49">
        <f>'Avg Week Bwaise-Kawempe'!L41+'Avg Week Kawempe-Bwaise'!L41</f>
        <v>5.2857142857142856</v>
      </c>
      <c r="M41" s="49">
        <f>'Avg Week Bwaise-Kawempe'!M41+'Avg Week Kawempe-Bwaise'!M41</f>
        <v>221.57142857142856</v>
      </c>
      <c r="N41" s="49">
        <f>'Avg Week Bwaise-Kawempe'!N41+'Avg Week Kawempe-Bwaise'!N41</f>
        <v>0</v>
      </c>
      <c r="O41" s="15">
        <f t="shared" si="0"/>
        <v>210.14285714285711</v>
      </c>
      <c r="P41" s="15">
        <f t="shared" si="1"/>
        <v>431.71428571428567</v>
      </c>
      <c r="R41" s="5" t="s">
        <v>186</v>
      </c>
      <c r="S41" s="52">
        <f>SUM(S10:S33)</f>
        <v>5539.0714285714284</v>
      </c>
      <c r="T41" s="52">
        <f t="shared" ref="T41:AD41" si="33">SUM(T10:T33)</f>
        <v>904.78571428571422</v>
      </c>
      <c r="U41" s="52">
        <f t="shared" si="33"/>
        <v>738.5</v>
      </c>
      <c r="V41" s="52">
        <f t="shared" si="33"/>
        <v>5077</v>
      </c>
      <c r="W41" s="52">
        <f t="shared" si="33"/>
        <v>247.71428571428569</v>
      </c>
      <c r="X41" s="52">
        <f t="shared" si="33"/>
        <v>150.35714285714286</v>
      </c>
      <c r="Y41" s="52">
        <f t="shared" si="33"/>
        <v>1141.0714285714287</v>
      </c>
      <c r="Z41" s="52">
        <f t="shared" si="33"/>
        <v>739.71428571428578</v>
      </c>
      <c r="AA41" s="52">
        <f t="shared" si="33"/>
        <v>411.71428571428572</v>
      </c>
      <c r="AB41" s="52">
        <f t="shared" si="33"/>
        <v>316.92857142857144</v>
      </c>
      <c r="AC41" s="52">
        <f t="shared" si="33"/>
        <v>23252.690476190477</v>
      </c>
      <c r="AD41" s="52">
        <f t="shared" si="33"/>
        <v>0.5714285714285714</v>
      </c>
      <c r="AE41" s="53">
        <f>SUM(AE10:AE33)</f>
        <v>15267.428571428572</v>
      </c>
      <c r="AF41" s="53">
        <f>SUM(AF10:AF33)</f>
        <v>38520.119047619053</v>
      </c>
    </row>
    <row r="42" spans="2:32" ht="23.1" customHeight="1" x14ac:dyDescent="0.25">
      <c r="B42" s="24" t="s">
        <v>69</v>
      </c>
      <c r="C42" s="49">
        <f>'Avg Week Bwaise-Kawempe'!C42+'Avg Week Kawempe-Bwaise'!C42</f>
        <v>77.428571428571431</v>
      </c>
      <c r="D42" s="49">
        <f>'Avg Week Bwaise-Kawempe'!D42+'Avg Week Kawempe-Bwaise'!D42</f>
        <v>24.428571428571427</v>
      </c>
      <c r="E42" s="49">
        <f>'Avg Week Bwaise-Kawempe'!E42+'Avg Week Kawempe-Bwaise'!E42</f>
        <v>14</v>
      </c>
      <c r="F42" s="49">
        <f>'Avg Week Bwaise-Kawempe'!F42+'Avg Week Kawempe-Bwaise'!F42</f>
        <v>70.428571428571431</v>
      </c>
      <c r="G42" s="49">
        <f>'Avg Week Bwaise-Kawempe'!G42+'Avg Week Kawempe-Bwaise'!G42</f>
        <v>3</v>
      </c>
      <c r="H42" s="49">
        <f>'Avg Week Bwaise-Kawempe'!H42+'Avg Week Kawempe-Bwaise'!H42</f>
        <v>1.2857142857142856</v>
      </c>
      <c r="I42" s="49">
        <f>'Avg Week Bwaise-Kawempe'!I42+'Avg Week Kawempe-Bwaise'!I42</f>
        <v>20.285714285714285</v>
      </c>
      <c r="J42" s="49">
        <f>'Avg Week Bwaise-Kawempe'!J42+'Avg Week Kawempe-Bwaise'!J42</f>
        <v>10.571428571428571</v>
      </c>
      <c r="K42" s="49">
        <f>'Avg Week Bwaise-Kawempe'!K42+'Avg Week Kawempe-Bwaise'!K42</f>
        <v>4.2857142857142856</v>
      </c>
      <c r="L42" s="49">
        <f>'Avg Week Bwaise-Kawempe'!L42+'Avg Week Kawempe-Bwaise'!L42</f>
        <v>5.5714285714285712</v>
      </c>
      <c r="M42" s="49">
        <f>'Avg Week Bwaise-Kawempe'!M42+'Avg Week Kawempe-Bwaise'!M42</f>
        <v>205.57142857142856</v>
      </c>
      <c r="N42" s="49">
        <f>'Avg Week Bwaise-Kawempe'!N42+'Avg Week Kawempe-Bwaise'!N42</f>
        <v>0</v>
      </c>
      <c r="O42" s="15">
        <f t="shared" si="0"/>
        <v>231.28571428571428</v>
      </c>
      <c r="P42" s="15">
        <f t="shared" si="1"/>
        <v>436.85714285714283</v>
      </c>
      <c r="R42" s="5" t="s">
        <v>160</v>
      </c>
      <c r="S42" s="48">
        <f>S41/S40</f>
        <v>1.5653411384739604</v>
      </c>
      <c r="T42" s="48">
        <f t="shared" ref="T42:AF42" si="34">T41/T40</f>
        <v>1.1348324672997672</v>
      </c>
      <c r="U42" s="48">
        <f t="shared" si="34"/>
        <v>1.291083916083916</v>
      </c>
      <c r="V42" s="48">
        <f t="shared" si="34"/>
        <v>1.3392244790292798</v>
      </c>
      <c r="W42" s="48">
        <f t="shared" si="34"/>
        <v>1.4510460251046025</v>
      </c>
      <c r="X42" s="48">
        <f t="shared" si="34"/>
        <v>2.2830802603036875</v>
      </c>
      <c r="Y42" s="48">
        <f t="shared" si="34"/>
        <v>1.3688946015424164</v>
      </c>
      <c r="Z42" s="48">
        <f t="shared" si="34"/>
        <v>1.6899477806788512</v>
      </c>
      <c r="AA42" s="48">
        <f t="shared" si="34"/>
        <v>2.0615164520743918</v>
      </c>
      <c r="AB42" s="48">
        <f t="shared" si="34"/>
        <v>1.4849397590361446</v>
      </c>
      <c r="AC42" s="48">
        <f t="shared" si="34"/>
        <v>1.4936506164323851</v>
      </c>
      <c r="AD42" s="48">
        <f t="shared" si="34"/>
        <v>1</v>
      </c>
      <c r="AE42" s="51">
        <f t="shared" si="34"/>
        <v>1.4375529639643274</v>
      </c>
      <c r="AF42" s="51">
        <f t="shared" si="34"/>
        <v>1.4709005628688401</v>
      </c>
    </row>
    <row r="43" spans="2:32" ht="23.1" customHeight="1" x14ac:dyDescent="0.25">
      <c r="B43" s="23" t="s">
        <v>70</v>
      </c>
      <c r="C43" s="49">
        <f>'Avg Week Bwaise-Kawempe'!C43+'Avg Week Kawempe-Bwaise'!C43</f>
        <v>70.285714285714278</v>
      </c>
      <c r="D43" s="49">
        <f>'Avg Week Bwaise-Kawempe'!D43+'Avg Week Kawempe-Bwaise'!D43</f>
        <v>21.428571428571431</v>
      </c>
      <c r="E43" s="49">
        <f>'Avg Week Bwaise-Kawempe'!E43+'Avg Week Kawempe-Bwaise'!E43</f>
        <v>14.285714285714285</v>
      </c>
      <c r="F43" s="49">
        <f>'Avg Week Bwaise-Kawempe'!F43+'Avg Week Kawempe-Bwaise'!F43</f>
        <v>75.428571428571431</v>
      </c>
      <c r="G43" s="49">
        <f>'Avg Week Bwaise-Kawempe'!G43+'Avg Week Kawempe-Bwaise'!G43</f>
        <v>2</v>
      </c>
      <c r="H43" s="49">
        <f>'Avg Week Bwaise-Kawempe'!H43+'Avg Week Kawempe-Bwaise'!H43</f>
        <v>1.1428571428571428</v>
      </c>
      <c r="I43" s="49">
        <f>'Avg Week Bwaise-Kawempe'!I43+'Avg Week Kawempe-Bwaise'!I43</f>
        <v>19.285714285714285</v>
      </c>
      <c r="J43" s="49">
        <f>'Avg Week Bwaise-Kawempe'!J43+'Avg Week Kawempe-Bwaise'!J43</f>
        <v>10.285714285714286</v>
      </c>
      <c r="K43" s="49">
        <f>'Avg Week Bwaise-Kawempe'!K43+'Avg Week Kawempe-Bwaise'!K43</f>
        <v>4.5714285714285712</v>
      </c>
      <c r="L43" s="49">
        <f>'Avg Week Bwaise-Kawempe'!L43+'Avg Week Kawempe-Bwaise'!L43</f>
        <v>3.5714285714285716</v>
      </c>
      <c r="M43" s="49">
        <f>'Avg Week Bwaise-Kawempe'!M43+'Avg Week Kawempe-Bwaise'!M43</f>
        <v>224.71428571428572</v>
      </c>
      <c r="N43" s="49">
        <f>'Avg Week Bwaise-Kawempe'!N43+'Avg Week Kawempe-Bwaise'!N43</f>
        <v>0</v>
      </c>
      <c r="O43" s="15">
        <f t="shared" si="0"/>
        <v>222.28571428571431</v>
      </c>
      <c r="P43" s="15">
        <f t="shared" si="1"/>
        <v>447</v>
      </c>
    </row>
    <row r="44" spans="2:32" ht="23.1" customHeight="1" x14ac:dyDescent="0.25">
      <c r="B44" s="25" t="s">
        <v>71</v>
      </c>
      <c r="C44" s="49">
        <f>'Avg Week Bwaise-Kawempe'!C44+'Avg Week Kawempe-Bwaise'!C44</f>
        <v>78.285714285714278</v>
      </c>
      <c r="D44" s="49">
        <f>'Avg Week Bwaise-Kawempe'!D44+'Avg Week Kawempe-Bwaise'!D44</f>
        <v>20</v>
      </c>
      <c r="E44" s="49">
        <f>'Avg Week Bwaise-Kawempe'!E44+'Avg Week Kawempe-Bwaise'!E44</f>
        <v>15</v>
      </c>
      <c r="F44" s="49">
        <f>'Avg Week Bwaise-Kawempe'!F44+'Avg Week Kawempe-Bwaise'!F44</f>
        <v>73.285714285714292</v>
      </c>
      <c r="G44" s="49">
        <f>'Avg Week Bwaise-Kawempe'!G44+'Avg Week Kawempe-Bwaise'!G44</f>
        <v>2.5714285714285712</v>
      </c>
      <c r="H44" s="49">
        <f>'Avg Week Bwaise-Kawempe'!H44+'Avg Week Kawempe-Bwaise'!H44</f>
        <v>1.1428571428571428</v>
      </c>
      <c r="I44" s="49">
        <f>'Avg Week Bwaise-Kawempe'!I44+'Avg Week Kawempe-Bwaise'!I44</f>
        <v>19.428571428571427</v>
      </c>
      <c r="J44" s="49">
        <f>'Avg Week Bwaise-Kawempe'!J44+'Avg Week Kawempe-Bwaise'!J44</f>
        <v>9.4285714285714288</v>
      </c>
      <c r="K44" s="49">
        <f>'Avg Week Bwaise-Kawempe'!K44+'Avg Week Kawempe-Bwaise'!K44</f>
        <v>4</v>
      </c>
      <c r="L44" s="49">
        <f>'Avg Week Bwaise-Kawempe'!L44+'Avg Week Kawempe-Bwaise'!L44</f>
        <v>4.4285714285714288</v>
      </c>
      <c r="M44" s="49">
        <f>'Avg Week Bwaise-Kawempe'!M44+'Avg Week Kawempe-Bwaise'!M44</f>
        <v>224</v>
      </c>
      <c r="N44" s="49">
        <f>'Avg Week Bwaise-Kawempe'!N44+'Avg Week Kawempe-Bwaise'!N44</f>
        <v>0</v>
      </c>
      <c r="O44" s="15">
        <f t="shared" si="0"/>
        <v>227.57142857142853</v>
      </c>
      <c r="P44" s="15">
        <f t="shared" si="1"/>
        <v>451.57142857142856</v>
      </c>
    </row>
    <row r="45" spans="2:32" ht="23.1" customHeight="1" x14ac:dyDescent="0.25">
      <c r="B45" s="23" t="s">
        <v>72</v>
      </c>
      <c r="C45" s="49">
        <f>'Avg Week Bwaise-Kawempe'!C45+'Avg Week Kawempe-Bwaise'!C45</f>
        <v>59.571428571428569</v>
      </c>
      <c r="D45" s="49">
        <f>'Avg Week Bwaise-Kawempe'!D45+'Avg Week Kawempe-Bwaise'!D45</f>
        <v>15.857142857142858</v>
      </c>
      <c r="E45" s="49">
        <f>'Avg Week Bwaise-Kawempe'!E45+'Avg Week Kawempe-Bwaise'!E45</f>
        <v>14.142857142857142</v>
      </c>
      <c r="F45" s="49">
        <f>'Avg Week Bwaise-Kawempe'!F45+'Avg Week Kawempe-Bwaise'!F45</f>
        <v>70.571428571428569</v>
      </c>
      <c r="G45" s="49">
        <f>'Avg Week Bwaise-Kawempe'!G45+'Avg Week Kawempe-Bwaise'!G45</f>
        <v>2.1428571428571428</v>
      </c>
      <c r="H45" s="49">
        <f>'Avg Week Bwaise-Kawempe'!H45+'Avg Week Kawempe-Bwaise'!H45</f>
        <v>2.1428571428571428</v>
      </c>
      <c r="I45" s="49">
        <f>'Avg Week Bwaise-Kawempe'!I45+'Avg Week Kawempe-Bwaise'!I45</f>
        <v>18.428571428571431</v>
      </c>
      <c r="J45" s="49">
        <f>'Avg Week Bwaise-Kawempe'!J45+'Avg Week Kawempe-Bwaise'!J45</f>
        <v>10.142857142857142</v>
      </c>
      <c r="K45" s="49">
        <f>'Avg Week Bwaise-Kawempe'!K45+'Avg Week Kawempe-Bwaise'!K45</f>
        <v>2.8571428571428568</v>
      </c>
      <c r="L45" s="49">
        <f>'Avg Week Bwaise-Kawempe'!L45+'Avg Week Kawempe-Bwaise'!L45</f>
        <v>4.4285714285714288</v>
      </c>
      <c r="M45" s="49">
        <f>'Avg Week Bwaise-Kawempe'!M45+'Avg Week Kawempe-Bwaise'!M45</f>
        <v>234.85714285714286</v>
      </c>
      <c r="N45" s="49">
        <f>'Avg Week Bwaise-Kawempe'!N45+'Avg Week Kawempe-Bwaise'!N45</f>
        <v>0</v>
      </c>
      <c r="O45" s="15">
        <f t="shared" si="0"/>
        <v>200.28571428571425</v>
      </c>
      <c r="P45" s="15">
        <f t="shared" si="1"/>
        <v>435.14285714285711</v>
      </c>
    </row>
    <row r="46" spans="2:32" ht="23.1" customHeight="1" x14ac:dyDescent="0.25">
      <c r="B46" s="24" t="s">
        <v>73</v>
      </c>
      <c r="C46" s="49">
        <f>'Avg Week Bwaise-Kawempe'!C46+'Avg Week Kawempe-Bwaise'!C46</f>
        <v>77.142857142857139</v>
      </c>
      <c r="D46" s="49">
        <f>'Avg Week Bwaise-Kawempe'!D46+'Avg Week Kawempe-Bwaise'!D46</f>
        <v>23</v>
      </c>
      <c r="E46" s="49">
        <f>'Avg Week Bwaise-Kawempe'!E46+'Avg Week Kawempe-Bwaise'!E46</f>
        <v>13.571428571428573</v>
      </c>
      <c r="F46" s="49">
        <f>'Avg Week Bwaise-Kawempe'!F46+'Avg Week Kawempe-Bwaise'!F46</f>
        <v>81</v>
      </c>
      <c r="G46" s="49">
        <f>'Avg Week Bwaise-Kawempe'!G46+'Avg Week Kawempe-Bwaise'!G46</f>
        <v>3.1428571428571428</v>
      </c>
      <c r="H46" s="49">
        <f>'Avg Week Bwaise-Kawempe'!H46+'Avg Week Kawempe-Bwaise'!H46</f>
        <v>1</v>
      </c>
      <c r="I46" s="49">
        <f>'Avg Week Bwaise-Kawempe'!I46+'Avg Week Kawempe-Bwaise'!I46</f>
        <v>19.428571428571427</v>
      </c>
      <c r="J46" s="49">
        <f>'Avg Week Bwaise-Kawempe'!J46+'Avg Week Kawempe-Bwaise'!J46</f>
        <v>9.5714285714285712</v>
      </c>
      <c r="K46" s="49">
        <f>'Avg Week Bwaise-Kawempe'!K46+'Avg Week Kawempe-Bwaise'!K46</f>
        <v>4.5714285714285712</v>
      </c>
      <c r="L46" s="49">
        <f>'Avg Week Bwaise-Kawempe'!L46+'Avg Week Kawempe-Bwaise'!L46</f>
        <v>6.2857142857142856</v>
      </c>
      <c r="M46" s="49">
        <f>'Avg Week Bwaise-Kawempe'!M46+'Avg Week Kawempe-Bwaise'!M46</f>
        <v>302</v>
      </c>
      <c r="N46" s="49">
        <f>'Avg Week Bwaise-Kawempe'!N46+'Avg Week Kawempe-Bwaise'!N46</f>
        <v>0</v>
      </c>
      <c r="O46" s="15">
        <f t="shared" si="0"/>
        <v>238.71428571428572</v>
      </c>
      <c r="P46" s="15">
        <f t="shared" si="1"/>
        <v>540.71428571428578</v>
      </c>
      <c r="R46" s="8"/>
      <c r="T46"/>
    </row>
    <row r="47" spans="2:32" ht="23.1" customHeight="1" x14ac:dyDescent="0.25">
      <c r="B47" s="24" t="s">
        <v>74</v>
      </c>
      <c r="C47" s="49">
        <f>'Avg Week Bwaise-Kawempe'!C47+'Avg Week Kawempe-Bwaise'!C47</f>
        <v>80.714285714285722</v>
      </c>
      <c r="D47" s="49">
        <f>'Avg Week Bwaise-Kawempe'!D47+'Avg Week Kawempe-Bwaise'!D47</f>
        <v>18.714285714285715</v>
      </c>
      <c r="E47" s="49">
        <f>'Avg Week Bwaise-Kawempe'!E47+'Avg Week Kawempe-Bwaise'!E47</f>
        <v>12.428571428571429</v>
      </c>
      <c r="F47" s="49">
        <f>'Avg Week Bwaise-Kawempe'!F47+'Avg Week Kawempe-Bwaise'!F47</f>
        <v>72.571428571428584</v>
      </c>
      <c r="G47" s="49">
        <f>'Avg Week Bwaise-Kawempe'!G47+'Avg Week Kawempe-Bwaise'!G47</f>
        <v>1.8571428571428572</v>
      </c>
      <c r="H47" s="49">
        <f>'Avg Week Bwaise-Kawempe'!H47+'Avg Week Kawempe-Bwaise'!H47</f>
        <v>1.8571428571428572</v>
      </c>
      <c r="I47" s="49">
        <f>'Avg Week Bwaise-Kawempe'!I47+'Avg Week Kawempe-Bwaise'!I47</f>
        <v>18.571428571428569</v>
      </c>
      <c r="J47" s="49">
        <f>'Avg Week Bwaise-Kawempe'!J47+'Avg Week Kawempe-Bwaise'!J47</f>
        <v>10.571428571428571</v>
      </c>
      <c r="K47" s="49">
        <f>'Avg Week Bwaise-Kawempe'!K47+'Avg Week Kawempe-Bwaise'!K47</f>
        <v>5.7142857142857144</v>
      </c>
      <c r="L47" s="49">
        <f>'Avg Week Bwaise-Kawempe'!L47+'Avg Week Kawempe-Bwaise'!L47</f>
        <v>4.7142857142857144</v>
      </c>
      <c r="M47" s="49">
        <f>'Avg Week Bwaise-Kawempe'!M47+'Avg Week Kawempe-Bwaise'!M47</f>
        <v>315</v>
      </c>
      <c r="N47" s="49">
        <f>'Avg Week Bwaise-Kawempe'!N47+'Avg Week Kawempe-Bwaise'!N47</f>
        <v>0</v>
      </c>
      <c r="O47" s="15">
        <f t="shared" si="0"/>
        <v>227.71428571428575</v>
      </c>
      <c r="P47" s="15">
        <f t="shared" si="1"/>
        <v>542.71428571428578</v>
      </c>
      <c r="R47" s="8"/>
      <c r="T47"/>
    </row>
    <row r="48" spans="2:32" ht="23.1" customHeight="1" x14ac:dyDescent="0.25">
      <c r="B48" s="24" t="s">
        <v>75</v>
      </c>
      <c r="C48" s="49">
        <f>'Avg Week Bwaise-Kawempe'!C48+'Avg Week Kawempe-Bwaise'!C48</f>
        <v>78.285714285714278</v>
      </c>
      <c r="D48" s="49">
        <f>'Avg Week Bwaise-Kawempe'!D48+'Avg Week Kawempe-Bwaise'!D48</f>
        <v>19.142857142857142</v>
      </c>
      <c r="E48" s="49">
        <f>'Avg Week Bwaise-Kawempe'!E48+'Avg Week Kawempe-Bwaise'!E48</f>
        <v>17.428571428571431</v>
      </c>
      <c r="F48" s="49">
        <f>'Avg Week Bwaise-Kawempe'!F48+'Avg Week Kawempe-Bwaise'!F48</f>
        <v>82.285714285714278</v>
      </c>
      <c r="G48" s="49">
        <f>'Avg Week Bwaise-Kawempe'!G48+'Avg Week Kawempe-Bwaise'!G48</f>
        <v>2.8571428571428572</v>
      </c>
      <c r="H48" s="49">
        <f>'Avg Week Bwaise-Kawempe'!H48+'Avg Week Kawempe-Bwaise'!H48</f>
        <v>1.8571428571428572</v>
      </c>
      <c r="I48" s="49">
        <f>'Avg Week Bwaise-Kawempe'!I48+'Avg Week Kawempe-Bwaise'!I48</f>
        <v>20.857142857142858</v>
      </c>
      <c r="J48" s="49">
        <f>'Avg Week Bwaise-Kawempe'!J48+'Avg Week Kawempe-Bwaise'!J48</f>
        <v>11.285714285714285</v>
      </c>
      <c r="K48" s="49">
        <f>'Avg Week Bwaise-Kawempe'!K48+'Avg Week Kawempe-Bwaise'!K48</f>
        <v>4</v>
      </c>
      <c r="L48" s="49">
        <f>'Avg Week Bwaise-Kawempe'!L48+'Avg Week Kawempe-Bwaise'!L48</f>
        <v>5.5714285714285712</v>
      </c>
      <c r="M48" s="49">
        <f>'Avg Week Bwaise-Kawempe'!M48+'Avg Week Kawempe-Bwaise'!M48</f>
        <v>323.14285714285711</v>
      </c>
      <c r="N48" s="49">
        <f>'Avg Week Bwaise-Kawempe'!N48+'Avg Week Kawempe-Bwaise'!N48</f>
        <v>0</v>
      </c>
      <c r="O48" s="15">
        <f t="shared" si="0"/>
        <v>243.57142857142856</v>
      </c>
      <c r="P48" s="15">
        <f t="shared" si="1"/>
        <v>566.71428571428567</v>
      </c>
      <c r="R48" s="8"/>
      <c r="T48"/>
    </row>
    <row r="49" spans="2:20" ht="23.1" customHeight="1" x14ac:dyDescent="0.25">
      <c r="B49" s="23" t="s">
        <v>76</v>
      </c>
      <c r="C49" s="49">
        <f>'Avg Week Bwaise-Kawempe'!C49+'Avg Week Kawempe-Bwaise'!C49</f>
        <v>79.571428571428569</v>
      </c>
      <c r="D49" s="49">
        <f>'Avg Week Bwaise-Kawempe'!D49+'Avg Week Kawempe-Bwaise'!D49</f>
        <v>16.571428571428569</v>
      </c>
      <c r="E49" s="49">
        <f>'Avg Week Bwaise-Kawempe'!E49+'Avg Week Kawempe-Bwaise'!E49</f>
        <v>13</v>
      </c>
      <c r="F49" s="49">
        <f>'Avg Week Bwaise-Kawempe'!F49+'Avg Week Kawempe-Bwaise'!F49</f>
        <v>72.571428571428569</v>
      </c>
      <c r="G49" s="49">
        <f>'Avg Week Bwaise-Kawempe'!G49+'Avg Week Kawempe-Bwaise'!G49</f>
        <v>3.2857142857142856</v>
      </c>
      <c r="H49" s="49">
        <f>'Avg Week Bwaise-Kawempe'!H49+'Avg Week Kawempe-Bwaise'!H49</f>
        <v>2.8571428571428572</v>
      </c>
      <c r="I49" s="49">
        <f>'Avg Week Bwaise-Kawempe'!I49+'Avg Week Kawempe-Bwaise'!I49</f>
        <v>16.571428571428573</v>
      </c>
      <c r="J49" s="49">
        <f>'Avg Week Bwaise-Kawempe'!J49+'Avg Week Kawempe-Bwaise'!J49</f>
        <v>10.142857142857142</v>
      </c>
      <c r="K49" s="49">
        <f>'Avg Week Bwaise-Kawempe'!K49+'Avg Week Kawempe-Bwaise'!K49</f>
        <v>4.2857142857142856</v>
      </c>
      <c r="L49" s="49">
        <f>'Avg Week Bwaise-Kawempe'!L49+'Avg Week Kawempe-Bwaise'!L49</f>
        <v>6.5714285714285712</v>
      </c>
      <c r="M49" s="49">
        <f>'Avg Week Bwaise-Kawempe'!M49+'Avg Week Kawempe-Bwaise'!M49</f>
        <v>284.57142857142856</v>
      </c>
      <c r="N49" s="49">
        <f>'Avg Week Bwaise-Kawempe'!N49+'Avg Week Kawempe-Bwaise'!N49</f>
        <v>0</v>
      </c>
      <c r="O49" s="15">
        <f t="shared" si="0"/>
        <v>225.42857142857144</v>
      </c>
      <c r="P49" s="15">
        <f t="shared" si="1"/>
        <v>510</v>
      </c>
      <c r="R49" s="8"/>
      <c r="T49"/>
    </row>
    <row r="50" spans="2:20" ht="23.1" customHeight="1" x14ac:dyDescent="0.25">
      <c r="B50" s="24" t="s">
        <v>77</v>
      </c>
      <c r="C50" s="49">
        <f>'Avg Week Bwaise-Kawempe'!C50+'Avg Week Kawempe-Bwaise'!C50</f>
        <v>75.714285714285722</v>
      </c>
      <c r="D50" s="49">
        <f>'Avg Week Bwaise-Kawempe'!D50+'Avg Week Kawempe-Bwaise'!D50</f>
        <v>16.571428571428573</v>
      </c>
      <c r="E50" s="49">
        <f>'Avg Week Bwaise-Kawempe'!E50+'Avg Week Kawempe-Bwaise'!E50</f>
        <v>13.285714285714285</v>
      </c>
      <c r="F50" s="49">
        <f>'Avg Week Bwaise-Kawempe'!F50+'Avg Week Kawempe-Bwaise'!F50</f>
        <v>75.142857142857139</v>
      </c>
      <c r="G50" s="49">
        <f>'Avg Week Bwaise-Kawempe'!G50+'Avg Week Kawempe-Bwaise'!G50</f>
        <v>2.2857142857142856</v>
      </c>
      <c r="H50" s="49">
        <f>'Avg Week Bwaise-Kawempe'!H50+'Avg Week Kawempe-Bwaise'!H50</f>
        <v>1.8571428571428572</v>
      </c>
      <c r="I50" s="49">
        <f>'Avg Week Bwaise-Kawempe'!I50+'Avg Week Kawempe-Bwaise'!I50</f>
        <v>19</v>
      </c>
      <c r="J50" s="49">
        <f>'Avg Week Bwaise-Kawempe'!J50+'Avg Week Kawempe-Bwaise'!J50</f>
        <v>7.4285714285714288</v>
      </c>
      <c r="K50" s="49">
        <f>'Avg Week Bwaise-Kawempe'!K50+'Avg Week Kawempe-Bwaise'!K50</f>
        <v>4.2857142857142856</v>
      </c>
      <c r="L50" s="49">
        <f>'Avg Week Bwaise-Kawempe'!L50+'Avg Week Kawempe-Bwaise'!L50</f>
        <v>5.8571428571428577</v>
      </c>
      <c r="M50" s="49">
        <f>'Avg Week Bwaise-Kawempe'!M50+'Avg Week Kawempe-Bwaise'!M50</f>
        <v>293.42857142857144</v>
      </c>
      <c r="N50" s="49">
        <f>'Avg Week Bwaise-Kawempe'!N50+'Avg Week Kawempe-Bwaise'!N50</f>
        <v>0</v>
      </c>
      <c r="O50" s="15">
        <f t="shared" si="0"/>
        <v>221.42857142857142</v>
      </c>
      <c r="P50" s="15">
        <f t="shared" si="1"/>
        <v>514.85714285714289</v>
      </c>
      <c r="R50" s="8"/>
      <c r="T50"/>
    </row>
    <row r="51" spans="2:20" ht="23.1" customHeight="1" x14ac:dyDescent="0.25">
      <c r="B51" s="24" t="s">
        <v>78</v>
      </c>
      <c r="C51" s="49">
        <f>'Avg Week Bwaise-Kawempe'!C51+'Avg Week Kawempe-Bwaise'!C51</f>
        <v>76.285714285714278</v>
      </c>
      <c r="D51" s="49">
        <f>'Avg Week Bwaise-Kawempe'!D51+'Avg Week Kawempe-Bwaise'!D51</f>
        <v>13.571428571428569</v>
      </c>
      <c r="E51" s="49">
        <f>'Avg Week Bwaise-Kawempe'!E51+'Avg Week Kawempe-Bwaise'!E51</f>
        <v>10</v>
      </c>
      <c r="F51" s="49">
        <f>'Avg Week Bwaise-Kawempe'!F51+'Avg Week Kawempe-Bwaise'!F51</f>
        <v>76.142857142857139</v>
      </c>
      <c r="G51" s="49">
        <f>'Avg Week Bwaise-Kawempe'!G51+'Avg Week Kawempe-Bwaise'!G51</f>
        <v>3.7142857142857144</v>
      </c>
      <c r="H51" s="49">
        <f>'Avg Week Bwaise-Kawempe'!H51+'Avg Week Kawempe-Bwaise'!H51</f>
        <v>0.71428571428571419</v>
      </c>
      <c r="I51" s="49">
        <f>'Avg Week Bwaise-Kawempe'!I51+'Avg Week Kawempe-Bwaise'!I51</f>
        <v>15.714285714285714</v>
      </c>
      <c r="J51" s="49">
        <f>'Avg Week Bwaise-Kawempe'!J51+'Avg Week Kawempe-Bwaise'!J51</f>
        <v>8.7142857142857153</v>
      </c>
      <c r="K51" s="49">
        <f>'Avg Week Bwaise-Kawempe'!K51+'Avg Week Kawempe-Bwaise'!K51</f>
        <v>3.5714285714285712</v>
      </c>
      <c r="L51" s="49">
        <f>'Avg Week Bwaise-Kawempe'!L51+'Avg Week Kawempe-Bwaise'!L51</f>
        <v>6.1428571428571423</v>
      </c>
      <c r="M51" s="49">
        <f>'Avg Week Bwaise-Kawempe'!M51+'Avg Week Kawempe-Bwaise'!M51</f>
        <v>316.85714285714289</v>
      </c>
      <c r="N51" s="49">
        <f>'Avg Week Bwaise-Kawempe'!N51+'Avg Week Kawempe-Bwaise'!N51</f>
        <v>0</v>
      </c>
      <c r="O51" s="15">
        <f t="shared" si="0"/>
        <v>214.57142857142861</v>
      </c>
      <c r="P51" s="15">
        <f t="shared" si="1"/>
        <v>531.42857142857156</v>
      </c>
      <c r="R51" s="8"/>
      <c r="T51"/>
    </row>
    <row r="52" spans="2:20" ht="23.1" customHeight="1" x14ac:dyDescent="0.25">
      <c r="B52" s="24" t="s">
        <v>79</v>
      </c>
      <c r="C52" s="49">
        <f>'Avg Week Bwaise-Kawempe'!C52+'Avg Week Kawempe-Bwaise'!C52</f>
        <v>72</v>
      </c>
      <c r="D52" s="49">
        <f>'Avg Week Bwaise-Kawempe'!D52+'Avg Week Kawempe-Bwaise'!D52</f>
        <v>16.285714285714285</v>
      </c>
      <c r="E52" s="49">
        <f>'Avg Week Bwaise-Kawempe'!E52+'Avg Week Kawempe-Bwaise'!E52</f>
        <v>8.5714285714285712</v>
      </c>
      <c r="F52" s="49">
        <f>'Avg Week Bwaise-Kawempe'!F52+'Avg Week Kawempe-Bwaise'!F52</f>
        <v>77.428571428571416</v>
      </c>
      <c r="G52" s="49">
        <f>'Avg Week Bwaise-Kawempe'!G52+'Avg Week Kawempe-Bwaise'!G52</f>
        <v>2.7142857142857144</v>
      </c>
      <c r="H52" s="49">
        <f>'Avg Week Bwaise-Kawempe'!H52+'Avg Week Kawempe-Bwaise'!H52</f>
        <v>0.8571428571428571</v>
      </c>
      <c r="I52" s="49">
        <f>'Avg Week Bwaise-Kawempe'!I52+'Avg Week Kawempe-Bwaise'!I52</f>
        <v>17.571428571428569</v>
      </c>
      <c r="J52" s="49">
        <f>'Avg Week Bwaise-Kawempe'!J52+'Avg Week Kawempe-Bwaise'!J52</f>
        <v>7.8571428571428568</v>
      </c>
      <c r="K52" s="49">
        <f>'Avg Week Bwaise-Kawempe'!K52+'Avg Week Kawempe-Bwaise'!K52</f>
        <v>4.5714285714285712</v>
      </c>
      <c r="L52" s="49">
        <f>'Avg Week Bwaise-Kawempe'!L52+'Avg Week Kawempe-Bwaise'!L52</f>
        <v>6.7142857142857144</v>
      </c>
      <c r="M52" s="49">
        <f>'Avg Week Bwaise-Kawempe'!M52+'Avg Week Kawempe-Bwaise'!M52</f>
        <v>351.14285714285717</v>
      </c>
      <c r="N52" s="49">
        <f>'Avg Week Bwaise-Kawempe'!N52+'Avg Week Kawempe-Bwaise'!N52</f>
        <v>0</v>
      </c>
      <c r="O52" s="15">
        <f t="shared" si="0"/>
        <v>214.57142857142861</v>
      </c>
      <c r="P52" s="15">
        <f t="shared" si="1"/>
        <v>565.71428571428578</v>
      </c>
      <c r="R52" s="8"/>
      <c r="T52"/>
    </row>
    <row r="53" spans="2:20" ht="23.1" customHeight="1" x14ac:dyDescent="0.25">
      <c r="B53" s="23" t="s">
        <v>80</v>
      </c>
      <c r="C53" s="49">
        <f>'Avg Week Bwaise-Kawempe'!C53+'Avg Week Kawempe-Bwaise'!C53</f>
        <v>70.142857142857139</v>
      </c>
      <c r="D53" s="49">
        <f>'Avg Week Bwaise-Kawempe'!D53+'Avg Week Kawempe-Bwaise'!D53</f>
        <v>16.714285714285715</v>
      </c>
      <c r="E53" s="49">
        <f>'Avg Week Bwaise-Kawempe'!E53+'Avg Week Kawempe-Bwaise'!E53</f>
        <v>10.714285714285715</v>
      </c>
      <c r="F53" s="49">
        <f>'Avg Week Bwaise-Kawempe'!F53+'Avg Week Kawempe-Bwaise'!F53</f>
        <v>72.142857142857139</v>
      </c>
      <c r="G53" s="49">
        <f>'Avg Week Bwaise-Kawempe'!G53+'Avg Week Kawempe-Bwaise'!G53</f>
        <v>3.5714285714285712</v>
      </c>
      <c r="H53" s="49">
        <f>'Avg Week Bwaise-Kawempe'!H53+'Avg Week Kawempe-Bwaise'!H53</f>
        <v>0.71428571428571419</v>
      </c>
      <c r="I53" s="49">
        <f>'Avg Week Bwaise-Kawempe'!I53+'Avg Week Kawempe-Bwaise'!I53</f>
        <v>17</v>
      </c>
      <c r="J53" s="49">
        <f>'Avg Week Bwaise-Kawempe'!J53+'Avg Week Kawempe-Bwaise'!J53</f>
        <v>8</v>
      </c>
      <c r="K53" s="49">
        <f>'Avg Week Bwaise-Kawempe'!K53+'Avg Week Kawempe-Bwaise'!K53</f>
        <v>5.1428571428571423</v>
      </c>
      <c r="L53" s="49">
        <f>'Avg Week Bwaise-Kawempe'!L53+'Avg Week Kawempe-Bwaise'!L53</f>
        <v>5.8571428571428577</v>
      </c>
      <c r="M53" s="49">
        <f>'Avg Week Bwaise-Kawempe'!M53+'Avg Week Kawempe-Bwaise'!M53</f>
        <v>316</v>
      </c>
      <c r="N53" s="49">
        <f>'Avg Week Bwaise-Kawempe'!N53+'Avg Week Kawempe-Bwaise'!N53</f>
        <v>0</v>
      </c>
      <c r="O53" s="15">
        <f t="shared" si="0"/>
        <v>210.00000000000003</v>
      </c>
      <c r="P53" s="15">
        <f t="shared" si="1"/>
        <v>526</v>
      </c>
      <c r="R53" s="8"/>
      <c r="T53"/>
    </row>
    <row r="54" spans="2:20" ht="23.1" customHeight="1" x14ac:dyDescent="0.25">
      <c r="B54" s="23" t="s">
        <v>81</v>
      </c>
      <c r="C54" s="49">
        <f>'Avg Week Bwaise-Kawempe'!C54+'Avg Week Kawempe-Bwaise'!C54</f>
        <v>87</v>
      </c>
      <c r="D54" s="49">
        <f>'Avg Week Bwaise-Kawempe'!D54+'Avg Week Kawempe-Bwaise'!D54</f>
        <v>18.142857142857142</v>
      </c>
      <c r="E54" s="49">
        <f>'Avg Week Bwaise-Kawempe'!E54+'Avg Week Kawempe-Bwaise'!E54</f>
        <v>7.7142857142857144</v>
      </c>
      <c r="F54" s="49">
        <f>'Avg Week Bwaise-Kawempe'!F54+'Avg Week Kawempe-Bwaise'!F54</f>
        <v>81.714285714285722</v>
      </c>
      <c r="G54" s="49">
        <f>'Avg Week Bwaise-Kawempe'!G54+'Avg Week Kawempe-Bwaise'!G54</f>
        <v>4.5714285714285712</v>
      </c>
      <c r="H54" s="49">
        <f>'Avg Week Bwaise-Kawempe'!H54+'Avg Week Kawempe-Bwaise'!H54</f>
        <v>0.7142857142857143</v>
      </c>
      <c r="I54" s="49">
        <f>'Avg Week Bwaise-Kawempe'!I54+'Avg Week Kawempe-Bwaise'!I54</f>
        <v>19.142857142857142</v>
      </c>
      <c r="J54" s="49">
        <f>'Avg Week Bwaise-Kawempe'!J54+'Avg Week Kawempe-Bwaise'!J54</f>
        <v>8.4285714285714288</v>
      </c>
      <c r="K54" s="49">
        <f>'Avg Week Bwaise-Kawempe'!K54+'Avg Week Kawempe-Bwaise'!K54</f>
        <v>4.8571428571428577</v>
      </c>
      <c r="L54" s="49">
        <f>'Avg Week Bwaise-Kawempe'!L54+'Avg Week Kawempe-Bwaise'!L54</f>
        <v>2.7142857142857144</v>
      </c>
      <c r="M54" s="49">
        <f>'Avg Week Bwaise-Kawempe'!M54+'Avg Week Kawempe-Bwaise'!M54</f>
        <v>357.14285714285711</v>
      </c>
      <c r="N54" s="49">
        <f>'Avg Week Bwaise-Kawempe'!N54+'Avg Week Kawempe-Bwaise'!N54</f>
        <v>0</v>
      </c>
      <c r="O54" s="15">
        <f t="shared" si="0"/>
        <v>235</v>
      </c>
      <c r="P54" s="15">
        <f t="shared" si="1"/>
        <v>592.14285714285711</v>
      </c>
      <c r="R54" s="8"/>
      <c r="T54"/>
    </row>
    <row r="55" spans="2:20" ht="23.1" customHeight="1" x14ac:dyDescent="0.25">
      <c r="B55" s="23" t="s">
        <v>82</v>
      </c>
      <c r="C55" s="49">
        <f>'Avg Week Bwaise-Kawempe'!C55+'Avg Week Kawempe-Bwaise'!C55</f>
        <v>73</v>
      </c>
      <c r="D55" s="49">
        <f>'Avg Week Bwaise-Kawempe'!D55+'Avg Week Kawempe-Bwaise'!D55</f>
        <v>15.857142857142858</v>
      </c>
      <c r="E55" s="49">
        <f>'Avg Week Bwaise-Kawempe'!E55+'Avg Week Kawempe-Bwaise'!E55</f>
        <v>9</v>
      </c>
      <c r="F55" s="49">
        <f>'Avg Week Bwaise-Kawempe'!F55+'Avg Week Kawempe-Bwaise'!F55</f>
        <v>76.285714285714278</v>
      </c>
      <c r="G55" s="49">
        <f>'Avg Week Bwaise-Kawempe'!G55+'Avg Week Kawempe-Bwaise'!G55</f>
        <v>3.4285714285714284</v>
      </c>
      <c r="H55" s="49">
        <f>'Avg Week Bwaise-Kawempe'!H55+'Avg Week Kawempe-Bwaise'!H55</f>
        <v>1.2857142857142856</v>
      </c>
      <c r="I55" s="49">
        <f>'Avg Week Bwaise-Kawempe'!I55+'Avg Week Kawempe-Bwaise'!I55</f>
        <v>14.142857142857142</v>
      </c>
      <c r="J55" s="49">
        <f>'Avg Week Bwaise-Kawempe'!J55+'Avg Week Kawempe-Bwaise'!J55</f>
        <v>7</v>
      </c>
      <c r="K55" s="49">
        <f>'Avg Week Bwaise-Kawempe'!K55+'Avg Week Kawempe-Bwaise'!K55</f>
        <v>4.8571428571428568</v>
      </c>
      <c r="L55" s="49">
        <f>'Avg Week Bwaise-Kawempe'!L55+'Avg Week Kawempe-Bwaise'!L55</f>
        <v>3.8571428571428568</v>
      </c>
      <c r="M55" s="49">
        <f>'Avg Week Bwaise-Kawempe'!M55+'Avg Week Kawempe-Bwaise'!M55</f>
        <v>367.14285714285711</v>
      </c>
      <c r="N55" s="49">
        <f>'Avg Week Bwaise-Kawempe'!N55+'Avg Week Kawempe-Bwaise'!N55</f>
        <v>0</v>
      </c>
      <c r="O55" s="15">
        <f t="shared" si="0"/>
        <v>208.71428571428569</v>
      </c>
      <c r="P55" s="15">
        <f t="shared" si="1"/>
        <v>575.85714285714278</v>
      </c>
      <c r="R55" s="8"/>
      <c r="T55"/>
    </row>
    <row r="56" spans="2:20" ht="23.1" customHeight="1" x14ac:dyDescent="0.25">
      <c r="B56" s="23" t="s">
        <v>83</v>
      </c>
      <c r="C56" s="49">
        <f>'Avg Week Bwaise-Kawempe'!C56+'Avg Week Kawempe-Bwaise'!C56</f>
        <v>66</v>
      </c>
      <c r="D56" s="49">
        <f>'Avg Week Bwaise-Kawempe'!D56+'Avg Week Kawempe-Bwaise'!D56</f>
        <v>16.857142857142858</v>
      </c>
      <c r="E56" s="49">
        <f>'Avg Week Bwaise-Kawempe'!E56+'Avg Week Kawempe-Bwaise'!E56</f>
        <v>9.4285714285714288</v>
      </c>
      <c r="F56" s="49">
        <f>'Avg Week Bwaise-Kawempe'!F56+'Avg Week Kawempe-Bwaise'!F56</f>
        <v>75.142857142857139</v>
      </c>
      <c r="G56" s="49">
        <f>'Avg Week Bwaise-Kawempe'!G56+'Avg Week Kawempe-Bwaise'!G56</f>
        <v>3.4285714285714284</v>
      </c>
      <c r="H56" s="49">
        <f>'Avg Week Bwaise-Kawempe'!H56+'Avg Week Kawempe-Bwaise'!H56</f>
        <v>1.1428571428571428</v>
      </c>
      <c r="I56" s="49">
        <f>'Avg Week Bwaise-Kawempe'!I56+'Avg Week Kawempe-Bwaise'!I56</f>
        <v>16.285714285714285</v>
      </c>
      <c r="J56" s="49">
        <f>'Avg Week Bwaise-Kawempe'!J56+'Avg Week Kawempe-Bwaise'!J56</f>
        <v>7.7142857142857153</v>
      </c>
      <c r="K56" s="49">
        <f>'Avg Week Bwaise-Kawempe'!K56+'Avg Week Kawempe-Bwaise'!K56</f>
        <v>4.7142857142857144</v>
      </c>
      <c r="L56" s="49">
        <f>'Avg Week Bwaise-Kawempe'!L56+'Avg Week Kawempe-Bwaise'!L56</f>
        <v>6.2857142857142856</v>
      </c>
      <c r="M56" s="49">
        <f>'Avg Week Bwaise-Kawempe'!M56+'Avg Week Kawempe-Bwaise'!M56</f>
        <v>368.71428571428567</v>
      </c>
      <c r="N56" s="49">
        <f>'Avg Week Bwaise-Kawempe'!N56+'Avg Week Kawempe-Bwaise'!N56</f>
        <v>0</v>
      </c>
      <c r="O56" s="15">
        <f t="shared" si="0"/>
        <v>207</v>
      </c>
      <c r="P56" s="15">
        <f t="shared" si="1"/>
        <v>575.71428571428567</v>
      </c>
      <c r="R56" s="8"/>
      <c r="T56"/>
    </row>
    <row r="57" spans="2:20" ht="23.1" customHeight="1" x14ac:dyDescent="0.25">
      <c r="B57" s="23" t="s">
        <v>84</v>
      </c>
      <c r="C57" s="49">
        <f>'Avg Week Bwaise-Kawempe'!C57+'Avg Week Kawempe-Bwaise'!C57</f>
        <v>63.857142857142861</v>
      </c>
      <c r="D57" s="49">
        <f>'Avg Week Bwaise-Kawempe'!D57+'Avg Week Kawempe-Bwaise'!D57</f>
        <v>11.714285714285714</v>
      </c>
      <c r="E57" s="49">
        <f>'Avg Week Bwaise-Kawempe'!E57+'Avg Week Kawempe-Bwaise'!E57</f>
        <v>8.2857142857142847</v>
      </c>
      <c r="F57" s="49">
        <f>'Avg Week Bwaise-Kawempe'!F57+'Avg Week Kawempe-Bwaise'!F57</f>
        <v>67.571428571428569</v>
      </c>
      <c r="G57" s="49">
        <f>'Avg Week Bwaise-Kawempe'!G57+'Avg Week Kawempe-Bwaise'!G57</f>
        <v>3</v>
      </c>
      <c r="H57" s="49">
        <f>'Avg Week Bwaise-Kawempe'!H57+'Avg Week Kawempe-Bwaise'!H57</f>
        <v>2.4285714285714288</v>
      </c>
      <c r="I57" s="49">
        <f>'Avg Week Bwaise-Kawempe'!I57+'Avg Week Kawempe-Bwaise'!I57</f>
        <v>12.285714285714285</v>
      </c>
      <c r="J57" s="49">
        <f>'Avg Week Bwaise-Kawempe'!J57+'Avg Week Kawempe-Bwaise'!J57</f>
        <v>6</v>
      </c>
      <c r="K57" s="49">
        <f>'Avg Week Bwaise-Kawempe'!K57+'Avg Week Kawempe-Bwaise'!K57</f>
        <v>5.2857142857142856</v>
      </c>
      <c r="L57" s="49">
        <f>'Avg Week Bwaise-Kawempe'!L57+'Avg Week Kawempe-Bwaise'!L57</f>
        <v>4.5714285714285712</v>
      </c>
      <c r="M57" s="49">
        <f>'Avg Week Bwaise-Kawempe'!M57+'Avg Week Kawempe-Bwaise'!M57</f>
        <v>361</v>
      </c>
      <c r="N57" s="49">
        <f>'Avg Week Bwaise-Kawempe'!N57+'Avg Week Kawempe-Bwaise'!N57</f>
        <v>0</v>
      </c>
      <c r="O57" s="15">
        <f t="shared" si="0"/>
        <v>185</v>
      </c>
      <c r="P57" s="15">
        <f t="shared" si="1"/>
        <v>546</v>
      </c>
      <c r="R57" s="8"/>
      <c r="T57"/>
    </row>
    <row r="58" spans="2:20" ht="23.1" customHeight="1" x14ac:dyDescent="0.25">
      <c r="B58" s="23" t="s">
        <v>99</v>
      </c>
      <c r="C58" s="49">
        <f>'Avg Week Bwaise-Kawempe'!C58+'Avg Week Kawempe-Bwaise'!C58</f>
        <v>44</v>
      </c>
      <c r="D58" s="49">
        <f>'Avg Week Bwaise-Kawempe'!D58+'Avg Week Kawempe-Bwaise'!D58</f>
        <v>5</v>
      </c>
      <c r="E58" s="49">
        <f>'Avg Week Bwaise-Kawempe'!E58+'Avg Week Kawempe-Bwaise'!E58</f>
        <v>2.5</v>
      </c>
      <c r="F58" s="49">
        <f>'Avg Week Bwaise-Kawempe'!F58+'Avg Week Kawempe-Bwaise'!F58</f>
        <v>41.5</v>
      </c>
      <c r="G58" s="49">
        <f>'Avg Week Bwaise-Kawempe'!G58+'Avg Week Kawempe-Bwaise'!G58</f>
        <v>5</v>
      </c>
      <c r="H58" s="49">
        <f>'Avg Week Bwaise-Kawempe'!H58+'Avg Week Kawempe-Bwaise'!H58</f>
        <v>2.5</v>
      </c>
      <c r="I58" s="49">
        <f>'Avg Week Bwaise-Kawempe'!I58+'Avg Week Kawempe-Bwaise'!I58</f>
        <v>4</v>
      </c>
      <c r="J58" s="49">
        <f>'Avg Week Bwaise-Kawempe'!J58+'Avg Week Kawempe-Bwaise'!J58</f>
        <v>2.5</v>
      </c>
      <c r="K58" s="49">
        <f>'Avg Week Bwaise-Kawempe'!K58+'Avg Week Kawempe-Bwaise'!K58</f>
        <v>1.5</v>
      </c>
      <c r="L58" s="49">
        <f>'Avg Week Bwaise-Kawempe'!L58+'Avg Week Kawempe-Bwaise'!L58</f>
        <v>2.5</v>
      </c>
      <c r="M58" s="49">
        <f>'Avg Week Bwaise-Kawempe'!M58+'Avg Week Kawempe-Bwaise'!M58</f>
        <v>169</v>
      </c>
      <c r="N58" s="49">
        <f>'Avg Week Bwaise-Kawempe'!N58+'Avg Week Kawempe-Bwaise'!N58</f>
        <v>0</v>
      </c>
      <c r="O58" s="15">
        <f t="shared" si="0"/>
        <v>111</v>
      </c>
      <c r="P58" s="15">
        <f t="shared" si="1"/>
        <v>280</v>
      </c>
      <c r="R58" s="8"/>
      <c r="T58"/>
    </row>
    <row r="59" spans="2:20" ht="23.1" customHeight="1" x14ac:dyDescent="0.25">
      <c r="B59" s="23" t="s">
        <v>100</v>
      </c>
      <c r="C59" s="49">
        <f>'Avg Week Bwaise-Kawempe'!C59+'Avg Week Kawempe-Bwaise'!C59</f>
        <v>43</v>
      </c>
      <c r="D59" s="49">
        <f>'Avg Week Bwaise-Kawempe'!D59+'Avg Week Kawempe-Bwaise'!D59</f>
        <v>2.5</v>
      </c>
      <c r="E59" s="49">
        <f>'Avg Week Bwaise-Kawempe'!E59+'Avg Week Kawempe-Bwaise'!E59</f>
        <v>4</v>
      </c>
      <c r="F59" s="49">
        <f>'Avg Week Bwaise-Kawempe'!F59+'Avg Week Kawempe-Bwaise'!F59</f>
        <v>37.5</v>
      </c>
      <c r="G59" s="49">
        <f>'Avg Week Bwaise-Kawempe'!G59+'Avg Week Kawempe-Bwaise'!G59</f>
        <v>1</v>
      </c>
      <c r="H59" s="49">
        <f>'Avg Week Bwaise-Kawempe'!H59+'Avg Week Kawempe-Bwaise'!H59</f>
        <v>2</v>
      </c>
      <c r="I59" s="49">
        <f>'Avg Week Bwaise-Kawempe'!I59+'Avg Week Kawempe-Bwaise'!I59</f>
        <v>3</v>
      </c>
      <c r="J59" s="49">
        <f>'Avg Week Bwaise-Kawempe'!J59+'Avg Week Kawempe-Bwaise'!J59</f>
        <v>6</v>
      </c>
      <c r="K59" s="49">
        <f>'Avg Week Bwaise-Kawempe'!K59+'Avg Week Kawempe-Bwaise'!K59</f>
        <v>3.5</v>
      </c>
      <c r="L59" s="49">
        <f>'Avg Week Bwaise-Kawempe'!L59+'Avg Week Kawempe-Bwaise'!L59</f>
        <v>3</v>
      </c>
      <c r="M59" s="49">
        <f>'Avg Week Bwaise-Kawempe'!M59+'Avg Week Kawempe-Bwaise'!M59</f>
        <v>218</v>
      </c>
      <c r="N59" s="49">
        <f>'Avg Week Bwaise-Kawempe'!N59+'Avg Week Kawempe-Bwaise'!N59</f>
        <v>0</v>
      </c>
      <c r="O59" s="15">
        <f t="shared" si="0"/>
        <v>105.5</v>
      </c>
      <c r="P59" s="15">
        <f t="shared" si="1"/>
        <v>323.5</v>
      </c>
      <c r="R59" s="8"/>
      <c r="T59"/>
    </row>
    <row r="60" spans="2:20" ht="23.1" customHeight="1" x14ac:dyDescent="0.25">
      <c r="B60" s="23" t="s">
        <v>101</v>
      </c>
      <c r="C60" s="49">
        <f>'Avg Week Bwaise-Kawempe'!C60+'Avg Week Kawempe-Bwaise'!C60</f>
        <v>48</v>
      </c>
      <c r="D60" s="49">
        <f>'Avg Week Bwaise-Kawempe'!D60+'Avg Week Kawempe-Bwaise'!D60</f>
        <v>2</v>
      </c>
      <c r="E60" s="49">
        <f>'Avg Week Bwaise-Kawempe'!E60+'Avg Week Kawempe-Bwaise'!E60</f>
        <v>2</v>
      </c>
      <c r="F60" s="49">
        <f>'Avg Week Bwaise-Kawempe'!F60+'Avg Week Kawempe-Bwaise'!F60</f>
        <v>45</v>
      </c>
      <c r="G60" s="49">
        <f>'Avg Week Bwaise-Kawempe'!G60+'Avg Week Kawempe-Bwaise'!G60</f>
        <v>1.5</v>
      </c>
      <c r="H60" s="49">
        <f>'Avg Week Bwaise-Kawempe'!H60+'Avg Week Kawempe-Bwaise'!H60</f>
        <v>3.5</v>
      </c>
      <c r="I60" s="49">
        <f>'Avg Week Bwaise-Kawempe'!I60+'Avg Week Kawempe-Bwaise'!I60</f>
        <v>4.5</v>
      </c>
      <c r="J60" s="49">
        <f>'Avg Week Bwaise-Kawempe'!J60+'Avg Week Kawempe-Bwaise'!J60</f>
        <v>11</v>
      </c>
      <c r="K60" s="49">
        <f>'Avg Week Bwaise-Kawempe'!K60+'Avg Week Kawempe-Bwaise'!K60</f>
        <v>1.5</v>
      </c>
      <c r="L60" s="49">
        <f>'Avg Week Bwaise-Kawempe'!L60+'Avg Week Kawempe-Bwaise'!L60</f>
        <v>1.5</v>
      </c>
      <c r="M60" s="49">
        <f>'Avg Week Bwaise-Kawempe'!M60+'Avg Week Kawempe-Bwaise'!M60</f>
        <v>205</v>
      </c>
      <c r="N60" s="49">
        <f>'Avg Week Bwaise-Kawempe'!N60+'Avg Week Kawempe-Bwaise'!N60</f>
        <v>0</v>
      </c>
      <c r="O60" s="15">
        <f t="shared" si="0"/>
        <v>120.5</v>
      </c>
      <c r="P60" s="15">
        <f t="shared" si="1"/>
        <v>325.5</v>
      </c>
      <c r="R60" s="8"/>
      <c r="T60"/>
    </row>
    <row r="61" spans="2:20" ht="23.1" customHeight="1" x14ac:dyDescent="0.25">
      <c r="B61" s="23" t="s">
        <v>102</v>
      </c>
      <c r="C61" s="49">
        <f>'Avg Week Bwaise-Kawempe'!C61+'Avg Week Kawempe-Bwaise'!C61</f>
        <v>70</v>
      </c>
      <c r="D61" s="49">
        <f>'Avg Week Bwaise-Kawempe'!D61+'Avg Week Kawempe-Bwaise'!D61</f>
        <v>3.5</v>
      </c>
      <c r="E61" s="49">
        <f>'Avg Week Bwaise-Kawempe'!E61+'Avg Week Kawempe-Bwaise'!E61</f>
        <v>7</v>
      </c>
      <c r="F61" s="49">
        <f>'Avg Week Bwaise-Kawempe'!F61+'Avg Week Kawempe-Bwaise'!F61</f>
        <v>56.5</v>
      </c>
      <c r="G61" s="49">
        <f>'Avg Week Bwaise-Kawempe'!G61+'Avg Week Kawempe-Bwaise'!G61</f>
        <v>1.5</v>
      </c>
      <c r="H61" s="49">
        <f>'Avg Week Bwaise-Kawempe'!H61+'Avg Week Kawempe-Bwaise'!H61</f>
        <v>3</v>
      </c>
      <c r="I61" s="49">
        <f>'Avg Week Bwaise-Kawempe'!I61+'Avg Week Kawempe-Bwaise'!I61</f>
        <v>14</v>
      </c>
      <c r="J61" s="49">
        <f>'Avg Week Bwaise-Kawempe'!J61+'Avg Week Kawempe-Bwaise'!J61</f>
        <v>8.5</v>
      </c>
      <c r="K61" s="49">
        <f>'Avg Week Bwaise-Kawempe'!K61+'Avg Week Kawempe-Bwaise'!K61</f>
        <v>2.5</v>
      </c>
      <c r="L61" s="49">
        <f>'Avg Week Bwaise-Kawempe'!L61+'Avg Week Kawempe-Bwaise'!L61</f>
        <v>2</v>
      </c>
      <c r="M61" s="49">
        <f>'Avg Week Bwaise-Kawempe'!M61+'Avg Week Kawempe-Bwaise'!M61</f>
        <v>420.5</v>
      </c>
      <c r="N61" s="49">
        <f>'Avg Week Bwaise-Kawempe'!N61+'Avg Week Kawempe-Bwaise'!N61</f>
        <v>0</v>
      </c>
      <c r="O61" s="15">
        <f t="shared" si="0"/>
        <v>168.5</v>
      </c>
      <c r="P61" s="15">
        <f t="shared" si="1"/>
        <v>589</v>
      </c>
      <c r="R61" s="8"/>
      <c r="T61"/>
    </row>
    <row r="62" spans="2:20" ht="23.1" customHeight="1" x14ac:dyDescent="0.25">
      <c r="B62" s="23" t="s">
        <v>107</v>
      </c>
      <c r="C62" s="49">
        <f>'Avg Week Bwaise-Kawempe'!C62+'Avg Week Kawempe-Bwaise'!C62</f>
        <v>67</v>
      </c>
      <c r="D62" s="49">
        <f>'Avg Week Bwaise-Kawempe'!D62+'Avg Week Kawempe-Bwaise'!D62</f>
        <v>5.5</v>
      </c>
      <c r="E62" s="49">
        <f>'Avg Week Bwaise-Kawempe'!E62+'Avg Week Kawempe-Bwaise'!E62</f>
        <v>3</v>
      </c>
      <c r="F62" s="49">
        <f>'Avg Week Bwaise-Kawempe'!F62+'Avg Week Kawempe-Bwaise'!F62</f>
        <v>39.5</v>
      </c>
      <c r="G62" s="49">
        <f>'Avg Week Bwaise-Kawempe'!G62+'Avg Week Kawempe-Bwaise'!G62</f>
        <v>1.5</v>
      </c>
      <c r="H62" s="49">
        <f>'Avg Week Bwaise-Kawempe'!H62+'Avg Week Kawempe-Bwaise'!H62</f>
        <v>2</v>
      </c>
      <c r="I62" s="49">
        <f>'Avg Week Bwaise-Kawempe'!I62+'Avg Week Kawempe-Bwaise'!I62</f>
        <v>6</v>
      </c>
      <c r="J62" s="49">
        <f>'Avg Week Bwaise-Kawempe'!J62+'Avg Week Kawempe-Bwaise'!J62</f>
        <v>6</v>
      </c>
      <c r="K62" s="49">
        <f>'Avg Week Bwaise-Kawempe'!K62+'Avg Week Kawempe-Bwaise'!K62</f>
        <v>5.5</v>
      </c>
      <c r="L62" s="49">
        <f>'Avg Week Bwaise-Kawempe'!L62+'Avg Week Kawempe-Bwaise'!L62</f>
        <v>3.5</v>
      </c>
      <c r="M62" s="49">
        <f>'Avg Week Bwaise-Kawempe'!M62+'Avg Week Kawempe-Bwaise'!M62</f>
        <v>290</v>
      </c>
      <c r="N62" s="49">
        <f>'Avg Week Bwaise-Kawempe'!N62+'Avg Week Kawempe-Bwaise'!N62</f>
        <v>0</v>
      </c>
      <c r="O62" s="15">
        <f t="shared" si="0"/>
        <v>139.5</v>
      </c>
      <c r="P62" s="15">
        <f t="shared" si="1"/>
        <v>429.5</v>
      </c>
      <c r="R62" s="8"/>
      <c r="T62"/>
    </row>
    <row r="63" spans="2:20" ht="23.1" customHeight="1" x14ac:dyDescent="0.25">
      <c r="B63" s="23" t="s">
        <v>108</v>
      </c>
      <c r="C63" s="49">
        <f>'Avg Week Bwaise-Kawempe'!C63+'Avg Week Kawempe-Bwaise'!C63</f>
        <v>62.5</v>
      </c>
      <c r="D63" s="49">
        <f>'Avg Week Bwaise-Kawempe'!D63+'Avg Week Kawempe-Bwaise'!D63</f>
        <v>6</v>
      </c>
      <c r="E63" s="49">
        <f>'Avg Week Bwaise-Kawempe'!E63+'Avg Week Kawempe-Bwaise'!E63</f>
        <v>5.5</v>
      </c>
      <c r="F63" s="49">
        <f>'Avg Week Bwaise-Kawempe'!F63+'Avg Week Kawempe-Bwaise'!F63</f>
        <v>45</v>
      </c>
      <c r="G63" s="49">
        <f>'Avg Week Bwaise-Kawempe'!G63+'Avg Week Kawempe-Bwaise'!G63</f>
        <v>2.5</v>
      </c>
      <c r="H63" s="49">
        <f>'Avg Week Bwaise-Kawempe'!H63+'Avg Week Kawempe-Bwaise'!H63</f>
        <v>2</v>
      </c>
      <c r="I63" s="49">
        <f>'Avg Week Bwaise-Kawempe'!I63+'Avg Week Kawempe-Bwaise'!I63</f>
        <v>8</v>
      </c>
      <c r="J63" s="49">
        <f>'Avg Week Bwaise-Kawempe'!J63+'Avg Week Kawempe-Bwaise'!J63</f>
        <v>4.5</v>
      </c>
      <c r="K63" s="49">
        <f>'Avg Week Bwaise-Kawempe'!K63+'Avg Week Kawempe-Bwaise'!K63</f>
        <v>4</v>
      </c>
      <c r="L63" s="49">
        <f>'Avg Week Bwaise-Kawempe'!L63+'Avg Week Kawempe-Bwaise'!L63</f>
        <v>1</v>
      </c>
      <c r="M63" s="49">
        <f>'Avg Week Bwaise-Kawempe'!M63+'Avg Week Kawempe-Bwaise'!M63</f>
        <v>416.5</v>
      </c>
      <c r="N63" s="49">
        <f>'Avg Week Bwaise-Kawempe'!N63+'Avg Week Kawempe-Bwaise'!N63</f>
        <v>0</v>
      </c>
      <c r="O63" s="15">
        <f t="shared" si="0"/>
        <v>141</v>
      </c>
      <c r="P63" s="15">
        <f t="shared" si="1"/>
        <v>557.5</v>
      </c>
      <c r="R63" s="8"/>
      <c r="T63"/>
    </row>
    <row r="64" spans="2:20" ht="23.1" customHeight="1" x14ac:dyDescent="0.25">
      <c r="B64" s="23" t="s">
        <v>109</v>
      </c>
      <c r="C64" s="49">
        <f>'Avg Week Bwaise-Kawempe'!C64+'Avg Week Kawempe-Bwaise'!C64</f>
        <v>67</v>
      </c>
      <c r="D64" s="49">
        <f>'Avg Week Bwaise-Kawempe'!D64+'Avg Week Kawempe-Bwaise'!D64</f>
        <v>5.5</v>
      </c>
      <c r="E64" s="49">
        <f>'Avg Week Bwaise-Kawempe'!E64+'Avg Week Kawempe-Bwaise'!E64</f>
        <v>5.5</v>
      </c>
      <c r="F64" s="49">
        <f>'Avg Week Bwaise-Kawempe'!F64+'Avg Week Kawempe-Bwaise'!F64</f>
        <v>64.5</v>
      </c>
      <c r="G64" s="49">
        <f>'Avg Week Bwaise-Kawempe'!G64+'Avg Week Kawempe-Bwaise'!G64</f>
        <v>1.5</v>
      </c>
      <c r="H64" s="49">
        <f>'Avg Week Bwaise-Kawempe'!H64+'Avg Week Kawempe-Bwaise'!H64</f>
        <v>0.5</v>
      </c>
      <c r="I64" s="49">
        <f>'Avg Week Bwaise-Kawempe'!I64+'Avg Week Kawempe-Bwaise'!I64</f>
        <v>11.5</v>
      </c>
      <c r="J64" s="49">
        <f>'Avg Week Bwaise-Kawempe'!J64+'Avg Week Kawempe-Bwaise'!J64</f>
        <v>11.5</v>
      </c>
      <c r="K64" s="49">
        <f>'Avg Week Bwaise-Kawempe'!K64+'Avg Week Kawempe-Bwaise'!K64</f>
        <v>5</v>
      </c>
      <c r="L64" s="49">
        <f>'Avg Week Bwaise-Kawempe'!L64+'Avg Week Kawempe-Bwaise'!L64</f>
        <v>4</v>
      </c>
      <c r="M64" s="49">
        <f>'Avg Week Bwaise-Kawempe'!M64+'Avg Week Kawempe-Bwaise'!M64</f>
        <v>448</v>
      </c>
      <c r="N64" s="49">
        <f>'Avg Week Bwaise-Kawempe'!N64+'Avg Week Kawempe-Bwaise'!N64</f>
        <v>0</v>
      </c>
      <c r="O64" s="15">
        <f t="shared" si="0"/>
        <v>176.5</v>
      </c>
      <c r="P64" s="15">
        <f t="shared" si="1"/>
        <v>624.5</v>
      </c>
      <c r="R64" s="8"/>
      <c r="T64"/>
    </row>
    <row r="65" spans="2:20" ht="23.1" customHeight="1" x14ac:dyDescent="0.25">
      <c r="B65" s="23" t="s">
        <v>158</v>
      </c>
      <c r="C65" s="49">
        <f>'Avg Week Bwaise-Kawempe'!C65+'Avg Week Kawempe-Bwaise'!C65</f>
        <v>82.5</v>
      </c>
      <c r="D65" s="49">
        <f>'Avg Week Bwaise-Kawempe'!D65+'Avg Week Kawempe-Bwaise'!D65</f>
        <v>6</v>
      </c>
      <c r="E65" s="49">
        <f>'Avg Week Bwaise-Kawempe'!E65+'Avg Week Kawempe-Bwaise'!E65</f>
        <v>7</v>
      </c>
      <c r="F65" s="49">
        <f>'Avg Week Bwaise-Kawempe'!F65+'Avg Week Kawempe-Bwaise'!F65</f>
        <v>62</v>
      </c>
      <c r="G65" s="49">
        <f>'Avg Week Bwaise-Kawempe'!G65+'Avg Week Kawempe-Bwaise'!G65</f>
        <v>4</v>
      </c>
      <c r="H65" s="49">
        <f>'Avg Week Bwaise-Kawempe'!H65+'Avg Week Kawempe-Bwaise'!H65</f>
        <v>2.5</v>
      </c>
      <c r="I65" s="49">
        <f>'Avg Week Bwaise-Kawempe'!I65+'Avg Week Kawempe-Bwaise'!I65</f>
        <v>16</v>
      </c>
      <c r="J65" s="49">
        <f>'Avg Week Bwaise-Kawempe'!J65+'Avg Week Kawempe-Bwaise'!J65</f>
        <v>7</v>
      </c>
      <c r="K65" s="49">
        <f>'Avg Week Bwaise-Kawempe'!K65+'Avg Week Kawempe-Bwaise'!K65</f>
        <v>4</v>
      </c>
      <c r="L65" s="49">
        <f>'Avg Week Bwaise-Kawempe'!L65+'Avg Week Kawempe-Bwaise'!L65</f>
        <v>4</v>
      </c>
      <c r="M65" s="49">
        <f>'Avg Week Bwaise-Kawempe'!M65+'Avg Week Kawempe-Bwaise'!M65</f>
        <v>460</v>
      </c>
      <c r="N65" s="49">
        <f>'Avg Week Bwaise-Kawempe'!N65+'Avg Week Kawempe-Bwaise'!N65</f>
        <v>0</v>
      </c>
      <c r="O65" s="15">
        <f t="shared" si="0"/>
        <v>195</v>
      </c>
      <c r="P65" s="15">
        <f t="shared" si="1"/>
        <v>655</v>
      </c>
      <c r="R65" s="8"/>
      <c r="T65"/>
    </row>
    <row r="66" spans="2:20" ht="23.1" customHeight="1" x14ac:dyDescent="0.25">
      <c r="B66" s="23" t="s">
        <v>103</v>
      </c>
      <c r="C66" s="49">
        <f>'Avg Week Bwaise-Kawempe'!C66+'Avg Week Kawempe-Bwaise'!C66</f>
        <v>73</v>
      </c>
      <c r="D66" s="49">
        <f>'Avg Week Bwaise-Kawempe'!D66+'Avg Week Kawempe-Bwaise'!D66</f>
        <v>2.5</v>
      </c>
      <c r="E66" s="49">
        <f>'Avg Week Bwaise-Kawempe'!E66+'Avg Week Kawempe-Bwaise'!E66</f>
        <v>10.5</v>
      </c>
      <c r="F66" s="49">
        <f>'Avg Week Bwaise-Kawempe'!F66+'Avg Week Kawempe-Bwaise'!F66</f>
        <v>59.5</v>
      </c>
      <c r="G66" s="49">
        <f>'Avg Week Bwaise-Kawempe'!G66+'Avg Week Kawempe-Bwaise'!G66</f>
        <v>3</v>
      </c>
      <c r="H66" s="49">
        <f>'Avg Week Bwaise-Kawempe'!H66+'Avg Week Kawempe-Bwaise'!H66</f>
        <v>1.5</v>
      </c>
      <c r="I66" s="49">
        <f>'Avg Week Bwaise-Kawempe'!I66+'Avg Week Kawempe-Bwaise'!I66</f>
        <v>7.5</v>
      </c>
      <c r="J66" s="49">
        <f>'Avg Week Bwaise-Kawempe'!J66+'Avg Week Kawempe-Bwaise'!J66</f>
        <v>9</v>
      </c>
      <c r="K66" s="49">
        <f>'Avg Week Bwaise-Kawempe'!K66+'Avg Week Kawempe-Bwaise'!K66</f>
        <v>5</v>
      </c>
      <c r="L66" s="49">
        <f>'Avg Week Bwaise-Kawempe'!L66+'Avg Week Kawempe-Bwaise'!L66</f>
        <v>4</v>
      </c>
      <c r="M66" s="49">
        <f>'Avg Week Bwaise-Kawempe'!M66+'Avg Week Kawempe-Bwaise'!M66</f>
        <v>387</v>
      </c>
      <c r="N66" s="49">
        <f>'Avg Week Bwaise-Kawempe'!N66+'Avg Week Kawempe-Bwaise'!N66</f>
        <v>0</v>
      </c>
      <c r="O66" s="15">
        <f t="shared" si="0"/>
        <v>175.5</v>
      </c>
      <c r="P66" s="15">
        <f t="shared" si="1"/>
        <v>562.5</v>
      </c>
      <c r="R66" s="8"/>
      <c r="T66"/>
    </row>
    <row r="67" spans="2:20" ht="23.1" customHeight="1" x14ac:dyDescent="0.25">
      <c r="B67" s="23" t="s">
        <v>104</v>
      </c>
      <c r="C67" s="49">
        <f>'Avg Week Bwaise-Kawempe'!C67+'Avg Week Kawempe-Bwaise'!C67</f>
        <v>53.5</v>
      </c>
      <c r="D67" s="49">
        <f>'Avg Week Bwaise-Kawempe'!D67+'Avg Week Kawempe-Bwaise'!D67</f>
        <v>4.5</v>
      </c>
      <c r="E67" s="49">
        <f>'Avg Week Bwaise-Kawempe'!E67+'Avg Week Kawempe-Bwaise'!E67</f>
        <v>7.5</v>
      </c>
      <c r="F67" s="49">
        <f>'Avg Week Bwaise-Kawempe'!F67+'Avg Week Kawempe-Bwaise'!F67</f>
        <v>47</v>
      </c>
      <c r="G67" s="49">
        <f>'Avg Week Bwaise-Kawempe'!G67+'Avg Week Kawempe-Bwaise'!G67</f>
        <v>4</v>
      </c>
      <c r="H67" s="49">
        <f>'Avg Week Bwaise-Kawempe'!H67+'Avg Week Kawempe-Bwaise'!H67</f>
        <v>1.5</v>
      </c>
      <c r="I67" s="49">
        <f>'Avg Week Bwaise-Kawempe'!I67+'Avg Week Kawempe-Bwaise'!I67</f>
        <v>10</v>
      </c>
      <c r="J67" s="49">
        <f>'Avg Week Bwaise-Kawempe'!J67+'Avg Week Kawempe-Bwaise'!J67</f>
        <v>9.5</v>
      </c>
      <c r="K67" s="49">
        <f>'Avg Week Bwaise-Kawempe'!K67+'Avg Week Kawempe-Bwaise'!K67</f>
        <v>2</v>
      </c>
      <c r="L67" s="49">
        <f>'Avg Week Bwaise-Kawempe'!L67+'Avg Week Kawempe-Bwaise'!L67</f>
        <v>4</v>
      </c>
      <c r="M67" s="49">
        <f>'Avg Week Bwaise-Kawempe'!M67+'Avg Week Kawempe-Bwaise'!M67</f>
        <v>374</v>
      </c>
      <c r="N67" s="49">
        <f>'Avg Week Bwaise-Kawempe'!N67+'Avg Week Kawempe-Bwaise'!N67</f>
        <v>0</v>
      </c>
      <c r="O67" s="15">
        <f t="shared" si="0"/>
        <v>143.5</v>
      </c>
      <c r="P67" s="15">
        <f t="shared" si="1"/>
        <v>517.5</v>
      </c>
      <c r="R67" s="8"/>
      <c r="T67"/>
    </row>
    <row r="68" spans="2:20" ht="23.1" customHeight="1" x14ac:dyDescent="0.25">
      <c r="B68" s="23" t="s">
        <v>105</v>
      </c>
      <c r="C68" s="49">
        <f>'Avg Week Bwaise-Kawempe'!C68+'Avg Week Kawempe-Bwaise'!C68</f>
        <v>82.5</v>
      </c>
      <c r="D68" s="49">
        <f>'Avg Week Bwaise-Kawempe'!D68+'Avg Week Kawempe-Bwaise'!D68</f>
        <v>2.5</v>
      </c>
      <c r="E68" s="49">
        <f>'Avg Week Bwaise-Kawempe'!E68+'Avg Week Kawempe-Bwaise'!E68</f>
        <v>8.5</v>
      </c>
      <c r="F68" s="49">
        <f>'Avg Week Bwaise-Kawempe'!F68+'Avg Week Kawempe-Bwaise'!F68</f>
        <v>50.5</v>
      </c>
      <c r="G68" s="49">
        <f>'Avg Week Bwaise-Kawempe'!G68+'Avg Week Kawempe-Bwaise'!G68</f>
        <v>5.5</v>
      </c>
      <c r="H68" s="49">
        <f>'Avg Week Bwaise-Kawempe'!H68+'Avg Week Kawempe-Bwaise'!H68</f>
        <v>1.5</v>
      </c>
      <c r="I68" s="49">
        <f>'Avg Week Bwaise-Kawempe'!I68+'Avg Week Kawempe-Bwaise'!I68</f>
        <v>11.5</v>
      </c>
      <c r="J68" s="49">
        <f>'Avg Week Bwaise-Kawempe'!J68+'Avg Week Kawempe-Bwaise'!J68</f>
        <v>11.5</v>
      </c>
      <c r="K68" s="49">
        <f>'Avg Week Bwaise-Kawempe'!K68+'Avg Week Kawempe-Bwaise'!K68</f>
        <v>4</v>
      </c>
      <c r="L68" s="49">
        <f>'Avg Week Bwaise-Kawempe'!L68+'Avg Week Kawempe-Bwaise'!L68</f>
        <v>2.5</v>
      </c>
      <c r="M68" s="49">
        <f>'Avg Week Bwaise-Kawempe'!M68+'Avg Week Kawempe-Bwaise'!M68</f>
        <v>292</v>
      </c>
      <c r="N68" s="49">
        <f>'Avg Week Bwaise-Kawempe'!N68+'Avg Week Kawempe-Bwaise'!N68</f>
        <v>0</v>
      </c>
      <c r="O68" s="15">
        <f t="shared" si="0"/>
        <v>180.5</v>
      </c>
      <c r="P68" s="15">
        <f t="shared" si="1"/>
        <v>472.5</v>
      </c>
      <c r="R68" s="8"/>
      <c r="T68"/>
    </row>
    <row r="69" spans="2:20" ht="23.1" customHeight="1" x14ac:dyDescent="0.25">
      <c r="B69" s="23" t="s">
        <v>106</v>
      </c>
      <c r="C69" s="49">
        <f>'Avg Week Bwaise-Kawempe'!C69+'Avg Week Kawempe-Bwaise'!C69</f>
        <v>92</v>
      </c>
      <c r="D69" s="49">
        <f>'Avg Week Bwaise-Kawempe'!D69+'Avg Week Kawempe-Bwaise'!D69</f>
        <v>4.5</v>
      </c>
      <c r="E69" s="49">
        <f>'Avg Week Bwaise-Kawempe'!E69+'Avg Week Kawempe-Bwaise'!E69</f>
        <v>5</v>
      </c>
      <c r="F69" s="49">
        <f>'Avg Week Bwaise-Kawempe'!F69+'Avg Week Kawempe-Bwaise'!F69</f>
        <v>64</v>
      </c>
      <c r="G69" s="49">
        <f>'Avg Week Bwaise-Kawempe'!G69+'Avg Week Kawempe-Bwaise'!G69</f>
        <v>5.5</v>
      </c>
      <c r="H69" s="49">
        <f>'Avg Week Bwaise-Kawempe'!H69+'Avg Week Kawempe-Bwaise'!H69</f>
        <v>2</v>
      </c>
      <c r="I69" s="49">
        <f>'Avg Week Bwaise-Kawempe'!I69+'Avg Week Kawempe-Bwaise'!I69</f>
        <v>8</v>
      </c>
      <c r="J69" s="49">
        <f>'Avg Week Bwaise-Kawempe'!J69+'Avg Week Kawempe-Bwaise'!J69</f>
        <v>7.5</v>
      </c>
      <c r="K69" s="49">
        <f>'Avg Week Bwaise-Kawempe'!K69+'Avg Week Kawempe-Bwaise'!K69</f>
        <v>4</v>
      </c>
      <c r="L69" s="49">
        <f>'Avg Week Bwaise-Kawempe'!L69+'Avg Week Kawempe-Bwaise'!L69</f>
        <v>2.5</v>
      </c>
      <c r="M69" s="49">
        <f>'Avg Week Bwaise-Kawempe'!M69+'Avg Week Kawempe-Bwaise'!M69</f>
        <v>269.5</v>
      </c>
      <c r="N69" s="49">
        <f>'Avg Week Bwaise-Kawempe'!N69+'Avg Week Kawempe-Bwaise'!N69</f>
        <v>0</v>
      </c>
      <c r="O69" s="15">
        <f t="shared" si="0"/>
        <v>195</v>
      </c>
      <c r="P69" s="15">
        <f t="shared" si="1"/>
        <v>464.5</v>
      </c>
      <c r="R69" s="8"/>
      <c r="T69"/>
    </row>
    <row r="70" spans="2:20" ht="23.1" customHeight="1" x14ac:dyDescent="0.25">
      <c r="B70" s="23" t="s">
        <v>110</v>
      </c>
      <c r="C70" s="49">
        <f>'Avg Week Bwaise-Kawempe'!C70+'Avg Week Kawempe-Bwaise'!C70</f>
        <v>79.5</v>
      </c>
      <c r="D70" s="49">
        <f>'Avg Week Bwaise-Kawempe'!D70+'Avg Week Kawempe-Bwaise'!D70</f>
        <v>3.5</v>
      </c>
      <c r="E70" s="49">
        <f>'Avg Week Bwaise-Kawempe'!E70+'Avg Week Kawempe-Bwaise'!E70</f>
        <v>6.5</v>
      </c>
      <c r="F70" s="49">
        <f>'Avg Week Bwaise-Kawempe'!F70+'Avg Week Kawempe-Bwaise'!F70</f>
        <v>52</v>
      </c>
      <c r="G70" s="49">
        <f>'Avg Week Bwaise-Kawempe'!G70+'Avg Week Kawempe-Bwaise'!G70</f>
        <v>5.5</v>
      </c>
      <c r="H70" s="49">
        <f>'Avg Week Bwaise-Kawempe'!H70+'Avg Week Kawempe-Bwaise'!H70</f>
        <v>2</v>
      </c>
      <c r="I70" s="49">
        <f>'Avg Week Bwaise-Kawempe'!I70+'Avg Week Kawempe-Bwaise'!I70</f>
        <v>8.5</v>
      </c>
      <c r="J70" s="49">
        <f>'Avg Week Bwaise-Kawempe'!J70+'Avg Week Kawempe-Bwaise'!J70</f>
        <v>5</v>
      </c>
      <c r="K70" s="49">
        <f>'Avg Week Bwaise-Kawempe'!K70+'Avg Week Kawempe-Bwaise'!K70</f>
        <v>3</v>
      </c>
      <c r="L70" s="49">
        <f>'Avg Week Bwaise-Kawempe'!L70+'Avg Week Kawempe-Bwaise'!L70</f>
        <v>3.5</v>
      </c>
      <c r="M70" s="49">
        <f>'Avg Week Bwaise-Kawempe'!M70+'Avg Week Kawempe-Bwaise'!M70</f>
        <v>282.5</v>
      </c>
      <c r="N70" s="49">
        <f>'Avg Week Bwaise-Kawempe'!N70+'Avg Week Kawempe-Bwaise'!N70</f>
        <v>0</v>
      </c>
      <c r="O70" s="15">
        <f t="shared" si="0"/>
        <v>169</v>
      </c>
      <c r="P70" s="15">
        <f t="shared" si="1"/>
        <v>451.5</v>
      </c>
      <c r="R70" s="8"/>
      <c r="T70"/>
    </row>
    <row r="71" spans="2:20" ht="23.1" customHeight="1" x14ac:dyDescent="0.25">
      <c r="B71" s="23" t="s">
        <v>111</v>
      </c>
      <c r="C71" s="49">
        <f>'Avg Week Bwaise-Kawempe'!C71+'Avg Week Kawempe-Bwaise'!C71</f>
        <v>97.5</v>
      </c>
      <c r="D71" s="49">
        <f>'Avg Week Bwaise-Kawempe'!D71+'Avg Week Kawempe-Bwaise'!D71</f>
        <v>1.5</v>
      </c>
      <c r="E71" s="49">
        <f>'Avg Week Bwaise-Kawempe'!E71+'Avg Week Kawempe-Bwaise'!E71</f>
        <v>7.5</v>
      </c>
      <c r="F71" s="49">
        <f>'Avg Week Bwaise-Kawempe'!F71+'Avg Week Kawempe-Bwaise'!F71</f>
        <v>46</v>
      </c>
      <c r="G71" s="49">
        <f>'Avg Week Bwaise-Kawempe'!G71+'Avg Week Kawempe-Bwaise'!G71</f>
        <v>6</v>
      </c>
      <c r="H71" s="49">
        <f>'Avg Week Bwaise-Kawempe'!H71+'Avg Week Kawempe-Bwaise'!H71</f>
        <v>1.5</v>
      </c>
      <c r="I71" s="49">
        <f>'Avg Week Bwaise-Kawempe'!I71+'Avg Week Kawempe-Bwaise'!I71</f>
        <v>15</v>
      </c>
      <c r="J71" s="49">
        <f>'Avg Week Bwaise-Kawempe'!J71+'Avg Week Kawempe-Bwaise'!J71</f>
        <v>6</v>
      </c>
      <c r="K71" s="49">
        <f>'Avg Week Bwaise-Kawempe'!K71+'Avg Week Kawempe-Bwaise'!K71</f>
        <v>5.5</v>
      </c>
      <c r="L71" s="49">
        <f>'Avg Week Bwaise-Kawempe'!L71+'Avg Week Kawempe-Bwaise'!L71</f>
        <v>0.5</v>
      </c>
      <c r="M71" s="49">
        <f>'Avg Week Bwaise-Kawempe'!M71+'Avg Week Kawempe-Bwaise'!M71</f>
        <v>304</v>
      </c>
      <c r="N71" s="49">
        <f>'Avg Week Bwaise-Kawempe'!N71+'Avg Week Kawempe-Bwaise'!N71</f>
        <v>0</v>
      </c>
      <c r="O71" s="15">
        <f t="shared" si="0"/>
        <v>187</v>
      </c>
      <c r="P71" s="15">
        <f t="shared" si="1"/>
        <v>491</v>
      </c>
      <c r="R71" s="8"/>
      <c r="T71"/>
    </row>
    <row r="72" spans="2:20" ht="23.1" customHeight="1" x14ac:dyDescent="0.25">
      <c r="B72" s="23" t="s">
        <v>112</v>
      </c>
      <c r="C72" s="49">
        <f>'Avg Week Bwaise-Kawempe'!C72+'Avg Week Kawempe-Bwaise'!C72</f>
        <v>73</v>
      </c>
      <c r="D72" s="49">
        <f>'Avg Week Bwaise-Kawempe'!D72+'Avg Week Kawempe-Bwaise'!D72</f>
        <v>4</v>
      </c>
      <c r="E72" s="49">
        <f>'Avg Week Bwaise-Kawempe'!E72+'Avg Week Kawempe-Bwaise'!E72</f>
        <v>5</v>
      </c>
      <c r="F72" s="49">
        <f>'Avg Week Bwaise-Kawempe'!F72+'Avg Week Kawempe-Bwaise'!F72</f>
        <v>49.5</v>
      </c>
      <c r="G72" s="49">
        <f>'Avg Week Bwaise-Kawempe'!G72+'Avg Week Kawempe-Bwaise'!G72</f>
        <v>2</v>
      </c>
      <c r="H72" s="49">
        <f>'Avg Week Bwaise-Kawempe'!H72+'Avg Week Kawempe-Bwaise'!H72</f>
        <v>2.5</v>
      </c>
      <c r="I72" s="49">
        <f>'Avg Week Bwaise-Kawempe'!I72+'Avg Week Kawempe-Bwaise'!I72</f>
        <v>15</v>
      </c>
      <c r="J72" s="49">
        <f>'Avg Week Bwaise-Kawempe'!J72+'Avg Week Kawempe-Bwaise'!J72</f>
        <v>7.5</v>
      </c>
      <c r="K72" s="49">
        <f>'Avg Week Bwaise-Kawempe'!K72+'Avg Week Kawempe-Bwaise'!K72</f>
        <v>6</v>
      </c>
      <c r="L72" s="49">
        <f>'Avg Week Bwaise-Kawempe'!L72+'Avg Week Kawempe-Bwaise'!L72</f>
        <v>1.5</v>
      </c>
      <c r="M72" s="49">
        <f>'Avg Week Bwaise-Kawempe'!M72+'Avg Week Kawempe-Bwaise'!M72</f>
        <v>279</v>
      </c>
      <c r="N72" s="49">
        <f>'Avg Week Bwaise-Kawempe'!N72+'Avg Week Kawempe-Bwaise'!N72</f>
        <v>0</v>
      </c>
      <c r="O72" s="15">
        <f t="shared" si="0"/>
        <v>166</v>
      </c>
      <c r="P72" s="15">
        <f t="shared" si="1"/>
        <v>445</v>
      </c>
      <c r="R72" s="8"/>
      <c r="T72"/>
    </row>
    <row r="73" spans="2:20" ht="23.1" customHeight="1" x14ac:dyDescent="0.25">
      <c r="B73" s="23" t="s">
        <v>113</v>
      </c>
      <c r="C73" s="49">
        <f>'Avg Week Bwaise-Kawempe'!C73+'Avg Week Kawempe-Bwaise'!C73</f>
        <v>80.5</v>
      </c>
      <c r="D73" s="49">
        <f>'Avg Week Bwaise-Kawempe'!D73+'Avg Week Kawempe-Bwaise'!D73</f>
        <v>3.5</v>
      </c>
      <c r="E73" s="49">
        <f>'Avg Week Bwaise-Kawempe'!E73+'Avg Week Kawempe-Bwaise'!E73</f>
        <v>7</v>
      </c>
      <c r="F73" s="49">
        <f>'Avg Week Bwaise-Kawempe'!F73+'Avg Week Kawempe-Bwaise'!F73</f>
        <v>40</v>
      </c>
      <c r="G73" s="49">
        <f>'Avg Week Bwaise-Kawempe'!G73+'Avg Week Kawempe-Bwaise'!G73</f>
        <v>3</v>
      </c>
      <c r="H73" s="49">
        <f>'Avg Week Bwaise-Kawempe'!H73+'Avg Week Kawempe-Bwaise'!H73</f>
        <v>2.5</v>
      </c>
      <c r="I73" s="49">
        <f>'Avg Week Bwaise-Kawempe'!I73+'Avg Week Kawempe-Bwaise'!I73</f>
        <v>9</v>
      </c>
      <c r="J73" s="49">
        <f>'Avg Week Bwaise-Kawempe'!J73+'Avg Week Kawempe-Bwaise'!J73</f>
        <v>7.5</v>
      </c>
      <c r="K73" s="49">
        <f>'Avg Week Bwaise-Kawempe'!K73+'Avg Week Kawempe-Bwaise'!K73</f>
        <v>5</v>
      </c>
      <c r="L73" s="49">
        <f>'Avg Week Bwaise-Kawempe'!L73+'Avg Week Kawempe-Bwaise'!L73</f>
        <v>1</v>
      </c>
      <c r="M73" s="49">
        <f>'Avg Week Bwaise-Kawempe'!M73+'Avg Week Kawempe-Bwaise'!M73</f>
        <v>265</v>
      </c>
      <c r="N73" s="49">
        <f>'Avg Week Bwaise-Kawempe'!N73+'Avg Week Kawempe-Bwaise'!N73</f>
        <v>0</v>
      </c>
      <c r="O73" s="15">
        <f t="shared" si="0"/>
        <v>159</v>
      </c>
      <c r="P73" s="15">
        <f t="shared" si="1"/>
        <v>424</v>
      </c>
      <c r="R73" s="8"/>
      <c r="T73"/>
    </row>
    <row r="74" spans="2:20" ht="23.1" customHeight="1" x14ac:dyDescent="0.25">
      <c r="B74" s="23" t="s">
        <v>114</v>
      </c>
      <c r="C74" s="49">
        <f>'Avg Week Bwaise-Kawempe'!C74+'Avg Week Kawempe-Bwaise'!C74</f>
        <v>102</v>
      </c>
      <c r="D74" s="49">
        <f>'Avg Week Bwaise-Kawempe'!D74+'Avg Week Kawempe-Bwaise'!D74</f>
        <v>4.5</v>
      </c>
      <c r="E74" s="49">
        <f>'Avg Week Bwaise-Kawempe'!E74+'Avg Week Kawempe-Bwaise'!E74</f>
        <v>5.5</v>
      </c>
      <c r="F74" s="49">
        <f>'Avg Week Bwaise-Kawempe'!F74+'Avg Week Kawempe-Bwaise'!F74</f>
        <v>44.5</v>
      </c>
      <c r="G74" s="49">
        <f>'Avg Week Bwaise-Kawempe'!G74+'Avg Week Kawempe-Bwaise'!G74</f>
        <v>5</v>
      </c>
      <c r="H74" s="49">
        <f>'Avg Week Bwaise-Kawempe'!H74+'Avg Week Kawempe-Bwaise'!H74</f>
        <v>6</v>
      </c>
      <c r="I74" s="49">
        <f>'Avg Week Bwaise-Kawempe'!I74+'Avg Week Kawempe-Bwaise'!I74</f>
        <v>13</v>
      </c>
      <c r="J74" s="49">
        <f>'Avg Week Bwaise-Kawempe'!J74+'Avg Week Kawempe-Bwaise'!J74</f>
        <v>14</v>
      </c>
      <c r="K74" s="49">
        <f>'Avg Week Bwaise-Kawempe'!K74+'Avg Week Kawempe-Bwaise'!K74</f>
        <v>9.5</v>
      </c>
      <c r="L74" s="49">
        <f>'Avg Week Bwaise-Kawempe'!L74+'Avg Week Kawempe-Bwaise'!L74</f>
        <v>2.5</v>
      </c>
      <c r="M74" s="49">
        <f>'Avg Week Bwaise-Kawempe'!M74+'Avg Week Kawempe-Bwaise'!M74</f>
        <v>271</v>
      </c>
      <c r="N74" s="49">
        <f>'Avg Week Bwaise-Kawempe'!N74+'Avg Week Kawempe-Bwaise'!N74</f>
        <v>0</v>
      </c>
      <c r="O74" s="15">
        <f t="shared" ref="O74:O105" si="35">SUM(C74:L74,N74)</f>
        <v>206.5</v>
      </c>
      <c r="P74" s="15">
        <f t="shared" ref="P74:P105" si="36">SUM(C74:N74)</f>
        <v>477.5</v>
      </c>
      <c r="R74" s="8"/>
      <c r="T74"/>
    </row>
    <row r="75" spans="2:20" ht="23.1" customHeight="1" x14ac:dyDescent="0.25">
      <c r="B75" s="23" t="s">
        <v>115</v>
      </c>
      <c r="C75" s="49">
        <f>'Avg Week Bwaise-Kawempe'!C75+'Avg Week Kawempe-Bwaise'!C75</f>
        <v>71.5</v>
      </c>
      <c r="D75" s="49">
        <f>'Avg Week Bwaise-Kawempe'!D75+'Avg Week Kawempe-Bwaise'!D75</f>
        <v>1</v>
      </c>
      <c r="E75" s="49">
        <f>'Avg Week Bwaise-Kawempe'!E75+'Avg Week Kawempe-Bwaise'!E75</f>
        <v>5.5</v>
      </c>
      <c r="F75" s="49">
        <f>'Avg Week Bwaise-Kawempe'!F75+'Avg Week Kawempe-Bwaise'!F75</f>
        <v>32</v>
      </c>
      <c r="G75" s="49">
        <f>'Avg Week Bwaise-Kawempe'!G75+'Avg Week Kawempe-Bwaise'!G75</f>
        <v>2.5</v>
      </c>
      <c r="H75" s="49">
        <f>'Avg Week Bwaise-Kawempe'!H75+'Avg Week Kawempe-Bwaise'!H75</f>
        <v>2.5</v>
      </c>
      <c r="I75" s="49">
        <f>'Avg Week Bwaise-Kawempe'!I75+'Avg Week Kawempe-Bwaise'!I75</f>
        <v>8</v>
      </c>
      <c r="J75" s="49">
        <f>'Avg Week Bwaise-Kawempe'!J75+'Avg Week Kawempe-Bwaise'!J75</f>
        <v>4</v>
      </c>
      <c r="K75" s="49">
        <f>'Avg Week Bwaise-Kawempe'!K75+'Avg Week Kawempe-Bwaise'!K75</f>
        <v>3.5</v>
      </c>
      <c r="L75" s="49">
        <f>'Avg Week Bwaise-Kawempe'!L75+'Avg Week Kawempe-Bwaise'!L75</f>
        <v>0.5</v>
      </c>
      <c r="M75" s="49">
        <f>'Avg Week Bwaise-Kawempe'!M75+'Avg Week Kawempe-Bwaise'!M75</f>
        <v>224</v>
      </c>
      <c r="N75" s="49">
        <f>'Avg Week Bwaise-Kawempe'!N75+'Avg Week Kawempe-Bwaise'!N75</f>
        <v>0</v>
      </c>
      <c r="O75" s="15">
        <f t="shared" si="35"/>
        <v>131</v>
      </c>
      <c r="P75" s="15">
        <f t="shared" si="36"/>
        <v>355</v>
      </c>
      <c r="R75" s="8"/>
      <c r="T75"/>
    </row>
    <row r="76" spans="2:20" ht="23.1" customHeight="1" x14ac:dyDescent="0.25">
      <c r="B76" s="23" t="s">
        <v>116</v>
      </c>
      <c r="C76" s="49">
        <f>'Avg Week Bwaise-Kawempe'!C76+'Avg Week Kawempe-Bwaise'!C76</f>
        <v>57</v>
      </c>
      <c r="D76" s="49">
        <f>'Avg Week Bwaise-Kawempe'!D76+'Avg Week Kawempe-Bwaise'!D76</f>
        <v>5</v>
      </c>
      <c r="E76" s="49">
        <f>'Avg Week Bwaise-Kawempe'!E76+'Avg Week Kawempe-Bwaise'!E76</f>
        <v>2.5</v>
      </c>
      <c r="F76" s="49">
        <f>'Avg Week Bwaise-Kawempe'!F76+'Avg Week Kawempe-Bwaise'!F76</f>
        <v>27</v>
      </c>
      <c r="G76" s="49">
        <f>'Avg Week Bwaise-Kawempe'!G76+'Avg Week Kawempe-Bwaise'!G76</f>
        <v>1.5</v>
      </c>
      <c r="H76" s="49">
        <f>'Avg Week Bwaise-Kawempe'!H76+'Avg Week Kawempe-Bwaise'!H76</f>
        <v>2.5</v>
      </c>
      <c r="I76" s="49">
        <f>'Avg Week Bwaise-Kawempe'!I76+'Avg Week Kawempe-Bwaise'!I76</f>
        <v>10.5</v>
      </c>
      <c r="J76" s="49">
        <f>'Avg Week Bwaise-Kawempe'!J76+'Avg Week Kawempe-Bwaise'!J76</f>
        <v>9</v>
      </c>
      <c r="K76" s="49">
        <f>'Avg Week Bwaise-Kawempe'!K76+'Avg Week Kawempe-Bwaise'!K76</f>
        <v>2.5</v>
      </c>
      <c r="L76" s="49">
        <f>'Avg Week Bwaise-Kawempe'!L76+'Avg Week Kawempe-Bwaise'!L76</f>
        <v>1.5</v>
      </c>
      <c r="M76" s="49">
        <f>'Avg Week Bwaise-Kawempe'!M76+'Avg Week Kawempe-Bwaise'!M76</f>
        <v>220</v>
      </c>
      <c r="N76" s="49">
        <f>'Avg Week Bwaise-Kawempe'!N76+'Avg Week Kawempe-Bwaise'!N76</f>
        <v>0</v>
      </c>
      <c r="O76" s="15">
        <f t="shared" si="35"/>
        <v>119</v>
      </c>
      <c r="P76" s="15">
        <f t="shared" si="36"/>
        <v>339</v>
      </c>
      <c r="R76" s="8"/>
      <c r="T76"/>
    </row>
    <row r="77" spans="2:20" ht="23.1" customHeight="1" x14ac:dyDescent="0.25">
      <c r="B77" s="23" t="s">
        <v>117</v>
      </c>
      <c r="C77" s="49">
        <f>'Avg Week Bwaise-Kawempe'!C77+'Avg Week Kawempe-Bwaise'!C77</f>
        <v>67.5</v>
      </c>
      <c r="D77" s="49">
        <f>'Avg Week Bwaise-Kawempe'!D77+'Avg Week Kawempe-Bwaise'!D77</f>
        <v>5</v>
      </c>
      <c r="E77" s="49">
        <f>'Avg Week Bwaise-Kawempe'!E77+'Avg Week Kawempe-Bwaise'!E77</f>
        <v>2.5</v>
      </c>
      <c r="F77" s="49">
        <f>'Avg Week Bwaise-Kawempe'!F77+'Avg Week Kawempe-Bwaise'!F77</f>
        <v>28.5</v>
      </c>
      <c r="G77" s="49">
        <f>'Avg Week Bwaise-Kawempe'!G77+'Avg Week Kawempe-Bwaise'!G77</f>
        <v>2.5</v>
      </c>
      <c r="H77" s="49">
        <f>'Avg Week Bwaise-Kawempe'!H77+'Avg Week Kawempe-Bwaise'!H77</f>
        <v>0</v>
      </c>
      <c r="I77" s="49">
        <f>'Avg Week Bwaise-Kawempe'!I77+'Avg Week Kawempe-Bwaise'!I77</f>
        <v>7.5</v>
      </c>
      <c r="J77" s="49">
        <f>'Avg Week Bwaise-Kawempe'!J77+'Avg Week Kawempe-Bwaise'!J77</f>
        <v>7</v>
      </c>
      <c r="K77" s="49">
        <f>'Avg Week Bwaise-Kawempe'!K77+'Avg Week Kawempe-Bwaise'!K77</f>
        <v>5</v>
      </c>
      <c r="L77" s="49">
        <f>'Avg Week Bwaise-Kawempe'!L77+'Avg Week Kawempe-Bwaise'!L77</f>
        <v>5</v>
      </c>
      <c r="M77" s="49">
        <f>'Avg Week Bwaise-Kawempe'!M77+'Avg Week Kawempe-Bwaise'!M77</f>
        <v>166</v>
      </c>
      <c r="N77" s="49">
        <f>'Avg Week Bwaise-Kawempe'!N77+'Avg Week Kawempe-Bwaise'!N77</f>
        <v>0</v>
      </c>
      <c r="O77" s="15">
        <f t="shared" si="35"/>
        <v>130.5</v>
      </c>
      <c r="P77" s="15">
        <f t="shared" si="36"/>
        <v>296.5</v>
      </c>
      <c r="R77" s="8"/>
      <c r="T77"/>
    </row>
    <row r="78" spans="2:20" ht="23.1" customHeight="1" x14ac:dyDescent="0.25">
      <c r="B78" s="24" t="s">
        <v>118</v>
      </c>
      <c r="C78" s="49">
        <f>'Avg Week Bwaise-Kawempe'!C78+'Avg Week Kawempe-Bwaise'!C78</f>
        <v>26.5</v>
      </c>
      <c r="D78" s="49">
        <f>'Avg Week Bwaise-Kawempe'!D78+'Avg Week Kawempe-Bwaise'!D78</f>
        <v>0.5</v>
      </c>
      <c r="E78" s="49">
        <f>'Avg Week Bwaise-Kawempe'!E78+'Avg Week Kawempe-Bwaise'!E78</f>
        <v>0.5</v>
      </c>
      <c r="F78" s="49">
        <f>'Avg Week Bwaise-Kawempe'!F78+'Avg Week Kawempe-Bwaise'!F78</f>
        <v>14.5</v>
      </c>
      <c r="G78" s="49">
        <f>'Avg Week Bwaise-Kawempe'!G78+'Avg Week Kawempe-Bwaise'!G78</f>
        <v>1</v>
      </c>
      <c r="H78" s="49">
        <f>'Avg Week Bwaise-Kawempe'!H78+'Avg Week Kawempe-Bwaise'!H78</f>
        <v>1</v>
      </c>
      <c r="I78" s="49">
        <f>'Avg Week Bwaise-Kawempe'!I78+'Avg Week Kawempe-Bwaise'!I78</f>
        <v>5.5</v>
      </c>
      <c r="J78" s="49">
        <f>'Avg Week Bwaise-Kawempe'!J78+'Avg Week Kawempe-Bwaise'!J78</f>
        <v>5.5</v>
      </c>
      <c r="K78" s="49">
        <f>'Avg Week Bwaise-Kawempe'!K78+'Avg Week Kawempe-Bwaise'!K78</f>
        <v>3</v>
      </c>
      <c r="L78" s="49">
        <f>'Avg Week Bwaise-Kawempe'!L78+'Avg Week Kawempe-Bwaise'!L78</f>
        <v>1</v>
      </c>
      <c r="M78" s="49">
        <f>'Avg Week Bwaise-Kawempe'!M78+'Avg Week Kawempe-Bwaise'!M78</f>
        <v>105</v>
      </c>
      <c r="N78" s="49">
        <f>'Avg Week Bwaise-Kawempe'!N78+'Avg Week Kawempe-Bwaise'!N78</f>
        <v>0</v>
      </c>
      <c r="O78" s="15">
        <f t="shared" si="35"/>
        <v>59</v>
      </c>
      <c r="P78" s="15">
        <f t="shared" si="36"/>
        <v>164</v>
      </c>
      <c r="R78" s="8"/>
      <c r="T78"/>
    </row>
    <row r="79" spans="2:20" ht="23.1" customHeight="1" x14ac:dyDescent="0.25">
      <c r="B79" s="23" t="s">
        <v>119</v>
      </c>
      <c r="C79" s="49">
        <f>'Avg Week Bwaise-Kawempe'!C79+'Avg Week Kawempe-Bwaise'!C79</f>
        <v>20</v>
      </c>
      <c r="D79" s="49">
        <f>'Avg Week Bwaise-Kawempe'!D79+'Avg Week Kawempe-Bwaise'!D79</f>
        <v>1</v>
      </c>
      <c r="E79" s="49">
        <f>'Avg Week Bwaise-Kawempe'!E79+'Avg Week Kawempe-Bwaise'!E79</f>
        <v>4</v>
      </c>
      <c r="F79" s="49">
        <f>'Avg Week Bwaise-Kawempe'!F79+'Avg Week Kawempe-Bwaise'!F79</f>
        <v>12.5</v>
      </c>
      <c r="G79" s="49">
        <f>'Avg Week Bwaise-Kawempe'!G79+'Avg Week Kawempe-Bwaise'!G79</f>
        <v>1</v>
      </c>
      <c r="H79" s="49">
        <f>'Avg Week Bwaise-Kawempe'!H79+'Avg Week Kawempe-Bwaise'!H79</f>
        <v>2</v>
      </c>
      <c r="I79" s="49">
        <f>'Avg Week Bwaise-Kawempe'!I79+'Avg Week Kawempe-Bwaise'!I79</f>
        <v>1.5</v>
      </c>
      <c r="J79" s="49">
        <f>'Avg Week Bwaise-Kawempe'!J79+'Avg Week Kawempe-Bwaise'!J79</f>
        <v>6.5</v>
      </c>
      <c r="K79" s="49">
        <f>'Avg Week Bwaise-Kawempe'!K79+'Avg Week Kawempe-Bwaise'!K79</f>
        <v>5</v>
      </c>
      <c r="L79" s="49">
        <f>'Avg Week Bwaise-Kawempe'!L79+'Avg Week Kawempe-Bwaise'!L79</f>
        <v>0.5</v>
      </c>
      <c r="M79" s="49">
        <f>'Avg Week Bwaise-Kawempe'!M79+'Avg Week Kawempe-Bwaise'!M79</f>
        <v>53.5</v>
      </c>
      <c r="N79" s="49">
        <f>'Avg Week Bwaise-Kawempe'!N79+'Avg Week Kawempe-Bwaise'!N79</f>
        <v>0</v>
      </c>
      <c r="O79" s="15">
        <f t="shared" si="35"/>
        <v>54</v>
      </c>
      <c r="P79" s="15">
        <f t="shared" si="36"/>
        <v>107.5</v>
      </c>
      <c r="R79" s="8"/>
      <c r="T79"/>
    </row>
    <row r="80" spans="2:20" ht="23.1" customHeight="1" x14ac:dyDescent="0.25">
      <c r="B80" s="25" t="s">
        <v>120</v>
      </c>
      <c r="C80" s="49">
        <f>'Avg Week Bwaise-Kawempe'!C80+'Avg Week Kawempe-Bwaise'!C80</f>
        <v>25.5</v>
      </c>
      <c r="D80" s="49">
        <f>'Avg Week Bwaise-Kawempe'!D80+'Avg Week Kawempe-Bwaise'!D80</f>
        <v>1</v>
      </c>
      <c r="E80" s="49">
        <f>'Avg Week Bwaise-Kawempe'!E80+'Avg Week Kawempe-Bwaise'!E80</f>
        <v>0</v>
      </c>
      <c r="F80" s="49">
        <f>'Avg Week Bwaise-Kawempe'!F80+'Avg Week Kawempe-Bwaise'!F80</f>
        <v>8</v>
      </c>
      <c r="G80" s="49">
        <f>'Avg Week Bwaise-Kawempe'!G80+'Avg Week Kawempe-Bwaise'!G80</f>
        <v>0.5</v>
      </c>
      <c r="H80" s="49">
        <f>'Avg Week Bwaise-Kawempe'!H80+'Avg Week Kawempe-Bwaise'!H80</f>
        <v>0.5</v>
      </c>
      <c r="I80" s="49">
        <f>'Avg Week Bwaise-Kawempe'!I80+'Avg Week Kawempe-Bwaise'!I80</f>
        <v>4</v>
      </c>
      <c r="J80" s="49">
        <f>'Avg Week Bwaise-Kawempe'!J80+'Avg Week Kawempe-Bwaise'!J80</f>
        <v>2</v>
      </c>
      <c r="K80" s="49">
        <f>'Avg Week Bwaise-Kawempe'!K80+'Avg Week Kawempe-Bwaise'!K80</f>
        <v>4</v>
      </c>
      <c r="L80" s="49">
        <f>'Avg Week Bwaise-Kawempe'!L80+'Avg Week Kawempe-Bwaise'!L80</f>
        <v>3</v>
      </c>
      <c r="M80" s="49">
        <f>'Avg Week Bwaise-Kawempe'!M80+'Avg Week Kawempe-Bwaise'!M80</f>
        <v>58</v>
      </c>
      <c r="N80" s="49">
        <f>'Avg Week Bwaise-Kawempe'!N80+'Avg Week Kawempe-Bwaise'!N80</f>
        <v>0</v>
      </c>
      <c r="O80" s="15">
        <f t="shared" si="35"/>
        <v>48.5</v>
      </c>
      <c r="P80" s="15">
        <f t="shared" si="36"/>
        <v>106.5</v>
      </c>
      <c r="R80" s="8"/>
      <c r="T80"/>
    </row>
    <row r="81" spans="2:20" ht="23.1" customHeight="1" x14ac:dyDescent="0.25">
      <c r="B81" s="23" t="s">
        <v>121</v>
      </c>
      <c r="C81" s="49">
        <f>'Avg Week Bwaise-Kawempe'!C81+'Avg Week Kawempe-Bwaise'!C81</f>
        <v>24.5</v>
      </c>
      <c r="D81" s="49">
        <f>'Avg Week Bwaise-Kawempe'!D81+'Avg Week Kawempe-Bwaise'!D81</f>
        <v>1</v>
      </c>
      <c r="E81" s="49">
        <f>'Avg Week Bwaise-Kawempe'!E81+'Avg Week Kawempe-Bwaise'!E81</f>
        <v>3</v>
      </c>
      <c r="F81" s="49">
        <f>'Avg Week Bwaise-Kawempe'!F81+'Avg Week Kawempe-Bwaise'!F81</f>
        <v>9</v>
      </c>
      <c r="G81" s="49">
        <f>'Avg Week Bwaise-Kawempe'!G81+'Avg Week Kawempe-Bwaise'!G81</f>
        <v>0</v>
      </c>
      <c r="H81" s="49">
        <f>'Avg Week Bwaise-Kawempe'!H81+'Avg Week Kawempe-Bwaise'!H81</f>
        <v>1</v>
      </c>
      <c r="I81" s="49">
        <f>'Avg Week Bwaise-Kawempe'!I81+'Avg Week Kawempe-Bwaise'!I81</f>
        <v>3.5</v>
      </c>
      <c r="J81" s="49">
        <f>'Avg Week Bwaise-Kawempe'!J81+'Avg Week Kawempe-Bwaise'!J81</f>
        <v>6</v>
      </c>
      <c r="K81" s="49">
        <f>'Avg Week Bwaise-Kawempe'!K81+'Avg Week Kawempe-Bwaise'!K81</f>
        <v>2</v>
      </c>
      <c r="L81" s="49">
        <f>'Avg Week Bwaise-Kawempe'!L81+'Avg Week Kawempe-Bwaise'!L81</f>
        <v>1</v>
      </c>
      <c r="M81" s="49">
        <f>'Avg Week Bwaise-Kawempe'!M81+'Avg Week Kawempe-Bwaise'!M81</f>
        <v>66.5</v>
      </c>
      <c r="N81" s="49">
        <f>'Avg Week Bwaise-Kawempe'!N81+'Avg Week Kawempe-Bwaise'!N81</f>
        <v>0</v>
      </c>
      <c r="O81" s="15">
        <f t="shared" si="35"/>
        <v>51</v>
      </c>
      <c r="P81" s="15">
        <f t="shared" si="36"/>
        <v>117.5</v>
      </c>
      <c r="R81" s="8"/>
      <c r="T81"/>
    </row>
    <row r="82" spans="2:20" ht="23.1" customHeight="1" x14ac:dyDescent="0.25">
      <c r="B82" s="24" t="s">
        <v>122</v>
      </c>
      <c r="C82" s="49">
        <f>'Avg Week Bwaise-Kawempe'!C82+'Avg Week Kawempe-Bwaise'!C82</f>
        <v>26.5</v>
      </c>
      <c r="D82" s="49">
        <f>'Avg Week Bwaise-Kawempe'!D82+'Avg Week Kawempe-Bwaise'!D82</f>
        <v>1</v>
      </c>
      <c r="E82" s="49">
        <f>'Avg Week Bwaise-Kawempe'!E82+'Avg Week Kawempe-Bwaise'!E82</f>
        <v>4</v>
      </c>
      <c r="F82" s="49">
        <f>'Avg Week Bwaise-Kawempe'!F82+'Avg Week Kawempe-Bwaise'!F82</f>
        <v>5</v>
      </c>
      <c r="G82" s="49">
        <f>'Avg Week Bwaise-Kawempe'!G82+'Avg Week Kawempe-Bwaise'!G82</f>
        <v>0</v>
      </c>
      <c r="H82" s="49">
        <f>'Avg Week Bwaise-Kawempe'!H82+'Avg Week Kawempe-Bwaise'!H82</f>
        <v>0.5</v>
      </c>
      <c r="I82" s="49">
        <f>'Avg Week Bwaise-Kawempe'!I82+'Avg Week Kawempe-Bwaise'!I82</f>
        <v>3.5</v>
      </c>
      <c r="J82" s="49">
        <f>'Avg Week Bwaise-Kawempe'!J82+'Avg Week Kawempe-Bwaise'!J82</f>
        <v>4.5</v>
      </c>
      <c r="K82" s="49">
        <f>'Avg Week Bwaise-Kawempe'!K82+'Avg Week Kawempe-Bwaise'!K82</f>
        <v>4.5</v>
      </c>
      <c r="L82" s="49">
        <f>'Avg Week Bwaise-Kawempe'!L82+'Avg Week Kawempe-Bwaise'!L82</f>
        <v>2</v>
      </c>
      <c r="M82" s="49">
        <f>'Avg Week Bwaise-Kawempe'!M82+'Avg Week Kawempe-Bwaise'!M82</f>
        <v>80</v>
      </c>
      <c r="N82" s="49">
        <f>'Avg Week Bwaise-Kawempe'!N82+'Avg Week Kawempe-Bwaise'!N82</f>
        <v>0</v>
      </c>
      <c r="O82" s="15">
        <f t="shared" si="35"/>
        <v>51.5</v>
      </c>
      <c r="P82" s="15">
        <f t="shared" si="36"/>
        <v>131.5</v>
      </c>
      <c r="R82" s="8"/>
      <c r="T82"/>
    </row>
    <row r="83" spans="2:20" ht="23.1" customHeight="1" x14ac:dyDescent="0.25">
      <c r="B83" s="23" t="s">
        <v>123</v>
      </c>
      <c r="C83" s="49">
        <f>'Avg Week Bwaise-Kawempe'!C83+'Avg Week Kawempe-Bwaise'!C83</f>
        <v>17.5</v>
      </c>
      <c r="D83" s="49">
        <f>'Avg Week Bwaise-Kawempe'!D83+'Avg Week Kawempe-Bwaise'!D83</f>
        <v>2</v>
      </c>
      <c r="E83" s="49">
        <f>'Avg Week Bwaise-Kawempe'!E83+'Avg Week Kawempe-Bwaise'!E83</f>
        <v>0.5</v>
      </c>
      <c r="F83" s="49">
        <f>'Avg Week Bwaise-Kawempe'!F83+'Avg Week Kawempe-Bwaise'!F83</f>
        <v>6</v>
      </c>
      <c r="G83" s="49">
        <f>'Avg Week Bwaise-Kawempe'!G83+'Avg Week Kawempe-Bwaise'!G83</f>
        <v>0.5</v>
      </c>
      <c r="H83" s="49">
        <f>'Avg Week Bwaise-Kawempe'!H83+'Avg Week Kawempe-Bwaise'!H83</f>
        <v>0</v>
      </c>
      <c r="I83" s="49">
        <f>'Avg Week Bwaise-Kawempe'!I83+'Avg Week Kawempe-Bwaise'!I83</f>
        <v>2</v>
      </c>
      <c r="J83" s="49">
        <f>'Avg Week Bwaise-Kawempe'!J83+'Avg Week Kawempe-Bwaise'!J83</f>
        <v>8.5</v>
      </c>
      <c r="K83" s="49">
        <f>'Avg Week Bwaise-Kawempe'!K83+'Avg Week Kawempe-Bwaise'!K83</f>
        <v>11.5</v>
      </c>
      <c r="L83" s="49">
        <f>'Avg Week Bwaise-Kawempe'!L83+'Avg Week Kawempe-Bwaise'!L83</f>
        <v>1.5</v>
      </c>
      <c r="M83" s="49">
        <f>'Avg Week Bwaise-Kawempe'!M83+'Avg Week Kawempe-Bwaise'!M83</f>
        <v>62.5</v>
      </c>
      <c r="N83" s="49">
        <f>'Avg Week Bwaise-Kawempe'!N83+'Avg Week Kawempe-Bwaise'!N83</f>
        <v>0</v>
      </c>
      <c r="O83" s="15">
        <f t="shared" si="35"/>
        <v>50</v>
      </c>
      <c r="P83" s="15">
        <f t="shared" si="36"/>
        <v>112.5</v>
      </c>
      <c r="R83" s="8"/>
      <c r="T83"/>
    </row>
    <row r="84" spans="2:20" ht="23.1" customHeight="1" x14ac:dyDescent="0.25">
      <c r="B84" s="25" t="s">
        <v>124</v>
      </c>
      <c r="C84" s="49">
        <f>'Avg Week Bwaise-Kawempe'!C84+'Avg Week Kawempe-Bwaise'!C84</f>
        <v>24</v>
      </c>
      <c r="D84" s="49">
        <f>'Avg Week Bwaise-Kawempe'!D84+'Avg Week Kawempe-Bwaise'!D84</f>
        <v>1</v>
      </c>
      <c r="E84" s="49">
        <f>'Avg Week Bwaise-Kawempe'!E84+'Avg Week Kawempe-Bwaise'!E84</f>
        <v>3.5</v>
      </c>
      <c r="F84" s="49">
        <f>'Avg Week Bwaise-Kawempe'!F84+'Avg Week Kawempe-Bwaise'!F84</f>
        <v>4</v>
      </c>
      <c r="G84" s="49">
        <f>'Avg Week Bwaise-Kawempe'!G84+'Avg Week Kawempe-Bwaise'!G84</f>
        <v>0</v>
      </c>
      <c r="H84" s="49">
        <f>'Avg Week Bwaise-Kawempe'!H84+'Avg Week Kawempe-Bwaise'!H84</f>
        <v>0</v>
      </c>
      <c r="I84" s="49">
        <f>'Avg Week Bwaise-Kawempe'!I84+'Avg Week Kawempe-Bwaise'!I84</f>
        <v>1.5</v>
      </c>
      <c r="J84" s="49">
        <f>'Avg Week Bwaise-Kawempe'!J84+'Avg Week Kawempe-Bwaise'!J84</f>
        <v>6</v>
      </c>
      <c r="K84" s="49">
        <f>'Avg Week Bwaise-Kawempe'!K84+'Avg Week Kawempe-Bwaise'!K84</f>
        <v>3.5</v>
      </c>
      <c r="L84" s="49">
        <f>'Avg Week Bwaise-Kawempe'!L84+'Avg Week Kawempe-Bwaise'!L84</f>
        <v>2.5</v>
      </c>
      <c r="M84" s="49">
        <f>'Avg Week Bwaise-Kawempe'!M84+'Avg Week Kawempe-Bwaise'!M84</f>
        <v>69.5</v>
      </c>
      <c r="N84" s="49">
        <f>'Avg Week Bwaise-Kawempe'!N84+'Avg Week Kawempe-Bwaise'!N84</f>
        <v>0</v>
      </c>
      <c r="O84" s="15">
        <f t="shared" si="35"/>
        <v>46</v>
      </c>
      <c r="P84" s="15">
        <f t="shared" si="36"/>
        <v>115.5</v>
      </c>
      <c r="R84" s="8"/>
      <c r="T84"/>
    </row>
    <row r="85" spans="2:20" ht="23.1" customHeight="1" x14ac:dyDescent="0.25">
      <c r="B85" s="23" t="s">
        <v>125</v>
      </c>
      <c r="C85" s="49">
        <f>'Avg Week Bwaise-Kawempe'!C85+'Avg Week Kawempe-Bwaise'!C85</f>
        <v>16</v>
      </c>
      <c r="D85" s="49">
        <f>'Avg Week Bwaise-Kawempe'!D85+'Avg Week Kawempe-Bwaise'!D85</f>
        <v>0.5</v>
      </c>
      <c r="E85" s="49">
        <f>'Avg Week Bwaise-Kawempe'!E85+'Avg Week Kawempe-Bwaise'!E85</f>
        <v>3</v>
      </c>
      <c r="F85" s="49">
        <f>'Avg Week Bwaise-Kawempe'!F85+'Avg Week Kawempe-Bwaise'!F85</f>
        <v>2.5</v>
      </c>
      <c r="G85" s="49">
        <f>'Avg Week Bwaise-Kawempe'!G85+'Avg Week Kawempe-Bwaise'!G85</f>
        <v>0</v>
      </c>
      <c r="H85" s="49">
        <f>'Avg Week Bwaise-Kawempe'!H85+'Avg Week Kawempe-Bwaise'!H85</f>
        <v>0</v>
      </c>
      <c r="I85" s="49">
        <f>'Avg Week Bwaise-Kawempe'!I85+'Avg Week Kawempe-Bwaise'!I85</f>
        <v>0.5</v>
      </c>
      <c r="J85" s="49">
        <f>'Avg Week Bwaise-Kawempe'!J85+'Avg Week Kawempe-Bwaise'!J85</f>
        <v>9.5</v>
      </c>
      <c r="K85" s="49">
        <f>'Avg Week Bwaise-Kawempe'!K85+'Avg Week Kawempe-Bwaise'!K85</f>
        <v>3</v>
      </c>
      <c r="L85" s="49">
        <f>'Avg Week Bwaise-Kawempe'!L85+'Avg Week Kawempe-Bwaise'!L85</f>
        <v>2.5</v>
      </c>
      <c r="M85" s="49">
        <f>'Avg Week Bwaise-Kawempe'!M85+'Avg Week Kawempe-Bwaise'!M85</f>
        <v>59.5</v>
      </c>
      <c r="N85" s="49">
        <f>'Avg Week Bwaise-Kawempe'!N85+'Avg Week Kawempe-Bwaise'!N85</f>
        <v>0</v>
      </c>
      <c r="O85" s="15">
        <f t="shared" si="35"/>
        <v>37.5</v>
      </c>
      <c r="P85" s="15">
        <f t="shared" si="36"/>
        <v>97</v>
      </c>
      <c r="R85" s="8"/>
      <c r="T85"/>
    </row>
    <row r="86" spans="2:20" ht="23.1" customHeight="1" x14ac:dyDescent="0.25">
      <c r="B86" s="24" t="s">
        <v>126</v>
      </c>
      <c r="C86" s="49">
        <f>'Avg Week Bwaise-Kawempe'!C86+'Avg Week Kawempe-Bwaise'!C86</f>
        <v>14.5</v>
      </c>
      <c r="D86" s="49">
        <f>'Avg Week Bwaise-Kawempe'!D86+'Avg Week Kawempe-Bwaise'!D86</f>
        <v>1.5</v>
      </c>
      <c r="E86" s="49">
        <f>'Avg Week Bwaise-Kawempe'!E86+'Avg Week Kawempe-Bwaise'!E86</f>
        <v>1.5</v>
      </c>
      <c r="F86" s="49">
        <f>'Avg Week Bwaise-Kawempe'!F86+'Avg Week Kawempe-Bwaise'!F86</f>
        <v>2.5</v>
      </c>
      <c r="G86" s="49">
        <f>'Avg Week Bwaise-Kawempe'!G86+'Avg Week Kawempe-Bwaise'!G86</f>
        <v>0</v>
      </c>
      <c r="H86" s="49">
        <f>'Avg Week Bwaise-Kawempe'!H86+'Avg Week Kawempe-Bwaise'!H86</f>
        <v>1</v>
      </c>
      <c r="I86" s="49">
        <f>'Avg Week Bwaise-Kawempe'!I86+'Avg Week Kawempe-Bwaise'!I86</f>
        <v>2</v>
      </c>
      <c r="J86" s="49">
        <f>'Avg Week Bwaise-Kawempe'!J86+'Avg Week Kawempe-Bwaise'!J86</f>
        <v>2.5</v>
      </c>
      <c r="K86" s="49">
        <f>'Avg Week Bwaise-Kawempe'!K86+'Avg Week Kawempe-Bwaise'!K86</f>
        <v>4</v>
      </c>
      <c r="L86" s="49">
        <f>'Avg Week Bwaise-Kawempe'!L86+'Avg Week Kawempe-Bwaise'!L86</f>
        <v>1.5</v>
      </c>
      <c r="M86" s="49">
        <f>'Avg Week Bwaise-Kawempe'!M86+'Avg Week Kawempe-Bwaise'!M86</f>
        <v>53.5</v>
      </c>
      <c r="N86" s="49">
        <f>'Avg Week Bwaise-Kawempe'!N86+'Avg Week Kawempe-Bwaise'!N86</f>
        <v>0</v>
      </c>
      <c r="O86" s="15">
        <f t="shared" si="35"/>
        <v>31</v>
      </c>
      <c r="P86" s="15">
        <f t="shared" si="36"/>
        <v>84.5</v>
      </c>
      <c r="R86" s="8"/>
      <c r="T86"/>
    </row>
    <row r="87" spans="2:20" ht="23.1" customHeight="1" x14ac:dyDescent="0.25">
      <c r="B87" s="23" t="s">
        <v>127</v>
      </c>
      <c r="C87" s="49">
        <f>'Avg Week Bwaise-Kawempe'!C87+'Avg Week Kawempe-Bwaise'!C87</f>
        <v>15</v>
      </c>
      <c r="D87" s="49">
        <f>'Avg Week Bwaise-Kawempe'!D87+'Avg Week Kawempe-Bwaise'!D87</f>
        <v>1</v>
      </c>
      <c r="E87" s="49">
        <f>'Avg Week Bwaise-Kawempe'!E87+'Avg Week Kawempe-Bwaise'!E87</f>
        <v>1.5</v>
      </c>
      <c r="F87" s="49">
        <f>'Avg Week Bwaise-Kawempe'!F87+'Avg Week Kawempe-Bwaise'!F87</f>
        <v>2.5</v>
      </c>
      <c r="G87" s="49">
        <f>'Avg Week Bwaise-Kawempe'!G87+'Avg Week Kawempe-Bwaise'!G87</f>
        <v>0</v>
      </c>
      <c r="H87" s="49">
        <f>'Avg Week Bwaise-Kawempe'!H87+'Avg Week Kawempe-Bwaise'!H87</f>
        <v>0</v>
      </c>
      <c r="I87" s="49">
        <f>'Avg Week Bwaise-Kawempe'!I87+'Avg Week Kawempe-Bwaise'!I87</f>
        <v>4.5</v>
      </c>
      <c r="J87" s="49">
        <f>'Avg Week Bwaise-Kawempe'!J87+'Avg Week Kawempe-Bwaise'!J87</f>
        <v>5</v>
      </c>
      <c r="K87" s="49">
        <f>'Avg Week Bwaise-Kawempe'!K87+'Avg Week Kawempe-Bwaise'!K87</f>
        <v>5</v>
      </c>
      <c r="L87" s="49">
        <f>'Avg Week Bwaise-Kawempe'!L87+'Avg Week Kawempe-Bwaise'!L87</f>
        <v>0.5</v>
      </c>
      <c r="M87" s="49">
        <f>'Avg Week Bwaise-Kawempe'!M87+'Avg Week Kawempe-Bwaise'!M87</f>
        <v>51.5</v>
      </c>
      <c r="N87" s="49">
        <f>'Avg Week Bwaise-Kawempe'!N87+'Avg Week Kawempe-Bwaise'!N87</f>
        <v>0</v>
      </c>
      <c r="O87" s="15">
        <f t="shared" si="35"/>
        <v>35</v>
      </c>
      <c r="P87" s="15">
        <f t="shared" si="36"/>
        <v>86.5</v>
      </c>
      <c r="R87" s="8"/>
      <c r="T87"/>
    </row>
    <row r="88" spans="2:20" ht="23.1" customHeight="1" x14ac:dyDescent="0.25">
      <c r="B88" s="25" t="s">
        <v>128</v>
      </c>
      <c r="C88" s="49">
        <f>'Avg Week Bwaise-Kawempe'!C88+'Avg Week Kawempe-Bwaise'!C88</f>
        <v>12</v>
      </c>
      <c r="D88" s="49">
        <f>'Avg Week Bwaise-Kawempe'!D88+'Avg Week Kawempe-Bwaise'!D88</f>
        <v>0</v>
      </c>
      <c r="E88" s="49">
        <f>'Avg Week Bwaise-Kawempe'!E88+'Avg Week Kawempe-Bwaise'!E88</f>
        <v>0.5</v>
      </c>
      <c r="F88" s="49">
        <f>'Avg Week Bwaise-Kawempe'!F88+'Avg Week Kawempe-Bwaise'!F88</f>
        <v>1.5</v>
      </c>
      <c r="G88" s="49">
        <f>'Avg Week Bwaise-Kawempe'!G88+'Avg Week Kawempe-Bwaise'!G88</f>
        <v>0</v>
      </c>
      <c r="H88" s="49">
        <f>'Avg Week Bwaise-Kawempe'!H88+'Avg Week Kawempe-Bwaise'!H88</f>
        <v>1</v>
      </c>
      <c r="I88" s="49">
        <f>'Avg Week Bwaise-Kawempe'!I88+'Avg Week Kawempe-Bwaise'!I88</f>
        <v>1</v>
      </c>
      <c r="J88" s="49">
        <f>'Avg Week Bwaise-Kawempe'!J88+'Avg Week Kawempe-Bwaise'!J88</f>
        <v>3</v>
      </c>
      <c r="K88" s="49">
        <f>'Avg Week Bwaise-Kawempe'!K88+'Avg Week Kawempe-Bwaise'!K88</f>
        <v>6</v>
      </c>
      <c r="L88" s="49">
        <f>'Avg Week Bwaise-Kawempe'!L88+'Avg Week Kawempe-Bwaise'!L88</f>
        <v>0.5</v>
      </c>
      <c r="M88" s="49">
        <f>'Avg Week Bwaise-Kawempe'!M88+'Avg Week Kawempe-Bwaise'!M88</f>
        <v>41.5</v>
      </c>
      <c r="N88" s="49">
        <f>'Avg Week Bwaise-Kawempe'!N88+'Avg Week Kawempe-Bwaise'!N88</f>
        <v>0</v>
      </c>
      <c r="O88" s="15">
        <f t="shared" si="35"/>
        <v>25.5</v>
      </c>
      <c r="P88" s="15">
        <f t="shared" si="36"/>
        <v>67</v>
      </c>
      <c r="R88" s="8"/>
      <c r="T88"/>
    </row>
    <row r="89" spans="2:20" ht="23.1" customHeight="1" x14ac:dyDescent="0.25">
      <c r="B89" s="23" t="s">
        <v>129</v>
      </c>
      <c r="C89" s="49">
        <f>'Avg Week Bwaise-Kawempe'!C89+'Avg Week Kawempe-Bwaise'!C89</f>
        <v>26</v>
      </c>
      <c r="D89" s="49">
        <f>'Avg Week Bwaise-Kawempe'!D89+'Avg Week Kawempe-Bwaise'!D89</f>
        <v>1</v>
      </c>
      <c r="E89" s="49">
        <f>'Avg Week Bwaise-Kawempe'!E89+'Avg Week Kawempe-Bwaise'!E89</f>
        <v>0.5</v>
      </c>
      <c r="F89" s="49">
        <f>'Avg Week Bwaise-Kawempe'!F89+'Avg Week Kawempe-Bwaise'!F89</f>
        <v>1</v>
      </c>
      <c r="G89" s="49">
        <f>'Avg Week Bwaise-Kawempe'!G89+'Avg Week Kawempe-Bwaise'!G89</f>
        <v>0</v>
      </c>
      <c r="H89" s="49">
        <f>'Avg Week Bwaise-Kawempe'!H89+'Avg Week Kawempe-Bwaise'!H89</f>
        <v>0.5</v>
      </c>
      <c r="I89" s="49">
        <f>'Avg Week Bwaise-Kawempe'!I89+'Avg Week Kawempe-Bwaise'!I89</f>
        <v>1.5</v>
      </c>
      <c r="J89" s="49">
        <f>'Avg Week Bwaise-Kawempe'!J89+'Avg Week Kawempe-Bwaise'!J89</f>
        <v>4.5</v>
      </c>
      <c r="K89" s="49">
        <f>'Avg Week Bwaise-Kawempe'!K89+'Avg Week Kawempe-Bwaise'!K89</f>
        <v>4</v>
      </c>
      <c r="L89" s="49">
        <f>'Avg Week Bwaise-Kawempe'!L89+'Avg Week Kawempe-Bwaise'!L89</f>
        <v>0.5</v>
      </c>
      <c r="M89" s="49">
        <f>'Avg Week Bwaise-Kawempe'!M89+'Avg Week Kawempe-Bwaise'!M89</f>
        <v>52</v>
      </c>
      <c r="N89" s="49">
        <f>'Avg Week Bwaise-Kawempe'!N89+'Avg Week Kawempe-Bwaise'!N89</f>
        <v>0</v>
      </c>
      <c r="O89" s="15">
        <f t="shared" si="35"/>
        <v>39.5</v>
      </c>
      <c r="P89" s="15">
        <f t="shared" si="36"/>
        <v>91.5</v>
      </c>
      <c r="R89" s="8"/>
      <c r="T89"/>
    </row>
    <row r="90" spans="2:20" ht="23.1" customHeight="1" x14ac:dyDescent="0.25">
      <c r="B90" s="24" t="s">
        <v>130</v>
      </c>
      <c r="C90" s="49">
        <f>'Avg Week Bwaise-Kawempe'!C90+'Avg Week Kawempe-Bwaise'!C90</f>
        <v>10</v>
      </c>
      <c r="D90" s="49">
        <f>'Avg Week Bwaise-Kawempe'!D90+'Avg Week Kawempe-Bwaise'!D90</f>
        <v>1</v>
      </c>
      <c r="E90" s="49">
        <f>'Avg Week Bwaise-Kawempe'!E90+'Avg Week Kawempe-Bwaise'!E90</f>
        <v>0.5</v>
      </c>
      <c r="F90" s="49">
        <f>'Avg Week Bwaise-Kawempe'!F90+'Avg Week Kawempe-Bwaise'!F90</f>
        <v>1</v>
      </c>
      <c r="G90" s="49">
        <f>'Avg Week Bwaise-Kawempe'!G90+'Avg Week Kawempe-Bwaise'!G90</f>
        <v>0</v>
      </c>
      <c r="H90" s="49">
        <f>'Avg Week Bwaise-Kawempe'!H90+'Avg Week Kawempe-Bwaise'!H90</f>
        <v>0.5</v>
      </c>
      <c r="I90" s="49">
        <f>'Avg Week Bwaise-Kawempe'!I90+'Avg Week Kawempe-Bwaise'!I90</f>
        <v>0.5</v>
      </c>
      <c r="J90" s="49">
        <f>'Avg Week Bwaise-Kawempe'!J90+'Avg Week Kawempe-Bwaise'!J90</f>
        <v>3.5</v>
      </c>
      <c r="K90" s="49">
        <f>'Avg Week Bwaise-Kawempe'!K90+'Avg Week Kawempe-Bwaise'!K90</f>
        <v>4</v>
      </c>
      <c r="L90" s="49">
        <f>'Avg Week Bwaise-Kawempe'!L90+'Avg Week Kawempe-Bwaise'!L90</f>
        <v>0</v>
      </c>
      <c r="M90" s="49">
        <f>'Avg Week Bwaise-Kawempe'!M90+'Avg Week Kawempe-Bwaise'!M90</f>
        <v>31.5</v>
      </c>
      <c r="N90" s="49">
        <f>'Avg Week Bwaise-Kawempe'!N90+'Avg Week Kawempe-Bwaise'!N90</f>
        <v>0</v>
      </c>
      <c r="O90" s="15">
        <f t="shared" si="35"/>
        <v>21</v>
      </c>
      <c r="P90" s="15">
        <f t="shared" si="36"/>
        <v>52.5</v>
      </c>
      <c r="R90" s="8"/>
      <c r="T90"/>
    </row>
    <row r="91" spans="2:20" ht="23.1" customHeight="1" x14ac:dyDescent="0.25">
      <c r="B91" s="23" t="s">
        <v>131</v>
      </c>
      <c r="C91" s="49">
        <f>'Avg Week Bwaise-Kawempe'!C91+'Avg Week Kawempe-Bwaise'!C91</f>
        <v>16.5</v>
      </c>
      <c r="D91" s="49">
        <f>'Avg Week Bwaise-Kawempe'!D91+'Avg Week Kawempe-Bwaise'!D91</f>
        <v>0</v>
      </c>
      <c r="E91" s="49">
        <f>'Avg Week Bwaise-Kawempe'!E91+'Avg Week Kawempe-Bwaise'!E91</f>
        <v>2</v>
      </c>
      <c r="F91" s="49">
        <f>'Avg Week Bwaise-Kawempe'!F91+'Avg Week Kawempe-Bwaise'!F91</f>
        <v>3.5</v>
      </c>
      <c r="G91" s="49">
        <f>'Avg Week Bwaise-Kawempe'!G91+'Avg Week Kawempe-Bwaise'!G91</f>
        <v>0</v>
      </c>
      <c r="H91" s="49">
        <f>'Avg Week Bwaise-Kawempe'!H91+'Avg Week Kawempe-Bwaise'!H91</f>
        <v>1.5</v>
      </c>
      <c r="I91" s="49">
        <f>'Avg Week Bwaise-Kawempe'!I91+'Avg Week Kawempe-Bwaise'!I91</f>
        <v>2</v>
      </c>
      <c r="J91" s="49">
        <f>'Avg Week Bwaise-Kawempe'!J91+'Avg Week Kawempe-Bwaise'!J91</f>
        <v>5</v>
      </c>
      <c r="K91" s="49">
        <f>'Avg Week Bwaise-Kawempe'!K91+'Avg Week Kawempe-Bwaise'!K91</f>
        <v>3.5</v>
      </c>
      <c r="L91" s="49">
        <f>'Avg Week Bwaise-Kawempe'!L91+'Avg Week Kawempe-Bwaise'!L91</f>
        <v>0.5</v>
      </c>
      <c r="M91" s="49">
        <f>'Avg Week Bwaise-Kawempe'!M91+'Avg Week Kawempe-Bwaise'!M91</f>
        <v>41</v>
      </c>
      <c r="N91" s="49">
        <f>'Avg Week Bwaise-Kawempe'!N91+'Avg Week Kawempe-Bwaise'!N91</f>
        <v>0</v>
      </c>
      <c r="O91" s="15">
        <f t="shared" si="35"/>
        <v>34.5</v>
      </c>
      <c r="P91" s="15">
        <f t="shared" si="36"/>
        <v>75.5</v>
      </c>
      <c r="R91" s="8"/>
      <c r="T91"/>
    </row>
    <row r="92" spans="2:20" ht="23.1" customHeight="1" x14ac:dyDescent="0.25">
      <c r="B92" s="25" t="s">
        <v>132</v>
      </c>
      <c r="C92" s="49">
        <f>'Avg Week Bwaise-Kawempe'!C92+'Avg Week Kawempe-Bwaise'!C92</f>
        <v>15</v>
      </c>
      <c r="D92" s="49">
        <f>'Avg Week Bwaise-Kawempe'!D92+'Avg Week Kawempe-Bwaise'!D92</f>
        <v>0</v>
      </c>
      <c r="E92" s="49">
        <f>'Avg Week Bwaise-Kawempe'!E92+'Avg Week Kawempe-Bwaise'!E92</f>
        <v>0</v>
      </c>
      <c r="F92" s="49">
        <f>'Avg Week Bwaise-Kawempe'!F92+'Avg Week Kawempe-Bwaise'!F92</f>
        <v>0.5</v>
      </c>
      <c r="G92" s="49">
        <f>'Avg Week Bwaise-Kawempe'!G92+'Avg Week Kawempe-Bwaise'!G92</f>
        <v>0.5</v>
      </c>
      <c r="H92" s="49">
        <f>'Avg Week Bwaise-Kawempe'!H92+'Avg Week Kawempe-Bwaise'!H92</f>
        <v>3.5</v>
      </c>
      <c r="I92" s="49">
        <f>'Avg Week Bwaise-Kawempe'!I92+'Avg Week Kawempe-Bwaise'!I92</f>
        <v>1</v>
      </c>
      <c r="J92" s="49">
        <f>'Avg Week Bwaise-Kawempe'!J92+'Avg Week Kawempe-Bwaise'!J92</f>
        <v>3</v>
      </c>
      <c r="K92" s="49">
        <f>'Avg Week Bwaise-Kawempe'!K92+'Avg Week Kawempe-Bwaise'!K92</f>
        <v>6</v>
      </c>
      <c r="L92" s="49">
        <f>'Avg Week Bwaise-Kawempe'!L92+'Avg Week Kawempe-Bwaise'!L92</f>
        <v>0.5</v>
      </c>
      <c r="M92" s="49">
        <f>'Avg Week Bwaise-Kawempe'!M92+'Avg Week Kawempe-Bwaise'!M92</f>
        <v>39.5</v>
      </c>
      <c r="N92" s="49">
        <f>'Avg Week Bwaise-Kawempe'!N92+'Avg Week Kawempe-Bwaise'!N92</f>
        <v>0</v>
      </c>
      <c r="O92" s="15">
        <f t="shared" si="35"/>
        <v>30</v>
      </c>
      <c r="P92" s="15">
        <f t="shared" si="36"/>
        <v>69.5</v>
      </c>
      <c r="R92" s="8"/>
      <c r="T92"/>
    </row>
    <row r="93" spans="2:20" ht="23.1" customHeight="1" x14ac:dyDescent="0.25">
      <c r="B93" s="23" t="s">
        <v>133</v>
      </c>
      <c r="C93" s="49">
        <f>'Avg Week Bwaise-Kawempe'!C93+'Avg Week Kawempe-Bwaise'!C93</f>
        <v>15.5</v>
      </c>
      <c r="D93" s="49">
        <f>'Avg Week Bwaise-Kawempe'!D93+'Avg Week Kawempe-Bwaise'!D93</f>
        <v>0.5</v>
      </c>
      <c r="E93" s="49">
        <f>'Avg Week Bwaise-Kawempe'!E93+'Avg Week Kawempe-Bwaise'!E93</f>
        <v>1.5</v>
      </c>
      <c r="F93" s="49">
        <f>'Avg Week Bwaise-Kawempe'!F93+'Avg Week Kawempe-Bwaise'!F93</f>
        <v>7.5</v>
      </c>
      <c r="G93" s="49">
        <f>'Avg Week Bwaise-Kawempe'!G93+'Avg Week Kawempe-Bwaise'!G93</f>
        <v>0</v>
      </c>
      <c r="H93" s="49">
        <f>'Avg Week Bwaise-Kawempe'!H93+'Avg Week Kawempe-Bwaise'!H93</f>
        <v>1</v>
      </c>
      <c r="I93" s="49">
        <f>'Avg Week Bwaise-Kawempe'!I93+'Avg Week Kawempe-Bwaise'!I93</f>
        <v>2.5</v>
      </c>
      <c r="J93" s="49">
        <f>'Avg Week Bwaise-Kawempe'!J93+'Avg Week Kawempe-Bwaise'!J93</f>
        <v>7.5</v>
      </c>
      <c r="K93" s="49">
        <f>'Avg Week Bwaise-Kawempe'!K93+'Avg Week Kawempe-Bwaise'!K93</f>
        <v>5.5</v>
      </c>
      <c r="L93" s="49">
        <f>'Avg Week Bwaise-Kawempe'!L93+'Avg Week Kawempe-Bwaise'!L93</f>
        <v>1</v>
      </c>
      <c r="M93" s="49">
        <f>'Avg Week Bwaise-Kawempe'!M93+'Avg Week Kawempe-Bwaise'!M93</f>
        <v>38.5</v>
      </c>
      <c r="N93" s="49">
        <f>'Avg Week Bwaise-Kawempe'!N93+'Avg Week Kawempe-Bwaise'!N93</f>
        <v>0</v>
      </c>
      <c r="O93" s="15">
        <f t="shared" si="35"/>
        <v>42.5</v>
      </c>
      <c r="P93" s="15">
        <f t="shared" si="36"/>
        <v>81</v>
      </c>
      <c r="R93" s="8"/>
      <c r="T93"/>
    </row>
    <row r="94" spans="2:20" ht="23.1" customHeight="1" x14ac:dyDescent="0.25">
      <c r="B94" s="24" t="s">
        <v>134</v>
      </c>
      <c r="C94" s="49">
        <f>'Avg Week Bwaise-Kawempe'!C94+'Avg Week Kawempe-Bwaise'!C94</f>
        <v>13.5</v>
      </c>
      <c r="D94" s="49">
        <f>'Avg Week Bwaise-Kawempe'!D94+'Avg Week Kawempe-Bwaise'!D94</f>
        <v>1.5</v>
      </c>
      <c r="E94" s="49">
        <f>'Avg Week Bwaise-Kawempe'!E94+'Avg Week Kawempe-Bwaise'!E94</f>
        <v>1</v>
      </c>
      <c r="F94" s="49">
        <f>'Avg Week Bwaise-Kawempe'!F94+'Avg Week Kawempe-Bwaise'!F94</f>
        <v>6.5</v>
      </c>
      <c r="G94" s="49">
        <f>'Avg Week Bwaise-Kawempe'!G94+'Avg Week Kawempe-Bwaise'!G94</f>
        <v>0.5</v>
      </c>
      <c r="H94" s="49">
        <f>'Avg Week Bwaise-Kawempe'!H94+'Avg Week Kawempe-Bwaise'!H94</f>
        <v>2</v>
      </c>
      <c r="I94" s="49">
        <f>'Avg Week Bwaise-Kawempe'!I94+'Avg Week Kawempe-Bwaise'!I94</f>
        <v>3</v>
      </c>
      <c r="J94" s="49">
        <f>'Avg Week Bwaise-Kawempe'!J94+'Avg Week Kawempe-Bwaise'!J94</f>
        <v>4.5</v>
      </c>
      <c r="K94" s="49">
        <f>'Avg Week Bwaise-Kawempe'!K94+'Avg Week Kawempe-Bwaise'!K94</f>
        <v>5.5</v>
      </c>
      <c r="L94" s="49">
        <f>'Avg Week Bwaise-Kawempe'!L94+'Avg Week Kawempe-Bwaise'!L94</f>
        <v>1.5</v>
      </c>
      <c r="M94" s="49">
        <f>'Avg Week Bwaise-Kawempe'!M94+'Avg Week Kawempe-Bwaise'!M94</f>
        <v>52</v>
      </c>
      <c r="N94" s="49">
        <f>'Avg Week Bwaise-Kawempe'!N94+'Avg Week Kawempe-Bwaise'!N94</f>
        <v>0</v>
      </c>
      <c r="O94" s="15">
        <f t="shared" si="35"/>
        <v>39.5</v>
      </c>
      <c r="P94" s="15">
        <f t="shared" si="36"/>
        <v>91.5</v>
      </c>
      <c r="R94" s="8"/>
      <c r="T94"/>
    </row>
    <row r="95" spans="2:20" ht="23.1" customHeight="1" x14ac:dyDescent="0.25">
      <c r="B95" s="23" t="s">
        <v>135</v>
      </c>
      <c r="C95" s="49">
        <f>'Avg Week Bwaise-Kawempe'!C95+'Avg Week Kawempe-Bwaise'!C95</f>
        <v>11</v>
      </c>
      <c r="D95" s="49">
        <f>'Avg Week Bwaise-Kawempe'!D95+'Avg Week Kawempe-Bwaise'!D95</f>
        <v>0</v>
      </c>
      <c r="E95" s="49">
        <f>'Avg Week Bwaise-Kawempe'!E95+'Avg Week Kawempe-Bwaise'!E95</f>
        <v>1</v>
      </c>
      <c r="F95" s="49">
        <f>'Avg Week Bwaise-Kawempe'!F95+'Avg Week Kawempe-Bwaise'!F95</f>
        <v>7.5</v>
      </c>
      <c r="G95" s="49">
        <f>'Avg Week Bwaise-Kawempe'!G95+'Avg Week Kawempe-Bwaise'!G95</f>
        <v>0.5</v>
      </c>
      <c r="H95" s="49">
        <f>'Avg Week Bwaise-Kawempe'!H95+'Avg Week Kawempe-Bwaise'!H95</f>
        <v>2</v>
      </c>
      <c r="I95" s="49">
        <f>'Avg Week Bwaise-Kawempe'!I95+'Avg Week Kawempe-Bwaise'!I95</f>
        <v>4</v>
      </c>
      <c r="J95" s="49">
        <f>'Avg Week Bwaise-Kawempe'!J95+'Avg Week Kawempe-Bwaise'!J95</f>
        <v>3</v>
      </c>
      <c r="K95" s="49">
        <f>'Avg Week Bwaise-Kawempe'!K95+'Avg Week Kawempe-Bwaise'!K95</f>
        <v>3.5</v>
      </c>
      <c r="L95" s="49">
        <f>'Avg Week Bwaise-Kawempe'!L95+'Avg Week Kawempe-Bwaise'!L95</f>
        <v>0</v>
      </c>
      <c r="M95" s="49">
        <f>'Avg Week Bwaise-Kawempe'!M95+'Avg Week Kawempe-Bwaise'!M95</f>
        <v>42</v>
      </c>
      <c r="N95" s="49">
        <f>'Avg Week Bwaise-Kawempe'!N95+'Avg Week Kawempe-Bwaise'!N95</f>
        <v>0</v>
      </c>
      <c r="O95" s="15">
        <f t="shared" si="35"/>
        <v>32.5</v>
      </c>
      <c r="P95" s="15">
        <f t="shared" si="36"/>
        <v>74.5</v>
      </c>
      <c r="R95" s="8"/>
      <c r="T95"/>
    </row>
    <row r="96" spans="2:20" ht="23.1" customHeight="1" x14ac:dyDescent="0.25">
      <c r="B96" s="25" t="s">
        <v>136</v>
      </c>
      <c r="C96" s="49">
        <f>'Avg Week Bwaise-Kawempe'!C96+'Avg Week Kawempe-Bwaise'!C96</f>
        <v>21</v>
      </c>
      <c r="D96" s="49">
        <f>'Avg Week Bwaise-Kawempe'!D96+'Avg Week Kawempe-Bwaise'!D96</f>
        <v>0</v>
      </c>
      <c r="E96" s="49">
        <f>'Avg Week Bwaise-Kawempe'!E96+'Avg Week Kawempe-Bwaise'!E96</f>
        <v>2.5</v>
      </c>
      <c r="F96" s="49">
        <f>'Avg Week Bwaise-Kawempe'!F96+'Avg Week Kawempe-Bwaise'!F96</f>
        <v>11</v>
      </c>
      <c r="G96" s="49">
        <f>'Avg Week Bwaise-Kawempe'!G96+'Avg Week Kawempe-Bwaise'!G96</f>
        <v>0</v>
      </c>
      <c r="H96" s="49">
        <f>'Avg Week Bwaise-Kawempe'!H96+'Avg Week Kawempe-Bwaise'!H96</f>
        <v>2</v>
      </c>
      <c r="I96" s="49">
        <f>'Avg Week Bwaise-Kawempe'!I96+'Avg Week Kawempe-Bwaise'!I96</f>
        <v>3</v>
      </c>
      <c r="J96" s="49">
        <f>'Avg Week Bwaise-Kawempe'!J96+'Avg Week Kawempe-Bwaise'!J96</f>
        <v>10</v>
      </c>
      <c r="K96" s="49">
        <f>'Avg Week Bwaise-Kawempe'!K96+'Avg Week Kawempe-Bwaise'!K96</f>
        <v>6</v>
      </c>
      <c r="L96" s="49">
        <f>'Avg Week Bwaise-Kawempe'!L96+'Avg Week Kawempe-Bwaise'!L96</f>
        <v>1.5</v>
      </c>
      <c r="M96" s="49">
        <f>'Avg Week Bwaise-Kawempe'!M96+'Avg Week Kawempe-Bwaise'!M96</f>
        <v>53.5</v>
      </c>
      <c r="N96" s="49">
        <f>'Avg Week Bwaise-Kawempe'!N96+'Avg Week Kawempe-Bwaise'!N96</f>
        <v>0</v>
      </c>
      <c r="O96" s="15">
        <f t="shared" si="35"/>
        <v>57</v>
      </c>
      <c r="P96" s="15">
        <f t="shared" si="36"/>
        <v>110.5</v>
      </c>
      <c r="R96" s="8"/>
      <c r="T96"/>
    </row>
    <row r="97" spans="2:20" ht="23.1" customHeight="1" x14ac:dyDescent="0.25">
      <c r="B97" s="23" t="s">
        <v>137</v>
      </c>
      <c r="C97" s="49">
        <f>'Avg Week Bwaise-Kawempe'!C97+'Avg Week Kawempe-Bwaise'!C97</f>
        <v>16</v>
      </c>
      <c r="D97" s="49">
        <f>'Avg Week Bwaise-Kawempe'!D97+'Avg Week Kawempe-Bwaise'!D97</f>
        <v>2</v>
      </c>
      <c r="E97" s="49">
        <f>'Avg Week Bwaise-Kawempe'!E97+'Avg Week Kawempe-Bwaise'!E97</f>
        <v>1</v>
      </c>
      <c r="F97" s="49">
        <f>'Avg Week Bwaise-Kawempe'!F97+'Avg Week Kawempe-Bwaise'!F97</f>
        <v>8</v>
      </c>
      <c r="G97" s="49">
        <f>'Avg Week Bwaise-Kawempe'!G97+'Avg Week Kawempe-Bwaise'!G97</f>
        <v>1</v>
      </c>
      <c r="H97" s="49">
        <f>'Avg Week Bwaise-Kawempe'!H97+'Avg Week Kawempe-Bwaise'!H97</f>
        <v>3.5</v>
      </c>
      <c r="I97" s="49">
        <f>'Avg Week Bwaise-Kawempe'!I97+'Avg Week Kawempe-Bwaise'!I97</f>
        <v>5.5</v>
      </c>
      <c r="J97" s="49">
        <f>'Avg Week Bwaise-Kawempe'!J97+'Avg Week Kawempe-Bwaise'!J97</f>
        <v>2</v>
      </c>
      <c r="K97" s="49">
        <f>'Avg Week Bwaise-Kawempe'!K97+'Avg Week Kawempe-Bwaise'!K97</f>
        <v>3.5</v>
      </c>
      <c r="L97" s="49">
        <f>'Avg Week Bwaise-Kawempe'!L97+'Avg Week Kawempe-Bwaise'!L97</f>
        <v>3</v>
      </c>
      <c r="M97" s="49">
        <f>'Avg Week Bwaise-Kawempe'!M97+'Avg Week Kawempe-Bwaise'!M97</f>
        <v>47</v>
      </c>
      <c r="N97" s="49">
        <f>'Avg Week Bwaise-Kawempe'!N97+'Avg Week Kawempe-Bwaise'!N97</f>
        <v>0</v>
      </c>
      <c r="O97" s="15">
        <f t="shared" si="35"/>
        <v>45.5</v>
      </c>
      <c r="P97" s="15">
        <f t="shared" si="36"/>
        <v>92.5</v>
      </c>
      <c r="R97" s="8"/>
      <c r="T97"/>
    </row>
    <row r="98" spans="2:20" ht="23.1" customHeight="1" x14ac:dyDescent="0.25">
      <c r="B98" s="24" t="s">
        <v>138</v>
      </c>
      <c r="C98" s="49">
        <f>'Avg Week Bwaise-Kawempe'!C98+'Avg Week Kawempe-Bwaise'!C98</f>
        <v>23</v>
      </c>
      <c r="D98" s="49">
        <f>'Avg Week Bwaise-Kawempe'!D98+'Avg Week Kawempe-Bwaise'!D98</f>
        <v>0</v>
      </c>
      <c r="E98" s="49">
        <f>'Avg Week Bwaise-Kawempe'!E98+'Avg Week Kawempe-Bwaise'!E98</f>
        <v>1</v>
      </c>
      <c r="F98" s="49">
        <f>'Avg Week Bwaise-Kawempe'!F98+'Avg Week Kawempe-Bwaise'!F98</f>
        <v>11.5</v>
      </c>
      <c r="G98" s="49">
        <f>'Avg Week Bwaise-Kawempe'!G98+'Avg Week Kawempe-Bwaise'!G98</f>
        <v>0.5</v>
      </c>
      <c r="H98" s="49">
        <f>'Avg Week Bwaise-Kawempe'!H98+'Avg Week Kawempe-Bwaise'!H98</f>
        <v>4.5</v>
      </c>
      <c r="I98" s="49">
        <f>'Avg Week Bwaise-Kawempe'!I98+'Avg Week Kawempe-Bwaise'!I98</f>
        <v>17.5</v>
      </c>
      <c r="J98" s="49">
        <f>'Avg Week Bwaise-Kawempe'!J98+'Avg Week Kawempe-Bwaise'!J98</f>
        <v>4.5</v>
      </c>
      <c r="K98" s="49">
        <f>'Avg Week Bwaise-Kawempe'!K98+'Avg Week Kawempe-Bwaise'!K98</f>
        <v>3.5</v>
      </c>
      <c r="L98" s="49">
        <f>'Avg Week Bwaise-Kawempe'!L98+'Avg Week Kawempe-Bwaise'!L98</f>
        <v>0.5</v>
      </c>
      <c r="M98" s="49">
        <f>'Avg Week Bwaise-Kawempe'!M98+'Avg Week Kawempe-Bwaise'!M98</f>
        <v>43</v>
      </c>
      <c r="N98" s="49">
        <f>'Avg Week Bwaise-Kawempe'!N98+'Avg Week Kawempe-Bwaise'!N98</f>
        <v>0</v>
      </c>
      <c r="O98" s="15">
        <f t="shared" si="35"/>
        <v>66.5</v>
      </c>
      <c r="P98" s="15">
        <f t="shared" si="36"/>
        <v>109.5</v>
      </c>
      <c r="R98" s="8"/>
      <c r="T98"/>
    </row>
    <row r="99" spans="2:20" ht="23.1" customHeight="1" x14ac:dyDescent="0.25">
      <c r="B99" s="23" t="s">
        <v>139</v>
      </c>
      <c r="C99" s="49">
        <f>'Avg Week Bwaise-Kawempe'!C99+'Avg Week Kawempe-Bwaise'!C99</f>
        <v>12.5</v>
      </c>
      <c r="D99" s="49">
        <f>'Avg Week Bwaise-Kawempe'!D99+'Avg Week Kawempe-Bwaise'!D99</f>
        <v>0.5</v>
      </c>
      <c r="E99" s="49">
        <f>'Avg Week Bwaise-Kawempe'!E99+'Avg Week Kawempe-Bwaise'!E99</f>
        <v>1</v>
      </c>
      <c r="F99" s="49">
        <f>'Avg Week Bwaise-Kawempe'!F99+'Avg Week Kawempe-Bwaise'!F99</f>
        <v>12.5</v>
      </c>
      <c r="G99" s="49">
        <f>'Avg Week Bwaise-Kawempe'!G99+'Avg Week Kawempe-Bwaise'!G99</f>
        <v>0.5</v>
      </c>
      <c r="H99" s="49">
        <f>'Avg Week Bwaise-Kawempe'!H99+'Avg Week Kawempe-Bwaise'!H99</f>
        <v>3.5</v>
      </c>
      <c r="I99" s="49">
        <f>'Avg Week Bwaise-Kawempe'!I99+'Avg Week Kawempe-Bwaise'!I99</f>
        <v>5</v>
      </c>
      <c r="J99" s="49">
        <f>'Avg Week Bwaise-Kawempe'!J99+'Avg Week Kawempe-Bwaise'!J99</f>
        <v>3.5</v>
      </c>
      <c r="K99" s="49">
        <f>'Avg Week Bwaise-Kawempe'!K99+'Avg Week Kawempe-Bwaise'!K99</f>
        <v>2.5</v>
      </c>
      <c r="L99" s="49">
        <f>'Avg Week Bwaise-Kawempe'!L99+'Avg Week Kawempe-Bwaise'!L99</f>
        <v>2.5</v>
      </c>
      <c r="M99" s="49">
        <f>'Avg Week Bwaise-Kawempe'!M99+'Avg Week Kawempe-Bwaise'!M99</f>
        <v>61</v>
      </c>
      <c r="N99" s="49">
        <f>'Avg Week Bwaise-Kawempe'!N99+'Avg Week Kawempe-Bwaise'!N99</f>
        <v>0</v>
      </c>
      <c r="O99" s="15">
        <f t="shared" si="35"/>
        <v>44</v>
      </c>
      <c r="P99" s="15">
        <f t="shared" si="36"/>
        <v>105</v>
      </c>
      <c r="R99" s="8"/>
      <c r="T99"/>
    </row>
    <row r="100" spans="2:20" ht="23.1" customHeight="1" x14ac:dyDescent="0.25">
      <c r="B100" s="25" t="s">
        <v>140</v>
      </c>
      <c r="C100" s="49">
        <f>'Avg Week Bwaise-Kawempe'!C100+'Avg Week Kawempe-Bwaise'!C100</f>
        <v>26</v>
      </c>
      <c r="D100" s="49">
        <f>'Avg Week Bwaise-Kawempe'!D100+'Avg Week Kawempe-Bwaise'!D100</f>
        <v>4</v>
      </c>
      <c r="E100" s="49">
        <f>'Avg Week Bwaise-Kawempe'!E100+'Avg Week Kawempe-Bwaise'!E100</f>
        <v>1</v>
      </c>
      <c r="F100" s="49">
        <f>'Avg Week Bwaise-Kawempe'!F100+'Avg Week Kawempe-Bwaise'!F100</f>
        <v>20</v>
      </c>
      <c r="G100" s="49">
        <f>'Avg Week Bwaise-Kawempe'!G100+'Avg Week Kawempe-Bwaise'!G100</f>
        <v>0</v>
      </c>
      <c r="H100" s="49">
        <f>'Avg Week Bwaise-Kawempe'!H100+'Avg Week Kawempe-Bwaise'!H100</f>
        <v>0</v>
      </c>
      <c r="I100" s="49">
        <f>'Avg Week Bwaise-Kawempe'!I100+'Avg Week Kawempe-Bwaise'!I100</f>
        <v>4.5</v>
      </c>
      <c r="J100" s="49">
        <f>'Avg Week Bwaise-Kawempe'!J100+'Avg Week Kawempe-Bwaise'!J100</f>
        <v>8</v>
      </c>
      <c r="K100" s="49">
        <f>'Avg Week Bwaise-Kawempe'!K100+'Avg Week Kawempe-Bwaise'!K100</f>
        <v>3</v>
      </c>
      <c r="L100" s="49">
        <f>'Avg Week Bwaise-Kawempe'!L100+'Avg Week Kawempe-Bwaise'!L100</f>
        <v>2</v>
      </c>
      <c r="M100" s="49">
        <f>'Avg Week Bwaise-Kawempe'!M100+'Avg Week Kawempe-Bwaise'!M100</f>
        <v>43</v>
      </c>
      <c r="N100" s="49">
        <f>'Avg Week Bwaise-Kawempe'!N100+'Avg Week Kawempe-Bwaise'!N100</f>
        <v>0</v>
      </c>
      <c r="O100" s="15">
        <f t="shared" si="35"/>
        <v>68.5</v>
      </c>
      <c r="P100" s="15">
        <f t="shared" si="36"/>
        <v>111.5</v>
      </c>
      <c r="R100" s="8"/>
      <c r="T100"/>
    </row>
    <row r="101" spans="2:20" ht="23.1" customHeight="1" x14ac:dyDescent="0.25">
      <c r="B101" s="23" t="s">
        <v>141</v>
      </c>
      <c r="C101" s="49">
        <f>'Avg Week Bwaise-Kawempe'!C101+'Avg Week Kawempe-Bwaise'!C101</f>
        <v>21.5</v>
      </c>
      <c r="D101" s="49">
        <f>'Avg Week Bwaise-Kawempe'!D101+'Avg Week Kawempe-Bwaise'!D101</f>
        <v>1</v>
      </c>
      <c r="E101" s="49">
        <f>'Avg Week Bwaise-Kawempe'!E101+'Avg Week Kawempe-Bwaise'!E101</f>
        <v>3</v>
      </c>
      <c r="F101" s="49">
        <f>'Avg Week Bwaise-Kawempe'!F101+'Avg Week Kawempe-Bwaise'!F101</f>
        <v>25.5</v>
      </c>
      <c r="G101" s="49">
        <f>'Avg Week Bwaise-Kawempe'!G101+'Avg Week Kawempe-Bwaise'!G101</f>
        <v>1</v>
      </c>
      <c r="H101" s="49">
        <f>'Avg Week Bwaise-Kawempe'!H101+'Avg Week Kawempe-Bwaise'!H101</f>
        <v>2</v>
      </c>
      <c r="I101" s="49">
        <f>'Avg Week Bwaise-Kawempe'!I101+'Avg Week Kawempe-Bwaise'!I101</f>
        <v>5</v>
      </c>
      <c r="J101" s="49">
        <f>'Avg Week Bwaise-Kawempe'!J101+'Avg Week Kawempe-Bwaise'!J101</f>
        <v>5</v>
      </c>
      <c r="K101" s="49">
        <f>'Avg Week Bwaise-Kawempe'!K101+'Avg Week Kawempe-Bwaise'!K101</f>
        <v>5.5</v>
      </c>
      <c r="L101" s="49">
        <f>'Avg Week Bwaise-Kawempe'!L101+'Avg Week Kawempe-Bwaise'!L101</f>
        <v>1.5</v>
      </c>
      <c r="M101" s="49">
        <f>'Avg Week Bwaise-Kawempe'!M101+'Avg Week Kawempe-Bwaise'!M101</f>
        <v>58</v>
      </c>
      <c r="N101" s="49">
        <f>'Avg Week Bwaise-Kawempe'!N101+'Avg Week Kawempe-Bwaise'!N101</f>
        <v>0</v>
      </c>
      <c r="O101" s="15">
        <f t="shared" si="35"/>
        <v>71</v>
      </c>
      <c r="P101" s="15">
        <f t="shared" si="36"/>
        <v>129</v>
      </c>
      <c r="R101" s="8"/>
      <c r="T101"/>
    </row>
    <row r="102" spans="2:20" ht="23.1" customHeight="1" x14ac:dyDescent="0.25">
      <c r="B102" s="24" t="s">
        <v>142</v>
      </c>
      <c r="C102" s="49">
        <f>'Avg Week Bwaise-Kawempe'!C102+'Avg Week Kawempe-Bwaise'!C102</f>
        <v>25</v>
      </c>
      <c r="D102" s="49">
        <f>'Avg Week Bwaise-Kawempe'!D102+'Avg Week Kawempe-Bwaise'!D102</f>
        <v>1</v>
      </c>
      <c r="E102" s="49">
        <f>'Avg Week Bwaise-Kawempe'!E102+'Avg Week Kawempe-Bwaise'!E102</f>
        <v>5.5</v>
      </c>
      <c r="F102" s="49">
        <f>'Avg Week Bwaise-Kawempe'!F102+'Avg Week Kawempe-Bwaise'!F102</f>
        <v>32.5</v>
      </c>
      <c r="G102" s="49">
        <f>'Avg Week Bwaise-Kawempe'!G102+'Avg Week Kawempe-Bwaise'!G102</f>
        <v>0</v>
      </c>
      <c r="H102" s="49">
        <f>'Avg Week Bwaise-Kawempe'!H102+'Avg Week Kawempe-Bwaise'!H102</f>
        <v>1.5</v>
      </c>
      <c r="I102" s="49">
        <f>'Avg Week Bwaise-Kawempe'!I102+'Avg Week Kawempe-Bwaise'!I102</f>
        <v>5.5</v>
      </c>
      <c r="J102" s="49">
        <f>'Avg Week Bwaise-Kawempe'!J102+'Avg Week Kawempe-Bwaise'!J102</f>
        <v>4</v>
      </c>
      <c r="K102" s="49">
        <f>'Avg Week Bwaise-Kawempe'!K102+'Avg Week Kawempe-Bwaise'!K102</f>
        <v>5.5</v>
      </c>
      <c r="L102" s="49">
        <f>'Avg Week Bwaise-Kawempe'!L102+'Avg Week Kawempe-Bwaise'!L102</f>
        <v>4.5</v>
      </c>
      <c r="M102" s="49">
        <f>'Avg Week Bwaise-Kawempe'!M102+'Avg Week Kawempe-Bwaise'!M102</f>
        <v>65</v>
      </c>
      <c r="N102" s="49">
        <f>'Avg Week Bwaise-Kawempe'!N102+'Avg Week Kawempe-Bwaise'!N102</f>
        <v>0</v>
      </c>
      <c r="O102" s="15">
        <f t="shared" si="35"/>
        <v>85</v>
      </c>
      <c r="P102" s="15">
        <f t="shared" si="36"/>
        <v>150</v>
      </c>
      <c r="R102" s="8"/>
      <c r="T102"/>
    </row>
    <row r="103" spans="2:20" ht="23.1" customHeight="1" x14ac:dyDescent="0.25">
      <c r="B103" s="23" t="s">
        <v>143</v>
      </c>
      <c r="C103" s="49">
        <f>'Avg Week Bwaise-Kawempe'!C103+'Avg Week Kawempe-Bwaise'!C103</f>
        <v>30.5</v>
      </c>
      <c r="D103" s="49">
        <f>'Avg Week Bwaise-Kawempe'!D103+'Avg Week Kawempe-Bwaise'!D103</f>
        <v>1</v>
      </c>
      <c r="E103" s="49">
        <f>'Avg Week Bwaise-Kawempe'!E103+'Avg Week Kawempe-Bwaise'!E103</f>
        <v>1.5</v>
      </c>
      <c r="F103" s="49">
        <f>'Avg Week Bwaise-Kawempe'!F103+'Avg Week Kawempe-Bwaise'!F103</f>
        <v>42</v>
      </c>
      <c r="G103" s="49">
        <f>'Avg Week Bwaise-Kawempe'!G103+'Avg Week Kawempe-Bwaise'!G103</f>
        <v>0.5</v>
      </c>
      <c r="H103" s="49">
        <f>'Avg Week Bwaise-Kawempe'!H103+'Avg Week Kawempe-Bwaise'!H103</f>
        <v>1</v>
      </c>
      <c r="I103" s="49">
        <f>'Avg Week Bwaise-Kawempe'!I103+'Avg Week Kawempe-Bwaise'!I103</f>
        <v>6</v>
      </c>
      <c r="J103" s="49">
        <f>'Avg Week Bwaise-Kawempe'!J103+'Avg Week Kawempe-Bwaise'!J103</f>
        <v>6</v>
      </c>
      <c r="K103" s="49">
        <f>'Avg Week Bwaise-Kawempe'!K103+'Avg Week Kawempe-Bwaise'!K103</f>
        <v>3.5</v>
      </c>
      <c r="L103" s="49">
        <f>'Avg Week Bwaise-Kawempe'!L103+'Avg Week Kawempe-Bwaise'!L103</f>
        <v>5.5</v>
      </c>
      <c r="M103" s="49">
        <f>'Avg Week Bwaise-Kawempe'!M103+'Avg Week Kawempe-Bwaise'!M103</f>
        <v>84.5</v>
      </c>
      <c r="N103" s="49">
        <f>'Avg Week Bwaise-Kawempe'!N103+'Avg Week Kawempe-Bwaise'!N103</f>
        <v>0</v>
      </c>
      <c r="O103" s="15">
        <f t="shared" si="35"/>
        <v>97.5</v>
      </c>
      <c r="P103" s="15">
        <f t="shared" si="36"/>
        <v>182</v>
      </c>
      <c r="R103" s="8"/>
      <c r="T103"/>
    </row>
    <row r="104" spans="2:20" ht="23.1" customHeight="1" x14ac:dyDescent="0.25">
      <c r="B104" s="25" t="s">
        <v>144</v>
      </c>
      <c r="C104" s="49">
        <f>'Avg Week Bwaise-Kawempe'!C104+'Avg Week Kawempe-Bwaise'!C104</f>
        <v>39.5</v>
      </c>
      <c r="D104" s="49">
        <f>'Avg Week Bwaise-Kawempe'!D104+'Avg Week Kawempe-Bwaise'!D104</f>
        <v>2</v>
      </c>
      <c r="E104" s="49">
        <f>'Avg Week Bwaise-Kawempe'!E104+'Avg Week Kawempe-Bwaise'!E104</f>
        <v>5.5</v>
      </c>
      <c r="F104" s="49">
        <f>'Avg Week Bwaise-Kawempe'!F104+'Avg Week Kawempe-Bwaise'!F104</f>
        <v>49</v>
      </c>
      <c r="G104" s="49">
        <f>'Avg Week Bwaise-Kawempe'!G104+'Avg Week Kawempe-Bwaise'!G104</f>
        <v>2</v>
      </c>
      <c r="H104" s="49">
        <f>'Avg Week Bwaise-Kawempe'!H104+'Avg Week Kawempe-Bwaise'!H104</f>
        <v>1</v>
      </c>
      <c r="I104" s="49">
        <f>'Avg Week Bwaise-Kawempe'!I104+'Avg Week Kawempe-Bwaise'!I104</f>
        <v>8</v>
      </c>
      <c r="J104" s="49">
        <f>'Avg Week Bwaise-Kawempe'!J104+'Avg Week Kawempe-Bwaise'!J104</f>
        <v>8.5</v>
      </c>
      <c r="K104" s="49">
        <f>'Avg Week Bwaise-Kawempe'!K104+'Avg Week Kawempe-Bwaise'!K104</f>
        <v>6</v>
      </c>
      <c r="L104" s="49">
        <f>'Avg Week Bwaise-Kawempe'!L104+'Avg Week Kawempe-Bwaise'!L104</f>
        <v>9</v>
      </c>
      <c r="M104" s="49">
        <f>'Avg Week Bwaise-Kawempe'!M104+'Avg Week Kawempe-Bwaise'!M104</f>
        <v>129.5</v>
      </c>
      <c r="N104" s="49">
        <f>'Avg Week Bwaise-Kawempe'!N104+'Avg Week Kawempe-Bwaise'!N104</f>
        <v>0</v>
      </c>
      <c r="O104" s="15">
        <f t="shared" si="35"/>
        <v>130.5</v>
      </c>
      <c r="P104" s="15">
        <f t="shared" si="36"/>
        <v>260</v>
      </c>
      <c r="R104" s="8"/>
      <c r="T104"/>
    </row>
    <row r="105" spans="2:20" ht="23.1" customHeight="1" x14ac:dyDescent="0.25">
      <c r="B105" s="23" t="s">
        <v>145</v>
      </c>
      <c r="C105" s="49">
        <f>'Avg Week Bwaise-Kawempe'!C105+'Avg Week Kawempe-Bwaise'!C105</f>
        <v>42.5</v>
      </c>
      <c r="D105" s="49">
        <f>'Avg Week Bwaise-Kawempe'!D105+'Avg Week Kawempe-Bwaise'!D105</f>
        <v>3.5</v>
      </c>
      <c r="E105" s="49">
        <f>'Avg Week Bwaise-Kawempe'!E105+'Avg Week Kawempe-Bwaise'!E105</f>
        <v>6</v>
      </c>
      <c r="F105" s="49">
        <f>'Avg Week Bwaise-Kawempe'!F105+'Avg Week Kawempe-Bwaise'!F105</f>
        <v>46.5</v>
      </c>
      <c r="G105" s="49">
        <f>'Avg Week Bwaise-Kawempe'!G105+'Avg Week Kawempe-Bwaise'!G105</f>
        <v>2.5</v>
      </c>
      <c r="H105" s="49">
        <f>'Avg Week Bwaise-Kawempe'!H105+'Avg Week Kawempe-Bwaise'!H105</f>
        <v>3.5</v>
      </c>
      <c r="I105" s="49">
        <f>'Avg Week Bwaise-Kawempe'!I105+'Avg Week Kawempe-Bwaise'!I105</f>
        <v>13</v>
      </c>
      <c r="J105" s="49">
        <f>'Avg Week Bwaise-Kawempe'!J105+'Avg Week Kawempe-Bwaise'!J105</f>
        <v>6</v>
      </c>
      <c r="K105" s="49">
        <f>'Avg Week Bwaise-Kawempe'!K105+'Avg Week Kawempe-Bwaise'!K105</f>
        <v>7</v>
      </c>
      <c r="L105" s="49">
        <f>'Avg Week Bwaise-Kawempe'!L105+'Avg Week Kawempe-Bwaise'!L105</f>
        <v>2.5</v>
      </c>
      <c r="M105" s="49">
        <f>'Avg Week Bwaise-Kawempe'!M105+'Avg Week Kawempe-Bwaise'!M105</f>
        <v>142</v>
      </c>
      <c r="N105" s="49">
        <f>'Avg Week Bwaise-Kawempe'!N105+'Avg Week Kawempe-Bwaise'!N105</f>
        <v>0</v>
      </c>
      <c r="O105" s="15">
        <f t="shared" si="35"/>
        <v>133</v>
      </c>
      <c r="P105" s="15">
        <f t="shared" si="36"/>
        <v>275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5539.0714285714284</v>
      </c>
      <c r="D106" s="16">
        <f t="shared" ref="D106:P106" si="37">SUM(D10:D105)</f>
        <v>904.78571428571422</v>
      </c>
      <c r="E106" s="16">
        <f t="shared" si="37"/>
        <v>738.5</v>
      </c>
      <c r="F106" s="16">
        <f t="shared" si="37"/>
        <v>5077</v>
      </c>
      <c r="G106" s="16">
        <f t="shared" si="37"/>
        <v>247.71428571428575</v>
      </c>
      <c r="H106" s="16">
        <f t="shared" si="37"/>
        <v>150.35714285714283</v>
      </c>
      <c r="I106" s="16">
        <f t="shared" si="37"/>
        <v>1141.0714285714287</v>
      </c>
      <c r="J106" s="16">
        <f t="shared" si="37"/>
        <v>739.71428571428578</v>
      </c>
      <c r="K106" s="16">
        <f t="shared" si="37"/>
        <v>411.71428571428572</v>
      </c>
      <c r="L106" s="16">
        <f t="shared" si="37"/>
        <v>316.92857142857144</v>
      </c>
      <c r="M106" s="16">
        <f t="shared" si="37"/>
        <v>23252.690476190477</v>
      </c>
      <c r="N106" s="16">
        <f t="shared" si="37"/>
        <v>0.5714285714285714</v>
      </c>
      <c r="O106" s="16">
        <f t="shared" si="37"/>
        <v>15267.428571428574</v>
      </c>
      <c r="P106" s="16">
        <f t="shared" si="37"/>
        <v>38520.119047619053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0.1437968408592912</v>
      </c>
      <c r="D107" s="43">
        <f t="shared" si="38"/>
        <v>2.3488653115718745E-2</v>
      </c>
      <c r="E107" s="43">
        <f t="shared" si="38"/>
        <v>1.9171799523440128E-2</v>
      </c>
      <c r="F107" s="43">
        <f t="shared" si="38"/>
        <v>0.13180125413744825</v>
      </c>
      <c r="G107" s="43">
        <f t="shared" si="38"/>
        <v>6.4307767431367032E-3</v>
      </c>
      <c r="H107" s="43">
        <f t="shared" si="38"/>
        <v>3.9033405548739206E-3</v>
      </c>
      <c r="I107" s="43">
        <f t="shared" si="38"/>
        <v>2.9622738890313964E-2</v>
      </c>
      <c r="J107" s="43">
        <f t="shared" si="38"/>
        <v>1.9203322938847665E-2</v>
      </c>
      <c r="K107" s="43">
        <f t="shared" si="38"/>
        <v>1.0688292141707023E-2</v>
      </c>
      <c r="L107" s="43">
        <f t="shared" si="38"/>
        <v>8.227611421366075E-3</v>
      </c>
      <c r="M107" s="43">
        <f t="shared" si="38"/>
        <v>0.6036505351254291</v>
      </c>
      <c r="N107" s="43">
        <f t="shared" si="38"/>
        <v>1.4834548427074284E-5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0.36280316640467092</v>
      </c>
      <c r="D108" s="44">
        <f t="shared" ref="D108:N108" si="39">D106/$O$106</f>
        <v>5.9262482221723166E-2</v>
      </c>
      <c r="E108" s="44">
        <f t="shared" si="39"/>
        <v>4.8370948424283244E-2</v>
      </c>
      <c r="F108" s="44">
        <f t="shared" si="39"/>
        <v>0.33253798937046181</v>
      </c>
      <c r="G108" s="44">
        <f t="shared" si="39"/>
        <v>1.6225016842578037E-2</v>
      </c>
      <c r="H108" s="44">
        <f t="shared" si="39"/>
        <v>9.8482296579085228E-3</v>
      </c>
      <c r="I108" s="44">
        <f t="shared" si="39"/>
        <v>7.4738940040422183E-2</v>
      </c>
      <c r="J108" s="44">
        <f t="shared" si="39"/>
        <v>4.8450482820570399E-2</v>
      </c>
      <c r="K108" s="44">
        <f t="shared" si="39"/>
        <v>2.6966838835242153E-2</v>
      </c>
      <c r="L108" s="44">
        <f t="shared" si="39"/>
        <v>2.0758477430945426E-2</v>
      </c>
      <c r="M108" s="44"/>
      <c r="N108" s="44">
        <f t="shared" si="39"/>
        <v>3.7427951193951633E-5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R111" s="8"/>
      <c r="T111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R112" s="8"/>
      <c r="T112"/>
    </row>
    <row r="113" spans="2:20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R113" s="8"/>
      <c r="T113"/>
    </row>
    <row r="114" spans="2:20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R114" s="8"/>
      <c r="T114"/>
    </row>
    <row r="115" spans="2:20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R115" s="8"/>
      <c r="T115"/>
    </row>
    <row r="116" spans="2:20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R116" s="8"/>
      <c r="T116"/>
    </row>
    <row r="117" spans="2:20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R117" s="8"/>
      <c r="T117"/>
    </row>
    <row r="118" spans="2:20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R118" s="8"/>
      <c r="T118"/>
    </row>
    <row r="119" spans="2:20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R119" s="8"/>
      <c r="T119"/>
    </row>
    <row r="120" spans="2:20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R120" s="8"/>
      <c r="T120"/>
    </row>
    <row r="121" spans="2:20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R121" s="8"/>
      <c r="T121"/>
    </row>
    <row r="122" spans="2:20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R122" s="8"/>
      <c r="T122"/>
    </row>
    <row r="123" spans="2:20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R123" s="8"/>
      <c r="T123"/>
    </row>
    <row r="124" spans="2:20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R124" s="8"/>
      <c r="T124"/>
    </row>
    <row r="125" spans="2:20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R125" s="8"/>
      <c r="T125"/>
    </row>
    <row r="126" spans="2:20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R126" s="8"/>
      <c r="T126"/>
    </row>
    <row r="127" spans="2:20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R127" s="8"/>
      <c r="T127"/>
    </row>
    <row r="128" spans="2:20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R128" s="8"/>
      <c r="T128"/>
    </row>
    <row r="129" spans="2:20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R129" s="8"/>
      <c r="T129"/>
    </row>
    <row r="130" spans="2:20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Q130" s="7"/>
      <c r="R130" s="8"/>
      <c r="T130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Q131" s="7"/>
      <c r="R131" s="8"/>
      <c r="T131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Q132" s="7"/>
      <c r="R132" s="8"/>
      <c r="T132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Q133" s="7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Q134" s="7"/>
    </row>
    <row r="135" spans="2:20" s="7" customFormat="1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/>
      <c r="P135"/>
      <c r="S135" s="8"/>
      <c r="T135" s="8"/>
    </row>
    <row r="136" spans="2:20" s="7" customFormat="1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/>
      <c r="P136"/>
      <c r="S136" s="8"/>
      <c r="T136" s="8"/>
    </row>
    <row r="137" spans="2:20" s="7" customFormat="1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/>
      <c r="P137"/>
      <c r="S137" s="8"/>
      <c r="T137" s="8"/>
    </row>
    <row r="138" spans="2:20" s="7" customFormat="1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/>
      <c r="P138"/>
      <c r="S138" s="8"/>
      <c r="T138" s="8"/>
    </row>
    <row r="139" spans="2:20" s="7" customFormat="1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/>
      <c r="P139"/>
      <c r="S139" s="8"/>
      <c r="T139" s="8"/>
    </row>
    <row r="140" spans="2:20" s="7" customFormat="1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/>
      <c r="P140"/>
      <c r="S140" s="8"/>
      <c r="T140" s="8"/>
    </row>
    <row r="141" spans="2:20" s="7" customFormat="1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/>
      <c r="P141"/>
      <c r="S141" s="8"/>
      <c r="T141" s="8"/>
    </row>
    <row r="142" spans="2:20" s="7" customFormat="1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/>
      <c r="P142"/>
      <c r="S142" s="8"/>
      <c r="T142" s="8"/>
    </row>
    <row r="143" spans="2:20" s="7" customFormat="1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/>
      <c r="P143"/>
      <c r="S143" s="8"/>
      <c r="T143" s="8"/>
    </row>
    <row r="144" spans="2:20" s="7" customFormat="1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/>
      <c r="P144"/>
      <c r="S144" s="8"/>
      <c r="T144" s="8"/>
    </row>
    <row r="145" spans="2:20" s="7" customFormat="1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/>
      <c r="P145"/>
      <c r="S145" s="8"/>
      <c r="T145" s="8"/>
    </row>
    <row r="146" spans="2:20" s="7" customFormat="1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/>
      <c r="P146"/>
      <c r="S146" s="8"/>
      <c r="T146" s="8"/>
    </row>
    <row r="147" spans="2:20" s="7" customFormat="1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/>
      <c r="P147"/>
      <c r="Q147"/>
      <c r="S147" s="8"/>
      <c r="T147" s="8"/>
    </row>
    <row r="148" spans="2:20" s="7" customFormat="1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/>
      <c r="P148"/>
      <c r="Q148"/>
      <c r="S148" s="8"/>
      <c r="T148" s="8"/>
    </row>
    <row r="149" spans="2:20" s="7" customFormat="1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/>
      <c r="P149"/>
      <c r="Q149"/>
      <c r="S149" s="8"/>
      <c r="T149" s="8"/>
    </row>
    <row r="150" spans="2:20" s="7" customFormat="1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/>
      <c r="P150"/>
      <c r="Q150"/>
      <c r="S150" s="8"/>
      <c r="T150" s="8"/>
    </row>
    <row r="151" spans="2:20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20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20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20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20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20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20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20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20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20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2.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1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Bwaise-Kawempe</vt:lpstr>
      <vt:lpstr>22.07 kawempe-Bwaise</vt:lpstr>
      <vt:lpstr>23.07 Bwaise-Kawempe</vt:lpstr>
      <vt:lpstr>23.07 Kawempe-Bwaise</vt:lpstr>
      <vt:lpstr>24.07 Bwaise-Kawempe</vt:lpstr>
      <vt:lpstr>24.07 Kawempe-Bwaise</vt:lpstr>
      <vt:lpstr>25.07 Bwaise-Kawempe</vt:lpstr>
      <vt:lpstr>25.07 Kawempe-Bwaise</vt:lpstr>
      <vt:lpstr>26.07 Bwaise-Kawempe-24h</vt:lpstr>
      <vt:lpstr>26.07 Kawempe-Bwaise-24h</vt:lpstr>
      <vt:lpstr>27.07 Bwaise-Kawempe-24h</vt:lpstr>
      <vt:lpstr>27.07 Kawempe-Bwaise-24h</vt:lpstr>
      <vt:lpstr>28.07 Bwaise-Kawempe</vt:lpstr>
      <vt:lpstr>28.07 Kawempe-Bwaise</vt:lpstr>
      <vt:lpstr>Avg Week Bwaise-Kawempe</vt:lpstr>
      <vt:lpstr>Avg Week Kawempe-Bwaise</vt:lpstr>
      <vt:lpstr>Avg Week Kawempe-Bwaise-2Dir</vt:lpstr>
      <vt:lpstr>'22.07 Bwaise-Kawempe'!Print_Area</vt:lpstr>
      <vt:lpstr>'22.07 kawempe-Bwaise'!Print_Area</vt:lpstr>
      <vt:lpstr>'23.07 Bwaise-Kawempe'!Print_Area</vt:lpstr>
      <vt:lpstr>'23.07 Kawempe-Bwaise'!Print_Area</vt:lpstr>
      <vt:lpstr>'24.07 Bwaise-Kawempe'!Print_Area</vt:lpstr>
      <vt:lpstr>'24.07 Kawempe-Bwaise'!Print_Area</vt:lpstr>
      <vt:lpstr>'25.07 Bwaise-Kawempe'!Print_Area</vt:lpstr>
      <vt:lpstr>'25.07 Kawempe-Bwaise'!Print_Area</vt:lpstr>
      <vt:lpstr>'26.07 Bwaise-Kawempe-24h'!Print_Area</vt:lpstr>
      <vt:lpstr>'26.07 Kawempe-Bwaise-24h'!Print_Area</vt:lpstr>
      <vt:lpstr>'27.07 Bwaise-Kawempe-24h'!Print_Area</vt:lpstr>
      <vt:lpstr>'27.07 Kawempe-Bwaise-24h'!Print_Area</vt:lpstr>
      <vt:lpstr>'28.07 Bwaise-Kawempe'!Print_Area</vt:lpstr>
      <vt:lpstr>'28.07 Kawempe-Bwaise'!Print_Area</vt:lpstr>
      <vt:lpstr>'Avg Week Bwaise-Kawempe'!Print_Area</vt:lpstr>
      <vt:lpstr>'Avg Week Kawempe-Bwaise'!Print_Area</vt:lpstr>
      <vt:lpstr>'Avg Week Kawempe-Bwaise-2Dir'!Print_Area</vt:lpstr>
      <vt:lpstr>'22.07 Bwaise-Kawempe'!Print_Titles</vt:lpstr>
      <vt:lpstr>'22.07 kawempe-Bwaise'!Print_Titles</vt:lpstr>
      <vt:lpstr>'23.07 Bwaise-Kawempe'!Print_Titles</vt:lpstr>
      <vt:lpstr>'23.07 Kawempe-Bwaise'!Print_Titles</vt:lpstr>
      <vt:lpstr>'24.07 Bwaise-Kawempe'!Print_Titles</vt:lpstr>
      <vt:lpstr>'24.07 Kawempe-Bwaise'!Print_Titles</vt:lpstr>
      <vt:lpstr>'25.07 Bwaise-Kawempe'!Print_Titles</vt:lpstr>
      <vt:lpstr>'25.07 Kawempe-Bwaise'!Print_Titles</vt:lpstr>
      <vt:lpstr>'26.07 Bwaise-Kawempe-24h'!Print_Titles</vt:lpstr>
      <vt:lpstr>'26.07 Kawempe-Bwaise-24h'!Print_Titles</vt:lpstr>
      <vt:lpstr>'27.07 Bwaise-Kawempe-24h'!Print_Titles</vt:lpstr>
      <vt:lpstr>'27.07 Kawempe-Bwaise-24h'!Print_Titles</vt:lpstr>
      <vt:lpstr>'28.07 Bwaise-Kawempe'!Print_Titles</vt:lpstr>
      <vt:lpstr>'28.07 Kawempe-Bwaise'!Print_Titles</vt:lpstr>
      <vt:lpstr>'Avg Week Bwaise-Kawempe'!Print_Titles</vt:lpstr>
      <vt:lpstr>'Avg Week Kawempe-Bwaise'!Print_Titles</vt:lpstr>
      <vt:lpstr>'Avg Week Kawempe-Bwaise-2Dir'!Print_Titles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2020-01-15T20:41:13Z</dcterms:modified>
</cp:coreProperties>
</file>