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2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drawings/drawing13.xml" ContentType="application/vnd.openxmlformats-officedocument.drawing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drawings/drawing14.xml" ContentType="application/vnd.openxmlformats-officedocument.drawing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drawings/drawing15.xml" ContentType="application/vnd.openxmlformats-officedocument.drawing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6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drawings/drawing17.xml" ContentType="application/vnd.openxmlformats-officedocument.drawing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AN\Desktop\C-1 Analysis Complete\STN-C1-RD-13-NORTHERN BYPASS\MCC DATA\"/>
    </mc:Choice>
  </mc:AlternateContent>
  <bookViews>
    <workbookView xWindow="-120" yWindow="-120" windowWidth="20730" windowHeight="11160" tabRatio="940" firstSheet="12" activeTab="14"/>
  </bookViews>
  <sheets>
    <sheet name="22.07 Busega-Masanafu" sheetId="93" r:id="rId1"/>
    <sheet name="22.07 Masanafu-Busega" sheetId="94" r:id="rId2"/>
    <sheet name="23.07 Busega-Masanafu" sheetId="95" r:id="rId3"/>
    <sheet name="23.07 Masanafu-Busega" sheetId="96" r:id="rId4"/>
    <sheet name="24.07 Busega-Masanafu" sheetId="97" r:id="rId5"/>
    <sheet name="24.07 Masanafu-Busega" sheetId="98" r:id="rId6"/>
    <sheet name="25.07 Busega-Masanafu" sheetId="99" r:id="rId7"/>
    <sheet name="25.07 Masanafu-Busega" sheetId="100" r:id="rId8"/>
    <sheet name="26.07 Busega-Masanafu-24h" sheetId="101" r:id="rId9"/>
    <sheet name="26.07 Masanafu-Busega-24h" sheetId="109" r:id="rId10"/>
    <sheet name="27.07 Busega-Masanafu-24h" sheetId="105" r:id="rId11"/>
    <sheet name="27.07 Masanafu-Busega-24h" sheetId="110" r:id="rId12"/>
    <sheet name="28.07 Busega-Masanafu" sheetId="103" r:id="rId13"/>
    <sheet name="28.07 Masanafu-Busega" sheetId="104" r:id="rId14"/>
    <sheet name="Avg Week Busega-Masanafu" sheetId="107" r:id="rId15"/>
    <sheet name="Avg Week Masanafu-Busega" sheetId="108" r:id="rId16"/>
    <sheet name="Avg Week Busega-Masanafu-2Dir" sheetId="111" r:id="rId17"/>
  </sheets>
  <definedNames>
    <definedName name="_xlnm.Print_Area" localSheetId="0">'22.07 Busega-Masanafu'!$A$1:$AF$60</definedName>
    <definedName name="_xlnm.Print_Area" localSheetId="1">'22.07 Masanafu-Busega'!$A$1:$AF$60</definedName>
    <definedName name="_xlnm.Print_Area" localSheetId="2">'23.07 Busega-Masanafu'!$A$1:$AF$60</definedName>
    <definedName name="_xlnm.Print_Area" localSheetId="3">'23.07 Masanafu-Busega'!$A$1:$AF$60</definedName>
    <definedName name="_xlnm.Print_Area" localSheetId="4">'24.07 Busega-Masanafu'!$A$1:$AF$60</definedName>
    <definedName name="_xlnm.Print_Area" localSheetId="5">'24.07 Masanafu-Busega'!$A$1:$AF$60</definedName>
    <definedName name="_xlnm.Print_Area" localSheetId="6">'25.07 Busega-Masanafu'!$A$1:$AF$60</definedName>
    <definedName name="_xlnm.Print_Area" localSheetId="7">'25.07 Masanafu-Busega'!$A$1:$AF$60</definedName>
    <definedName name="_xlnm.Print_Area" localSheetId="8">'26.07 Busega-Masanafu-24h'!$A$1:$AF$108</definedName>
    <definedName name="_xlnm.Print_Area" localSheetId="9">'26.07 Masanafu-Busega-24h'!$A$1:$AF$108</definedName>
    <definedName name="_xlnm.Print_Area" localSheetId="10">'27.07 Busega-Masanafu-24h'!$A$1:$AF$108</definedName>
    <definedName name="_xlnm.Print_Area" localSheetId="11">'27.07 Masanafu-Busega-24h'!$A$1:$AF$108</definedName>
    <definedName name="_xlnm.Print_Area" localSheetId="12">'28.07 Busega-Masanafu'!$A$1:$AF$60</definedName>
    <definedName name="_xlnm.Print_Area" localSheetId="13">'28.07 Masanafu-Busega'!$A$1:$AF$60</definedName>
    <definedName name="_xlnm.Print_Area" localSheetId="14">'Avg Week Busega-Masanafu'!$A$1:$AF$108</definedName>
    <definedName name="_xlnm.Print_Area" localSheetId="16">'Avg Week Busega-Masanafu-2Dir'!$A$1:$AF$108</definedName>
    <definedName name="_xlnm.Print_Area" localSheetId="15">'Avg Week Masanafu-Busega'!$A$1:$AF$108</definedName>
    <definedName name="_xlnm.Print_Titles" localSheetId="0">'22.07 Busega-Masanafu'!$1:$8</definedName>
    <definedName name="_xlnm.Print_Titles" localSheetId="1">'22.07 Masanafu-Busega'!$1:$8</definedName>
    <definedName name="_xlnm.Print_Titles" localSheetId="2">'23.07 Busega-Masanafu'!$1:$8</definedName>
    <definedName name="_xlnm.Print_Titles" localSheetId="3">'23.07 Masanafu-Busega'!$1:$8</definedName>
    <definedName name="_xlnm.Print_Titles" localSheetId="4">'24.07 Busega-Masanafu'!$1:$8</definedName>
    <definedName name="_xlnm.Print_Titles" localSheetId="5">'24.07 Masanafu-Busega'!$1:$8</definedName>
    <definedName name="_xlnm.Print_Titles" localSheetId="6">'25.07 Busega-Masanafu'!$1:$8</definedName>
    <definedName name="_xlnm.Print_Titles" localSheetId="7">'25.07 Masanafu-Busega'!$1:$8</definedName>
    <definedName name="_xlnm.Print_Titles" localSheetId="8">'26.07 Busega-Masanafu-24h'!$1:$8</definedName>
    <definedName name="_xlnm.Print_Titles" localSheetId="9">'26.07 Masanafu-Busega-24h'!$1:$8</definedName>
    <definedName name="_xlnm.Print_Titles" localSheetId="10">'27.07 Busega-Masanafu-24h'!$1:$8</definedName>
    <definedName name="_xlnm.Print_Titles" localSheetId="11">'27.07 Masanafu-Busega-24h'!$1:$8</definedName>
    <definedName name="_xlnm.Print_Titles" localSheetId="12">'28.07 Busega-Masanafu'!$1:$8</definedName>
    <definedName name="_xlnm.Print_Titles" localSheetId="13">'28.07 Masanafu-Busega'!$1:$8</definedName>
    <definedName name="_xlnm.Print_Titles" localSheetId="14">'Avg Week Busega-Masanafu'!$1:$8</definedName>
    <definedName name="_xlnm.Print_Titles" localSheetId="16">'Avg Week Busega-Masanafu-2Dir'!$1:$8</definedName>
    <definedName name="_xlnm.Print_Titles" localSheetId="15">'Avg Week Masanafu-Busega'!$1:$8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O58" i="107" l="1"/>
  <c r="O43" i="107"/>
  <c r="O44" i="107"/>
  <c r="O45" i="107"/>
  <c r="O46" i="107"/>
  <c r="O47" i="107"/>
  <c r="O48" i="107"/>
  <c r="O49" i="107"/>
  <c r="O50" i="107"/>
  <c r="O51" i="107"/>
  <c r="O52" i="107"/>
  <c r="O53" i="107"/>
  <c r="O54" i="107"/>
  <c r="O55" i="107"/>
  <c r="O56" i="107"/>
  <c r="O57" i="107"/>
  <c r="AE22" i="107" l="1"/>
  <c r="O59" i="107" l="1"/>
  <c r="O60" i="107"/>
  <c r="AF22" i="107"/>
  <c r="AF10" i="107"/>
  <c r="AF18" i="107"/>
  <c r="AF19" i="107"/>
  <c r="AF20" i="107"/>
  <c r="AF21" i="107"/>
  <c r="P106" i="107" l="1"/>
  <c r="O106" i="107"/>
  <c r="N106" i="107"/>
  <c r="M106" i="107"/>
  <c r="L106" i="107"/>
  <c r="K106" i="107"/>
  <c r="J106" i="107"/>
  <c r="I106" i="107"/>
  <c r="H106" i="107"/>
  <c r="G106" i="107"/>
  <c r="F106" i="107"/>
  <c r="E106" i="107"/>
  <c r="D106" i="107"/>
  <c r="C106" i="107"/>
  <c r="P106" i="108"/>
  <c r="O106" i="108"/>
  <c r="N106" i="108"/>
  <c r="M106" i="108"/>
  <c r="L106" i="108"/>
  <c r="K106" i="108"/>
  <c r="J106" i="108"/>
  <c r="I106" i="108"/>
  <c r="H106" i="108"/>
  <c r="G106" i="108"/>
  <c r="F106" i="108"/>
  <c r="E106" i="108"/>
  <c r="D106" i="108"/>
  <c r="C106" i="108"/>
  <c r="P106" i="111"/>
  <c r="O106" i="111"/>
  <c r="N106" i="111"/>
  <c r="M106" i="111"/>
  <c r="L106" i="111"/>
  <c r="K106" i="111"/>
  <c r="J106" i="111"/>
  <c r="I106" i="111"/>
  <c r="H106" i="111"/>
  <c r="G106" i="111"/>
  <c r="F106" i="111"/>
  <c r="E106" i="111"/>
  <c r="D106" i="111"/>
  <c r="C106" i="111"/>
  <c r="T41" i="107" l="1"/>
  <c r="T42" i="107" s="1"/>
  <c r="U41" i="107"/>
  <c r="U42" i="107" s="1"/>
  <c r="V41" i="107"/>
  <c r="W41" i="107"/>
  <c r="X41" i="107"/>
  <c r="Y41" i="107"/>
  <c r="Z41" i="107"/>
  <c r="Z42" i="107" s="1"/>
  <c r="AA41" i="107"/>
  <c r="AA42" i="107" s="1"/>
  <c r="AB41" i="107"/>
  <c r="AB42" i="107" s="1"/>
  <c r="AC41" i="107"/>
  <c r="AC42" i="107" s="1"/>
  <c r="AD41" i="107"/>
  <c r="AF41" i="107"/>
  <c r="V42" i="107"/>
  <c r="W42" i="107"/>
  <c r="X42" i="107"/>
  <c r="Y42" i="107"/>
  <c r="AD42" i="107"/>
  <c r="S41" i="107"/>
  <c r="AC32" i="107"/>
  <c r="U28" i="107"/>
  <c r="AE25" i="107"/>
  <c r="T41" i="108"/>
  <c r="U41" i="108"/>
  <c r="U42" i="108" s="1"/>
  <c r="V41" i="108"/>
  <c r="W41" i="108"/>
  <c r="X41" i="108"/>
  <c r="Y41" i="108"/>
  <c r="Y42" i="108" s="1"/>
  <c r="Z41" i="108"/>
  <c r="Z42" i="108" s="1"/>
  <c r="AA41" i="108"/>
  <c r="AA42" i="108" s="1"/>
  <c r="AB41" i="108"/>
  <c r="AC41" i="108"/>
  <c r="AC42" i="108" s="1"/>
  <c r="AD41" i="108"/>
  <c r="AE41" i="108"/>
  <c r="AF41" i="108"/>
  <c r="T42" i="108"/>
  <c r="V42" i="108"/>
  <c r="W42" i="108"/>
  <c r="X42" i="108"/>
  <c r="AB42" i="108"/>
  <c r="AD42" i="108"/>
  <c r="AE42" i="108"/>
  <c r="AF42" i="108"/>
  <c r="S41" i="108"/>
  <c r="S42" i="108" s="1"/>
  <c r="AF34" i="108"/>
  <c r="AE34" i="108"/>
  <c r="AD34" i="108"/>
  <c r="AC34" i="108"/>
  <c r="AB34" i="108"/>
  <c r="AA34" i="108"/>
  <c r="Z34" i="108"/>
  <c r="Y34" i="108"/>
  <c r="X34" i="108"/>
  <c r="W34" i="108"/>
  <c r="V34" i="108"/>
  <c r="U34" i="108"/>
  <c r="T34" i="108"/>
  <c r="S34" i="108"/>
  <c r="AF33" i="108"/>
  <c r="AE33" i="108"/>
  <c r="AD33" i="108"/>
  <c r="AC33" i="108"/>
  <c r="AB33" i="108"/>
  <c r="AA33" i="108"/>
  <c r="Z33" i="108"/>
  <c r="Y33" i="108"/>
  <c r="X33" i="108"/>
  <c r="W33" i="108"/>
  <c r="V33" i="108"/>
  <c r="U33" i="108"/>
  <c r="T33" i="108"/>
  <c r="S33" i="108"/>
  <c r="AF32" i="108"/>
  <c r="AE32" i="108"/>
  <c r="AD32" i="108"/>
  <c r="AC32" i="108"/>
  <c r="AB32" i="108"/>
  <c r="AA32" i="108"/>
  <c r="Z32" i="108"/>
  <c r="Y32" i="108"/>
  <c r="X32" i="108"/>
  <c r="W32" i="108"/>
  <c r="V32" i="108"/>
  <c r="U32" i="108"/>
  <c r="T32" i="108"/>
  <c r="S32" i="108"/>
  <c r="AF31" i="108"/>
  <c r="AE31" i="108"/>
  <c r="AD31" i="108"/>
  <c r="AC31" i="108"/>
  <c r="AB31" i="108"/>
  <c r="AA31" i="108"/>
  <c r="Z31" i="108"/>
  <c r="Y31" i="108"/>
  <c r="X31" i="108"/>
  <c r="W31" i="108"/>
  <c r="V31" i="108"/>
  <c r="U31" i="108"/>
  <c r="T31" i="108"/>
  <c r="S31" i="108"/>
  <c r="AF30" i="108"/>
  <c r="AE30" i="108"/>
  <c r="AD30" i="108"/>
  <c r="AC30" i="108"/>
  <c r="AB30" i="108"/>
  <c r="AA30" i="108"/>
  <c r="Z30" i="108"/>
  <c r="Y30" i="108"/>
  <c r="X30" i="108"/>
  <c r="W30" i="108"/>
  <c r="V30" i="108"/>
  <c r="U30" i="108"/>
  <c r="T30" i="108"/>
  <c r="S30" i="108"/>
  <c r="AF29" i="108"/>
  <c r="AE29" i="108"/>
  <c r="AD29" i="108"/>
  <c r="AC29" i="108"/>
  <c r="AB29" i="108"/>
  <c r="AA29" i="108"/>
  <c r="Z29" i="108"/>
  <c r="Y29" i="108"/>
  <c r="X29" i="108"/>
  <c r="W29" i="108"/>
  <c r="V29" i="108"/>
  <c r="U29" i="108"/>
  <c r="T29" i="108"/>
  <c r="S29" i="108"/>
  <c r="AF28" i="108"/>
  <c r="AE28" i="108"/>
  <c r="AD28" i="108"/>
  <c r="AC28" i="108"/>
  <c r="AB28" i="108"/>
  <c r="AA28" i="108"/>
  <c r="Z28" i="108"/>
  <c r="Y28" i="108"/>
  <c r="X28" i="108"/>
  <c r="W28" i="108"/>
  <c r="V28" i="108"/>
  <c r="U28" i="108"/>
  <c r="T28" i="108"/>
  <c r="S28" i="108"/>
  <c r="AF27" i="108"/>
  <c r="AE27" i="108"/>
  <c r="AD27" i="108"/>
  <c r="AC27" i="108"/>
  <c r="AB27" i="108"/>
  <c r="AA27" i="108"/>
  <c r="Z27" i="108"/>
  <c r="Y27" i="108"/>
  <c r="X27" i="108"/>
  <c r="W27" i="108"/>
  <c r="V27" i="108"/>
  <c r="U27" i="108"/>
  <c r="T27" i="108"/>
  <c r="S27" i="108"/>
  <c r="AF26" i="108"/>
  <c r="AE26" i="108"/>
  <c r="AD26" i="108"/>
  <c r="AC26" i="108"/>
  <c r="AB26" i="108"/>
  <c r="AA26" i="108"/>
  <c r="Z26" i="108"/>
  <c r="Y26" i="108"/>
  <c r="X26" i="108"/>
  <c r="W26" i="108"/>
  <c r="V26" i="108"/>
  <c r="U26" i="108"/>
  <c r="T26" i="108"/>
  <c r="S26" i="108"/>
  <c r="AF25" i="108"/>
  <c r="AE25" i="108"/>
  <c r="AD25" i="108"/>
  <c r="AC25" i="108"/>
  <c r="AB25" i="108"/>
  <c r="AA25" i="108"/>
  <c r="Z25" i="108"/>
  <c r="Y25" i="108"/>
  <c r="X25" i="108"/>
  <c r="W25" i="108"/>
  <c r="V25" i="108"/>
  <c r="U25" i="108"/>
  <c r="T25" i="108"/>
  <c r="S25" i="108"/>
  <c r="AF24" i="108"/>
  <c r="AE24" i="108"/>
  <c r="AD24" i="108"/>
  <c r="AC24" i="108"/>
  <c r="AB24" i="108"/>
  <c r="AA24" i="108"/>
  <c r="Z24" i="108"/>
  <c r="Y24" i="108"/>
  <c r="X24" i="108"/>
  <c r="W24" i="108"/>
  <c r="V24" i="108"/>
  <c r="U24" i="108"/>
  <c r="T24" i="108"/>
  <c r="S24" i="108"/>
  <c r="AF23" i="108"/>
  <c r="AE23" i="108"/>
  <c r="AD23" i="108"/>
  <c r="AC23" i="108"/>
  <c r="AB23" i="108"/>
  <c r="AA23" i="108"/>
  <c r="Z23" i="108"/>
  <c r="Y23" i="108"/>
  <c r="X23" i="108"/>
  <c r="W23" i="108"/>
  <c r="V23" i="108"/>
  <c r="U23" i="108"/>
  <c r="T23" i="108"/>
  <c r="S23" i="108"/>
  <c r="AF22" i="108"/>
  <c r="AE22" i="108"/>
  <c r="AD22" i="108"/>
  <c r="AC22" i="108"/>
  <c r="AB22" i="108"/>
  <c r="AA22" i="108"/>
  <c r="Z22" i="108"/>
  <c r="Y22" i="108"/>
  <c r="X22" i="108"/>
  <c r="W22" i="108"/>
  <c r="V22" i="108"/>
  <c r="U22" i="108"/>
  <c r="T22" i="108"/>
  <c r="S22" i="108"/>
  <c r="H59" i="111"/>
  <c r="M60" i="111"/>
  <c r="G62" i="111"/>
  <c r="L63" i="111"/>
  <c r="F65" i="111"/>
  <c r="K66" i="111"/>
  <c r="E68" i="111"/>
  <c r="J69" i="111"/>
  <c r="D71" i="111"/>
  <c r="I72" i="111"/>
  <c r="N73" i="111"/>
  <c r="H75" i="111"/>
  <c r="M76" i="111"/>
  <c r="G78" i="111"/>
  <c r="L79" i="111"/>
  <c r="F81" i="111"/>
  <c r="K82" i="111"/>
  <c r="E84" i="111"/>
  <c r="J85" i="111"/>
  <c r="L86" i="111"/>
  <c r="M87" i="111"/>
  <c r="E89" i="111"/>
  <c r="F90" i="111"/>
  <c r="H91" i="111"/>
  <c r="J92" i="111"/>
  <c r="K93" i="111"/>
  <c r="L95" i="111"/>
  <c r="K96" i="111"/>
  <c r="I97" i="111"/>
  <c r="H98" i="111"/>
  <c r="D100" i="111"/>
  <c r="M100" i="111"/>
  <c r="J101" i="111"/>
  <c r="G102" i="111"/>
  <c r="D103" i="111"/>
  <c r="L103" i="111"/>
  <c r="I104" i="111"/>
  <c r="F105" i="111"/>
  <c r="N105" i="111"/>
  <c r="C66" i="111"/>
  <c r="C74" i="111"/>
  <c r="C82" i="111"/>
  <c r="C90" i="111"/>
  <c r="C98" i="111"/>
  <c r="C58" i="111"/>
  <c r="P58" i="108"/>
  <c r="P59" i="108"/>
  <c r="P60" i="108"/>
  <c r="P61" i="108"/>
  <c r="P62" i="108"/>
  <c r="P63" i="108"/>
  <c r="P64" i="108"/>
  <c r="P65" i="108"/>
  <c r="P66" i="108"/>
  <c r="P67" i="108"/>
  <c r="P68" i="108"/>
  <c r="P69" i="108"/>
  <c r="P70" i="108"/>
  <c r="P71" i="108"/>
  <c r="P72" i="108"/>
  <c r="P73" i="108"/>
  <c r="P74" i="108"/>
  <c r="P75" i="108"/>
  <c r="P76" i="108"/>
  <c r="P77" i="108"/>
  <c r="P78" i="108"/>
  <c r="P79" i="108"/>
  <c r="P80" i="108"/>
  <c r="P81" i="108"/>
  <c r="P82" i="108"/>
  <c r="P83" i="108"/>
  <c r="P84" i="108"/>
  <c r="P85" i="108"/>
  <c r="P86" i="108"/>
  <c r="P87" i="108"/>
  <c r="P88" i="108"/>
  <c r="P89" i="108"/>
  <c r="P90" i="108"/>
  <c r="P91" i="108"/>
  <c r="P92" i="108"/>
  <c r="P93" i="108"/>
  <c r="P94" i="108"/>
  <c r="P95" i="108"/>
  <c r="P96" i="108"/>
  <c r="P97" i="108"/>
  <c r="P98" i="108"/>
  <c r="P99" i="108"/>
  <c r="P100" i="108"/>
  <c r="P101" i="108"/>
  <c r="P102" i="108"/>
  <c r="P103" i="108"/>
  <c r="P104" i="108"/>
  <c r="P105" i="108"/>
  <c r="P57" i="108"/>
  <c r="O58" i="108"/>
  <c r="O59" i="108"/>
  <c r="O60" i="108"/>
  <c r="O61" i="108"/>
  <c r="O62" i="108"/>
  <c r="O63" i="108"/>
  <c r="O64" i="108"/>
  <c r="O65" i="108"/>
  <c r="O66" i="108"/>
  <c r="O67" i="108"/>
  <c r="O68" i="108"/>
  <c r="O69" i="108"/>
  <c r="O70" i="108"/>
  <c r="O71" i="108"/>
  <c r="O72" i="108"/>
  <c r="O73" i="108"/>
  <c r="O74" i="108"/>
  <c r="O75" i="108"/>
  <c r="O76" i="108"/>
  <c r="O77" i="108"/>
  <c r="O78" i="108"/>
  <c r="O79" i="108"/>
  <c r="O80" i="108"/>
  <c r="O81" i="108"/>
  <c r="O82" i="108"/>
  <c r="O83" i="108"/>
  <c r="O84" i="108"/>
  <c r="O85" i="108"/>
  <c r="O86" i="108"/>
  <c r="O87" i="108"/>
  <c r="O88" i="108"/>
  <c r="O89" i="108"/>
  <c r="O90" i="108"/>
  <c r="O91" i="108"/>
  <c r="O92" i="108"/>
  <c r="O93" i="108"/>
  <c r="O94" i="108"/>
  <c r="O95" i="108"/>
  <c r="O96" i="108"/>
  <c r="O97" i="108"/>
  <c r="O98" i="108"/>
  <c r="O99" i="108"/>
  <c r="O100" i="108"/>
  <c r="O101" i="108"/>
  <c r="O102" i="108"/>
  <c r="O103" i="108"/>
  <c r="O104" i="108"/>
  <c r="O105" i="108"/>
  <c r="D58" i="108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H86" i="108"/>
  <c r="I86" i="108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C58" i="108"/>
  <c r="P57" i="107"/>
  <c r="P58" i="107"/>
  <c r="P59" i="107"/>
  <c r="P60" i="107"/>
  <c r="P61" i="107"/>
  <c r="P62" i="107"/>
  <c r="P63" i="107"/>
  <c r="AF24" i="107" s="1"/>
  <c r="P64" i="107"/>
  <c r="P65" i="107"/>
  <c r="P66" i="107"/>
  <c r="P67" i="107"/>
  <c r="AF25" i="107" s="1"/>
  <c r="P68" i="107"/>
  <c r="P69" i="107"/>
  <c r="P70" i="107"/>
  <c r="P71" i="107"/>
  <c r="AF26" i="107" s="1"/>
  <c r="P72" i="107"/>
  <c r="P73" i="107"/>
  <c r="P74" i="107"/>
  <c r="P75" i="107"/>
  <c r="P76" i="107"/>
  <c r="P77" i="107"/>
  <c r="P78" i="107"/>
  <c r="P79" i="107"/>
  <c r="AF28" i="107" s="1"/>
  <c r="P80" i="107"/>
  <c r="P81" i="107"/>
  <c r="P82" i="107"/>
  <c r="P83" i="107"/>
  <c r="AF29" i="107" s="1"/>
  <c r="P84" i="107"/>
  <c r="P85" i="107"/>
  <c r="P86" i="107"/>
  <c r="P87" i="107"/>
  <c r="AF30" i="107" s="1"/>
  <c r="P88" i="107"/>
  <c r="P89" i="107"/>
  <c r="P90" i="107"/>
  <c r="P91" i="107"/>
  <c r="P92" i="107"/>
  <c r="P93" i="107"/>
  <c r="P94" i="107"/>
  <c r="P95" i="107"/>
  <c r="AF32" i="107" s="1"/>
  <c r="P96" i="107"/>
  <c r="P97" i="107"/>
  <c r="P98" i="107"/>
  <c r="P99" i="107"/>
  <c r="AF33" i="107" s="1"/>
  <c r="P100" i="107"/>
  <c r="P101" i="107"/>
  <c r="P102" i="107"/>
  <c r="P103" i="107"/>
  <c r="P104" i="107"/>
  <c r="P105" i="107"/>
  <c r="O61" i="107"/>
  <c r="O62" i="107"/>
  <c r="O63" i="107"/>
  <c r="AE24" i="107" s="1"/>
  <c r="O64" i="107"/>
  <c r="O65" i="107"/>
  <c r="O66" i="107"/>
  <c r="O67" i="107"/>
  <c r="O68" i="107"/>
  <c r="O69" i="107"/>
  <c r="O70" i="107"/>
  <c r="O71" i="107"/>
  <c r="AE26" i="107" s="1"/>
  <c r="O72" i="107"/>
  <c r="O73" i="107"/>
  <c r="O74" i="107"/>
  <c r="O75" i="107"/>
  <c r="O76" i="107"/>
  <c r="O77" i="107"/>
  <c r="O78" i="107"/>
  <c r="O79" i="107"/>
  <c r="AE28" i="107" s="1"/>
  <c r="O80" i="107"/>
  <c r="O81" i="107"/>
  <c r="O82" i="107"/>
  <c r="O83" i="107"/>
  <c r="AE29" i="107" s="1"/>
  <c r="O84" i="107"/>
  <c r="O85" i="107"/>
  <c r="O86" i="107"/>
  <c r="O87" i="107"/>
  <c r="AE30" i="107" s="1"/>
  <c r="O88" i="107"/>
  <c r="O89" i="107"/>
  <c r="O90" i="107"/>
  <c r="O91" i="107"/>
  <c r="O92" i="107"/>
  <c r="O93" i="107"/>
  <c r="O94" i="107"/>
  <c r="O95" i="107"/>
  <c r="AE32" i="107" s="1"/>
  <c r="O96" i="107"/>
  <c r="O97" i="107"/>
  <c r="O98" i="107"/>
  <c r="O99" i="107"/>
  <c r="AE33" i="107" s="1"/>
  <c r="O100" i="107"/>
  <c r="O101" i="107"/>
  <c r="O102" i="107"/>
  <c r="O103" i="107"/>
  <c r="O104" i="107"/>
  <c r="O105" i="107"/>
  <c r="D58" i="107"/>
  <c r="D58" i="111" s="1"/>
  <c r="E58" i="107"/>
  <c r="E58" i="111" s="1"/>
  <c r="F58" i="107"/>
  <c r="F58" i="111" s="1"/>
  <c r="G58" i="107"/>
  <c r="G58" i="111" s="1"/>
  <c r="H58" i="107"/>
  <c r="H58" i="111" s="1"/>
  <c r="I58" i="107"/>
  <c r="I58" i="111" s="1"/>
  <c r="J58" i="107"/>
  <c r="J58" i="111" s="1"/>
  <c r="K58" i="107"/>
  <c r="K58" i="111" s="1"/>
  <c r="L58" i="107"/>
  <c r="L58" i="111" s="1"/>
  <c r="M58" i="107"/>
  <c r="M58" i="111" s="1"/>
  <c r="N58" i="107"/>
  <c r="N58" i="111" s="1"/>
  <c r="D59" i="107"/>
  <c r="D59" i="111" s="1"/>
  <c r="E59" i="107"/>
  <c r="F59" i="107"/>
  <c r="G59" i="107"/>
  <c r="G59" i="111" s="1"/>
  <c r="H59" i="107"/>
  <c r="I59" i="107"/>
  <c r="Y23" i="107" s="1"/>
  <c r="J59" i="107"/>
  <c r="K59" i="107"/>
  <c r="K59" i="111" s="1"/>
  <c r="L59" i="107"/>
  <c r="L59" i="111" s="1"/>
  <c r="M59" i="107"/>
  <c r="N59" i="107"/>
  <c r="D60" i="107"/>
  <c r="D60" i="111" s="1"/>
  <c r="E60" i="107"/>
  <c r="E60" i="111" s="1"/>
  <c r="F60" i="107"/>
  <c r="F60" i="111" s="1"/>
  <c r="G60" i="107"/>
  <c r="G60" i="111" s="1"/>
  <c r="H60" i="107"/>
  <c r="H60" i="111" s="1"/>
  <c r="I60" i="107"/>
  <c r="I60" i="111" s="1"/>
  <c r="J60" i="107"/>
  <c r="J60" i="111" s="1"/>
  <c r="K60" i="107"/>
  <c r="K60" i="111" s="1"/>
  <c r="L60" i="107"/>
  <c r="L60" i="111" s="1"/>
  <c r="M60" i="107"/>
  <c r="N60" i="107"/>
  <c r="N60" i="111" s="1"/>
  <c r="D61" i="107"/>
  <c r="D61" i="111" s="1"/>
  <c r="E61" i="107"/>
  <c r="E61" i="111" s="1"/>
  <c r="F61" i="107"/>
  <c r="F61" i="111" s="1"/>
  <c r="G61" i="107"/>
  <c r="G61" i="111" s="1"/>
  <c r="H61" i="107"/>
  <c r="H61" i="111" s="1"/>
  <c r="I61" i="107"/>
  <c r="I61" i="111" s="1"/>
  <c r="J61" i="107"/>
  <c r="J61" i="111" s="1"/>
  <c r="K61" i="107"/>
  <c r="K61" i="111" s="1"/>
  <c r="L61" i="107"/>
  <c r="L61" i="111" s="1"/>
  <c r="M61" i="107"/>
  <c r="M61" i="111" s="1"/>
  <c r="N61" i="107"/>
  <c r="N61" i="111" s="1"/>
  <c r="D62" i="107"/>
  <c r="D62" i="111" s="1"/>
  <c r="E62" i="107"/>
  <c r="E62" i="111" s="1"/>
  <c r="F62" i="107"/>
  <c r="F62" i="111" s="1"/>
  <c r="G62" i="107"/>
  <c r="H62" i="107"/>
  <c r="H62" i="111" s="1"/>
  <c r="I62" i="107"/>
  <c r="I62" i="111" s="1"/>
  <c r="J62" i="107"/>
  <c r="J62" i="111" s="1"/>
  <c r="K62" i="107"/>
  <c r="K62" i="111" s="1"/>
  <c r="L62" i="107"/>
  <c r="L62" i="111" s="1"/>
  <c r="M62" i="107"/>
  <c r="M62" i="111" s="1"/>
  <c r="N62" i="107"/>
  <c r="N62" i="111" s="1"/>
  <c r="D63" i="107"/>
  <c r="D63" i="111" s="1"/>
  <c r="E63" i="107"/>
  <c r="E63" i="111" s="1"/>
  <c r="F63" i="107"/>
  <c r="F63" i="111" s="1"/>
  <c r="G63" i="107"/>
  <c r="G63" i="111" s="1"/>
  <c r="H63" i="107"/>
  <c r="I63" i="107"/>
  <c r="J63" i="107"/>
  <c r="K63" i="107"/>
  <c r="K63" i="111" s="1"/>
  <c r="L63" i="107"/>
  <c r="M63" i="107"/>
  <c r="M63" i="111" s="1"/>
  <c r="N63" i="107"/>
  <c r="N63" i="111" s="1"/>
  <c r="D64" i="107"/>
  <c r="D64" i="111" s="1"/>
  <c r="E64" i="107"/>
  <c r="E64" i="111" s="1"/>
  <c r="F64" i="107"/>
  <c r="F64" i="111" s="1"/>
  <c r="G64" i="107"/>
  <c r="G64" i="111" s="1"/>
  <c r="H64" i="107"/>
  <c r="H64" i="111" s="1"/>
  <c r="I64" i="107"/>
  <c r="I64" i="111" s="1"/>
  <c r="J64" i="107"/>
  <c r="J64" i="111" s="1"/>
  <c r="K64" i="107"/>
  <c r="K64" i="111" s="1"/>
  <c r="L64" i="107"/>
  <c r="L64" i="111" s="1"/>
  <c r="M64" i="107"/>
  <c r="M64" i="111" s="1"/>
  <c r="N64" i="107"/>
  <c r="N64" i="111" s="1"/>
  <c r="D65" i="107"/>
  <c r="D65" i="111" s="1"/>
  <c r="E65" i="107"/>
  <c r="E65" i="111" s="1"/>
  <c r="F65" i="107"/>
  <c r="G65" i="107"/>
  <c r="G65" i="111" s="1"/>
  <c r="H65" i="107"/>
  <c r="H65" i="111" s="1"/>
  <c r="I65" i="107"/>
  <c r="I65" i="111" s="1"/>
  <c r="J65" i="107"/>
  <c r="J65" i="111" s="1"/>
  <c r="K65" i="107"/>
  <c r="K65" i="111" s="1"/>
  <c r="L65" i="107"/>
  <c r="L65" i="111" s="1"/>
  <c r="M65" i="107"/>
  <c r="M65" i="111" s="1"/>
  <c r="N65" i="107"/>
  <c r="N65" i="111" s="1"/>
  <c r="D66" i="107"/>
  <c r="D66" i="111" s="1"/>
  <c r="E66" i="107"/>
  <c r="E66" i="111" s="1"/>
  <c r="F66" i="107"/>
  <c r="F66" i="111" s="1"/>
  <c r="G66" i="107"/>
  <c r="G66" i="111" s="1"/>
  <c r="H66" i="107"/>
  <c r="H66" i="111" s="1"/>
  <c r="I66" i="107"/>
  <c r="I66" i="111" s="1"/>
  <c r="J66" i="107"/>
  <c r="J66" i="111" s="1"/>
  <c r="K66" i="107"/>
  <c r="L66" i="107"/>
  <c r="L66" i="111" s="1"/>
  <c r="M66" i="107"/>
  <c r="M66" i="111" s="1"/>
  <c r="N66" i="107"/>
  <c r="N66" i="111" s="1"/>
  <c r="D67" i="107"/>
  <c r="E67" i="107"/>
  <c r="F67" i="107"/>
  <c r="G67" i="107"/>
  <c r="W25" i="107" s="1"/>
  <c r="H67" i="107"/>
  <c r="X25" i="107" s="1"/>
  <c r="I67" i="107"/>
  <c r="Y25" i="107" s="1"/>
  <c r="J67" i="107"/>
  <c r="K67" i="107"/>
  <c r="K67" i="111" s="1"/>
  <c r="L67" i="107"/>
  <c r="M67" i="107"/>
  <c r="N67" i="107"/>
  <c r="D68" i="107"/>
  <c r="D68" i="111" s="1"/>
  <c r="E68" i="107"/>
  <c r="F68" i="107"/>
  <c r="F68" i="111" s="1"/>
  <c r="G68" i="107"/>
  <c r="G68" i="111" s="1"/>
  <c r="H68" i="107"/>
  <c r="H68" i="111" s="1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N68" i="111" s="1"/>
  <c r="D69" i="107"/>
  <c r="D69" i="111" s="1"/>
  <c r="E69" i="107"/>
  <c r="E69" i="111" s="1"/>
  <c r="F69" i="107"/>
  <c r="F69" i="111" s="1"/>
  <c r="G69" i="107"/>
  <c r="G69" i="111" s="1"/>
  <c r="H69" i="107"/>
  <c r="H69" i="111" s="1"/>
  <c r="I69" i="107"/>
  <c r="I69" i="111" s="1"/>
  <c r="J69" i="107"/>
  <c r="K69" i="107"/>
  <c r="K69" i="111" s="1"/>
  <c r="L69" i="107"/>
  <c r="L69" i="111" s="1"/>
  <c r="M69" i="107"/>
  <c r="M69" i="111" s="1"/>
  <c r="N69" i="107"/>
  <c r="N69" i="111" s="1"/>
  <c r="D70" i="107"/>
  <c r="D70" i="111" s="1"/>
  <c r="E70" i="107"/>
  <c r="E70" i="111" s="1"/>
  <c r="F70" i="107"/>
  <c r="F70" i="111" s="1"/>
  <c r="G70" i="107"/>
  <c r="G70" i="111" s="1"/>
  <c r="H70" i="107"/>
  <c r="H70" i="111" s="1"/>
  <c r="I70" i="107"/>
  <c r="I70" i="111" s="1"/>
  <c r="J70" i="107"/>
  <c r="J70" i="111" s="1"/>
  <c r="K70" i="107"/>
  <c r="K70" i="111" s="1"/>
  <c r="L70" i="107"/>
  <c r="L70" i="111" s="1"/>
  <c r="M70" i="107"/>
  <c r="M70" i="111" s="1"/>
  <c r="N70" i="107"/>
  <c r="N70" i="111" s="1"/>
  <c r="D71" i="107"/>
  <c r="E71" i="107"/>
  <c r="U26" i="107" s="1"/>
  <c r="F71" i="107"/>
  <c r="G71" i="107"/>
  <c r="H71" i="107"/>
  <c r="I71" i="107"/>
  <c r="I71" i="111" s="1"/>
  <c r="J71" i="107"/>
  <c r="J71" i="111" s="1"/>
  <c r="K71" i="107"/>
  <c r="K71" i="111" s="1"/>
  <c r="L71" i="107"/>
  <c r="L71" i="111" s="1"/>
  <c r="M71" i="107"/>
  <c r="AC26" i="107" s="1"/>
  <c r="N71" i="107"/>
  <c r="D72" i="107"/>
  <c r="D72" i="111" s="1"/>
  <c r="E72" i="107"/>
  <c r="E72" i="111" s="1"/>
  <c r="F72" i="107"/>
  <c r="F72" i="111" s="1"/>
  <c r="G72" i="107"/>
  <c r="G72" i="111" s="1"/>
  <c r="H72" i="107"/>
  <c r="H72" i="111" s="1"/>
  <c r="I72" i="107"/>
  <c r="J72" i="107"/>
  <c r="J72" i="111" s="1"/>
  <c r="K72" i="107"/>
  <c r="K72" i="111" s="1"/>
  <c r="L72" i="107"/>
  <c r="L72" i="111" s="1"/>
  <c r="M72" i="107"/>
  <c r="M72" i="111" s="1"/>
  <c r="N72" i="107"/>
  <c r="N72" i="111" s="1"/>
  <c r="D73" i="107"/>
  <c r="D73" i="111" s="1"/>
  <c r="E73" i="107"/>
  <c r="E73" i="111" s="1"/>
  <c r="F73" i="107"/>
  <c r="F73" i="111" s="1"/>
  <c r="G73" i="107"/>
  <c r="G73" i="111" s="1"/>
  <c r="H73" i="107"/>
  <c r="H73" i="111" s="1"/>
  <c r="I73" i="107"/>
  <c r="I73" i="111" s="1"/>
  <c r="J73" i="107"/>
  <c r="J73" i="111" s="1"/>
  <c r="K73" i="107"/>
  <c r="K73" i="111" s="1"/>
  <c r="L73" i="107"/>
  <c r="L73" i="111" s="1"/>
  <c r="M73" i="107"/>
  <c r="M73" i="111" s="1"/>
  <c r="N73" i="107"/>
  <c r="D74" i="107"/>
  <c r="D74" i="111" s="1"/>
  <c r="E74" i="107"/>
  <c r="E74" i="111" s="1"/>
  <c r="F74" i="107"/>
  <c r="F74" i="111" s="1"/>
  <c r="G74" i="107"/>
  <c r="G74" i="111" s="1"/>
  <c r="H74" i="107"/>
  <c r="H74" i="111" s="1"/>
  <c r="I74" i="107"/>
  <c r="I74" i="111" s="1"/>
  <c r="J74" i="107"/>
  <c r="J74" i="111" s="1"/>
  <c r="K74" i="107"/>
  <c r="K74" i="111" s="1"/>
  <c r="L74" i="107"/>
  <c r="L74" i="111" s="1"/>
  <c r="M74" i="107"/>
  <c r="M74" i="111" s="1"/>
  <c r="N74" i="107"/>
  <c r="N74" i="111" s="1"/>
  <c r="D75" i="107"/>
  <c r="D75" i="111" s="1"/>
  <c r="E75" i="107"/>
  <c r="F75" i="107"/>
  <c r="G75" i="107"/>
  <c r="G75" i="111" s="1"/>
  <c r="H75" i="107"/>
  <c r="I75" i="107"/>
  <c r="Y27" i="107" s="1"/>
  <c r="J75" i="107"/>
  <c r="K75" i="107"/>
  <c r="AA27" i="107" s="1"/>
  <c r="L75" i="107"/>
  <c r="L75" i="111" s="1"/>
  <c r="M75" i="107"/>
  <c r="N75" i="107"/>
  <c r="D76" i="107"/>
  <c r="D76" i="111" s="1"/>
  <c r="E76" i="107"/>
  <c r="E76" i="111" s="1"/>
  <c r="F76" i="107"/>
  <c r="F76" i="111" s="1"/>
  <c r="G76" i="107"/>
  <c r="G76" i="111" s="1"/>
  <c r="H76" i="107"/>
  <c r="H76" i="111" s="1"/>
  <c r="I76" i="107"/>
  <c r="I76" i="111" s="1"/>
  <c r="J76" i="107"/>
  <c r="J76" i="111" s="1"/>
  <c r="K76" i="107"/>
  <c r="K76" i="111" s="1"/>
  <c r="L76" i="107"/>
  <c r="L76" i="111" s="1"/>
  <c r="M76" i="107"/>
  <c r="N76" i="107"/>
  <c r="N76" i="111" s="1"/>
  <c r="D77" i="107"/>
  <c r="D77" i="111" s="1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L77" i="111" s="1"/>
  <c r="M77" i="107"/>
  <c r="M77" i="111" s="1"/>
  <c r="N77" i="107"/>
  <c r="N77" i="111" s="1"/>
  <c r="D78" i="107"/>
  <c r="D78" i="111" s="1"/>
  <c r="E78" i="107"/>
  <c r="E78" i="111" s="1"/>
  <c r="F78" i="107"/>
  <c r="F78" i="111" s="1"/>
  <c r="G78" i="107"/>
  <c r="H78" i="107"/>
  <c r="H78" i="111" s="1"/>
  <c r="I78" i="107"/>
  <c r="I78" i="111" s="1"/>
  <c r="J78" i="107"/>
  <c r="J78" i="111" s="1"/>
  <c r="K78" i="107"/>
  <c r="K78" i="111" s="1"/>
  <c r="L78" i="107"/>
  <c r="L78" i="111" s="1"/>
  <c r="M78" i="107"/>
  <c r="M78" i="111" s="1"/>
  <c r="N78" i="107"/>
  <c r="N78" i="111" s="1"/>
  <c r="D79" i="107"/>
  <c r="D79" i="111" s="1"/>
  <c r="E79" i="107"/>
  <c r="E79" i="111" s="1"/>
  <c r="F79" i="107"/>
  <c r="F79" i="111" s="1"/>
  <c r="G79" i="107"/>
  <c r="G79" i="111" s="1"/>
  <c r="H79" i="107"/>
  <c r="I79" i="107"/>
  <c r="J79" i="107"/>
  <c r="K79" i="107"/>
  <c r="K79" i="111" s="1"/>
  <c r="L79" i="107"/>
  <c r="M79" i="107"/>
  <c r="M79" i="111" s="1"/>
  <c r="N79" i="107"/>
  <c r="N79" i="111" s="1"/>
  <c r="D80" i="107"/>
  <c r="D80" i="111" s="1"/>
  <c r="E80" i="107"/>
  <c r="E80" i="111" s="1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K80" i="111" s="1"/>
  <c r="L80" i="107"/>
  <c r="L80" i="111" s="1"/>
  <c r="M80" i="107"/>
  <c r="M80" i="111" s="1"/>
  <c r="N80" i="107"/>
  <c r="N80" i="111" s="1"/>
  <c r="D81" i="107"/>
  <c r="D81" i="111" s="1"/>
  <c r="E81" i="107"/>
  <c r="E81" i="111" s="1"/>
  <c r="F81" i="107"/>
  <c r="G81" i="107"/>
  <c r="G81" i="111" s="1"/>
  <c r="H81" i="107"/>
  <c r="H81" i="111" s="1"/>
  <c r="I81" i="107"/>
  <c r="I81" i="111" s="1"/>
  <c r="J81" i="107"/>
  <c r="J81" i="111" s="1"/>
  <c r="K81" i="107"/>
  <c r="K81" i="111" s="1"/>
  <c r="L81" i="107"/>
  <c r="L81" i="111" s="1"/>
  <c r="M81" i="107"/>
  <c r="M81" i="111" s="1"/>
  <c r="N81" i="107"/>
  <c r="N81" i="111" s="1"/>
  <c r="D82" i="107"/>
  <c r="D82" i="111" s="1"/>
  <c r="E82" i="107"/>
  <c r="E82" i="111" s="1"/>
  <c r="F82" i="107"/>
  <c r="F82" i="111" s="1"/>
  <c r="G82" i="107"/>
  <c r="G82" i="111" s="1"/>
  <c r="H82" i="107"/>
  <c r="H82" i="111" s="1"/>
  <c r="I82" i="107"/>
  <c r="I82" i="111" s="1"/>
  <c r="J82" i="107"/>
  <c r="J82" i="111" s="1"/>
  <c r="K82" i="107"/>
  <c r="L82" i="107"/>
  <c r="L82" i="111" s="1"/>
  <c r="M82" i="107"/>
  <c r="M82" i="111" s="1"/>
  <c r="N82" i="107"/>
  <c r="N82" i="111" s="1"/>
  <c r="D83" i="107"/>
  <c r="E83" i="107"/>
  <c r="F83" i="107"/>
  <c r="G83" i="107"/>
  <c r="G83" i="111" s="1"/>
  <c r="H83" i="107"/>
  <c r="X29" i="107" s="1"/>
  <c r="I83" i="107"/>
  <c r="Y29" i="107" s="1"/>
  <c r="J83" i="107"/>
  <c r="K83" i="107"/>
  <c r="K83" i="111" s="1"/>
  <c r="L83" i="107"/>
  <c r="M83" i="107"/>
  <c r="N83" i="107"/>
  <c r="D84" i="107"/>
  <c r="D84" i="111" s="1"/>
  <c r="E84" i="107"/>
  <c r="F84" i="107"/>
  <c r="F84" i="111" s="1"/>
  <c r="G84" i="107"/>
  <c r="G84" i="111" s="1"/>
  <c r="H84" i="107"/>
  <c r="H84" i="111" s="1"/>
  <c r="I84" i="107"/>
  <c r="I84" i="111" s="1"/>
  <c r="J84" i="107"/>
  <c r="J84" i="111" s="1"/>
  <c r="K84" i="107"/>
  <c r="K84" i="111" s="1"/>
  <c r="L84" i="107"/>
  <c r="L84" i="111" s="1"/>
  <c r="M84" i="107"/>
  <c r="M84" i="111" s="1"/>
  <c r="N84" i="107"/>
  <c r="N84" i="111" s="1"/>
  <c r="D85" i="107"/>
  <c r="D85" i="111" s="1"/>
  <c r="E85" i="107"/>
  <c r="E85" i="111" s="1"/>
  <c r="F85" i="107"/>
  <c r="F85" i="111" s="1"/>
  <c r="G85" i="107"/>
  <c r="G85" i="111" s="1"/>
  <c r="H85" i="107"/>
  <c r="H85" i="111" s="1"/>
  <c r="I85" i="107"/>
  <c r="I85" i="111" s="1"/>
  <c r="J85" i="107"/>
  <c r="K85" i="107"/>
  <c r="K85" i="111" s="1"/>
  <c r="L85" i="107"/>
  <c r="L85" i="111" s="1"/>
  <c r="M85" i="107"/>
  <c r="M85" i="111" s="1"/>
  <c r="N85" i="107"/>
  <c r="N85" i="111" s="1"/>
  <c r="D86" i="107"/>
  <c r="D86" i="111" s="1"/>
  <c r="E86" i="107"/>
  <c r="E86" i="111" s="1"/>
  <c r="F86" i="107"/>
  <c r="F86" i="111" s="1"/>
  <c r="G86" i="107"/>
  <c r="G86" i="111" s="1"/>
  <c r="H86" i="107"/>
  <c r="H86" i="111" s="1"/>
  <c r="I86" i="107"/>
  <c r="I86" i="111" s="1"/>
  <c r="J86" i="107"/>
  <c r="J86" i="111" s="1"/>
  <c r="K86" i="107"/>
  <c r="K86" i="111" s="1"/>
  <c r="L86" i="107"/>
  <c r="M86" i="107"/>
  <c r="M86" i="111" s="1"/>
  <c r="N86" i="107"/>
  <c r="N86" i="111" s="1"/>
  <c r="D87" i="107"/>
  <c r="E87" i="107"/>
  <c r="U30" i="107" s="1"/>
  <c r="F87" i="107"/>
  <c r="G87" i="107"/>
  <c r="H87" i="107"/>
  <c r="I87" i="107"/>
  <c r="I87" i="111" s="1"/>
  <c r="J87" i="107"/>
  <c r="J87" i="111" s="1"/>
  <c r="K87" i="107"/>
  <c r="K87" i="111" s="1"/>
  <c r="L87" i="107"/>
  <c r="L87" i="111" s="1"/>
  <c r="M87" i="107"/>
  <c r="AC30" i="107" s="1"/>
  <c r="N87" i="107"/>
  <c r="D88" i="107"/>
  <c r="D88" i="111" s="1"/>
  <c r="E88" i="107"/>
  <c r="E88" i="111" s="1"/>
  <c r="F88" i="107"/>
  <c r="F88" i="111" s="1"/>
  <c r="G88" i="107"/>
  <c r="G88" i="111" s="1"/>
  <c r="H88" i="107"/>
  <c r="H88" i="111" s="1"/>
  <c r="I88" i="107"/>
  <c r="I88" i="111" s="1"/>
  <c r="J88" i="107"/>
  <c r="J88" i="111" s="1"/>
  <c r="K88" i="107"/>
  <c r="K88" i="111" s="1"/>
  <c r="L88" i="107"/>
  <c r="L88" i="111" s="1"/>
  <c r="M88" i="107"/>
  <c r="M88" i="111" s="1"/>
  <c r="N88" i="107"/>
  <c r="N88" i="111" s="1"/>
  <c r="D89" i="107"/>
  <c r="D89" i="111" s="1"/>
  <c r="E89" i="107"/>
  <c r="F89" i="107"/>
  <c r="F89" i="111" s="1"/>
  <c r="G89" i="107"/>
  <c r="G89" i="111" s="1"/>
  <c r="H89" i="107"/>
  <c r="H89" i="111" s="1"/>
  <c r="I89" i="107"/>
  <c r="I89" i="111" s="1"/>
  <c r="J89" i="107"/>
  <c r="J89" i="111" s="1"/>
  <c r="K89" i="107"/>
  <c r="K89" i="111" s="1"/>
  <c r="L89" i="107"/>
  <c r="L89" i="111" s="1"/>
  <c r="M89" i="107"/>
  <c r="M89" i="111" s="1"/>
  <c r="N89" i="107"/>
  <c r="N89" i="111" s="1"/>
  <c r="D90" i="107"/>
  <c r="D90" i="111" s="1"/>
  <c r="E90" i="107"/>
  <c r="E90" i="111" s="1"/>
  <c r="F90" i="107"/>
  <c r="G90" i="107"/>
  <c r="G90" i="111" s="1"/>
  <c r="H90" i="107"/>
  <c r="H90" i="111" s="1"/>
  <c r="I90" i="107"/>
  <c r="I90" i="111" s="1"/>
  <c r="J90" i="107"/>
  <c r="J90" i="111" s="1"/>
  <c r="K90" i="107"/>
  <c r="K90" i="111" s="1"/>
  <c r="L90" i="107"/>
  <c r="L90" i="111" s="1"/>
  <c r="M90" i="107"/>
  <c r="M90" i="111" s="1"/>
  <c r="N90" i="107"/>
  <c r="N90" i="111" s="1"/>
  <c r="D91" i="107"/>
  <c r="D91" i="111" s="1"/>
  <c r="E91" i="107"/>
  <c r="F91" i="107"/>
  <c r="G91" i="107"/>
  <c r="G91" i="111" s="1"/>
  <c r="H91" i="107"/>
  <c r="I91" i="107"/>
  <c r="J91" i="107"/>
  <c r="K91" i="107"/>
  <c r="K91" i="111" s="1"/>
  <c r="L91" i="107"/>
  <c r="L91" i="111" s="1"/>
  <c r="M91" i="107"/>
  <c r="N91" i="107"/>
  <c r="D92" i="107"/>
  <c r="D92" i="111" s="1"/>
  <c r="E92" i="107"/>
  <c r="E92" i="111" s="1"/>
  <c r="F92" i="107"/>
  <c r="F92" i="111" s="1"/>
  <c r="G92" i="107"/>
  <c r="G92" i="111" s="1"/>
  <c r="H92" i="107"/>
  <c r="H92" i="111" s="1"/>
  <c r="I92" i="107"/>
  <c r="I92" i="111" s="1"/>
  <c r="J92" i="107"/>
  <c r="K92" i="107"/>
  <c r="K92" i="111" s="1"/>
  <c r="L92" i="107"/>
  <c r="L92" i="111" s="1"/>
  <c r="M92" i="107"/>
  <c r="M92" i="111" s="1"/>
  <c r="N92" i="107"/>
  <c r="N92" i="111" s="1"/>
  <c r="D93" i="107"/>
  <c r="D93" i="111" s="1"/>
  <c r="E93" i="107"/>
  <c r="E93" i="111" s="1"/>
  <c r="F93" i="107"/>
  <c r="F93" i="111" s="1"/>
  <c r="G93" i="107"/>
  <c r="G93" i="111" s="1"/>
  <c r="H93" i="107"/>
  <c r="H93" i="111" s="1"/>
  <c r="I93" i="107"/>
  <c r="I93" i="111" s="1"/>
  <c r="J93" i="107"/>
  <c r="J93" i="111" s="1"/>
  <c r="K93" i="107"/>
  <c r="L93" i="107"/>
  <c r="L93" i="111" s="1"/>
  <c r="M93" i="107"/>
  <c r="M93" i="111" s="1"/>
  <c r="N93" i="107"/>
  <c r="N93" i="111" s="1"/>
  <c r="D94" i="107"/>
  <c r="D94" i="111" s="1"/>
  <c r="E94" i="107"/>
  <c r="E94" i="111" s="1"/>
  <c r="F94" i="107"/>
  <c r="F94" i="111" s="1"/>
  <c r="G94" i="107"/>
  <c r="G94" i="111" s="1"/>
  <c r="H94" i="107"/>
  <c r="H94" i="111" s="1"/>
  <c r="I94" i="107"/>
  <c r="I94" i="111" s="1"/>
  <c r="J94" i="107"/>
  <c r="J94" i="111" s="1"/>
  <c r="K94" i="107"/>
  <c r="K94" i="111" s="1"/>
  <c r="L94" i="107"/>
  <c r="L94" i="111" s="1"/>
  <c r="M94" i="107"/>
  <c r="M94" i="111" s="1"/>
  <c r="N94" i="107"/>
  <c r="N94" i="111" s="1"/>
  <c r="D95" i="107"/>
  <c r="E95" i="107"/>
  <c r="U32" i="107" s="1"/>
  <c r="F95" i="107"/>
  <c r="F95" i="111" s="1"/>
  <c r="G95" i="107"/>
  <c r="H95" i="107"/>
  <c r="I95" i="107"/>
  <c r="J95" i="107"/>
  <c r="Z32" i="107" s="1"/>
  <c r="K95" i="107"/>
  <c r="K95" i="111" s="1"/>
  <c r="L95" i="107"/>
  <c r="M95" i="107"/>
  <c r="M95" i="111" s="1"/>
  <c r="N95" i="107"/>
  <c r="N95" i="111" s="1"/>
  <c r="D96" i="107"/>
  <c r="D96" i="111" s="1"/>
  <c r="E96" i="107"/>
  <c r="E96" i="111" s="1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L96" i="107"/>
  <c r="L96" i="111" s="1"/>
  <c r="M96" i="107"/>
  <c r="M96" i="111" s="1"/>
  <c r="N96" i="107"/>
  <c r="N96" i="111" s="1"/>
  <c r="D97" i="107"/>
  <c r="D97" i="111" s="1"/>
  <c r="E97" i="107"/>
  <c r="E97" i="111" s="1"/>
  <c r="F97" i="107"/>
  <c r="F97" i="111" s="1"/>
  <c r="G97" i="107"/>
  <c r="G97" i="111" s="1"/>
  <c r="H97" i="107"/>
  <c r="H97" i="111" s="1"/>
  <c r="I97" i="107"/>
  <c r="J97" i="107"/>
  <c r="J97" i="111" s="1"/>
  <c r="K97" i="107"/>
  <c r="K97" i="111" s="1"/>
  <c r="L97" i="107"/>
  <c r="L97" i="111" s="1"/>
  <c r="M97" i="107"/>
  <c r="M97" i="111" s="1"/>
  <c r="N97" i="107"/>
  <c r="N97" i="111" s="1"/>
  <c r="D98" i="107"/>
  <c r="D98" i="111" s="1"/>
  <c r="E98" i="107"/>
  <c r="E98" i="111" s="1"/>
  <c r="F98" i="107"/>
  <c r="F98" i="111" s="1"/>
  <c r="G98" i="107"/>
  <c r="G98" i="111" s="1"/>
  <c r="H98" i="107"/>
  <c r="I98" i="107"/>
  <c r="I98" i="111" s="1"/>
  <c r="J98" i="107"/>
  <c r="J98" i="111" s="1"/>
  <c r="K98" i="107"/>
  <c r="K98" i="111" s="1"/>
  <c r="L98" i="107"/>
  <c r="L98" i="111" s="1"/>
  <c r="M98" i="107"/>
  <c r="M98" i="111" s="1"/>
  <c r="N98" i="107"/>
  <c r="N98" i="111" s="1"/>
  <c r="D99" i="107"/>
  <c r="E99" i="107"/>
  <c r="F99" i="107"/>
  <c r="V33" i="107" s="1"/>
  <c r="G99" i="107"/>
  <c r="G99" i="111" s="1"/>
  <c r="H99" i="107"/>
  <c r="H99" i="111" s="1"/>
  <c r="I99" i="107"/>
  <c r="J99" i="107"/>
  <c r="Z33" i="107" s="1"/>
  <c r="K99" i="107"/>
  <c r="L99" i="107"/>
  <c r="M99" i="107"/>
  <c r="N99" i="107"/>
  <c r="AD33" i="107" s="1"/>
  <c r="D100" i="107"/>
  <c r="E100" i="107"/>
  <c r="E100" i="111" s="1"/>
  <c r="F100" i="107"/>
  <c r="F100" i="111" s="1"/>
  <c r="G100" i="107"/>
  <c r="G100" i="111" s="1"/>
  <c r="H100" i="107"/>
  <c r="H100" i="111" s="1"/>
  <c r="I100" i="107"/>
  <c r="I100" i="111" s="1"/>
  <c r="J100" i="107"/>
  <c r="J100" i="111" s="1"/>
  <c r="K100" i="107"/>
  <c r="K100" i="111" s="1"/>
  <c r="L100" i="107"/>
  <c r="L100" i="111" s="1"/>
  <c r="M100" i="107"/>
  <c r="N100" i="107"/>
  <c r="N100" i="111" s="1"/>
  <c r="D101" i="107"/>
  <c r="D101" i="111" s="1"/>
  <c r="E101" i="107"/>
  <c r="E101" i="111" s="1"/>
  <c r="F101" i="107"/>
  <c r="F101" i="111" s="1"/>
  <c r="G101" i="107"/>
  <c r="G101" i="111" s="1"/>
  <c r="H101" i="107"/>
  <c r="H101" i="111" s="1"/>
  <c r="I101" i="107"/>
  <c r="I101" i="111" s="1"/>
  <c r="J101" i="107"/>
  <c r="K101" i="107"/>
  <c r="K101" i="111" s="1"/>
  <c r="L101" i="107"/>
  <c r="L101" i="111" s="1"/>
  <c r="M101" i="107"/>
  <c r="M101" i="111" s="1"/>
  <c r="N101" i="107"/>
  <c r="N101" i="111" s="1"/>
  <c r="D102" i="107"/>
  <c r="D102" i="111" s="1"/>
  <c r="E102" i="107"/>
  <c r="E102" i="111" s="1"/>
  <c r="F102" i="107"/>
  <c r="F102" i="111" s="1"/>
  <c r="G102" i="107"/>
  <c r="H102" i="107"/>
  <c r="H102" i="111" s="1"/>
  <c r="I102" i="107"/>
  <c r="I102" i="111" s="1"/>
  <c r="J102" i="107"/>
  <c r="J102" i="111" s="1"/>
  <c r="K102" i="107"/>
  <c r="K102" i="111" s="1"/>
  <c r="L102" i="107"/>
  <c r="L102" i="111" s="1"/>
  <c r="M102" i="107"/>
  <c r="M102" i="111" s="1"/>
  <c r="N102" i="107"/>
  <c r="N102" i="111" s="1"/>
  <c r="D103" i="107"/>
  <c r="E103" i="107"/>
  <c r="F103" i="107"/>
  <c r="G103" i="107"/>
  <c r="H103" i="107"/>
  <c r="I103" i="107"/>
  <c r="J103" i="107"/>
  <c r="K103" i="107"/>
  <c r="K103" i="111" s="1"/>
  <c r="L103" i="107"/>
  <c r="M103" i="107"/>
  <c r="N103" i="107"/>
  <c r="N103" i="111" s="1"/>
  <c r="D104" i="107"/>
  <c r="D104" i="111" s="1"/>
  <c r="E104" i="107"/>
  <c r="E104" i="111" s="1"/>
  <c r="F104" i="107"/>
  <c r="F104" i="111" s="1"/>
  <c r="G104" i="107"/>
  <c r="G104" i="111" s="1"/>
  <c r="H104" i="107"/>
  <c r="H104" i="111" s="1"/>
  <c r="I104" i="107"/>
  <c r="J104" i="107"/>
  <c r="J104" i="111" s="1"/>
  <c r="K104" i="107"/>
  <c r="K104" i="111" s="1"/>
  <c r="L104" i="107"/>
  <c r="L104" i="111" s="1"/>
  <c r="M104" i="107"/>
  <c r="M104" i="111" s="1"/>
  <c r="N104" i="107"/>
  <c r="N104" i="111" s="1"/>
  <c r="D105" i="107"/>
  <c r="D105" i="111" s="1"/>
  <c r="E105" i="107"/>
  <c r="E105" i="111" s="1"/>
  <c r="F105" i="107"/>
  <c r="G105" i="107"/>
  <c r="G105" i="111" s="1"/>
  <c r="H105" i="107"/>
  <c r="H105" i="111" s="1"/>
  <c r="I105" i="107"/>
  <c r="I105" i="111" s="1"/>
  <c r="J105" i="107"/>
  <c r="J105" i="111" s="1"/>
  <c r="K105" i="107"/>
  <c r="K105" i="111" s="1"/>
  <c r="L105" i="107"/>
  <c r="L105" i="111" s="1"/>
  <c r="M105" i="107"/>
  <c r="M105" i="111" s="1"/>
  <c r="N105" i="107"/>
  <c r="C59" i="107"/>
  <c r="C59" i="111" s="1"/>
  <c r="C60" i="107"/>
  <c r="C60" i="111" s="1"/>
  <c r="C61" i="107"/>
  <c r="C61" i="111" s="1"/>
  <c r="C62" i="107"/>
  <c r="C62" i="111" s="1"/>
  <c r="C63" i="107"/>
  <c r="C64" i="107"/>
  <c r="C64" i="111" s="1"/>
  <c r="C65" i="107"/>
  <c r="C65" i="111" s="1"/>
  <c r="C66" i="107"/>
  <c r="C67" i="107"/>
  <c r="C68" i="107"/>
  <c r="C68" i="111" s="1"/>
  <c r="C69" i="107"/>
  <c r="C69" i="111" s="1"/>
  <c r="C70" i="107"/>
  <c r="C70" i="111" s="1"/>
  <c r="C71" i="107"/>
  <c r="C72" i="107"/>
  <c r="C72" i="111" s="1"/>
  <c r="C73" i="107"/>
  <c r="C73" i="111" s="1"/>
  <c r="C74" i="107"/>
  <c r="C75" i="107"/>
  <c r="C75" i="111" s="1"/>
  <c r="C76" i="107"/>
  <c r="C76" i="111" s="1"/>
  <c r="C77" i="107"/>
  <c r="C77" i="111" s="1"/>
  <c r="C78" i="107"/>
  <c r="C78" i="111" s="1"/>
  <c r="C79" i="107"/>
  <c r="C80" i="107"/>
  <c r="C80" i="111" s="1"/>
  <c r="C81" i="107"/>
  <c r="C81" i="111" s="1"/>
  <c r="C82" i="107"/>
  <c r="C83" i="107"/>
  <c r="C84" i="107"/>
  <c r="C84" i="111" s="1"/>
  <c r="C85" i="107"/>
  <c r="C85" i="111" s="1"/>
  <c r="C86" i="107"/>
  <c r="C86" i="111" s="1"/>
  <c r="C87" i="107"/>
  <c r="C88" i="107"/>
  <c r="C88" i="111" s="1"/>
  <c r="C89" i="107"/>
  <c r="C89" i="111" s="1"/>
  <c r="C90" i="107"/>
  <c r="C91" i="107"/>
  <c r="C91" i="111" s="1"/>
  <c r="C92" i="107"/>
  <c r="C92" i="111" s="1"/>
  <c r="C93" i="107"/>
  <c r="C93" i="111" s="1"/>
  <c r="C94" i="107"/>
  <c r="C94" i="111" s="1"/>
  <c r="C95" i="107"/>
  <c r="C96" i="107"/>
  <c r="C96" i="111" s="1"/>
  <c r="C97" i="107"/>
  <c r="C97" i="111" s="1"/>
  <c r="C98" i="107"/>
  <c r="C99" i="107"/>
  <c r="C100" i="107"/>
  <c r="C100" i="111" s="1"/>
  <c r="C101" i="107"/>
  <c r="C101" i="111" s="1"/>
  <c r="C102" i="107"/>
  <c r="C102" i="111" s="1"/>
  <c r="C103" i="107"/>
  <c r="C104" i="107"/>
  <c r="C104" i="111" s="1"/>
  <c r="C105" i="107"/>
  <c r="C105" i="111" s="1"/>
  <c r="C58" i="107"/>
  <c r="P93" i="111" l="1"/>
  <c r="P77" i="111"/>
  <c r="P61" i="111"/>
  <c r="AB31" i="111"/>
  <c r="X30" i="111"/>
  <c r="AB27" i="111"/>
  <c r="T27" i="111"/>
  <c r="X26" i="111"/>
  <c r="AB23" i="111"/>
  <c r="T23" i="111"/>
  <c r="X22" i="111"/>
  <c r="P101" i="111"/>
  <c r="P85" i="111"/>
  <c r="P69" i="111"/>
  <c r="AD27" i="107"/>
  <c r="N75" i="111"/>
  <c r="AD26" i="111" s="1"/>
  <c r="V23" i="107"/>
  <c r="F59" i="111"/>
  <c r="V22" i="111" s="1"/>
  <c r="AD25" i="107"/>
  <c r="N67" i="111"/>
  <c r="S28" i="107"/>
  <c r="U33" i="107"/>
  <c r="Y32" i="107"/>
  <c r="AC31" i="107"/>
  <c r="U31" i="107"/>
  <c r="AC29" i="107"/>
  <c r="M83" i="111"/>
  <c r="AC28" i="111" s="1"/>
  <c r="U29" i="107"/>
  <c r="E83" i="111"/>
  <c r="U28" i="111" s="1"/>
  <c r="Y28" i="107"/>
  <c r="I79" i="111"/>
  <c r="Y27" i="111" s="1"/>
  <c r="M75" i="111"/>
  <c r="AC27" i="107"/>
  <c r="E75" i="111"/>
  <c r="P75" i="111" s="1"/>
  <c r="U27" i="107"/>
  <c r="AC25" i="107"/>
  <c r="M67" i="111"/>
  <c r="U25" i="107"/>
  <c r="E67" i="111"/>
  <c r="U24" i="111" s="1"/>
  <c r="Y24" i="107"/>
  <c r="I63" i="111"/>
  <c r="M59" i="111"/>
  <c r="AC23" i="107"/>
  <c r="E59" i="111"/>
  <c r="U22" i="111" s="1"/>
  <c r="U23" i="107"/>
  <c r="N99" i="111"/>
  <c r="E99" i="111"/>
  <c r="AB23" i="107"/>
  <c r="V28" i="107"/>
  <c r="Z30" i="107"/>
  <c r="AD32" i="107"/>
  <c r="AD31" i="107"/>
  <c r="N91" i="111"/>
  <c r="AD30" i="111" s="1"/>
  <c r="F99" i="111"/>
  <c r="S32" i="107"/>
  <c r="S26" i="107"/>
  <c r="AC33" i="107"/>
  <c r="AB33" i="107"/>
  <c r="L99" i="111"/>
  <c r="AB32" i="111" s="1"/>
  <c r="T33" i="107"/>
  <c r="D99" i="111"/>
  <c r="T32" i="111" s="1"/>
  <c r="H95" i="111"/>
  <c r="X32" i="107"/>
  <c r="X30" i="107"/>
  <c r="H87" i="111"/>
  <c r="X29" i="111" s="1"/>
  <c r="AB29" i="107"/>
  <c r="L83" i="111"/>
  <c r="AB28" i="111" s="1"/>
  <c r="T29" i="107"/>
  <c r="D83" i="111"/>
  <c r="T28" i="111" s="1"/>
  <c r="H79" i="111"/>
  <c r="X28" i="107"/>
  <c r="X26" i="107"/>
  <c r="H71" i="111"/>
  <c r="AB25" i="107"/>
  <c r="L67" i="111"/>
  <c r="AB24" i="111" s="1"/>
  <c r="T25" i="107"/>
  <c r="D67" i="111"/>
  <c r="T24" i="111" s="1"/>
  <c r="H63" i="111"/>
  <c r="X24" i="107"/>
  <c r="J103" i="111"/>
  <c r="M99" i="111"/>
  <c r="J95" i="111"/>
  <c r="Z31" i="111" s="1"/>
  <c r="E91" i="111"/>
  <c r="P91" i="111" s="1"/>
  <c r="U24" i="107"/>
  <c r="Y26" i="107"/>
  <c r="AC28" i="107"/>
  <c r="S31" i="107"/>
  <c r="W33" i="107"/>
  <c r="AD23" i="107"/>
  <c r="N59" i="111"/>
  <c r="Y30" i="107"/>
  <c r="S30" i="107"/>
  <c r="S24" i="107"/>
  <c r="AA33" i="107"/>
  <c r="W32" i="107"/>
  <c r="W30" i="107"/>
  <c r="AA29" i="107"/>
  <c r="W28" i="107"/>
  <c r="W26" i="107"/>
  <c r="AA25" i="107"/>
  <c r="W24" i="107"/>
  <c r="C103" i="111"/>
  <c r="C95" i="111"/>
  <c r="O95" i="111" s="1"/>
  <c r="C87" i="111"/>
  <c r="C79" i="111"/>
  <c r="P79" i="111" s="1"/>
  <c r="C71" i="111"/>
  <c r="P71" i="111" s="1"/>
  <c r="C63" i="111"/>
  <c r="P63" i="111" s="1"/>
  <c r="I103" i="111"/>
  <c r="Y33" i="111" s="1"/>
  <c r="K99" i="111"/>
  <c r="I95" i="111"/>
  <c r="I83" i="111"/>
  <c r="M71" i="111"/>
  <c r="I67" i="111"/>
  <c r="V24" i="107"/>
  <c r="Z26" i="107"/>
  <c r="AD28" i="107"/>
  <c r="T31" i="107"/>
  <c r="X33" i="107"/>
  <c r="V29" i="107"/>
  <c r="F83" i="111"/>
  <c r="V25" i="107"/>
  <c r="F67" i="111"/>
  <c r="V24" i="111" s="1"/>
  <c r="Z31" i="107"/>
  <c r="J91" i="111"/>
  <c r="N87" i="111"/>
  <c r="AD30" i="107"/>
  <c r="F87" i="111"/>
  <c r="V29" i="111" s="1"/>
  <c r="V30" i="107"/>
  <c r="J83" i="111"/>
  <c r="Z28" i="111" s="1"/>
  <c r="Z29" i="107"/>
  <c r="Z27" i="107"/>
  <c r="J75" i="111"/>
  <c r="Z26" i="111" s="1"/>
  <c r="N71" i="111"/>
  <c r="AD25" i="111" s="1"/>
  <c r="AD26" i="107"/>
  <c r="F71" i="111"/>
  <c r="V26" i="107"/>
  <c r="J67" i="111"/>
  <c r="Z25" i="107"/>
  <c r="Z23" i="107"/>
  <c r="J59" i="111"/>
  <c r="Z22" i="111" s="1"/>
  <c r="AE31" i="107"/>
  <c r="AE27" i="107"/>
  <c r="AE23" i="107"/>
  <c r="AF31" i="107"/>
  <c r="AF27" i="107"/>
  <c r="AF23" i="107"/>
  <c r="H103" i="111"/>
  <c r="X33" i="111" s="1"/>
  <c r="J99" i="111"/>
  <c r="G95" i="111"/>
  <c r="W31" i="111" s="1"/>
  <c r="G87" i="111"/>
  <c r="H83" i="111"/>
  <c r="H67" i="111"/>
  <c r="AC24" i="107"/>
  <c r="S27" i="107"/>
  <c r="W29" i="107"/>
  <c r="AA31" i="107"/>
  <c r="AD29" i="107"/>
  <c r="N83" i="111"/>
  <c r="Z28" i="107"/>
  <c r="J79" i="111"/>
  <c r="Y33" i="107"/>
  <c r="G103" i="111"/>
  <c r="I99" i="111"/>
  <c r="Y32" i="111" s="1"/>
  <c r="E95" i="111"/>
  <c r="U31" i="111" s="1"/>
  <c r="M91" i="111"/>
  <c r="E87" i="111"/>
  <c r="G67" i="111"/>
  <c r="W24" i="111" s="1"/>
  <c r="AD24" i="107"/>
  <c r="T27" i="107"/>
  <c r="AB31" i="107"/>
  <c r="V31" i="107"/>
  <c r="F91" i="111"/>
  <c r="V30" i="111" s="1"/>
  <c r="V27" i="107"/>
  <c r="F75" i="111"/>
  <c r="V26" i="111" s="1"/>
  <c r="S33" i="107"/>
  <c r="S29" i="107"/>
  <c r="Y31" i="107"/>
  <c r="AB32" i="107"/>
  <c r="T32" i="107"/>
  <c r="X31" i="107"/>
  <c r="AB30" i="107"/>
  <c r="T30" i="107"/>
  <c r="AB28" i="107"/>
  <c r="T28" i="107"/>
  <c r="X27" i="107"/>
  <c r="AB26" i="107"/>
  <c r="T26" i="107"/>
  <c r="AB24" i="107"/>
  <c r="T24" i="107"/>
  <c r="X23" i="107"/>
  <c r="F103" i="111"/>
  <c r="V33" i="111" s="1"/>
  <c r="D95" i="111"/>
  <c r="T31" i="111" s="1"/>
  <c r="D87" i="111"/>
  <c r="P87" i="111" s="1"/>
  <c r="K75" i="111"/>
  <c r="AA26" i="111" s="1"/>
  <c r="G71" i="111"/>
  <c r="W25" i="111" s="1"/>
  <c r="S23" i="107"/>
  <c r="Z24" i="107"/>
  <c r="J63" i="111"/>
  <c r="Z23" i="111" s="1"/>
  <c r="AA23" i="107"/>
  <c r="S25" i="107"/>
  <c r="AA32" i="107"/>
  <c r="W31" i="107"/>
  <c r="AA30" i="107"/>
  <c r="AA28" i="107"/>
  <c r="W27" i="107"/>
  <c r="AA26" i="107"/>
  <c r="AA24" i="107"/>
  <c r="W23" i="107"/>
  <c r="C99" i="111"/>
  <c r="P99" i="111" s="1"/>
  <c r="C83" i="111"/>
  <c r="S28" i="111" s="1"/>
  <c r="C67" i="111"/>
  <c r="S24" i="111" s="1"/>
  <c r="M103" i="111"/>
  <c r="E103" i="111"/>
  <c r="U33" i="111" s="1"/>
  <c r="I91" i="111"/>
  <c r="I75" i="111"/>
  <c r="E71" i="111"/>
  <c r="U25" i="111" s="1"/>
  <c r="I59" i="111"/>
  <c r="T23" i="107"/>
  <c r="AB27" i="107"/>
  <c r="V32" i="107"/>
  <c r="V32" i="111"/>
  <c r="AD28" i="111"/>
  <c r="Z27" i="111"/>
  <c r="Z25" i="111"/>
  <c r="AD24" i="111"/>
  <c r="AD22" i="111"/>
  <c r="Z33" i="111"/>
  <c r="AD32" i="111"/>
  <c r="Z29" i="111"/>
  <c r="V28" i="111"/>
  <c r="S33" i="111"/>
  <c r="S29" i="111"/>
  <c r="S25" i="111"/>
  <c r="AA23" i="111"/>
  <c r="AD33" i="111"/>
  <c r="Z30" i="111"/>
  <c r="AD29" i="111"/>
  <c r="V25" i="111"/>
  <c r="AC32" i="111"/>
  <c r="U32" i="111"/>
  <c r="Y31" i="111"/>
  <c r="Y29" i="111"/>
  <c r="AC26" i="111"/>
  <c r="Y25" i="111"/>
  <c r="AC24" i="111"/>
  <c r="Y23" i="111"/>
  <c r="AC22" i="111"/>
  <c r="X31" i="111"/>
  <c r="AB30" i="111"/>
  <c r="T30" i="111"/>
  <c r="X27" i="111"/>
  <c r="AB26" i="111"/>
  <c r="T26" i="111"/>
  <c r="X25" i="111"/>
  <c r="X23" i="111"/>
  <c r="Y22" i="111"/>
  <c r="AB22" i="111"/>
  <c r="T22" i="111"/>
  <c r="W33" i="111"/>
  <c r="AA32" i="111"/>
  <c r="AA30" i="111"/>
  <c r="W29" i="111"/>
  <c r="AA28" i="111"/>
  <c r="W27" i="111"/>
  <c r="AA24" i="111"/>
  <c r="W23" i="111"/>
  <c r="AA22" i="111"/>
  <c r="Z32" i="111"/>
  <c r="AD31" i="111"/>
  <c r="V31" i="111"/>
  <c r="AD27" i="111"/>
  <c r="V27" i="111"/>
  <c r="Z24" i="111"/>
  <c r="AD23" i="111"/>
  <c r="V23" i="111"/>
  <c r="AC30" i="111"/>
  <c r="AC33" i="111"/>
  <c r="AC31" i="111"/>
  <c r="Y30" i="111"/>
  <c r="AC29" i="111"/>
  <c r="U29" i="111"/>
  <c r="Y28" i="111"/>
  <c r="AC27" i="111"/>
  <c r="U27" i="111"/>
  <c r="Y26" i="111"/>
  <c r="AC25" i="111"/>
  <c r="Y24" i="111"/>
  <c r="AC23" i="111"/>
  <c r="U23" i="111"/>
  <c r="AB33" i="111"/>
  <c r="T33" i="111"/>
  <c r="X32" i="111"/>
  <c r="AB29" i="111"/>
  <c r="X28" i="111"/>
  <c r="AB25" i="111"/>
  <c r="T25" i="111"/>
  <c r="X24" i="111"/>
  <c r="AA33" i="111"/>
  <c r="W32" i="111"/>
  <c r="AA31" i="111"/>
  <c r="W30" i="111"/>
  <c r="AA29" i="111"/>
  <c r="W28" i="111"/>
  <c r="AA27" i="111"/>
  <c r="W26" i="111"/>
  <c r="AA25" i="111"/>
  <c r="W22" i="111"/>
  <c r="P58" i="111"/>
  <c r="P98" i="111"/>
  <c r="P90" i="111"/>
  <c r="P82" i="111"/>
  <c r="P74" i="111"/>
  <c r="P66" i="111"/>
  <c r="S22" i="111"/>
  <c r="S26" i="111"/>
  <c r="S30" i="111"/>
  <c r="P105" i="111"/>
  <c r="P97" i="111"/>
  <c r="P89" i="111"/>
  <c r="P81" i="111"/>
  <c r="P73" i="111"/>
  <c r="P65" i="111"/>
  <c r="P104" i="111"/>
  <c r="P96" i="111"/>
  <c r="P88" i="111"/>
  <c r="P80" i="111"/>
  <c r="P72" i="111"/>
  <c r="P64" i="111"/>
  <c r="P95" i="111"/>
  <c r="P102" i="111"/>
  <c r="P94" i="111"/>
  <c r="P86" i="111"/>
  <c r="P78" i="111"/>
  <c r="P70" i="111"/>
  <c r="P62" i="111"/>
  <c r="S32" i="111"/>
  <c r="P100" i="111"/>
  <c r="P92" i="111"/>
  <c r="P84" i="111"/>
  <c r="P76" i="111"/>
  <c r="P68" i="111"/>
  <c r="P60" i="111"/>
  <c r="P67" i="111"/>
  <c r="P59" i="111"/>
  <c r="S23" i="111"/>
  <c r="S31" i="111"/>
  <c r="O75" i="111"/>
  <c r="O67" i="111"/>
  <c r="O59" i="111"/>
  <c r="O98" i="111"/>
  <c r="O90" i="111"/>
  <c r="O82" i="111"/>
  <c r="O74" i="111"/>
  <c r="O66" i="111"/>
  <c r="O58" i="111"/>
  <c r="O105" i="111"/>
  <c r="O97" i="111"/>
  <c r="O89" i="111"/>
  <c r="O81" i="111"/>
  <c r="O73" i="111"/>
  <c r="O65" i="111"/>
  <c r="O104" i="111"/>
  <c r="O96" i="111"/>
  <c r="O88" i="111"/>
  <c r="O80" i="111"/>
  <c r="O72" i="111"/>
  <c r="O64" i="111"/>
  <c r="O79" i="111"/>
  <c r="O102" i="111"/>
  <c r="O94" i="111"/>
  <c r="O86" i="111"/>
  <c r="O78" i="111"/>
  <c r="O70" i="111"/>
  <c r="O62" i="111"/>
  <c r="O101" i="111"/>
  <c r="O93" i="111"/>
  <c r="O85" i="111"/>
  <c r="O77" i="111"/>
  <c r="O69" i="111"/>
  <c r="O61" i="111"/>
  <c r="O100" i="111"/>
  <c r="O92" i="111"/>
  <c r="O84" i="111"/>
  <c r="O76" i="111"/>
  <c r="O68" i="111"/>
  <c r="O60" i="111"/>
  <c r="C11" i="107"/>
  <c r="D11" i="107"/>
  <c r="C12" i="107"/>
  <c r="D12" i="107"/>
  <c r="C13" i="107"/>
  <c r="D13" i="107"/>
  <c r="C14" i="107"/>
  <c r="D14" i="107"/>
  <c r="C15" i="107"/>
  <c r="D15" i="107"/>
  <c r="C16" i="107"/>
  <c r="D16" i="107"/>
  <c r="C17" i="107"/>
  <c r="D17" i="107"/>
  <c r="C18" i="107"/>
  <c r="D18" i="107"/>
  <c r="C19" i="107"/>
  <c r="D19" i="107"/>
  <c r="C20" i="107"/>
  <c r="D20" i="107"/>
  <c r="C21" i="107"/>
  <c r="D21" i="107"/>
  <c r="C22" i="107"/>
  <c r="D22" i="107"/>
  <c r="C23" i="107"/>
  <c r="D23" i="107"/>
  <c r="C24" i="107"/>
  <c r="D24" i="107"/>
  <c r="C25" i="107"/>
  <c r="D25" i="107"/>
  <c r="C26" i="107"/>
  <c r="D26" i="107"/>
  <c r="C27" i="107"/>
  <c r="D27" i="107"/>
  <c r="C28" i="107"/>
  <c r="D28" i="107"/>
  <c r="C29" i="107"/>
  <c r="D29" i="107"/>
  <c r="C30" i="107"/>
  <c r="D30" i="107"/>
  <c r="C31" i="107"/>
  <c r="D31" i="107"/>
  <c r="C32" i="107"/>
  <c r="D32" i="107"/>
  <c r="C33" i="107"/>
  <c r="D33" i="107"/>
  <c r="C34" i="107"/>
  <c r="D34" i="107"/>
  <c r="C35" i="107"/>
  <c r="D35" i="107"/>
  <c r="C36" i="107"/>
  <c r="D36" i="107"/>
  <c r="C37" i="107"/>
  <c r="D37" i="107"/>
  <c r="C38" i="107"/>
  <c r="D38" i="107"/>
  <c r="C39" i="107"/>
  <c r="D39" i="107"/>
  <c r="C40" i="107"/>
  <c r="D40" i="107"/>
  <c r="C41" i="107"/>
  <c r="D41" i="107"/>
  <c r="C42" i="107"/>
  <c r="D42" i="107"/>
  <c r="C43" i="107"/>
  <c r="D43" i="107"/>
  <c r="C44" i="107"/>
  <c r="D44" i="107"/>
  <c r="C45" i="107"/>
  <c r="D45" i="107"/>
  <c r="C46" i="107"/>
  <c r="D46" i="107"/>
  <c r="C47" i="107"/>
  <c r="D47" i="107"/>
  <c r="C48" i="107"/>
  <c r="D48" i="107"/>
  <c r="C49" i="107"/>
  <c r="D49" i="107"/>
  <c r="C50" i="107"/>
  <c r="D50" i="107"/>
  <c r="C51" i="107"/>
  <c r="D51" i="107"/>
  <c r="C52" i="107"/>
  <c r="D52" i="107"/>
  <c r="C53" i="107"/>
  <c r="D53" i="107"/>
  <c r="C54" i="107"/>
  <c r="D54" i="107"/>
  <c r="C55" i="107"/>
  <c r="D55" i="107"/>
  <c r="C56" i="107"/>
  <c r="D56" i="107"/>
  <c r="C57" i="107"/>
  <c r="D57" i="107"/>
  <c r="D10" i="107"/>
  <c r="C10" i="107"/>
  <c r="I13" i="107"/>
  <c r="J13" i="107"/>
  <c r="K13" i="107"/>
  <c r="L13" i="107"/>
  <c r="M13" i="107"/>
  <c r="N13" i="107"/>
  <c r="I14" i="107"/>
  <c r="J14" i="107"/>
  <c r="K14" i="107"/>
  <c r="L14" i="107"/>
  <c r="M14" i="107"/>
  <c r="N14" i="107"/>
  <c r="I15" i="107"/>
  <c r="J15" i="107"/>
  <c r="K15" i="107"/>
  <c r="L15" i="107"/>
  <c r="M15" i="107"/>
  <c r="N15" i="107"/>
  <c r="I16" i="107"/>
  <c r="J16" i="107"/>
  <c r="K16" i="107"/>
  <c r="L16" i="107"/>
  <c r="M16" i="107"/>
  <c r="N16" i="107"/>
  <c r="I17" i="107"/>
  <c r="J17" i="107"/>
  <c r="K17" i="107"/>
  <c r="L17" i="107"/>
  <c r="M17" i="107"/>
  <c r="N17" i="107"/>
  <c r="I18" i="107"/>
  <c r="J18" i="107"/>
  <c r="K18" i="107"/>
  <c r="L18" i="107"/>
  <c r="M18" i="107"/>
  <c r="N18" i="107"/>
  <c r="I19" i="107"/>
  <c r="J19" i="107"/>
  <c r="K19" i="107"/>
  <c r="L19" i="107"/>
  <c r="M19" i="107"/>
  <c r="N19" i="107"/>
  <c r="I20" i="107"/>
  <c r="J20" i="107"/>
  <c r="K20" i="107"/>
  <c r="L20" i="107"/>
  <c r="M20" i="107"/>
  <c r="N20" i="107"/>
  <c r="I21" i="107"/>
  <c r="J21" i="107"/>
  <c r="K21" i="107"/>
  <c r="L21" i="107"/>
  <c r="M21" i="107"/>
  <c r="N21" i="107"/>
  <c r="I22" i="107"/>
  <c r="J22" i="107"/>
  <c r="K22" i="107"/>
  <c r="L22" i="107"/>
  <c r="M22" i="107"/>
  <c r="N22" i="107"/>
  <c r="I23" i="107"/>
  <c r="J23" i="107"/>
  <c r="K23" i="107"/>
  <c r="L23" i="107"/>
  <c r="M23" i="107"/>
  <c r="N23" i="107"/>
  <c r="I24" i="107"/>
  <c r="J24" i="107"/>
  <c r="K24" i="107"/>
  <c r="L24" i="107"/>
  <c r="M24" i="107"/>
  <c r="N24" i="107"/>
  <c r="I25" i="107"/>
  <c r="J25" i="107"/>
  <c r="K25" i="107"/>
  <c r="L25" i="107"/>
  <c r="M25" i="107"/>
  <c r="N25" i="107"/>
  <c r="I26" i="107"/>
  <c r="J26" i="107"/>
  <c r="K26" i="107"/>
  <c r="L26" i="107"/>
  <c r="M26" i="107"/>
  <c r="N26" i="107"/>
  <c r="I27" i="107"/>
  <c r="J27" i="107"/>
  <c r="K27" i="107"/>
  <c r="L27" i="107"/>
  <c r="M27" i="107"/>
  <c r="N27" i="107"/>
  <c r="I28" i="107"/>
  <c r="J28" i="107"/>
  <c r="K28" i="107"/>
  <c r="L28" i="107"/>
  <c r="M28" i="107"/>
  <c r="N28" i="107"/>
  <c r="I29" i="107"/>
  <c r="J29" i="107"/>
  <c r="K29" i="107"/>
  <c r="L29" i="107"/>
  <c r="M29" i="107"/>
  <c r="N29" i="107"/>
  <c r="I30" i="107"/>
  <c r="J30" i="107"/>
  <c r="K30" i="107"/>
  <c r="L30" i="107"/>
  <c r="M30" i="107"/>
  <c r="N30" i="107"/>
  <c r="I31" i="107"/>
  <c r="J31" i="107"/>
  <c r="K31" i="107"/>
  <c r="L31" i="107"/>
  <c r="M31" i="107"/>
  <c r="N31" i="107"/>
  <c r="I32" i="107"/>
  <c r="J32" i="107"/>
  <c r="K32" i="107"/>
  <c r="L32" i="107"/>
  <c r="M32" i="107"/>
  <c r="N32" i="107"/>
  <c r="I33" i="107"/>
  <c r="J33" i="107"/>
  <c r="K33" i="107"/>
  <c r="L33" i="107"/>
  <c r="M33" i="107"/>
  <c r="N33" i="107"/>
  <c r="I34" i="107"/>
  <c r="J34" i="107"/>
  <c r="K34" i="107"/>
  <c r="L34" i="107"/>
  <c r="M34" i="107"/>
  <c r="N34" i="107"/>
  <c r="I35" i="107"/>
  <c r="J35" i="107"/>
  <c r="K35" i="107"/>
  <c r="L35" i="107"/>
  <c r="M35" i="107"/>
  <c r="N35" i="107"/>
  <c r="I36" i="107"/>
  <c r="J36" i="107"/>
  <c r="K36" i="107"/>
  <c r="L36" i="107"/>
  <c r="M36" i="107"/>
  <c r="N36" i="107"/>
  <c r="I37" i="107"/>
  <c r="J37" i="107"/>
  <c r="K37" i="107"/>
  <c r="L37" i="107"/>
  <c r="M37" i="107"/>
  <c r="N37" i="107"/>
  <c r="I38" i="107"/>
  <c r="J38" i="107"/>
  <c r="K38" i="107"/>
  <c r="L38" i="107"/>
  <c r="M38" i="107"/>
  <c r="N38" i="107"/>
  <c r="I39" i="107"/>
  <c r="J39" i="107"/>
  <c r="K39" i="107"/>
  <c r="L39" i="107"/>
  <c r="M39" i="107"/>
  <c r="N39" i="107"/>
  <c r="I40" i="107"/>
  <c r="J40" i="107"/>
  <c r="K40" i="107"/>
  <c r="L40" i="107"/>
  <c r="M40" i="107"/>
  <c r="N40" i="107"/>
  <c r="I41" i="107"/>
  <c r="J41" i="107"/>
  <c r="K41" i="107"/>
  <c r="L41" i="107"/>
  <c r="M41" i="107"/>
  <c r="N41" i="107"/>
  <c r="I42" i="107"/>
  <c r="J42" i="107"/>
  <c r="K42" i="107"/>
  <c r="L42" i="107"/>
  <c r="M42" i="107"/>
  <c r="N42" i="107"/>
  <c r="I43" i="107"/>
  <c r="J43" i="107"/>
  <c r="K43" i="107"/>
  <c r="L43" i="107"/>
  <c r="M43" i="107"/>
  <c r="N43" i="107"/>
  <c r="I44" i="107"/>
  <c r="J44" i="107"/>
  <c r="K44" i="107"/>
  <c r="L44" i="107"/>
  <c r="M44" i="107"/>
  <c r="N44" i="107"/>
  <c r="I45" i="107"/>
  <c r="J45" i="107"/>
  <c r="K45" i="107"/>
  <c r="L45" i="107"/>
  <c r="M45" i="107"/>
  <c r="N45" i="107"/>
  <c r="I46" i="107"/>
  <c r="J46" i="107"/>
  <c r="K46" i="107"/>
  <c r="L46" i="107"/>
  <c r="M46" i="107"/>
  <c r="N46" i="107"/>
  <c r="I47" i="107"/>
  <c r="J47" i="107"/>
  <c r="K47" i="107"/>
  <c r="L47" i="107"/>
  <c r="M47" i="107"/>
  <c r="N47" i="107"/>
  <c r="I48" i="107"/>
  <c r="J48" i="107"/>
  <c r="K48" i="107"/>
  <c r="L48" i="107"/>
  <c r="M48" i="107"/>
  <c r="N48" i="107"/>
  <c r="I49" i="107"/>
  <c r="J49" i="107"/>
  <c r="K49" i="107"/>
  <c r="L49" i="107"/>
  <c r="M49" i="107"/>
  <c r="N49" i="107"/>
  <c r="I50" i="107"/>
  <c r="J50" i="107"/>
  <c r="K50" i="107"/>
  <c r="L50" i="107"/>
  <c r="M50" i="107"/>
  <c r="N50" i="107"/>
  <c r="I51" i="107"/>
  <c r="J51" i="107"/>
  <c r="K51" i="107"/>
  <c r="L51" i="107"/>
  <c r="M51" i="107"/>
  <c r="N51" i="107"/>
  <c r="I52" i="107"/>
  <c r="J52" i="107"/>
  <c r="K52" i="107"/>
  <c r="L52" i="107"/>
  <c r="M52" i="107"/>
  <c r="N52" i="107"/>
  <c r="I53" i="107"/>
  <c r="J53" i="107"/>
  <c r="K53" i="107"/>
  <c r="L53" i="107"/>
  <c r="M53" i="107"/>
  <c r="N53" i="107"/>
  <c r="I54" i="107"/>
  <c r="J54" i="107"/>
  <c r="K54" i="107"/>
  <c r="L54" i="107"/>
  <c r="M54" i="107"/>
  <c r="N54" i="107"/>
  <c r="I55" i="107"/>
  <c r="Y22" i="107" s="1"/>
  <c r="J55" i="107"/>
  <c r="K55" i="107"/>
  <c r="AA22" i="107" s="1"/>
  <c r="L55" i="107"/>
  <c r="M55" i="107"/>
  <c r="N55" i="107"/>
  <c r="I56" i="107"/>
  <c r="J56" i="107"/>
  <c r="K56" i="107"/>
  <c r="L56" i="107"/>
  <c r="M56" i="107"/>
  <c r="N56" i="107"/>
  <c r="I57" i="107"/>
  <c r="J57" i="107"/>
  <c r="K57" i="107"/>
  <c r="L57" i="107"/>
  <c r="M57" i="107"/>
  <c r="N57" i="107"/>
  <c r="I11" i="107"/>
  <c r="J11" i="107"/>
  <c r="K11" i="107"/>
  <c r="L11" i="107"/>
  <c r="M11" i="107"/>
  <c r="N11" i="107"/>
  <c r="I12" i="107"/>
  <c r="J12" i="107"/>
  <c r="K12" i="107"/>
  <c r="L12" i="107"/>
  <c r="M12" i="107"/>
  <c r="N12" i="107"/>
  <c r="L10" i="107"/>
  <c r="M10" i="107"/>
  <c r="N10" i="107"/>
  <c r="J10" i="107"/>
  <c r="K10" i="107"/>
  <c r="I10" i="107"/>
  <c r="H11" i="107"/>
  <c r="H12" i="107"/>
  <c r="H13" i="107"/>
  <c r="H14" i="107"/>
  <c r="H15" i="107"/>
  <c r="H16" i="107"/>
  <c r="H17" i="107"/>
  <c r="H18" i="107"/>
  <c r="H19" i="107"/>
  <c r="H20" i="107"/>
  <c r="H21" i="107"/>
  <c r="H22" i="107"/>
  <c r="H23" i="107"/>
  <c r="H24" i="107"/>
  <c r="H25" i="107"/>
  <c r="H26" i="107"/>
  <c r="H27" i="107"/>
  <c r="H28" i="107"/>
  <c r="H29" i="107"/>
  <c r="H30" i="107"/>
  <c r="H31" i="107"/>
  <c r="H32" i="107"/>
  <c r="H33" i="107"/>
  <c r="H34" i="107"/>
  <c r="H35" i="107"/>
  <c r="H36" i="107"/>
  <c r="H37" i="107"/>
  <c r="H38" i="107"/>
  <c r="H39" i="107"/>
  <c r="H40" i="107"/>
  <c r="H41" i="107"/>
  <c r="H42" i="107"/>
  <c r="H43" i="107"/>
  <c r="H44" i="107"/>
  <c r="H45" i="107"/>
  <c r="H46" i="107"/>
  <c r="H47" i="107"/>
  <c r="H48" i="107"/>
  <c r="H49" i="107"/>
  <c r="H50" i="107"/>
  <c r="H51" i="107"/>
  <c r="H52" i="107"/>
  <c r="H53" i="107"/>
  <c r="H54" i="107"/>
  <c r="H55" i="107"/>
  <c r="H56" i="107"/>
  <c r="H57" i="107"/>
  <c r="H10" i="107"/>
  <c r="G11" i="107"/>
  <c r="G12" i="107"/>
  <c r="G13" i="107"/>
  <c r="G14" i="107"/>
  <c r="G15" i="107"/>
  <c r="G16" i="107"/>
  <c r="G17" i="107"/>
  <c r="G18" i="107"/>
  <c r="G19" i="107"/>
  <c r="G20" i="107"/>
  <c r="G21" i="107"/>
  <c r="G22" i="107"/>
  <c r="G23" i="107"/>
  <c r="G24" i="107"/>
  <c r="G25" i="107"/>
  <c r="G26" i="107"/>
  <c r="G27" i="107"/>
  <c r="G28" i="107"/>
  <c r="G29" i="107"/>
  <c r="G30" i="107"/>
  <c r="G31" i="107"/>
  <c r="G32" i="107"/>
  <c r="G33" i="107"/>
  <c r="G34" i="107"/>
  <c r="G35" i="107"/>
  <c r="G36" i="107"/>
  <c r="G37" i="107"/>
  <c r="G38" i="107"/>
  <c r="G39" i="107"/>
  <c r="G40" i="107"/>
  <c r="G41" i="107"/>
  <c r="G42" i="107"/>
  <c r="G43" i="107"/>
  <c r="G44" i="107"/>
  <c r="G45" i="107"/>
  <c r="G46" i="107"/>
  <c r="G47" i="107"/>
  <c r="G48" i="107"/>
  <c r="G49" i="107"/>
  <c r="G50" i="107"/>
  <c r="G51" i="107"/>
  <c r="G52" i="107"/>
  <c r="G53" i="107"/>
  <c r="G54" i="107"/>
  <c r="G55" i="107"/>
  <c r="W22" i="107" s="1"/>
  <c r="G56" i="107"/>
  <c r="G57" i="107"/>
  <c r="G10" i="107"/>
  <c r="F11" i="107"/>
  <c r="F12" i="107"/>
  <c r="F13" i="107"/>
  <c r="F14" i="107"/>
  <c r="F15" i="107"/>
  <c r="F16" i="107"/>
  <c r="F17" i="107"/>
  <c r="F18" i="107"/>
  <c r="F19" i="107"/>
  <c r="F20" i="107"/>
  <c r="F21" i="107"/>
  <c r="F22" i="107"/>
  <c r="F23" i="107"/>
  <c r="F24" i="107"/>
  <c r="F25" i="107"/>
  <c r="F26" i="107"/>
  <c r="F27" i="107"/>
  <c r="F28" i="107"/>
  <c r="F29" i="107"/>
  <c r="F30" i="107"/>
  <c r="F31" i="107"/>
  <c r="F32" i="107"/>
  <c r="F33" i="107"/>
  <c r="F34" i="107"/>
  <c r="F35" i="107"/>
  <c r="F36" i="107"/>
  <c r="F37" i="107"/>
  <c r="F38" i="107"/>
  <c r="F39" i="107"/>
  <c r="F40" i="107"/>
  <c r="F41" i="107"/>
  <c r="F42" i="107"/>
  <c r="F43" i="107"/>
  <c r="F44" i="107"/>
  <c r="F45" i="107"/>
  <c r="F46" i="107"/>
  <c r="F47" i="107"/>
  <c r="F48" i="107"/>
  <c r="F49" i="107"/>
  <c r="F50" i="107"/>
  <c r="F51" i="107"/>
  <c r="F52" i="107"/>
  <c r="F53" i="107"/>
  <c r="F54" i="107"/>
  <c r="F55" i="107"/>
  <c r="V22" i="107" s="1"/>
  <c r="F56" i="107"/>
  <c r="F57" i="107"/>
  <c r="F10" i="107"/>
  <c r="E12" i="107"/>
  <c r="E13" i="107"/>
  <c r="E14" i="107"/>
  <c r="E15" i="107"/>
  <c r="E16" i="107"/>
  <c r="E17" i="107"/>
  <c r="E18" i="107"/>
  <c r="E19" i="107"/>
  <c r="E20" i="107"/>
  <c r="E21" i="107"/>
  <c r="E22" i="107"/>
  <c r="E23" i="107"/>
  <c r="E24" i="107"/>
  <c r="E25" i="107"/>
  <c r="E26" i="107"/>
  <c r="E27" i="107"/>
  <c r="E28" i="107"/>
  <c r="E29" i="107"/>
  <c r="E30" i="107"/>
  <c r="E31" i="107"/>
  <c r="E32" i="107"/>
  <c r="E33" i="107"/>
  <c r="E34" i="107"/>
  <c r="E35" i="107"/>
  <c r="E36" i="107"/>
  <c r="E37" i="107"/>
  <c r="E38" i="107"/>
  <c r="E39" i="107"/>
  <c r="E40" i="107"/>
  <c r="E41" i="107"/>
  <c r="E42" i="107"/>
  <c r="E43" i="107"/>
  <c r="E44" i="107"/>
  <c r="E45" i="107"/>
  <c r="E46" i="107"/>
  <c r="E47" i="107"/>
  <c r="E48" i="107"/>
  <c r="E49" i="107"/>
  <c r="E50" i="107"/>
  <c r="E51" i="107"/>
  <c r="E52" i="107"/>
  <c r="E53" i="107"/>
  <c r="E54" i="107"/>
  <c r="E55" i="107"/>
  <c r="E56" i="107"/>
  <c r="E57" i="107"/>
  <c r="E11" i="107"/>
  <c r="E10" i="107"/>
  <c r="O91" i="111" l="1"/>
  <c r="O99" i="111"/>
  <c r="T29" i="111"/>
  <c r="O71" i="111"/>
  <c r="O103" i="111"/>
  <c r="AE33" i="111" s="1"/>
  <c r="S27" i="111"/>
  <c r="O87" i="111"/>
  <c r="P103" i="111"/>
  <c r="U30" i="111"/>
  <c r="O83" i="111"/>
  <c r="P83" i="111"/>
  <c r="AF28" i="111" s="1"/>
  <c r="U26" i="111"/>
  <c r="Z22" i="107"/>
  <c r="O63" i="111"/>
  <c r="AE23" i="111" s="1"/>
  <c r="X22" i="107"/>
  <c r="U22" i="107"/>
  <c r="AD22" i="107"/>
  <c r="T22" i="107"/>
  <c r="AC22" i="107"/>
  <c r="S22" i="107"/>
  <c r="AB22" i="107"/>
  <c r="AF27" i="111"/>
  <c r="AF25" i="111"/>
  <c r="AE22" i="111"/>
  <c r="AF24" i="111"/>
  <c r="AE27" i="111"/>
  <c r="AE26" i="111"/>
  <c r="AF31" i="111"/>
  <c r="AF26" i="111"/>
  <c r="AE25" i="111"/>
  <c r="AE24" i="111"/>
  <c r="AF29" i="111"/>
  <c r="AE29" i="111"/>
  <c r="AE28" i="111"/>
  <c r="AF33" i="111"/>
  <c r="AF30" i="111"/>
  <c r="AE31" i="111"/>
  <c r="AE30" i="111"/>
  <c r="AE32" i="111"/>
  <c r="AF32" i="111"/>
  <c r="AF23" i="111"/>
  <c r="AF22" i="111"/>
  <c r="P57" i="103"/>
  <c r="O57" i="103"/>
  <c r="P56" i="103"/>
  <c r="O56" i="103"/>
  <c r="P55" i="103"/>
  <c r="O55" i="103"/>
  <c r="P54" i="103"/>
  <c r="O54" i="103"/>
  <c r="P53" i="103"/>
  <c r="O53" i="103"/>
  <c r="P52" i="103"/>
  <c r="O52" i="103"/>
  <c r="P51" i="103"/>
  <c r="O51" i="103"/>
  <c r="P50" i="103"/>
  <c r="O50" i="103"/>
  <c r="P49" i="103"/>
  <c r="O49" i="103"/>
  <c r="P48" i="103"/>
  <c r="O48" i="103"/>
  <c r="P47" i="103"/>
  <c r="O47" i="103"/>
  <c r="P46" i="103"/>
  <c r="O46" i="103"/>
  <c r="P45" i="103"/>
  <c r="O45" i="103"/>
  <c r="P44" i="103"/>
  <c r="O44" i="103"/>
  <c r="P43" i="103"/>
  <c r="O43" i="103"/>
  <c r="P42" i="103"/>
  <c r="O42" i="103"/>
  <c r="P41" i="103"/>
  <c r="O41" i="103"/>
  <c r="P40" i="103"/>
  <c r="O40" i="103"/>
  <c r="P39" i="103"/>
  <c r="O39" i="103"/>
  <c r="P38" i="103"/>
  <c r="O38" i="103"/>
  <c r="P37" i="103"/>
  <c r="O37" i="103"/>
  <c r="P36" i="103"/>
  <c r="O36" i="103"/>
  <c r="P35" i="103"/>
  <c r="O35" i="103"/>
  <c r="P34" i="103"/>
  <c r="O34" i="103"/>
  <c r="P33" i="103"/>
  <c r="O33" i="103"/>
  <c r="P32" i="103"/>
  <c r="O32" i="103"/>
  <c r="P31" i="103"/>
  <c r="O31" i="103"/>
  <c r="P30" i="103"/>
  <c r="O30" i="103"/>
  <c r="P29" i="103"/>
  <c r="O29" i="103"/>
  <c r="P28" i="103"/>
  <c r="O28" i="103"/>
  <c r="P27" i="103"/>
  <c r="O27" i="103"/>
  <c r="P26" i="103"/>
  <c r="O26" i="103"/>
  <c r="P25" i="103"/>
  <c r="O25" i="103"/>
  <c r="P24" i="103"/>
  <c r="O24" i="103"/>
  <c r="P23" i="103"/>
  <c r="O23" i="103"/>
  <c r="P22" i="103"/>
  <c r="O22" i="103"/>
  <c r="P21" i="103"/>
  <c r="O21" i="103"/>
  <c r="P20" i="103"/>
  <c r="O20" i="103"/>
  <c r="P19" i="103"/>
  <c r="O19" i="103"/>
  <c r="P18" i="103"/>
  <c r="O18" i="103"/>
  <c r="P17" i="103"/>
  <c r="O17" i="103"/>
  <c r="P16" i="103"/>
  <c r="O16" i="103"/>
  <c r="P15" i="103"/>
  <c r="O15" i="103"/>
  <c r="P14" i="103"/>
  <c r="O14" i="103"/>
  <c r="P13" i="103"/>
  <c r="O13" i="103"/>
  <c r="P12" i="103"/>
  <c r="O12" i="103"/>
  <c r="P11" i="103"/>
  <c r="O11" i="103"/>
  <c r="P10" i="103"/>
  <c r="O10" i="103"/>
  <c r="P29" i="110"/>
  <c r="P30" i="110"/>
  <c r="P31" i="110"/>
  <c r="P32" i="110"/>
  <c r="P33" i="110"/>
  <c r="P34" i="110"/>
  <c r="P35" i="110"/>
  <c r="P36" i="110"/>
  <c r="P37" i="110"/>
  <c r="P38" i="110"/>
  <c r="P39" i="110"/>
  <c r="P40" i="110"/>
  <c r="P41" i="110"/>
  <c r="P42" i="110"/>
  <c r="P43" i="110"/>
  <c r="P44" i="110"/>
  <c r="P45" i="110"/>
  <c r="P46" i="110"/>
  <c r="P47" i="110"/>
  <c r="P48" i="110"/>
  <c r="P49" i="110"/>
  <c r="P50" i="110"/>
  <c r="P51" i="110"/>
  <c r="P52" i="110"/>
  <c r="P53" i="110"/>
  <c r="P54" i="110"/>
  <c r="P55" i="110"/>
  <c r="P56" i="110"/>
  <c r="P57" i="110"/>
  <c r="P58" i="110"/>
  <c r="P59" i="110"/>
  <c r="P60" i="110"/>
  <c r="P61" i="110"/>
  <c r="P62" i="110"/>
  <c r="P63" i="110"/>
  <c r="P64" i="110"/>
  <c r="P65" i="110"/>
  <c r="P66" i="110"/>
  <c r="P67" i="110"/>
  <c r="P68" i="110"/>
  <c r="P69" i="110"/>
  <c r="P70" i="110"/>
  <c r="P71" i="110"/>
  <c r="P72" i="110"/>
  <c r="P73" i="110"/>
  <c r="P74" i="110"/>
  <c r="P75" i="110"/>
  <c r="P76" i="110"/>
  <c r="P77" i="110"/>
  <c r="P78" i="110"/>
  <c r="P79" i="110"/>
  <c r="P80" i="110"/>
  <c r="P81" i="110"/>
  <c r="P82" i="110"/>
  <c r="P83" i="110"/>
  <c r="P84" i="110"/>
  <c r="P85" i="110"/>
  <c r="P86" i="110"/>
  <c r="P87" i="110"/>
  <c r="P88" i="110"/>
  <c r="P89" i="110"/>
  <c r="P90" i="110"/>
  <c r="P91" i="110"/>
  <c r="P92" i="110"/>
  <c r="P93" i="110"/>
  <c r="P94" i="110"/>
  <c r="P95" i="110"/>
  <c r="P96" i="110"/>
  <c r="P97" i="110"/>
  <c r="P98" i="110"/>
  <c r="P99" i="110"/>
  <c r="P100" i="110"/>
  <c r="P101" i="110"/>
  <c r="P102" i="110"/>
  <c r="P103" i="110"/>
  <c r="P104" i="110"/>
  <c r="P105" i="110"/>
  <c r="P28" i="110"/>
  <c r="P27" i="110"/>
  <c r="P26" i="110"/>
  <c r="P25" i="110"/>
  <c r="P24" i="110"/>
  <c r="P23" i="110"/>
  <c r="P22" i="110"/>
  <c r="P21" i="110"/>
  <c r="P20" i="110"/>
  <c r="P19" i="110"/>
  <c r="P18" i="110"/>
  <c r="P17" i="110"/>
  <c r="P16" i="110"/>
  <c r="P15" i="110"/>
  <c r="P14" i="110"/>
  <c r="P13" i="110"/>
  <c r="P12" i="110"/>
  <c r="P11" i="110"/>
  <c r="P10" i="110"/>
  <c r="C59" i="103" l="1"/>
  <c r="N106" i="105" l="1"/>
  <c r="M106" i="105"/>
  <c r="L106" i="105"/>
  <c r="K106" i="105"/>
  <c r="J106" i="105"/>
  <c r="I106" i="105"/>
  <c r="H106" i="105"/>
  <c r="G106" i="105"/>
  <c r="F106" i="105"/>
  <c r="E106" i="105"/>
  <c r="D106" i="105"/>
  <c r="C106" i="105"/>
  <c r="P105" i="105"/>
  <c r="O105" i="105"/>
  <c r="P104" i="105"/>
  <c r="O104" i="105"/>
  <c r="P103" i="105"/>
  <c r="O103" i="105"/>
  <c r="P102" i="105"/>
  <c r="AF33" i="105" s="1"/>
  <c r="O102" i="105"/>
  <c r="AE33" i="105" s="1"/>
  <c r="P101" i="105"/>
  <c r="O101" i="105"/>
  <c r="P100" i="105"/>
  <c r="O100" i="105"/>
  <c r="P99" i="105"/>
  <c r="O99" i="105"/>
  <c r="P98" i="105"/>
  <c r="AF32" i="105" s="1"/>
  <c r="O98" i="105"/>
  <c r="AE32" i="105" s="1"/>
  <c r="P97" i="105"/>
  <c r="O97" i="105"/>
  <c r="P96" i="105"/>
  <c r="O96" i="105"/>
  <c r="P95" i="105"/>
  <c r="O95" i="105"/>
  <c r="P94" i="105"/>
  <c r="AF31" i="105" s="1"/>
  <c r="O94" i="105"/>
  <c r="AE31" i="105" s="1"/>
  <c r="P93" i="105"/>
  <c r="O93" i="105"/>
  <c r="P92" i="105"/>
  <c r="O92" i="105"/>
  <c r="P91" i="105"/>
  <c r="O91" i="105"/>
  <c r="P90" i="105"/>
  <c r="AF30" i="105" s="1"/>
  <c r="O90" i="105"/>
  <c r="AE30" i="105" s="1"/>
  <c r="P89" i="105"/>
  <c r="O89" i="105"/>
  <c r="P88" i="105"/>
  <c r="O88" i="105"/>
  <c r="P87" i="105"/>
  <c r="O87" i="105"/>
  <c r="P86" i="105"/>
  <c r="AF29" i="105" s="1"/>
  <c r="O86" i="105"/>
  <c r="AE29" i="105" s="1"/>
  <c r="P85" i="105"/>
  <c r="O85" i="105"/>
  <c r="P84" i="105"/>
  <c r="O84" i="105"/>
  <c r="P83" i="105"/>
  <c r="O83" i="105"/>
  <c r="P82" i="105"/>
  <c r="AF28" i="105" s="1"/>
  <c r="O82" i="105"/>
  <c r="AE28" i="105" s="1"/>
  <c r="P81" i="105"/>
  <c r="O81" i="105"/>
  <c r="P80" i="105"/>
  <c r="O80" i="105"/>
  <c r="P79" i="105"/>
  <c r="O79" i="105"/>
  <c r="P78" i="105"/>
  <c r="AF27" i="105" s="1"/>
  <c r="O78" i="105"/>
  <c r="AE27" i="105" s="1"/>
  <c r="P77" i="105"/>
  <c r="O77" i="105"/>
  <c r="P76" i="105"/>
  <c r="O76" i="105"/>
  <c r="P75" i="105"/>
  <c r="O75" i="105"/>
  <c r="P74" i="105"/>
  <c r="AF26" i="105" s="1"/>
  <c r="O74" i="105"/>
  <c r="AE26" i="105" s="1"/>
  <c r="P73" i="105"/>
  <c r="O73" i="105"/>
  <c r="P72" i="105"/>
  <c r="O72" i="105"/>
  <c r="P71" i="105"/>
  <c r="O71" i="105"/>
  <c r="P70" i="105"/>
  <c r="AF25" i="105" s="1"/>
  <c r="O70" i="105"/>
  <c r="AE25" i="105" s="1"/>
  <c r="P69" i="105"/>
  <c r="O69" i="105"/>
  <c r="P68" i="105"/>
  <c r="O68" i="105"/>
  <c r="P67" i="105"/>
  <c r="O67" i="105"/>
  <c r="P66" i="105"/>
  <c r="AF24" i="105" s="1"/>
  <c r="O66" i="105"/>
  <c r="AE24" i="105" s="1"/>
  <c r="P65" i="105"/>
  <c r="O65" i="105"/>
  <c r="P64" i="105"/>
  <c r="O64" i="105"/>
  <c r="P63" i="105"/>
  <c r="O63" i="105"/>
  <c r="P62" i="105"/>
  <c r="AF23" i="105" s="1"/>
  <c r="O62" i="105"/>
  <c r="AE23" i="105" s="1"/>
  <c r="P61" i="105"/>
  <c r="O61" i="105"/>
  <c r="P60" i="105"/>
  <c r="O60" i="105"/>
  <c r="P59" i="105"/>
  <c r="O59" i="105"/>
  <c r="P58" i="105"/>
  <c r="AF22" i="105" s="1"/>
  <c r="O58" i="105"/>
  <c r="AE22" i="105" s="1"/>
  <c r="P57" i="105"/>
  <c r="O57" i="105"/>
  <c r="P56" i="105"/>
  <c r="O56" i="105"/>
  <c r="P55" i="105"/>
  <c r="O55" i="105"/>
  <c r="P54" i="105"/>
  <c r="AF21" i="105" s="1"/>
  <c r="O54" i="105"/>
  <c r="AE21" i="105" s="1"/>
  <c r="P53" i="105"/>
  <c r="O53" i="105"/>
  <c r="P52" i="105"/>
  <c r="O52" i="105"/>
  <c r="P51" i="105"/>
  <c r="O51" i="105"/>
  <c r="P50" i="105"/>
  <c r="AF20" i="105" s="1"/>
  <c r="O50" i="105"/>
  <c r="AE20" i="105" s="1"/>
  <c r="P49" i="105"/>
  <c r="O49" i="105"/>
  <c r="P48" i="105"/>
  <c r="O48" i="105"/>
  <c r="P47" i="105"/>
  <c r="O47" i="105"/>
  <c r="P46" i="105"/>
  <c r="AF19" i="105" s="1"/>
  <c r="AF39" i="105" s="1"/>
  <c r="O46" i="105"/>
  <c r="AE19" i="105" s="1"/>
  <c r="AE39" i="105" s="1"/>
  <c r="P45" i="105"/>
  <c r="O45" i="105"/>
  <c r="P44" i="105"/>
  <c r="O44" i="105"/>
  <c r="P43" i="105"/>
  <c r="O43" i="105"/>
  <c r="P42" i="105"/>
  <c r="AF18" i="105" s="1"/>
  <c r="O42" i="105"/>
  <c r="AE18" i="105" s="1"/>
  <c r="P41" i="105"/>
  <c r="O41" i="105"/>
  <c r="P40" i="105"/>
  <c r="O40" i="105"/>
  <c r="P39" i="105"/>
  <c r="O39" i="105"/>
  <c r="P38" i="105"/>
  <c r="AF17" i="105" s="1"/>
  <c r="O38" i="105"/>
  <c r="AE17" i="105" s="1"/>
  <c r="P37" i="105"/>
  <c r="O37" i="105"/>
  <c r="P36" i="105"/>
  <c r="O36" i="105"/>
  <c r="P35" i="105"/>
  <c r="O35" i="105"/>
  <c r="P34" i="105"/>
  <c r="AF16" i="105" s="1"/>
  <c r="O34" i="105"/>
  <c r="AE16" i="105" s="1"/>
  <c r="AD33" i="105"/>
  <c r="AC33" i="105"/>
  <c r="AB33" i="105"/>
  <c r="AA33" i="105"/>
  <c r="Z33" i="105"/>
  <c r="Y33" i="105"/>
  <c r="X33" i="105"/>
  <c r="W33" i="105"/>
  <c r="V33" i="105"/>
  <c r="U33" i="105"/>
  <c r="T33" i="105"/>
  <c r="S33" i="105"/>
  <c r="P33" i="105"/>
  <c r="O33" i="105"/>
  <c r="AD32" i="105"/>
  <c r="AC32" i="105"/>
  <c r="AB32" i="105"/>
  <c r="AA32" i="105"/>
  <c r="Z32" i="105"/>
  <c r="Y32" i="105"/>
  <c r="X32" i="105"/>
  <c r="W32" i="105"/>
  <c r="V32" i="105"/>
  <c r="U32" i="105"/>
  <c r="T32" i="105"/>
  <c r="S32" i="105"/>
  <c r="P32" i="105"/>
  <c r="O32" i="105"/>
  <c r="AD31" i="105"/>
  <c r="AC31" i="105"/>
  <c r="AB31" i="105"/>
  <c r="AA31" i="105"/>
  <c r="Z31" i="105"/>
  <c r="Y31" i="105"/>
  <c r="X31" i="105"/>
  <c r="W31" i="105"/>
  <c r="V31" i="105"/>
  <c r="U31" i="105"/>
  <c r="T31" i="105"/>
  <c r="S31" i="105"/>
  <c r="P31" i="105"/>
  <c r="O31" i="105"/>
  <c r="AD30" i="105"/>
  <c r="AC30" i="105"/>
  <c r="AB30" i="105"/>
  <c r="AA30" i="105"/>
  <c r="Z30" i="105"/>
  <c r="Y30" i="105"/>
  <c r="X30" i="105"/>
  <c r="W30" i="105"/>
  <c r="V30" i="105"/>
  <c r="U30" i="105"/>
  <c r="T30" i="105"/>
  <c r="S30" i="105"/>
  <c r="P30" i="105"/>
  <c r="AF15" i="105" s="1"/>
  <c r="O30" i="105"/>
  <c r="AE15" i="105" s="1"/>
  <c r="AD29" i="105"/>
  <c r="AC29" i="105"/>
  <c r="AB29" i="105"/>
  <c r="AA29" i="105"/>
  <c r="Z29" i="105"/>
  <c r="Y29" i="105"/>
  <c r="X29" i="105"/>
  <c r="W29" i="105"/>
  <c r="V29" i="105"/>
  <c r="U29" i="105"/>
  <c r="T29" i="105"/>
  <c r="S29" i="105"/>
  <c r="P29" i="105"/>
  <c r="O29" i="105"/>
  <c r="AD28" i="105"/>
  <c r="AC28" i="105"/>
  <c r="AB28" i="105"/>
  <c r="AA28" i="105"/>
  <c r="Z28" i="105"/>
  <c r="Y28" i="105"/>
  <c r="X28" i="105"/>
  <c r="W28" i="105"/>
  <c r="V28" i="105"/>
  <c r="U28" i="105"/>
  <c r="T28" i="105"/>
  <c r="S28" i="105"/>
  <c r="P28" i="105"/>
  <c r="O28" i="105"/>
  <c r="AD27" i="105"/>
  <c r="AC27" i="105"/>
  <c r="AB27" i="105"/>
  <c r="AA27" i="105"/>
  <c r="Z27" i="105"/>
  <c r="Y27" i="105"/>
  <c r="X27" i="105"/>
  <c r="W27" i="105"/>
  <c r="V27" i="105"/>
  <c r="U27" i="105"/>
  <c r="T27" i="105"/>
  <c r="S27" i="105"/>
  <c r="P27" i="105"/>
  <c r="O27" i="105"/>
  <c r="AD26" i="105"/>
  <c r="AC26" i="105"/>
  <c r="AB26" i="105"/>
  <c r="AA26" i="105"/>
  <c r="Z26" i="105"/>
  <c r="Y26" i="105"/>
  <c r="X26" i="105"/>
  <c r="W26" i="105"/>
  <c r="V26" i="105"/>
  <c r="U26" i="105"/>
  <c r="T26" i="105"/>
  <c r="S26" i="105"/>
  <c r="P26" i="105"/>
  <c r="AF14" i="105" s="1"/>
  <c r="O26" i="105"/>
  <c r="AE14" i="105" s="1"/>
  <c r="AD25" i="105"/>
  <c r="AC25" i="105"/>
  <c r="AB25" i="105"/>
  <c r="AA25" i="105"/>
  <c r="Z25" i="105"/>
  <c r="Y25" i="105"/>
  <c r="X25" i="105"/>
  <c r="W25" i="105"/>
  <c r="V25" i="105"/>
  <c r="U25" i="105"/>
  <c r="T25" i="105"/>
  <c r="S25" i="105"/>
  <c r="P25" i="105"/>
  <c r="O25" i="105"/>
  <c r="AD24" i="105"/>
  <c r="AC24" i="105"/>
  <c r="AB24" i="105"/>
  <c r="AA24" i="105"/>
  <c r="Z24" i="105"/>
  <c r="Y24" i="105"/>
  <c r="X24" i="105"/>
  <c r="W24" i="105"/>
  <c r="V24" i="105"/>
  <c r="U24" i="105"/>
  <c r="T24" i="105"/>
  <c r="S24" i="105"/>
  <c r="P24" i="105"/>
  <c r="O24" i="105"/>
  <c r="AD23" i="105"/>
  <c r="AC23" i="105"/>
  <c r="AB23" i="105"/>
  <c r="AA23" i="105"/>
  <c r="Z23" i="105"/>
  <c r="Y23" i="105"/>
  <c r="X23" i="105"/>
  <c r="W23" i="105"/>
  <c r="V23" i="105"/>
  <c r="U23" i="105"/>
  <c r="T23" i="105"/>
  <c r="S23" i="105"/>
  <c r="P23" i="105"/>
  <c r="O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P22" i="105"/>
  <c r="AF13" i="105" s="1"/>
  <c r="AF38" i="105" s="1"/>
  <c r="O22" i="105"/>
  <c r="AE13" i="105" s="1"/>
  <c r="AE38" i="105" s="1"/>
  <c r="AD21" i="105"/>
  <c r="AC21" i="105"/>
  <c r="AB21" i="105"/>
  <c r="AA21" i="105"/>
  <c r="Z21" i="105"/>
  <c r="Y21" i="105"/>
  <c r="X21" i="105"/>
  <c r="W21" i="105"/>
  <c r="V21" i="105"/>
  <c r="U21" i="105"/>
  <c r="T21" i="105"/>
  <c r="S21" i="105"/>
  <c r="P21" i="105"/>
  <c r="O21" i="105"/>
  <c r="AD20" i="105"/>
  <c r="AC20" i="105"/>
  <c r="AB20" i="105"/>
  <c r="AA20" i="105"/>
  <c r="Z20" i="105"/>
  <c r="Y20" i="105"/>
  <c r="X20" i="105"/>
  <c r="W20" i="105"/>
  <c r="V20" i="105"/>
  <c r="U20" i="105"/>
  <c r="T20" i="105"/>
  <c r="S20" i="105"/>
  <c r="P20" i="105"/>
  <c r="O20" i="105"/>
  <c r="AD19" i="105"/>
  <c r="AD39" i="105" s="1"/>
  <c r="AC19" i="105"/>
  <c r="AC39" i="105" s="1"/>
  <c r="AB19" i="105"/>
  <c r="AB39" i="105" s="1"/>
  <c r="AA19" i="105"/>
  <c r="AA39" i="105" s="1"/>
  <c r="Z19" i="105"/>
  <c r="Z39" i="105" s="1"/>
  <c r="Y19" i="105"/>
  <c r="Y39" i="105" s="1"/>
  <c r="X19" i="105"/>
  <c r="X39" i="105" s="1"/>
  <c r="W19" i="105"/>
  <c r="W39" i="105" s="1"/>
  <c r="V19" i="105"/>
  <c r="V39" i="105" s="1"/>
  <c r="U19" i="105"/>
  <c r="U39" i="105" s="1"/>
  <c r="T19" i="105"/>
  <c r="T39" i="105" s="1"/>
  <c r="S19" i="105"/>
  <c r="S39" i="105" s="1"/>
  <c r="P19" i="105"/>
  <c r="O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P18" i="105"/>
  <c r="AF12" i="105" s="1"/>
  <c r="O18" i="105"/>
  <c r="AE12" i="105" s="1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P17" i="105"/>
  <c r="O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P16" i="105"/>
  <c r="O16" i="105"/>
  <c r="AD15" i="105"/>
  <c r="AC15" i="105"/>
  <c r="AB15" i="105"/>
  <c r="AA15" i="105"/>
  <c r="Z15" i="105"/>
  <c r="Y15" i="105"/>
  <c r="X15" i="105"/>
  <c r="W15" i="105"/>
  <c r="V15" i="105"/>
  <c r="U15" i="105"/>
  <c r="T15" i="105"/>
  <c r="S15" i="105"/>
  <c r="P15" i="105"/>
  <c r="O15" i="105"/>
  <c r="AD14" i="105"/>
  <c r="AC14" i="105"/>
  <c r="AB14" i="105"/>
  <c r="AA14" i="105"/>
  <c r="Z14" i="105"/>
  <c r="Y14" i="105"/>
  <c r="X14" i="105"/>
  <c r="W14" i="105"/>
  <c r="V14" i="105"/>
  <c r="U14" i="105"/>
  <c r="T14" i="105"/>
  <c r="S14" i="105"/>
  <c r="P14" i="105"/>
  <c r="AF11" i="105" s="1"/>
  <c r="O14" i="105"/>
  <c r="AE11" i="105" s="1"/>
  <c r="AD13" i="105"/>
  <c r="AD38" i="105" s="1"/>
  <c r="AC13" i="105"/>
  <c r="AC38" i="105" s="1"/>
  <c r="AB13" i="105"/>
  <c r="AB38" i="105" s="1"/>
  <c r="AA13" i="105"/>
  <c r="AA38" i="105" s="1"/>
  <c r="Z13" i="105"/>
  <c r="Z38" i="105" s="1"/>
  <c r="Y13" i="105"/>
  <c r="Y38" i="105" s="1"/>
  <c r="X13" i="105"/>
  <c r="X38" i="105" s="1"/>
  <c r="W13" i="105"/>
  <c r="W38" i="105" s="1"/>
  <c r="V13" i="105"/>
  <c r="V38" i="105" s="1"/>
  <c r="U13" i="105"/>
  <c r="U38" i="105" s="1"/>
  <c r="T13" i="105"/>
  <c r="T38" i="105" s="1"/>
  <c r="S13" i="105"/>
  <c r="S38" i="105" s="1"/>
  <c r="P13" i="105"/>
  <c r="O13" i="105"/>
  <c r="AD12" i="105"/>
  <c r="AC12" i="105"/>
  <c r="AB12" i="105"/>
  <c r="AA12" i="105"/>
  <c r="Z12" i="105"/>
  <c r="Y12" i="105"/>
  <c r="X12" i="105"/>
  <c r="W12" i="105"/>
  <c r="V12" i="105"/>
  <c r="U12" i="105"/>
  <c r="T12" i="105"/>
  <c r="S12" i="105"/>
  <c r="P12" i="105"/>
  <c r="O12" i="105"/>
  <c r="AD11" i="105"/>
  <c r="AC11" i="105"/>
  <c r="AB11" i="105"/>
  <c r="AA11" i="105"/>
  <c r="Z11" i="105"/>
  <c r="Y11" i="105"/>
  <c r="X11" i="105"/>
  <c r="W11" i="105"/>
  <c r="V11" i="105"/>
  <c r="U11" i="105"/>
  <c r="T11" i="105"/>
  <c r="S11" i="105"/>
  <c r="P11" i="105"/>
  <c r="O11" i="105"/>
  <c r="AD10" i="105"/>
  <c r="AC10" i="105"/>
  <c r="AB10" i="105"/>
  <c r="AB41" i="105" s="1"/>
  <c r="AA10" i="105"/>
  <c r="AA41" i="105" s="1"/>
  <c r="Z10" i="105"/>
  <c r="Y10" i="105"/>
  <c r="X10" i="105"/>
  <c r="X41" i="105" s="1"/>
  <c r="W10" i="105"/>
  <c r="W41" i="105" s="1"/>
  <c r="V10" i="105"/>
  <c r="U10" i="105"/>
  <c r="T10" i="105"/>
  <c r="T41" i="105" s="1"/>
  <c r="S10" i="105"/>
  <c r="S41" i="105" s="1"/>
  <c r="P10" i="105"/>
  <c r="O10" i="105"/>
  <c r="G6" i="105"/>
  <c r="D6" i="105"/>
  <c r="C3" i="105"/>
  <c r="Y41" i="105" l="1"/>
  <c r="O106" i="105"/>
  <c r="U41" i="105"/>
  <c r="AC41" i="105"/>
  <c r="P106" i="105"/>
  <c r="V41" i="105"/>
  <c r="Z41" i="105"/>
  <c r="AD41" i="105"/>
  <c r="D108" i="105"/>
  <c r="F108" i="105"/>
  <c r="H108" i="105"/>
  <c r="J108" i="105"/>
  <c r="L108" i="105"/>
  <c r="N107" i="105"/>
  <c r="C108" i="105"/>
  <c r="E108" i="105"/>
  <c r="G108" i="105"/>
  <c r="I108" i="105"/>
  <c r="K108" i="105"/>
  <c r="M107" i="105"/>
  <c r="AE10" i="105"/>
  <c r="S34" i="105"/>
  <c r="U34" i="105"/>
  <c r="W34" i="105"/>
  <c r="Y34" i="105"/>
  <c r="AA34" i="105"/>
  <c r="AC34" i="105"/>
  <c r="S35" i="105"/>
  <c r="U35" i="105"/>
  <c r="W35" i="105"/>
  <c r="Y35" i="105"/>
  <c r="AA35" i="105"/>
  <c r="AC35" i="105"/>
  <c r="AE35" i="105"/>
  <c r="S36" i="105"/>
  <c r="U36" i="105"/>
  <c r="W36" i="105"/>
  <c r="Y36" i="105"/>
  <c r="AA36" i="105"/>
  <c r="AC36" i="105"/>
  <c r="AE36" i="105"/>
  <c r="S37" i="105"/>
  <c r="U37" i="105"/>
  <c r="W37" i="105"/>
  <c r="Y37" i="105"/>
  <c r="AA37" i="105"/>
  <c r="AC37" i="105"/>
  <c r="S40" i="105"/>
  <c r="S42" i="105" s="1"/>
  <c r="U40" i="105"/>
  <c r="U42" i="105" s="1"/>
  <c r="W40" i="105"/>
  <c r="W42" i="105" s="1"/>
  <c r="Y40" i="105"/>
  <c r="Y42" i="105" s="1"/>
  <c r="AA40" i="105"/>
  <c r="AA42" i="105" s="1"/>
  <c r="AC40" i="105"/>
  <c r="C107" i="105"/>
  <c r="E107" i="105"/>
  <c r="G107" i="105"/>
  <c r="I107" i="105"/>
  <c r="K107" i="105"/>
  <c r="N108" i="105"/>
  <c r="AF10" i="105"/>
  <c r="T34" i="105"/>
  <c r="V34" i="105"/>
  <c r="X34" i="105"/>
  <c r="Z34" i="105"/>
  <c r="AB34" i="105"/>
  <c r="AD34" i="105"/>
  <c r="T35" i="105"/>
  <c r="V35" i="105"/>
  <c r="X35" i="105"/>
  <c r="Z35" i="105"/>
  <c r="AB35" i="105"/>
  <c r="AD35" i="105"/>
  <c r="AF35" i="105"/>
  <c r="T36" i="105"/>
  <c r="V36" i="105"/>
  <c r="X36" i="105"/>
  <c r="Z36" i="105"/>
  <c r="AB36" i="105"/>
  <c r="AD36" i="105"/>
  <c r="AF36" i="105"/>
  <c r="T37" i="105"/>
  <c r="V37" i="105"/>
  <c r="X37" i="105"/>
  <c r="Z37" i="105"/>
  <c r="AB37" i="105"/>
  <c r="AD37" i="105"/>
  <c r="T40" i="105"/>
  <c r="T42" i="105" s="1"/>
  <c r="V40" i="105"/>
  <c r="V42" i="105" s="1"/>
  <c r="X40" i="105"/>
  <c r="X42" i="105" s="1"/>
  <c r="Z40" i="105"/>
  <c r="Z42" i="105" s="1"/>
  <c r="AB40" i="105"/>
  <c r="AB42" i="105" s="1"/>
  <c r="AD40" i="105"/>
  <c r="AD42" i="105" s="1"/>
  <c r="D107" i="105"/>
  <c r="F107" i="105"/>
  <c r="H107" i="105"/>
  <c r="J107" i="105"/>
  <c r="L107" i="105"/>
  <c r="AC42" i="105" l="1"/>
  <c r="AE41" i="105"/>
  <c r="AE40" i="105"/>
  <c r="AE37" i="105"/>
  <c r="AE34" i="105"/>
  <c r="AF41" i="105"/>
  <c r="AF40" i="105"/>
  <c r="AF37" i="105"/>
  <c r="AF34" i="105"/>
  <c r="AF42" i="105" l="1"/>
  <c r="AE42" i="105"/>
  <c r="O34" i="101"/>
  <c r="C3" i="94"/>
  <c r="K6" i="98" l="1"/>
  <c r="K6" i="99" s="1"/>
  <c r="K6" i="100" s="1"/>
  <c r="K6" i="101" s="1"/>
  <c r="K6" i="109" s="1"/>
  <c r="K5" i="98"/>
  <c r="K5" i="99" s="1"/>
  <c r="K5" i="100" s="1"/>
  <c r="K5" i="101" s="1"/>
  <c r="K5" i="109" s="1"/>
  <c r="G5" i="98"/>
  <c r="G5" i="99" s="1"/>
  <c r="G5" i="100" s="1"/>
  <c r="G5" i="101" s="1"/>
  <c r="G5" i="109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1"/>
  <c r="D6" i="99"/>
  <c r="D6" i="97"/>
  <c r="D6" i="95"/>
  <c r="D5" i="104"/>
  <c r="D5" i="110"/>
  <c r="D5" i="109"/>
  <c r="D5" i="100"/>
  <c r="D5" i="98"/>
  <c r="D5" i="96"/>
  <c r="D5" i="94"/>
  <c r="G5" i="105" l="1"/>
  <c r="G5" i="110" s="1"/>
  <c r="G5" i="103" s="1"/>
  <c r="K5" i="105"/>
  <c r="K5" i="110" s="1"/>
  <c r="K5" i="103" s="1"/>
  <c r="K6" i="105"/>
  <c r="K6" i="110" s="1"/>
  <c r="K6" i="103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Y39" i="109" s="1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1"/>
  <c r="C3" i="100"/>
  <c r="C3" i="99"/>
  <c r="C3" i="98"/>
  <c r="C3" i="97"/>
  <c r="C3" i="96"/>
  <c r="C3" i="9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C19" i="99"/>
  <c r="AB19" i="99"/>
  <c r="AA19" i="99"/>
  <c r="AA27" i="99" s="1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K6" i="107" l="1"/>
  <c r="K6" i="104"/>
  <c r="K6" i="108" s="1"/>
  <c r="K6" i="111" s="1"/>
  <c r="K5" i="107"/>
  <c r="K5" i="104"/>
  <c r="K5" i="108" s="1"/>
  <c r="K5" i="111" s="1"/>
  <c r="G5" i="107"/>
  <c r="G5" i="104"/>
  <c r="G5" i="108" s="1"/>
  <c r="G5" i="111" s="1"/>
  <c r="AD38" i="101"/>
  <c r="AD27" i="99"/>
  <c r="U39" i="109"/>
  <c r="AC39" i="109"/>
  <c r="AA39" i="101"/>
  <c r="X26" i="98"/>
  <c r="AA26" i="9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2" i="109"/>
  <c r="W20" i="96"/>
  <c r="W24" i="96" s="1"/>
  <c r="V14" i="101"/>
  <c r="V38" i="101" s="1"/>
  <c r="Y13" i="95"/>
  <c r="V14" i="97"/>
  <c r="S17" i="101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T13" i="110"/>
  <c r="V13" i="110"/>
  <c r="X13" i="110"/>
  <c r="Z13" i="110"/>
  <c r="AB13" i="110"/>
  <c r="AD13" i="110"/>
  <c r="U13" i="110"/>
  <c r="W13" i="110"/>
  <c r="Y13" i="110"/>
  <c r="AA13" i="110"/>
  <c r="AC13" i="110"/>
  <c r="T14" i="110"/>
  <c r="V14" i="110"/>
  <c r="X14" i="110"/>
  <c r="Z14" i="110"/>
  <c r="AB14" i="110"/>
  <c r="AD14" i="110"/>
  <c r="U14" i="110"/>
  <c r="W14" i="110"/>
  <c r="Y14" i="110"/>
  <c r="AA14" i="110"/>
  <c r="AC14" i="110"/>
  <c r="T15" i="110"/>
  <c r="V15" i="110"/>
  <c r="X15" i="110"/>
  <c r="Z15" i="110"/>
  <c r="AB15" i="110"/>
  <c r="AD15" i="110"/>
  <c r="U15" i="110"/>
  <c r="U38" i="110" s="1"/>
  <c r="W15" i="110"/>
  <c r="Y15" i="110"/>
  <c r="AA15" i="110"/>
  <c r="AC15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S13" i="110"/>
  <c r="S38" i="110" s="1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9" i="108" s="1"/>
  <c r="V12" i="109"/>
  <c r="AD12" i="109"/>
  <c r="U11" i="110"/>
  <c r="Y11" i="110"/>
  <c r="AA11" i="110"/>
  <c r="AC11" i="110"/>
  <c r="X16" i="97"/>
  <c r="X26" i="97" s="1"/>
  <c r="S11" i="109"/>
  <c r="AC17" i="109"/>
  <c r="V14" i="109"/>
  <c r="W10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C10" i="111" s="1"/>
  <c r="AA11" i="109"/>
  <c r="Z12" i="109"/>
  <c r="Z14" i="109"/>
  <c r="S10" i="110"/>
  <c r="V18" i="110"/>
  <c r="X18" i="110"/>
  <c r="Z18" i="110"/>
  <c r="AB18" i="110"/>
  <c r="AD18" i="110"/>
  <c r="W39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V19" i="110"/>
  <c r="X19" i="110"/>
  <c r="Z19" i="110"/>
  <c r="AB19" i="110"/>
  <c r="AD19" i="110"/>
  <c r="V20" i="110"/>
  <c r="X20" i="110"/>
  <c r="Z20" i="110"/>
  <c r="AB20" i="110"/>
  <c r="AD20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S17" i="110"/>
  <c r="O46" i="110"/>
  <c r="O50" i="110"/>
  <c r="O54" i="110"/>
  <c r="V21" i="110"/>
  <c r="X21" i="110"/>
  <c r="Z21" i="110"/>
  <c r="AB21" i="110"/>
  <c r="AD21" i="110"/>
  <c r="O60" i="110"/>
  <c r="V22" i="110"/>
  <c r="X22" i="110"/>
  <c r="Z22" i="110"/>
  <c r="AB22" i="110"/>
  <c r="AD22" i="110"/>
  <c r="O64" i="110"/>
  <c r="V23" i="110"/>
  <c r="X23" i="110"/>
  <c r="Z23" i="110"/>
  <c r="AB23" i="110"/>
  <c r="AD23" i="110"/>
  <c r="O68" i="110"/>
  <c r="V24" i="110"/>
  <c r="X24" i="110"/>
  <c r="Z24" i="110"/>
  <c r="AB24" i="110"/>
  <c r="AD24" i="110"/>
  <c r="O72" i="110"/>
  <c r="V25" i="110"/>
  <c r="X25" i="110"/>
  <c r="Z25" i="110"/>
  <c r="AB25" i="110"/>
  <c r="AD25" i="110"/>
  <c r="O76" i="110"/>
  <c r="V26" i="110"/>
  <c r="X26" i="110"/>
  <c r="Z26" i="110"/>
  <c r="AB26" i="110"/>
  <c r="AD26" i="110"/>
  <c r="O80" i="110"/>
  <c r="V27" i="110"/>
  <c r="X27" i="110"/>
  <c r="Z27" i="110"/>
  <c r="AB27" i="110"/>
  <c r="AD27" i="110"/>
  <c r="O84" i="110"/>
  <c r="V28" i="110"/>
  <c r="X28" i="110"/>
  <c r="Z28" i="110"/>
  <c r="AB28" i="110"/>
  <c r="AD28" i="110"/>
  <c r="O88" i="110"/>
  <c r="V29" i="110"/>
  <c r="X29" i="110"/>
  <c r="Z29" i="110"/>
  <c r="AB29" i="110"/>
  <c r="AD29" i="110"/>
  <c r="O92" i="110"/>
  <c r="V30" i="110"/>
  <c r="X30" i="110"/>
  <c r="Z30" i="110"/>
  <c r="O96" i="110"/>
  <c r="O100" i="110"/>
  <c r="O104" i="110"/>
  <c r="W38" i="110"/>
  <c r="C106" i="110"/>
  <c r="O10" i="110"/>
  <c r="U10" i="110"/>
  <c r="Y10" i="110"/>
  <c r="AC10" i="110"/>
  <c r="O11" i="110"/>
  <c r="O12" i="110"/>
  <c r="O13" i="110"/>
  <c r="O14" i="110"/>
  <c r="O15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T31" i="110"/>
  <c r="V31" i="110"/>
  <c r="X31" i="110"/>
  <c r="Z31" i="110"/>
  <c r="AB31" i="110"/>
  <c r="AD31" i="110"/>
  <c r="T32" i="110"/>
  <c r="V32" i="110"/>
  <c r="X32" i="110"/>
  <c r="Z32" i="110"/>
  <c r="AB32" i="110"/>
  <c r="AD32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V39" i="109" s="1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U20" i="95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 s="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U13" i="103"/>
  <c r="W13" i="103"/>
  <c r="Y13" i="103"/>
  <c r="AA13" i="103"/>
  <c r="AC13" i="103"/>
  <c r="U15" i="103"/>
  <c r="W15" i="103"/>
  <c r="Y15" i="103"/>
  <c r="AA15" i="103"/>
  <c r="AC1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C58" i="103"/>
  <c r="U10" i="103"/>
  <c r="Y10" i="103"/>
  <c r="AC10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T19" i="108" l="1"/>
  <c r="X36" i="101"/>
  <c r="S41" i="101"/>
  <c r="AF32" i="101"/>
  <c r="AF33" i="101"/>
  <c r="S35" i="110"/>
  <c r="Z26" i="95"/>
  <c r="U38" i="109"/>
  <c r="AB23" i="96"/>
  <c r="AC26" i="95"/>
  <c r="T23" i="96"/>
  <c r="W27" i="96"/>
  <c r="T23" i="98"/>
  <c r="Z24" i="98"/>
  <c r="V35" i="101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AA42" i="110" s="1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S42" i="110" s="1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AC15" i="107"/>
  <c r="W15" i="107"/>
  <c r="U15" i="107"/>
  <c r="AC10" i="107"/>
  <c r="W10" i="107"/>
  <c r="U10" i="107"/>
  <c r="Y15" i="107"/>
  <c r="Z11" i="107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AB16" i="107"/>
  <c r="X16" i="107"/>
  <c r="T16" i="107"/>
  <c r="AB15" i="107"/>
  <c r="X15" i="107"/>
  <c r="T15" i="107"/>
  <c r="AD14" i="107"/>
  <c r="Z14" i="107"/>
  <c r="V14" i="107"/>
  <c r="AD13" i="107"/>
  <c r="Z13" i="107"/>
  <c r="V13" i="107"/>
  <c r="AB12" i="107"/>
  <c r="Z12" i="107"/>
  <c r="V12" i="107"/>
  <c r="T12" i="107"/>
  <c r="AD11" i="107"/>
  <c r="AB11" i="107"/>
  <c r="T11" i="107"/>
  <c r="AB20" i="107"/>
  <c r="X20" i="107"/>
  <c r="T20" i="107"/>
  <c r="AD19" i="107"/>
  <c r="AD39" i="107" s="1"/>
  <c r="Z19" i="107"/>
  <c r="V19" i="107"/>
  <c r="AD18" i="107"/>
  <c r="Z18" i="107"/>
  <c r="T18" i="107"/>
  <c r="AB17" i="107"/>
  <c r="X17" i="107"/>
  <c r="T17" i="107"/>
  <c r="AD16" i="107"/>
  <c r="Z16" i="107"/>
  <c r="V16" i="107"/>
  <c r="AD15" i="107"/>
  <c r="Z15" i="107"/>
  <c r="V15" i="107"/>
  <c r="AB14" i="107"/>
  <c r="X14" i="107"/>
  <c r="T14" i="107"/>
  <c r="AB13" i="107"/>
  <c r="X13" i="107"/>
  <c r="T13" i="107"/>
  <c r="AD12" i="107"/>
  <c r="X12" i="107"/>
  <c r="X11" i="107"/>
  <c r="V11" i="107"/>
  <c r="AB10" i="107"/>
  <c r="Z10" i="107"/>
  <c r="X10" i="107"/>
  <c r="T10" i="107"/>
  <c r="AC21" i="107"/>
  <c r="AA21" i="107"/>
  <c r="Y21" i="107"/>
  <c r="W21" i="107"/>
  <c r="U21" i="107"/>
  <c r="S21" i="107"/>
  <c r="AC20" i="107"/>
  <c r="AA20" i="107"/>
  <c r="Y20" i="107"/>
  <c r="W20" i="107"/>
  <c r="U20" i="107"/>
  <c r="U39" i="107" s="1"/>
  <c r="S20" i="107"/>
  <c r="AC19" i="107"/>
  <c r="AA19" i="107"/>
  <c r="Y19" i="107"/>
  <c r="W19" i="107"/>
  <c r="U19" i="107"/>
  <c r="S19" i="107"/>
  <c r="AC18" i="107"/>
  <c r="AA18" i="107"/>
  <c r="Y18" i="107"/>
  <c r="W18" i="107"/>
  <c r="U18" i="107"/>
  <c r="S18" i="107"/>
  <c r="AC17" i="107"/>
  <c r="Y17" i="107"/>
  <c r="W17" i="107"/>
  <c r="U17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AC12" i="107"/>
  <c r="AA12" i="107"/>
  <c r="Y12" i="107"/>
  <c r="W12" i="107"/>
  <c r="U12" i="107"/>
  <c r="S12" i="107"/>
  <c r="AC11" i="107"/>
  <c r="AA11" i="107"/>
  <c r="Y11" i="107"/>
  <c r="W11" i="107"/>
  <c r="U11" i="107"/>
  <c r="S11" i="107"/>
  <c r="S16" i="107"/>
  <c r="Y10" i="107"/>
  <c r="AD10" i="107"/>
  <c r="V10" i="107"/>
  <c r="AA10" i="107"/>
  <c r="S10" i="107"/>
  <c r="AC23" i="95"/>
  <c r="U23" i="96"/>
  <c r="AD26" i="98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24" i="98" s="1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34" i="107" s="1"/>
  <c r="P50" i="93"/>
  <c r="P50" i="107" s="1"/>
  <c r="P18" i="93"/>
  <c r="P18" i="107" s="1"/>
  <c r="N58" i="93"/>
  <c r="P42" i="93"/>
  <c r="P42" i="107" s="1"/>
  <c r="P26" i="93"/>
  <c r="P26" i="107" s="1"/>
  <c r="P56" i="93"/>
  <c r="P56" i="107" s="1"/>
  <c r="P46" i="93"/>
  <c r="P46" i="107" s="1"/>
  <c r="P38" i="93"/>
  <c r="P38" i="107" s="1"/>
  <c r="P30" i="93"/>
  <c r="P30" i="107" s="1"/>
  <c r="P22" i="93"/>
  <c r="P22" i="107" s="1"/>
  <c r="P14" i="93"/>
  <c r="P14" i="107" s="1"/>
  <c r="F58" i="93"/>
  <c r="P10" i="93"/>
  <c r="P10" i="107" s="1"/>
  <c r="P52" i="93"/>
  <c r="P52" i="107" s="1"/>
  <c r="P48" i="93"/>
  <c r="P48" i="107" s="1"/>
  <c r="P44" i="93"/>
  <c r="P44" i="107" s="1"/>
  <c r="P40" i="93"/>
  <c r="P40" i="107" s="1"/>
  <c r="P36" i="93"/>
  <c r="P36" i="107" s="1"/>
  <c r="P32" i="93"/>
  <c r="P32" i="107" s="1"/>
  <c r="P28" i="93"/>
  <c r="P28" i="107" s="1"/>
  <c r="P24" i="93"/>
  <c r="P24" i="107" s="1"/>
  <c r="P23" i="93"/>
  <c r="P23" i="107" s="1"/>
  <c r="P20" i="93"/>
  <c r="P20" i="107" s="1"/>
  <c r="P16" i="93"/>
  <c r="P16" i="107" s="1"/>
  <c r="P12" i="93"/>
  <c r="P12" i="107" s="1"/>
  <c r="P54" i="93"/>
  <c r="P54" i="107" s="1"/>
  <c r="P51" i="93"/>
  <c r="P51" i="107" s="1"/>
  <c r="P49" i="93"/>
  <c r="P49" i="107" s="1"/>
  <c r="P35" i="93"/>
  <c r="P35" i="107" s="1"/>
  <c r="P33" i="93"/>
  <c r="P33" i="107" s="1"/>
  <c r="P31" i="93"/>
  <c r="P31" i="107" s="1"/>
  <c r="P21" i="93"/>
  <c r="P21" i="107" s="1"/>
  <c r="P19" i="93"/>
  <c r="P19" i="107" s="1"/>
  <c r="P17" i="93"/>
  <c r="P17" i="107" s="1"/>
  <c r="P15" i="93"/>
  <c r="P15" i="107" s="1"/>
  <c r="P13" i="93"/>
  <c r="P13" i="107" s="1"/>
  <c r="P11" i="93"/>
  <c r="P11" i="107" s="1"/>
  <c r="P47" i="93"/>
  <c r="P47" i="107" s="1"/>
  <c r="P45" i="93"/>
  <c r="P45" i="107" s="1"/>
  <c r="P43" i="93"/>
  <c r="P43" i="107" s="1"/>
  <c r="P41" i="93"/>
  <c r="P41" i="107" s="1"/>
  <c r="P39" i="93"/>
  <c r="P39" i="107" s="1"/>
  <c r="P37" i="93"/>
  <c r="P37" i="107" s="1"/>
  <c r="P29" i="93"/>
  <c r="P29" i="107" s="1"/>
  <c r="P27" i="93"/>
  <c r="P27" i="107" s="1"/>
  <c r="P25" i="93"/>
  <c r="P25" i="107" s="1"/>
  <c r="K58" i="93"/>
  <c r="G58" i="93"/>
  <c r="P57" i="93"/>
  <c r="P55" i="93"/>
  <c r="P55" i="107" s="1"/>
  <c r="H58" i="93"/>
  <c r="D58" i="93"/>
  <c r="L58" i="93"/>
  <c r="P53" i="93"/>
  <c r="P53" i="107" s="1"/>
  <c r="J58" i="93"/>
  <c r="E58" i="93"/>
  <c r="I58" i="93"/>
  <c r="O27" i="93"/>
  <c r="O27" i="107" s="1"/>
  <c r="O29" i="93"/>
  <c r="O29" i="107" s="1"/>
  <c r="O31" i="93"/>
  <c r="O31" i="107" s="1"/>
  <c r="O33" i="93"/>
  <c r="O33" i="107" s="1"/>
  <c r="O35" i="93"/>
  <c r="O35" i="107" s="1"/>
  <c r="O37" i="93"/>
  <c r="O37" i="107" s="1"/>
  <c r="O39" i="93"/>
  <c r="O39" i="107" s="1"/>
  <c r="O41" i="93"/>
  <c r="O41" i="107" s="1"/>
  <c r="O43" i="93"/>
  <c r="O45" i="93"/>
  <c r="O47" i="93"/>
  <c r="O49" i="93"/>
  <c r="O51" i="93"/>
  <c r="O53" i="93"/>
  <c r="O55" i="93"/>
  <c r="O57" i="93"/>
  <c r="M58" i="93"/>
  <c r="O10" i="93"/>
  <c r="O10" i="107" s="1"/>
  <c r="O11" i="93"/>
  <c r="O11" i="107" s="1"/>
  <c r="O12" i="93"/>
  <c r="O12" i="107" s="1"/>
  <c r="O13" i="93"/>
  <c r="O13" i="107" s="1"/>
  <c r="O14" i="93"/>
  <c r="O14" i="107" s="1"/>
  <c r="O15" i="93"/>
  <c r="O15" i="107" s="1"/>
  <c r="O16" i="93"/>
  <c r="O16" i="107" s="1"/>
  <c r="O17" i="93"/>
  <c r="O17" i="107" s="1"/>
  <c r="O18" i="93"/>
  <c r="O18" i="107" s="1"/>
  <c r="O19" i="93"/>
  <c r="O19" i="107" s="1"/>
  <c r="O20" i="93"/>
  <c r="O20" i="107" s="1"/>
  <c r="O21" i="93"/>
  <c r="O21" i="107" s="1"/>
  <c r="O22" i="93"/>
  <c r="O22" i="107" s="1"/>
  <c r="O23" i="93"/>
  <c r="O23" i="107" s="1"/>
  <c r="O24" i="93"/>
  <c r="O24" i="107" s="1"/>
  <c r="O25" i="93"/>
  <c r="O25" i="107" s="1"/>
  <c r="O26" i="93"/>
  <c r="O26" i="107" s="1"/>
  <c r="O28" i="93"/>
  <c r="O28" i="107" s="1"/>
  <c r="O30" i="93"/>
  <c r="O30" i="107" s="1"/>
  <c r="O32" i="93"/>
  <c r="O32" i="107" s="1"/>
  <c r="O34" i="93"/>
  <c r="O34" i="107" s="1"/>
  <c r="O36" i="93"/>
  <c r="O36" i="107" s="1"/>
  <c r="O38" i="93"/>
  <c r="O38" i="107" s="1"/>
  <c r="O40" i="93"/>
  <c r="O40" i="107" s="1"/>
  <c r="O42" i="93"/>
  <c r="O42" i="107" s="1"/>
  <c r="O44" i="93"/>
  <c r="O46" i="93"/>
  <c r="O48" i="93"/>
  <c r="O50" i="93"/>
  <c r="O52" i="93"/>
  <c r="O54" i="93"/>
  <c r="O56" i="93"/>
  <c r="C58" i="93"/>
  <c r="T12" i="111" l="1"/>
  <c r="AF10" i="108"/>
  <c r="V36" i="108"/>
  <c r="AD12" i="111"/>
  <c r="S36" i="107"/>
  <c r="T13" i="111"/>
  <c r="U36" i="107"/>
  <c r="V39" i="107"/>
  <c r="O10" i="111"/>
  <c r="N107" i="110"/>
  <c r="C107" i="110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C108" i="110"/>
  <c r="P15" i="111"/>
  <c r="O28" i="111"/>
  <c r="O35" i="111"/>
  <c r="O25" i="111"/>
  <c r="O44" i="111"/>
  <c r="O54" i="111"/>
  <c r="AD10" i="111"/>
  <c r="P36" i="111"/>
  <c r="O57" i="111"/>
  <c r="X36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F108" i="110"/>
  <c r="AA10" i="111"/>
  <c r="H108" i="110"/>
  <c r="N108" i="110"/>
  <c r="AE39" i="110"/>
  <c r="W42" i="110"/>
  <c r="AE36" i="110"/>
  <c r="F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U37" i="108"/>
  <c r="AB38" i="108"/>
  <c r="AB40" i="108"/>
  <c r="S38" i="108"/>
  <c r="S40" i="108"/>
  <c r="Y40" i="108"/>
  <c r="V35" i="108"/>
  <c r="AD35" i="108"/>
  <c r="AF13" i="108"/>
  <c r="AF15" i="108"/>
  <c r="AE16" i="108"/>
  <c r="Z40" i="108"/>
  <c r="AE12" i="107"/>
  <c r="AE16" i="107"/>
  <c r="S39" i="108"/>
  <c r="S36" i="108"/>
  <c r="W38" i="108"/>
  <c r="W35" i="108"/>
  <c r="H107" i="108"/>
  <c r="V40" i="108"/>
  <c r="Z35" i="108"/>
  <c r="T40" i="108"/>
  <c r="AF16" i="108"/>
  <c r="AA37" i="108"/>
  <c r="AA36" i="108"/>
  <c r="AB37" i="108"/>
  <c r="W40" i="108"/>
  <c r="W37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V40" i="107"/>
  <c r="Z37" i="107"/>
  <c r="AE10" i="107"/>
  <c r="AC38" i="107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E17" i="107"/>
  <c r="AE13" i="107"/>
  <c r="AF15" i="107"/>
  <c r="T40" i="107"/>
  <c r="AE11" i="107"/>
  <c r="V35" i="107"/>
  <c r="AD40" i="107"/>
  <c r="AB38" i="107"/>
  <c r="X39" i="107"/>
  <c r="Z39" i="107"/>
  <c r="W40" i="107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T37" i="107"/>
  <c r="T34" i="107"/>
  <c r="AF13" i="107"/>
  <c r="AF17" i="107"/>
  <c r="W39" i="107"/>
  <c r="W36" i="107"/>
  <c r="AA36" i="107"/>
  <c r="AA39" i="107"/>
  <c r="S39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42" i="107" s="1"/>
  <c r="S34" i="107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E41" i="107" l="1"/>
  <c r="C107" i="107"/>
  <c r="H108" i="107"/>
  <c r="S41" i="111"/>
  <c r="AC41" i="111"/>
  <c r="U41" i="111"/>
  <c r="W41" i="111"/>
  <c r="AD41" i="111"/>
  <c r="AB41" i="111"/>
  <c r="AB42" i="111" s="1"/>
  <c r="AA41" i="111"/>
  <c r="X41" i="111"/>
  <c r="T41" i="111"/>
  <c r="Z41" i="111"/>
  <c r="Y41" i="111"/>
  <c r="V41" i="111"/>
  <c r="AD36" i="111"/>
  <c r="AD39" i="111"/>
  <c r="AD34" i="111"/>
  <c r="AD37" i="111"/>
  <c r="AD40" i="111"/>
  <c r="AD35" i="111"/>
  <c r="AD38" i="111"/>
  <c r="N107" i="111"/>
  <c r="X34" i="111"/>
  <c r="T34" i="111"/>
  <c r="W37" i="111"/>
  <c r="X36" i="111"/>
  <c r="Z39" i="111"/>
  <c r="V40" i="111"/>
  <c r="AA35" i="111"/>
  <c r="AF12" i="111"/>
  <c r="S34" i="111"/>
  <c r="T39" i="111"/>
  <c r="AC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S42" i="111" s="1"/>
  <c r="Z38" i="111"/>
  <c r="AE13" i="111"/>
  <c r="V34" i="111"/>
  <c r="W35" i="111"/>
  <c r="AC35" i="111"/>
  <c r="AB38" i="111"/>
  <c r="W40" i="111"/>
  <c r="V39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X37" i="111"/>
  <c r="AC39" i="111"/>
  <c r="Y39" i="111"/>
  <c r="U35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AF42" i="107" s="1"/>
  <c r="F107" i="107"/>
  <c r="I107" i="107"/>
  <c r="E107" i="107"/>
  <c r="N107" i="107"/>
  <c r="C107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42" i="107" l="1"/>
  <c r="AA42" i="111"/>
  <c r="X42" i="111"/>
  <c r="AD42" i="111"/>
  <c r="AE41" i="111"/>
  <c r="V42" i="111"/>
  <c r="W42" i="111"/>
  <c r="AF41" i="111"/>
  <c r="Y42" i="111"/>
  <c r="U42" i="111"/>
  <c r="Z42" i="111"/>
  <c r="AC42" i="111"/>
  <c r="T42" i="111"/>
  <c r="AE39" i="111"/>
  <c r="AE36" i="111"/>
  <c r="AF34" i="111"/>
  <c r="AF37" i="111"/>
  <c r="AF40" i="111"/>
  <c r="AE35" i="111"/>
  <c r="AE38" i="111"/>
  <c r="AF36" i="111"/>
  <c r="AF39" i="111"/>
  <c r="AF35" i="111"/>
  <c r="AF38" i="111"/>
  <c r="AE34" i="111"/>
  <c r="AE37" i="111"/>
  <c r="AE40" i="111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E42" i="111" l="1"/>
  <c r="AF42" i="111"/>
</calcChain>
</file>

<file path=xl/sharedStrings.xml><?xml version="1.0" encoding="utf-8"?>
<sst xmlns="http://schemas.openxmlformats.org/spreadsheetml/2006/main" count="2322" uniqueCount="177">
  <si>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</si>
  <si>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</si>
  <si>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</si>
  <si>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</si>
  <si>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</si>
  <si>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</si>
  <si>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</si>
  <si>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</si>
  <si>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</si>
  <si>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</si>
  <si>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</si>
  <si>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</si>
  <si>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</si>
  <si>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</si>
  <si>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</si>
  <si>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</si>
  <si>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</si>
  <si>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</si>
  <si>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</si>
  <si>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</si>
  <si>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</si>
  <si>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</si>
  <si>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</si>
  <si>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</si>
  <si>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</si>
  <si>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</si>
  <si>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</si>
  <si>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</si>
  <si>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</si>
  <si>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</si>
  <si>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</si>
  <si>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</si>
  <si>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</si>
  <si>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</si>
  <si>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</si>
  <si>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</si>
  <si>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</si>
  <si>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</si>
  <si>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</si>
  <si>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</si>
  <si>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</si>
  <si>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</si>
  <si>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</si>
  <si>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</si>
  <si>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</si>
  <si>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</si>
  <si>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</si>
  <si>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</si>
  <si>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</si>
  <si>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</si>
  <si>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</si>
  <si>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</si>
  <si>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</si>
  <si>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</si>
  <si>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</si>
  <si>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</si>
  <si>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</si>
  <si>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</si>
  <si>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</si>
  <si>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</si>
  <si>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</si>
  <si>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</si>
  <si>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</si>
  <si>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</si>
  <si>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</si>
  <si>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</si>
  <si>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</si>
  <si>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</si>
  <si>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</si>
  <si>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</si>
  <si>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</si>
  <si>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</si>
  <si>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</si>
  <si>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</si>
  <si>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</si>
  <si>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</si>
  <si>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</si>
  <si>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</si>
  <si>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</si>
  <si>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</si>
  <si>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</si>
  <si>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</si>
  <si>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</si>
  <si>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</si>
  <si>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</si>
  <si>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</si>
  <si>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</si>
  <si>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</si>
  <si>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</si>
  <si>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</si>
  <si>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</si>
  <si>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</si>
  <si>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</si>
  <si>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</si>
  <si>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</si>
  <si>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</si>
  <si>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</si>
  <si>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</si>
  <si>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</si>
  <si>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</si>
  <si>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</si>
  <si>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</si>
  <si>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</si>
  <si>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</si>
  <si>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</si>
  <si>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</si>
  <si>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</si>
  <si>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</si>
  <si>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</si>
  <si>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</si>
  <si>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</si>
  <si>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</si>
  <si>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</si>
  <si>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</si>
  <si>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</si>
  <si>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</si>
  <si>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</si>
  <si>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</si>
  <si>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</si>
  <si>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</si>
  <si>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</si>
  <si>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</si>
  <si>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</si>
  <si>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</si>
  <si>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</si>
  <si>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</si>
  <si>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</si>
  <si>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</si>
  <si>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</si>
  <si>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</si>
  <si>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</si>
  <si>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</si>
  <si>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</si>
  <si>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</si>
  <si>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</si>
  <si>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</si>
  <si>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</si>
  <si>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</si>
  <si>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</si>
  <si>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</si>
  <si>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</si>
  <si>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</si>
  <si>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</si>
  <si>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</si>
  <si>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</si>
  <si>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</si>
  <si>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</si>
  <si>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</si>
  <si>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</si>
  <si>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</si>
  <si>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</si>
  <si>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</si>
  <si>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</si>
  <si>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</si>
  <si>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</si>
  <si>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</si>
  <si>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</si>
  <si>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</si>
  <si>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</si>
  <si>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</si>
  <si>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</si>
  <si>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</si>
  <si>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22.07.19</t>
  </si>
  <si>
    <t>23.07.19</t>
  </si>
  <si>
    <t>24.07.19</t>
  </si>
  <si>
    <t>25.07.19</t>
  </si>
  <si>
    <t>26.07.19</t>
  </si>
  <si>
    <t>27.07.19</t>
  </si>
  <si>
    <t>28.07.19</t>
  </si>
  <si>
    <t>AVERAGE WEEK</t>
  </si>
  <si>
    <t>BUSEGA</t>
  </si>
  <si>
    <t>MASANAFU</t>
  </si>
  <si>
    <t>NORTHERN BYPASS</t>
  </si>
  <si>
    <t>MCC - C1 - STN13 - NORTHERN BYPASS</t>
  </si>
  <si>
    <t>SSEMUKO SAMUEL JUNIOR W/MUTEBI CHRISTOPHER/SSEMWOGERERE FREDRICK</t>
  </si>
  <si>
    <t>ANDY/ANDREW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</si>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</sst>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-* #,##0_-;\-* #,##0_-;_-* &quot;-&quot;_-;_-@_-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70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8" fillId="0" borderId="5" xfId="0" applyFont="1" applyBorder="1" applyAlignment="1">
      <alignment horizontal="left" vertic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Busega-Masanafu'!$AE$9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Busega-Masanafu'!$R$10:$R$21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Busega-Masanafu'!$AE$10:$AE$21</c:f>
              <c:numCache>
                <c:formatCode>0</c:formatCode>
                <c:ptCount val="12"/>
                <c:pt idx="0">
                  <c:v>480</c:v>
                </c:pt>
                <c:pt idx="1">
                  <c:v>475</c:v>
                </c:pt>
                <c:pt idx="2">
                  <c:v>487</c:v>
                </c:pt>
                <c:pt idx="3">
                  <c:v>468</c:v>
                </c:pt>
                <c:pt idx="4">
                  <c:v>560</c:v>
                </c:pt>
                <c:pt idx="5">
                  <c:v>492</c:v>
                </c:pt>
                <c:pt idx="6">
                  <c:v>438</c:v>
                </c:pt>
                <c:pt idx="7">
                  <c:v>558</c:v>
                </c:pt>
                <c:pt idx="8">
                  <c:v>473</c:v>
                </c:pt>
                <c:pt idx="9">
                  <c:v>578</c:v>
                </c:pt>
                <c:pt idx="10">
                  <c:v>581</c:v>
                </c:pt>
                <c:pt idx="11">
                  <c:v>626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'22.07 Busega-Masanafu'!$AF$9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Busega-Masanafu'!$R$10:$R$21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Busega-Masanafu'!$AF$10:$AF$21</c:f>
              <c:numCache>
                <c:formatCode>0</c:formatCode>
                <c:ptCount val="12"/>
                <c:pt idx="0">
                  <c:v>1041</c:v>
                </c:pt>
                <c:pt idx="1">
                  <c:v>1039</c:v>
                </c:pt>
                <c:pt idx="2">
                  <c:v>967</c:v>
                </c:pt>
                <c:pt idx="3">
                  <c:v>863</c:v>
                </c:pt>
                <c:pt idx="4">
                  <c:v>958</c:v>
                </c:pt>
                <c:pt idx="5">
                  <c:v>817</c:v>
                </c:pt>
                <c:pt idx="6">
                  <c:v>825</c:v>
                </c:pt>
                <c:pt idx="7">
                  <c:v>892</c:v>
                </c:pt>
                <c:pt idx="8">
                  <c:v>649</c:v>
                </c:pt>
                <c:pt idx="9">
                  <c:v>867</c:v>
                </c:pt>
                <c:pt idx="10">
                  <c:v>912</c:v>
                </c:pt>
                <c:pt idx="11">
                  <c:v>992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093120"/>
        <c:axId val="95095040"/>
      </c:lineChart>
      <c:catAx>
        <c:axId val="950931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5095040"/>
        <c:crosses val="autoZero"/>
        <c:auto val="1"/>
        <c:lblAlgn val="ctr"/>
        <c:lblOffset val="100"/>
        <c:noMultiLvlLbl val="0"/>
      </c:catAx>
      <c:valAx>
        <c:axId val="950950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5093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Busega-Masanafu'!$C$9:$N$9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Busega-Masanafu'!$C$59:$N$59</c:f>
              <c:numCache>
                <c:formatCode>0.0%</c:formatCode>
                <c:ptCount val="12"/>
                <c:pt idx="0">
                  <c:v>0.24542598410644983</c:v>
                </c:pt>
                <c:pt idx="1">
                  <c:v>5.7567917205692105E-2</c:v>
                </c:pt>
                <c:pt idx="2">
                  <c:v>3.936425799297727E-2</c:v>
                </c:pt>
                <c:pt idx="3">
                  <c:v>0.11504343004989835</c:v>
                </c:pt>
                <c:pt idx="4">
                  <c:v>6.9303271114396596E-3</c:v>
                </c:pt>
                <c:pt idx="5">
                  <c:v>5.5442616891517276E-4</c:v>
                </c:pt>
                <c:pt idx="6">
                  <c:v>3.4374422472740716E-2</c:v>
                </c:pt>
                <c:pt idx="7">
                  <c:v>4.3337645536869342E-2</c:v>
                </c:pt>
                <c:pt idx="8">
                  <c:v>1.4507484753280354E-2</c:v>
                </c:pt>
                <c:pt idx="9">
                  <c:v>1.7279615597856218E-2</c:v>
                </c:pt>
                <c:pt idx="10">
                  <c:v>0.42561448900388099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Busega-Masanafu'!$C$9:$N$9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Busega-Masanafu'!$C$60:$N$60</c:f>
              <c:numCache>
                <c:formatCode>0.00%</c:formatCode>
                <c:ptCount val="12"/>
                <c:pt idx="0">
                  <c:v>0.42728442728442728</c:v>
                </c:pt>
                <c:pt idx="1">
                  <c:v>0.10022522522522523</c:v>
                </c:pt>
                <c:pt idx="2">
                  <c:v>6.8532818532818535E-2</c:v>
                </c:pt>
                <c:pt idx="3">
                  <c:v>0.20028957528957528</c:v>
                </c:pt>
                <c:pt idx="4">
                  <c:v>1.2065637065637066E-2</c:v>
                </c:pt>
                <c:pt idx="5">
                  <c:v>9.6525096525096527E-4</c:v>
                </c:pt>
                <c:pt idx="6">
                  <c:v>5.9845559845559844E-2</c:v>
                </c:pt>
                <c:pt idx="7">
                  <c:v>7.5450450450450457E-2</c:v>
                </c:pt>
                <c:pt idx="8">
                  <c:v>2.5257400257400257E-2</c:v>
                </c:pt>
                <c:pt idx="9">
                  <c:v>3.0083655083655084E-2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Masanafu-Busega'!$AE$9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Masanafu-Busega'!$R$10:$R$21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Masanafu-Busega'!$AE$10:$AE$21</c:f>
              <c:numCache>
                <c:formatCode>0</c:formatCode>
                <c:ptCount val="12"/>
                <c:pt idx="0">
                  <c:v>628</c:v>
                </c:pt>
                <c:pt idx="1">
                  <c:v>559</c:v>
                </c:pt>
                <c:pt idx="2">
                  <c:v>626</c:v>
                </c:pt>
                <c:pt idx="3">
                  <c:v>676</c:v>
                </c:pt>
                <c:pt idx="4">
                  <c:v>658</c:v>
                </c:pt>
                <c:pt idx="5">
                  <c:v>697</c:v>
                </c:pt>
                <c:pt idx="6">
                  <c:v>676</c:v>
                </c:pt>
                <c:pt idx="7">
                  <c:v>657</c:v>
                </c:pt>
                <c:pt idx="8">
                  <c:v>506</c:v>
                </c:pt>
                <c:pt idx="9">
                  <c:v>678</c:v>
                </c:pt>
                <c:pt idx="10">
                  <c:v>919</c:v>
                </c:pt>
                <c:pt idx="11">
                  <c:v>841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'22.07 Masanafu-Busega'!$AF$9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Masanafu-Busega'!$R$10:$R$21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Masanafu-Busega'!$AF$10:$AF$21</c:f>
              <c:numCache>
                <c:formatCode>0</c:formatCode>
                <c:ptCount val="12"/>
                <c:pt idx="0">
                  <c:v>1041</c:v>
                </c:pt>
                <c:pt idx="1">
                  <c:v>1013</c:v>
                </c:pt>
                <c:pt idx="2">
                  <c:v>1057</c:v>
                </c:pt>
                <c:pt idx="3">
                  <c:v>1057</c:v>
                </c:pt>
                <c:pt idx="4">
                  <c:v>1086</c:v>
                </c:pt>
                <c:pt idx="5">
                  <c:v>1010</c:v>
                </c:pt>
                <c:pt idx="6">
                  <c:v>976</c:v>
                </c:pt>
                <c:pt idx="7">
                  <c:v>1049</c:v>
                </c:pt>
                <c:pt idx="8">
                  <c:v>671</c:v>
                </c:pt>
                <c:pt idx="9">
                  <c:v>1142</c:v>
                </c:pt>
                <c:pt idx="10">
                  <c:v>1352</c:v>
                </c:pt>
                <c:pt idx="11">
                  <c:v>1132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958144"/>
        <c:axId val="98005376"/>
      </c:lineChart>
      <c:catAx>
        <c:axId val="979581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005376"/>
        <c:crosses val="autoZero"/>
        <c:auto val="1"/>
        <c:lblAlgn val="ctr"/>
        <c:lblOffset val="100"/>
        <c:noMultiLvlLbl val="0"/>
      </c:catAx>
      <c:valAx>
        <c:axId val="980053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795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Masanafu-Busega'!$C$9:$N$9</c:f>
              <c:strCache>
                <c:ptCount val="12"/>
                <c:pt idx="0">
                  <c:v>1. Car</c:v>
                </c:pt>
                <c:pt idx="1">
                  <c:v>6</c:v>
                </c:pt>
                <c:pt idx="2">
                  <c:v>12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Masanafu-Busega'!$C$59:$N$59</c:f>
              <c:numCache>
                <c:formatCode>0.0%</c:formatCode>
                <c:ptCount val="12"/>
                <c:pt idx="0">
                  <c:v>0.29620212935007151</c:v>
                </c:pt>
                <c:pt idx="1">
                  <c:v>3.9965040521214044E-2</c:v>
                </c:pt>
                <c:pt idx="2">
                  <c:v>4.1315747656125855E-2</c:v>
                </c:pt>
                <c:pt idx="3">
                  <c:v>0.14762434450977277</c:v>
                </c:pt>
                <c:pt idx="4">
                  <c:v>5.3233751787700621E-3</c:v>
                </c:pt>
                <c:pt idx="5">
                  <c:v>1.4301604957889719E-3</c:v>
                </c:pt>
                <c:pt idx="6">
                  <c:v>5.593516605752423E-2</c:v>
                </c:pt>
                <c:pt idx="7">
                  <c:v>2.9795010328936913E-2</c:v>
                </c:pt>
                <c:pt idx="8">
                  <c:v>1.2076910853329096E-2</c:v>
                </c:pt>
                <c:pt idx="9">
                  <c:v>1.557285873192436E-2</c:v>
                </c:pt>
                <c:pt idx="10">
                  <c:v>0.3547592563165422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26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Masanafu-Busega'!$S$9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'22.07 Masanafu-Busega'!$R$10:$R$21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Masanafu-Busega'!$S$10:$S$21</c:f>
              <c:numCache>
                <c:formatCode>0</c:formatCode>
                <c:ptCount val="12"/>
                <c:pt idx="0">
                  <c:v>317</c:v>
                </c:pt>
                <c:pt idx="1">
                  <c:v>252</c:v>
                </c:pt>
                <c:pt idx="2">
                  <c:v>273</c:v>
                </c:pt>
                <c:pt idx="3">
                  <c:v>297</c:v>
                </c:pt>
                <c:pt idx="4">
                  <c:v>290</c:v>
                </c:pt>
                <c:pt idx="5">
                  <c:v>292</c:v>
                </c:pt>
                <c:pt idx="6">
                  <c:v>285</c:v>
                </c:pt>
                <c:pt idx="7">
                  <c:v>292</c:v>
                </c:pt>
                <c:pt idx="8">
                  <c:v>231</c:v>
                </c:pt>
                <c:pt idx="9">
                  <c:v>329</c:v>
                </c:pt>
                <c:pt idx="10">
                  <c:v>421</c:v>
                </c:pt>
                <c:pt idx="11">
                  <c:v>449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'22.07 Masanafu-Busega'!$T$9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'22.07 Masanafu-Busega'!$R$10:$R$21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Masanafu-Busega'!$T$10:$T$21</c:f>
              <c:numCache>
                <c:formatCode>0</c:formatCode>
                <c:ptCount val="12"/>
                <c:pt idx="0">
                  <c:v>46</c:v>
                </c:pt>
                <c:pt idx="1">
                  <c:v>33</c:v>
                </c:pt>
                <c:pt idx="2">
                  <c:v>50</c:v>
                </c:pt>
                <c:pt idx="3">
                  <c:v>40</c:v>
                </c:pt>
                <c:pt idx="4">
                  <c:v>45</c:v>
                </c:pt>
                <c:pt idx="5">
                  <c:v>52</c:v>
                </c:pt>
                <c:pt idx="6">
                  <c:v>45</c:v>
                </c:pt>
                <c:pt idx="7">
                  <c:v>26</c:v>
                </c:pt>
                <c:pt idx="8">
                  <c:v>28</c:v>
                </c:pt>
                <c:pt idx="9">
                  <c:v>35</c:v>
                </c:pt>
                <c:pt idx="10">
                  <c:v>51</c:v>
                </c:pt>
                <c:pt idx="11">
                  <c:v>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'22.07 Masanafu-Busega'!$U$9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'22.07 Masanafu-Busega'!$U$10:$U$21</c:f>
              <c:numCache>
                <c:formatCode>0</c:formatCode>
                <c:ptCount val="12"/>
                <c:pt idx="0">
                  <c:v>49</c:v>
                </c:pt>
                <c:pt idx="1">
                  <c:v>39</c:v>
                </c:pt>
                <c:pt idx="2">
                  <c:v>36</c:v>
                </c:pt>
                <c:pt idx="3">
                  <c:v>44</c:v>
                </c:pt>
                <c:pt idx="4">
                  <c:v>41</c:v>
                </c:pt>
                <c:pt idx="5">
                  <c:v>44</c:v>
                </c:pt>
                <c:pt idx="6">
                  <c:v>40</c:v>
                </c:pt>
                <c:pt idx="7">
                  <c:v>51</c:v>
                </c:pt>
                <c:pt idx="8">
                  <c:v>45</c:v>
                </c:pt>
                <c:pt idx="9">
                  <c:v>43</c:v>
                </c:pt>
                <c:pt idx="10">
                  <c:v>45</c:v>
                </c:pt>
                <c:pt idx="1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'22.07 Masanafu-Busega'!$V$9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'22.07 Masanafu-Busega'!$V$10:$V$21</c:f>
              <c:numCache>
                <c:formatCode>0</c:formatCode>
                <c:ptCount val="12"/>
                <c:pt idx="0">
                  <c:v>139</c:v>
                </c:pt>
                <c:pt idx="1">
                  <c:v>147</c:v>
                </c:pt>
                <c:pt idx="2">
                  <c:v>178</c:v>
                </c:pt>
                <c:pt idx="3">
                  <c:v>177</c:v>
                </c:pt>
                <c:pt idx="4">
                  <c:v>152</c:v>
                </c:pt>
                <c:pt idx="5">
                  <c:v>155</c:v>
                </c:pt>
                <c:pt idx="6">
                  <c:v>146</c:v>
                </c:pt>
                <c:pt idx="7">
                  <c:v>138</c:v>
                </c:pt>
                <c:pt idx="8">
                  <c:v>82</c:v>
                </c:pt>
                <c:pt idx="9">
                  <c:v>133</c:v>
                </c:pt>
                <c:pt idx="10">
                  <c:v>248</c:v>
                </c:pt>
                <c:pt idx="11">
                  <c:v>163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'22.07 Masanafu-Busega'!$W$9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'22.07 Masanafu-Busega'!$W$10:$W$21</c:f>
              <c:numCache>
                <c:formatCode>0</c:formatCode>
                <c:ptCount val="12"/>
                <c:pt idx="0">
                  <c:v>8</c:v>
                </c:pt>
                <c:pt idx="1">
                  <c:v>0</c:v>
                </c:pt>
                <c:pt idx="2">
                  <c:v>10</c:v>
                </c:pt>
                <c:pt idx="3">
                  <c:v>12</c:v>
                </c:pt>
                <c:pt idx="4">
                  <c:v>4</c:v>
                </c:pt>
                <c:pt idx="5">
                  <c:v>12</c:v>
                </c:pt>
                <c:pt idx="6">
                  <c:v>7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'22.07 Masanafu-Busega'!$X$9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'22.07 Masanafu-Busega'!$X$10:$X$21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'22.07 Masanafu-Busega'!$Y$9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Masanafu-Busega'!$Y$10:$Y$21</c:f>
              <c:numCache>
                <c:formatCode>0</c:formatCode>
                <c:ptCount val="12"/>
                <c:pt idx="0">
                  <c:v>29</c:v>
                </c:pt>
                <c:pt idx="1">
                  <c:v>44</c:v>
                </c:pt>
                <c:pt idx="2">
                  <c:v>38</c:v>
                </c:pt>
                <c:pt idx="3">
                  <c:v>52</c:v>
                </c:pt>
                <c:pt idx="4">
                  <c:v>54</c:v>
                </c:pt>
                <c:pt idx="5">
                  <c:v>69</c:v>
                </c:pt>
                <c:pt idx="6">
                  <c:v>67</c:v>
                </c:pt>
                <c:pt idx="7">
                  <c:v>70</c:v>
                </c:pt>
                <c:pt idx="8">
                  <c:v>47</c:v>
                </c:pt>
                <c:pt idx="9">
                  <c:v>67</c:v>
                </c:pt>
                <c:pt idx="10">
                  <c:v>101</c:v>
                </c:pt>
                <c:pt idx="11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'22.07 Masanafu-Busega'!$Z$9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Masanafu-Busega'!$Z$10:$Z$21</c:f>
              <c:numCache>
                <c:formatCode>0</c:formatCode>
                <c:ptCount val="12"/>
                <c:pt idx="0">
                  <c:v>25</c:v>
                </c:pt>
                <c:pt idx="1">
                  <c:v>28</c:v>
                </c:pt>
                <c:pt idx="2">
                  <c:v>18</c:v>
                </c:pt>
                <c:pt idx="3">
                  <c:v>27</c:v>
                </c:pt>
                <c:pt idx="4">
                  <c:v>32</c:v>
                </c:pt>
                <c:pt idx="5">
                  <c:v>36</c:v>
                </c:pt>
                <c:pt idx="6">
                  <c:v>41</c:v>
                </c:pt>
                <c:pt idx="7">
                  <c:v>42</c:v>
                </c:pt>
                <c:pt idx="8">
                  <c:v>36</c:v>
                </c:pt>
                <c:pt idx="9">
                  <c:v>33</c:v>
                </c:pt>
                <c:pt idx="10">
                  <c:v>18</c:v>
                </c:pt>
                <c:pt idx="1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'22.07 Masanafu-Busega'!$AA$9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Masanafu-Busega'!$AA$10:$AA$21</c:f>
              <c:numCache>
                <c:formatCode>0</c:formatCode>
                <c:ptCount val="12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17</c:v>
                </c:pt>
                <c:pt idx="5">
                  <c:v>16</c:v>
                </c:pt>
                <c:pt idx="6">
                  <c:v>16</c:v>
                </c:pt>
                <c:pt idx="7">
                  <c:v>13</c:v>
                </c:pt>
                <c:pt idx="8">
                  <c:v>12</c:v>
                </c:pt>
                <c:pt idx="9">
                  <c:v>20</c:v>
                </c:pt>
                <c:pt idx="10">
                  <c:v>12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'22.07 Masanafu-Busega'!$AB$9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Masanafu-Busega'!$AB$10:$AB$21</c:f>
              <c:numCache>
                <c:formatCode>0</c:formatCode>
                <c:ptCount val="12"/>
                <c:pt idx="0">
                  <c:v>6</c:v>
                </c:pt>
                <c:pt idx="1">
                  <c:v>8</c:v>
                </c:pt>
                <c:pt idx="2">
                  <c:v>12</c:v>
                </c:pt>
                <c:pt idx="3">
                  <c:v>17</c:v>
                </c:pt>
                <c:pt idx="4">
                  <c:v>22</c:v>
                </c:pt>
                <c:pt idx="5">
                  <c:v>19</c:v>
                </c:pt>
                <c:pt idx="6">
                  <c:v>26</c:v>
                </c:pt>
                <c:pt idx="7">
                  <c:v>22</c:v>
                </c:pt>
                <c:pt idx="8">
                  <c:v>21</c:v>
                </c:pt>
                <c:pt idx="9">
                  <c:v>15</c:v>
                </c:pt>
                <c:pt idx="10">
                  <c:v>19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'22.07 Masanafu-Busega'!$AC$9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Masanafu-Busega'!$AC$10:$AC$21</c:f>
              <c:numCache>
                <c:formatCode>0</c:formatCode>
                <c:ptCount val="12"/>
                <c:pt idx="0">
                  <c:v>413</c:v>
                </c:pt>
                <c:pt idx="1">
                  <c:v>454</c:v>
                </c:pt>
                <c:pt idx="2">
                  <c:v>431</c:v>
                </c:pt>
                <c:pt idx="3">
                  <c:v>381</c:v>
                </c:pt>
                <c:pt idx="4">
                  <c:v>428</c:v>
                </c:pt>
                <c:pt idx="5">
                  <c:v>313</c:v>
                </c:pt>
                <c:pt idx="6">
                  <c:v>300</c:v>
                </c:pt>
                <c:pt idx="7">
                  <c:v>392</c:v>
                </c:pt>
                <c:pt idx="8">
                  <c:v>165</c:v>
                </c:pt>
                <c:pt idx="9">
                  <c:v>464</c:v>
                </c:pt>
                <c:pt idx="10">
                  <c:v>433</c:v>
                </c:pt>
                <c:pt idx="11">
                  <c:v>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'22.07 Masanafu-Busega'!$AD$9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Masanafu-Busega'!$AD$10:$AD$21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045952"/>
        <c:axId val="98047488"/>
      </c:lineChart>
      <c:catAx>
        <c:axId val="9804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047488"/>
        <c:crosses val="autoZero"/>
        <c:auto val="1"/>
        <c:lblAlgn val="ctr"/>
        <c:lblOffset val="100"/>
        <c:noMultiLvlLbl val="0"/>
      </c:catAx>
      <c:valAx>
        <c:axId val="98047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04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Masanafu-Busega'!$C$9:$N$9</c:f>
              <c:strCache>
                <c:ptCount val="12"/>
                <c:pt idx="0">
                  <c:v>1. Car</c:v>
                </c:pt>
                <c:pt idx="1">
                  <c:v>6</c:v>
                </c:pt>
                <c:pt idx="2">
                  <c:v>12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Masanafu-Busega'!$C$60:$N$60</c:f>
              <c:numCache>
                <c:formatCode>0.00%</c:formatCode>
                <c:ptCount val="12"/>
                <c:pt idx="0">
                  <c:v>0.4590567664080778</c:v>
                </c:pt>
                <c:pt idx="1">
                  <c:v>6.1938184952592047E-2</c:v>
                </c:pt>
                <c:pt idx="2">
                  <c:v>6.403152321142716E-2</c:v>
                </c:pt>
                <c:pt idx="3">
                  <c:v>0.22878955793621475</c:v>
                </c:pt>
                <c:pt idx="4">
                  <c:v>8.2502154907031153E-3</c:v>
                </c:pt>
                <c:pt idx="5">
                  <c:v>2.216475803472479E-3</c:v>
                </c:pt>
                <c:pt idx="6">
                  <c:v>8.6688831424701393E-2</c:v>
                </c:pt>
                <c:pt idx="7">
                  <c:v>4.6176579239009974E-2</c:v>
                </c:pt>
                <c:pt idx="8">
                  <c:v>1.8716906784878709E-2</c:v>
                </c:pt>
                <c:pt idx="9">
                  <c:v>2.4134958748922547E-2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Busega-Masanafu'!$AE$9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Busega-Masanafu'!$R$10:$R$21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Busega-Masanafu'!$AE$10:$AE$21</c:f>
              <c:numCache>
                <c:formatCode>0</c:formatCode>
                <c:ptCount val="12"/>
                <c:pt idx="0">
                  <c:v>513</c:v>
                </c:pt>
                <c:pt idx="1">
                  <c:v>538</c:v>
                </c:pt>
                <c:pt idx="2">
                  <c:v>548</c:v>
                </c:pt>
                <c:pt idx="3">
                  <c:v>692</c:v>
                </c:pt>
                <c:pt idx="4">
                  <c:v>556</c:v>
                </c:pt>
                <c:pt idx="5">
                  <c:v>585</c:v>
                </c:pt>
                <c:pt idx="6">
                  <c:v>496</c:v>
                </c:pt>
                <c:pt idx="7">
                  <c:v>511</c:v>
                </c:pt>
                <c:pt idx="8">
                  <c:v>601</c:v>
                </c:pt>
                <c:pt idx="9">
                  <c:v>602</c:v>
                </c:pt>
                <c:pt idx="10">
                  <c:v>705</c:v>
                </c:pt>
                <c:pt idx="11">
                  <c:v>619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'23.07 Busega-Masanafu'!$AF$9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Busega-Masanafu'!$R$10:$R$21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Busega-Masanafu'!$AF$10:$AF$21</c:f>
              <c:numCache>
                <c:formatCode>0</c:formatCode>
                <c:ptCount val="12"/>
                <c:pt idx="0">
                  <c:v>1091</c:v>
                </c:pt>
                <c:pt idx="1">
                  <c:v>1210</c:v>
                </c:pt>
                <c:pt idx="2">
                  <c:v>1080</c:v>
                </c:pt>
                <c:pt idx="3">
                  <c:v>1165</c:v>
                </c:pt>
                <c:pt idx="4">
                  <c:v>1010</c:v>
                </c:pt>
                <c:pt idx="5">
                  <c:v>1012</c:v>
                </c:pt>
                <c:pt idx="6">
                  <c:v>939</c:v>
                </c:pt>
                <c:pt idx="7">
                  <c:v>867</c:v>
                </c:pt>
                <c:pt idx="8">
                  <c:v>886</c:v>
                </c:pt>
                <c:pt idx="9">
                  <c:v>912</c:v>
                </c:pt>
                <c:pt idx="10">
                  <c:v>1090</c:v>
                </c:pt>
                <c:pt idx="11">
                  <c:v>1005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326400"/>
        <c:axId val="98349056"/>
      </c:lineChart>
      <c:catAx>
        <c:axId val="983264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349056"/>
        <c:crosses val="autoZero"/>
        <c:auto val="1"/>
        <c:lblAlgn val="ctr"/>
        <c:lblOffset val="100"/>
        <c:noMultiLvlLbl val="0"/>
      </c:catAx>
      <c:valAx>
        <c:axId val="983490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32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Busega-Masanafu'!$C$9:$N$9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Busega-Masanafu'!$C$59:$N$59</c:f>
              <c:numCache>
                <c:formatCode>0.0%</c:formatCode>
                <c:ptCount val="12"/>
                <c:pt idx="0">
                  <c:v>0.23485774843074916</c:v>
                </c:pt>
                <c:pt idx="1">
                  <c:v>5.5188717697888641E-2</c:v>
                </c:pt>
                <c:pt idx="2">
                  <c:v>3.7335941958098966E-2</c:v>
                </c:pt>
                <c:pt idx="3">
                  <c:v>0.10165484633569739</c:v>
                </c:pt>
                <c:pt idx="4">
                  <c:v>7.1737181054862638E-3</c:v>
                </c:pt>
                <c:pt idx="5">
                  <c:v>2.4455857177794081E-3</c:v>
                </c:pt>
                <c:pt idx="6">
                  <c:v>4.7444362924920519E-2</c:v>
                </c:pt>
                <c:pt idx="7">
                  <c:v>4.0759761962990138E-2</c:v>
                </c:pt>
                <c:pt idx="8">
                  <c:v>1.8831010026901442E-2</c:v>
                </c:pt>
                <c:pt idx="9">
                  <c:v>2.2173310507866632E-2</c:v>
                </c:pt>
                <c:pt idx="10">
                  <c:v>0.43213499633162145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26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Busega-Masanafu'!$S$9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Busega-Masanafu'!$R$10:$R$21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Busega-Masanafu'!$S$10:$S$21</c:f>
              <c:numCache>
                <c:formatCode>0</c:formatCode>
                <c:ptCount val="12"/>
                <c:pt idx="0">
                  <c:v>264</c:v>
                </c:pt>
                <c:pt idx="1">
                  <c:v>271</c:v>
                </c:pt>
                <c:pt idx="2">
                  <c:v>276</c:v>
                </c:pt>
                <c:pt idx="3">
                  <c:v>241</c:v>
                </c:pt>
                <c:pt idx="4">
                  <c:v>236</c:v>
                </c:pt>
                <c:pt idx="5">
                  <c:v>207</c:v>
                </c:pt>
                <c:pt idx="6">
                  <c:v>209</c:v>
                </c:pt>
                <c:pt idx="7">
                  <c:v>190</c:v>
                </c:pt>
                <c:pt idx="8">
                  <c:v>220</c:v>
                </c:pt>
                <c:pt idx="9">
                  <c:v>218</c:v>
                </c:pt>
                <c:pt idx="10">
                  <c:v>292</c:v>
                </c:pt>
                <c:pt idx="11">
                  <c:v>257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'23.07 Busega-Masanafu'!$T$9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Busega-Masanafu'!$R$10:$R$21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Busega-Masanafu'!$T$10:$T$21</c:f>
              <c:numCache>
                <c:formatCode>0</c:formatCode>
                <c:ptCount val="12"/>
                <c:pt idx="0">
                  <c:v>43</c:v>
                </c:pt>
                <c:pt idx="1">
                  <c:v>52</c:v>
                </c:pt>
                <c:pt idx="2">
                  <c:v>53</c:v>
                </c:pt>
                <c:pt idx="3">
                  <c:v>73</c:v>
                </c:pt>
                <c:pt idx="4">
                  <c:v>40</c:v>
                </c:pt>
                <c:pt idx="5">
                  <c:v>47</c:v>
                </c:pt>
                <c:pt idx="6">
                  <c:v>46</c:v>
                </c:pt>
                <c:pt idx="7">
                  <c:v>61</c:v>
                </c:pt>
                <c:pt idx="8">
                  <c:v>93</c:v>
                </c:pt>
                <c:pt idx="9">
                  <c:v>51</c:v>
                </c:pt>
                <c:pt idx="10">
                  <c:v>67</c:v>
                </c:pt>
                <c:pt idx="11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'23.07 Busega-Masanafu'!$U$9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Busega-Masanafu'!$U$10:$U$21</c:f>
              <c:numCache>
                <c:formatCode>0</c:formatCode>
                <c:ptCount val="12"/>
                <c:pt idx="0">
                  <c:v>28</c:v>
                </c:pt>
                <c:pt idx="1">
                  <c:v>44</c:v>
                </c:pt>
                <c:pt idx="2">
                  <c:v>34</c:v>
                </c:pt>
                <c:pt idx="3">
                  <c:v>29</c:v>
                </c:pt>
                <c:pt idx="4">
                  <c:v>37</c:v>
                </c:pt>
                <c:pt idx="5">
                  <c:v>38</c:v>
                </c:pt>
                <c:pt idx="6">
                  <c:v>29</c:v>
                </c:pt>
                <c:pt idx="7">
                  <c:v>35</c:v>
                </c:pt>
                <c:pt idx="8">
                  <c:v>45</c:v>
                </c:pt>
                <c:pt idx="9">
                  <c:v>36</c:v>
                </c:pt>
                <c:pt idx="10">
                  <c:v>55</c:v>
                </c:pt>
                <c:pt idx="11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'23.07 Busega-Masanafu'!$V$9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Busega-Masanafu'!$V$10:$V$21</c:f>
              <c:numCache>
                <c:formatCode>0</c:formatCode>
                <c:ptCount val="12"/>
                <c:pt idx="0">
                  <c:v>74</c:v>
                </c:pt>
                <c:pt idx="1">
                  <c:v>81</c:v>
                </c:pt>
                <c:pt idx="2">
                  <c:v>95</c:v>
                </c:pt>
                <c:pt idx="3">
                  <c:v>93</c:v>
                </c:pt>
                <c:pt idx="4">
                  <c:v>112</c:v>
                </c:pt>
                <c:pt idx="5">
                  <c:v>142</c:v>
                </c:pt>
                <c:pt idx="6">
                  <c:v>100</c:v>
                </c:pt>
                <c:pt idx="7">
                  <c:v>87</c:v>
                </c:pt>
                <c:pt idx="8">
                  <c:v>87</c:v>
                </c:pt>
                <c:pt idx="9">
                  <c:v>113</c:v>
                </c:pt>
                <c:pt idx="10">
                  <c:v>128</c:v>
                </c:pt>
                <c:pt idx="11">
                  <c:v>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'23.07 Busega-Masanafu'!$W$9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Busega-Masanafu'!$W$10:$W$21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9</c:v>
                </c:pt>
                <c:pt idx="3">
                  <c:v>8</c:v>
                </c:pt>
                <c:pt idx="4">
                  <c:v>2</c:v>
                </c:pt>
                <c:pt idx="5">
                  <c:v>25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6</c:v>
                </c:pt>
                <c:pt idx="10">
                  <c:v>9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'23.07 Busega-Masanafu'!$X$9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Busega-Masanafu'!$X$10:$X$21</c:f>
              <c:numCache>
                <c:formatCode>0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3</c:v>
                </c:pt>
                <c:pt idx="3">
                  <c:v>0</c:v>
                </c:pt>
                <c:pt idx="4">
                  <c:v>2</c:v>
                </c:pt>
                <c:pt idx="5">
                  <c:v>12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'23.07 Busega-Masanafu'!$Y$9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Busega-Masanafu'!$Y$10:$Y$21</c:f>
              <c:numCache>
                <c:formatCode>0</c:formatCode>
                <c:ptCount val="12"/>
                <c:pt idx="0">
                  <c:v>24</c:v>
                </c:pt>
                <c:pt idx="1">
                  <c:v>29</c:v>
                </c:pt>
                <c:pt idx="2">
                  <c:v>27</c:v>
                </c:pt>
                <c:pt idx="3">
                  <c:v>172</c:v>
                </c:pt>
                <c:pt idx="4">
                  <c:v>26</c:v>
                </c:pt>
                <c:pt idx="5">
                  <c:v>43</c:v>
                </c:pt>
                <c:pt idx="6">
                  <c:v>33</c:v>
                </c:pt>
                <c:pt idx="7">
                  <c:v>49</c:v>
                </c:pt>
                <c:pt idx="8">
                  <c:v>52</c:v>
                </c:pt>
                <c:pt idx="9">
                  <c:v>33</c:v>
                </c:pt>
                <c:pt idx="10">
                  <c:v>48</c:v>
                </c:pt>
                <c:pt idx="11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'23.07 Busega-Masanafu'!$Z$9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Busega-Masanafu'!$Z$10:$Z$21</c:f>
              <c:numCache>
                <c:formatCode>0</c:formatCode>
                <c:ptCount val="12"/>
                <c:pt idx="0">
                  <c:v>48</c:v>
                </c:pt>
                <c:pt idx="1">
                  <c:v>34</c:v>
                </c:pt>
                <c:pt idx="2">
                  <c:v>32</c:v>
                </c:pt>
                <c:pt idx="3">
                  <c:v>33</c:v>
                </c:pt>
                <c:pt idx="4">
                  <c:v>51</c:v>
                </c:pt>
                <c:pt idx="5">
                  <c:v>34</c:v>
                </c:pt>
                <c:pt idx="6">
                  <c:v>43</c:v>
                </c:pt>
                <c:pt idx="7">
                  <c:v>43</c:v>
                </c:pt>
                <c:pt idx="8">
                  <c:v>52</c:v>
                </c:pt>
                <c:pt idx="9">
                  <c:v>54</c:v>
                </c:pt>
                <c:pt idx="10">
                  <c:v>39</c:v>
                </c:pt>
                <c:pt idx="1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'23.07 Busega-Masanafu'!$AA$9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Busega-Masanafu'!$AA$10:$AA$21</c:f>
              <c:numCache>
                <c:formatCode>0</c:formatCode>
                <c:ptCount val="12"/>
                <c:pt idx="0">
                  <c:v>16</c:v>
                </c:pt>
                <c:pt idx="1">
                  <c:v>11</c:v>
                </c:pt>
                <c:pt idx="2">
                  <c:v>13</c:v>
                </c:pt>
                <c:pt idx="3">
                  <c:v>25</c:v>
                </c:pt>
                <c:pt idx="4">
                  <c:v>28</c:v>
                </c:pt>
                <c:pt idx="5">
                  <c:v>16</c:v>
                </c:pt>
                <c:pt idx="6">
                  <c:v>16</c:v>
                </c:pt>
                <c:pt idx="7">
                  <c:v>18</c:v>
                </c:pt>
                <c:pt idx="8">
                  <c:v>21</c:v>
                </c:pt>
                <c:pt idx="9">
                  <c:v>18</c:v>
                </c:pt>
                <c:pt idx="10">
                  <c:v>38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'23.07 Busega-Masanafu'!$AB$9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Busega-Masanafu'!$AB$10:$AB$21</c:f>
              <c:numCache>
                <c:formatCode>0</c:formatCode>
                <c:ptCount val="12"/>
                <c:pt idx="0">
                  <c:v>12</c:v>
                </c:pt>
                <c:pt idx="1">
                  <c:v>6</c:v>
                </c:pt>
                <c:pt idx="2">
                  <c:v>6</c:v>
                </c:pt>
                <c:pt idx="3">
                  <c:v>18</c:v>
                </c:pt>
                <c:pt idx="4">
                  <c:v>22</c:v>
                </c:pt>
                <c:pt idx="5">
                  <c:v>21</c:v>
                </c:pt>
                <c:pt idx="6">
                  <c:v>18</c:v>
                </c:pt>
                <c:pt idx="7">
                  <c:v>23</c:v>
                </c:pt>
                <c:pt idx="8">
                  <c:v>30</c:v>
                </c:pt>
                <c:pt idx="9">
                  <c:v>71</c:v>
                </c:pt>
                <c:pt idx="10">
                  <c:v>25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'23.07 Busega-Masanafu'!$AC$9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Busega-Masanafu'!$AC$10:$AC$21</c:f>
              <c:numCache>
                <c:formatCode>0</c:formatCode>
                <c:ptCount val="12"/>
                <c:pt idx="0">
                  <c:v>578</c:v>
                </c:pt>
                <c:pt idx="1">
                  <c:v>672</c:v>
                </c:pt>
                <c:pt idx="2">
                  <c:v>532</c:v>
                </c:pt>
                <c:pt idx="3">
                  <c:v>473</c:v>
                </c:pt>
                <c:pt idx="4">
                  <c:v>454</c:v>
                </c:pt>
                <c:pt idx="5">
                  <c:v>427</c:v>
                </c:pt>
                <c:pt idx="6">
                  <c:v>443</c:v>
                </c:pt>
                <c:pt idx="7">
                  <c:v>356</c:v>
                </c:pt>
                <c:pt idx="8">
                  <c:v>285</c:v>
                </c:pt>
                <c:pt idx="9">
                  <c:v>310</c:v>
                </c:pt>
                <c:pt idx="10">
                  <c:v>385</c:v>
                </c:pt>
                <c:pt idx="11">
                  <c:v>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'23.07 Busega-Masanafu'!$AD$9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Busega-Masanafu'!$AD$10:$AD$21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680192"/>
        <c:axId val="98686080"/>
      </c:lineChart>
      <c:catAx>
        <c:axId val="98680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686080"/>
        <c:crosses val="autoZero"/>
        <c:auto val="1"/>
        <c:lblAlgn val="ctr"/>
        <c:lblOffset val="100"/>
        <c:noMultiLvlLbl val="0"/>
      </c:catAx>
      <c:valAx>
        <c:axId val="9868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68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Busega-Masanafu'!$C$9:$N$9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Busega-Masanafu'!$C$60:$N$60</c:f>
              <c:numCache>
                <c:formatCode>0.00%</c:formatCode>
                <c:ptCount val="12"/>
                <c:pt idx="0">
                  <c:v>0.41358024691358025</c:v>
                </c:pt>
                <c:pt idx="1">
                  <c:v>9.7186333620442142E-2</c:v>
                </c:pt>
                <c:pt idx="2">
                  <c:v>6.574791846109676E-2</c:v>
                </c:pt>
                <c:pt idx="3">
                  <c:v>0.17901234567901234</c:v>
                </c:pt>
                <c:pt idx="4">
                  <c:v>1.2632787826586276E-2</c:v>
                </c:pt>
                <c:pt idx="5">
                  <c:v>4.3066322136089581E-3</c:v>
                </c:pt>
                <c:pt idx="6">
                  <c:v>8.3548664944013779E-2</c:v>
                </c:pt>
                <c:pt idx="7">
                  <c:v>7.17772035601493E-2</c:v>
                </c:pt>
                <c:pt idx="8">
                  <c:v>3.3161068044788973E-2</c:v>
                </c:pt>
                <c:pt idx="9">
                  <c:v>3.9046798736721219E-2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Masanafu-Busega'!$AE$9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Masanafu-Busega'!$R$10:$R$21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Masanafu-Busega'!$AE$10:$AE$21</c:f>
              <c:numCache>
                <c:formatCode>0</c:formatCode>
                <c:ptCount val="12"/>
                <c:pt idx="0">
                  <c:v>566</c:v>
                </c:pt>
                <c:pt idx="1">
                  <c:v>595</c:v>
                </c:pt>
                <c:pt idx="2">
                  <c:v>581</c:v>
                </c:pt>
                <c:pt idx="3">
                  <c:v>621</c:v>
                </c:pt>
                <c:pt idx="4">
                  <c:v>694</c:v>
                </c:pt>
                <c:pt idx="5">
                  <c:v>646</c:v>
                </c:pt>
                <c:pt idx="6">
                  <c:v>725</c:v>
                </c:pt>
                <c:pt idx="7">
                  <c:v>620</c:v>
                </c:pt>
                <c:pt idx="8">
                  <c:v>630</c:v>
                </c:pt>
                <c:pt idx="9">
                  <c:v>749</c:v>
                </c:pt>
                <c:pt idx="10">
                  <c:v>861</c:v>
                </c:pt>
                <c:pt idx="11">
                  <c:v>828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'23.07 Masanafu-Busega'!$AF$9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Masanafu-Busega'!$R$10:$R$21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Masanafu-Busega'!$AF$10:$AF$21</c:f>
              <c:numCache>
                <c:formatCode>0</c:formatCode>
                <c:ptCount val="12"/>
                <c:pt idx="0">
                  <c:v>973</c:v>
                </c:pt>
                <c:pt idx="1">
                  <c:v>1071</c:v>
                </c:pt>
                <c:pt idx="2">
                  <c:v>1098</c:v>
                </c:pt>
                <c:pt idx="3">
                  <c:v>1079</c:v>
                </c:pt>
                <c:pt idx="4">
                  <c:v>1152</c:v>
                </c:pt>
                <c:pt idx="5">
                  <c:v>1017</c:v>
                </c:pt>
                <c:pt idx="6">
                  <c:v>1121</c:v>
                </c:pt>
                <c:pt idx="7">
                  <c:v>942</c:v>
                </c:pt>
                <c:pt idx="8">
                  <c:v>925</c:v>
                </c:pt>
                <c:pt idx="9">
                  <c:v>1024</c:v>
                </c:pt>
                <c:pt idx="10">
                  <c:v>1185</c:v>
                </c:pt>
                <c:pt idx="11">
                  <c:v>1287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833920"/>
        <c:axId val="98835840"/>
      </c:lineChart>
      <c:catAx>
        <c:axId val="988339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835840"/>
        <c:crosses val="autoZero"/>
        <c:auto val="1"/>
        <c:lblAlgn val="ctr"/>
        <c:lblOffset val="100"/>
        <c:noMultiLvlLbl val="0"/>
      </c:catAx>
      <c:valAx>
        <c:axId val="988358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833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Masanafu-Busega'!$C$9:$N$9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Masanafu-Busega'!$C$59:$N$59</c:f>
              <c:numCache>
                <c:formatCode>0.0%</c:formatCode>
                <c:ptCount val="12"/>
                <c:pt idx="0">
                  <c:v>0.29555693646108433</c:v>
                </c:pt>
                <c:pt idx="1">
                  <c:v>3.4410439645797729E-2</c:v>
                </c:pt>
                <c:pt idx="2">
                  <c:v>3.8993319869504425E-2</c:v>
                </c:pt>
                <c:pt idx="3">
                  <c:v>0.13391331365542955</c:v>
                </c:pt>
                <c:pt idx="4">
                  <c:v>6.6024545595774432E-3</c:v>
                </c:pt>
                <c:pt idx="5">
                  <c:v>2.0972502718657761E-3</c:v>
                </c:pt>
                <c:pt idx="6">
                  <c:v>5.8412303868261614E-2</c:v>
                </c:pt>
                <c:pt idx="7">
                  <c:v>2.8196364766195432E-2</c:v>
                </c:pt>
                <c:pt idx="8">
                  <c:v>1.3437936927139972E-2</c:v>
                </c:pt>
                <c:pt idx="9">
                  <c:v>1.8797576510796957E-2</c:v>
                </c:pt>
                <c:pt idx="10">
                  <c:v>0.36958210346434672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26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Masanafu-Busega'!$S$9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Masanafu-Busega'!$R$10:$R$21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Masanafu-Busega'!$S$10:$S$21</c:f>
              <c:numCache>
                <c:formatCode>0</c:formatCode>
                <c:ptCount val="12"/>
                <c:pt idx="0">
                  <c:v>283</c:v>
                </c:pt>
                <c:pt idx="1">
                  <c:v>275</c:v>
                </c:pt>
                <c:pt idx="2">
                  <c:v>252</c:v>
                </c:pt>
                <c:pt idx="3">
                  <c:v>249</c:v>
                </c:pt>
                <c:pt idx="4">
                  <c:v>311</c:v>
                </c:pt>
                <c:pt idx="5">
                  <c:v>279</c:v>
                </c:pt>
                <c:pt idx="6">
                  <c:v>319</c:v>
                </c:pt>
                <c:pt idx="7">
                  <c:v>275</c:v>
                </c:pt>
                <c:pt idx="8">
                  <c:v>264</c:v>
                </c:pt>
                <c:pt idx="9">
                  <c:v>362</c:v>
                </c:pt>
                <c:pt idx="10">
                  <c:v>475</c:v>
                </c:pt>
                <c:pt idx="11">
                  <c:v>461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'23.07 Masanafu-Busega'!$T$9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Masanafu-Busega'!$R$10:$R$21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Masanafu-Busega'!$T$10:$T$21</c:f>
              <c:numCache>
                <c:formatCode>0</c:formatCode>
                <c:ptCount val="12"/>
                <c:pt idx="0">
                  <c:v>35</c:v>
                </c:pt>
                <c:pt idx="1">
                  <c:v>32</c:v>
                </c:pt>
                <c:pt idx="2">
                  <c:v>21</c:v>
                </c:pt>
                <c:pt idx="3">
                  <c:v>44</c:v>
                </c:pt>
                <c:pt idx="4">
                  <c:v>45</c:v>
                </c:pt>
                <c:pt idx="5">
                  <c:v>36</c:v>
                </c:pt>
                <c:pt idx="6">
                  <c:v>38</c:v>
                </c:pt>
                <c:pt idx="7">
                  <c:v>26</c:v>
                </c:pt>
                <c:pt idx="8">
                  <c:v>43</c:v>
                </c:pt>
                <c:pt idx="9">
                  <c:v>44</c:v>
                </c:pt>
                <c:pt idx="10">
                  <c:v>47</c:v>
                </c:pt>
                <c:pt idx="11">
                  <c:v>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'23.07 Masanafu-Busega'!$U$9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Masanafu-Busega'!$U$10:$U$21</c:f>
              <c:numCache>
                <c:formatCode>0</c:formatCode>
                <c:ptCount val="12"/>
                <c:pt idx="0">
                  <c:v>41</c:v>
                </c:pt>
                <c:pt idx="1">
                  <c:v>43</c:v>
                </c:pt>
                <c:pt idx="2">
                  <c:v>37</c:v>
                </c:pt>
                <c:pt idx="3">
                  <c:v>32</c:v>
                </c:pt>
                <c:pt idx="4">
                  <c:v>37</c:v>
                </c:pt>
                <c:pt idx="5">
                  <c:v>40</c:v>
                </c:pt>
                <c:pt idx="6">
                  <c:v>47</c:v>
                </c:pt>
                <c:pt idx="7">
                  <c:v>48</c:v>
                </c:pt>
                <c:pt idx="8">
                  <c:v>35</c:v>
                </c:pt>
                <c:pt idx="9">
                  <c:v>54</c:v>
                </c:pt>
                <c:pt idx="10">
                  <c:v>44</c:v>
                </c:pt>
                <c:pt idx="11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'23.07 Masanafu-Busega'!$V$9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Masanafu-Busega'!$V$10:$V$21</c:f>
              <c:numCache>
                <c:formatCode>0</c:formatCode>
                <c:ptCount val="12"/>
                <c:pt idx="0">
                  <c:v>123</c:v>
                </c:pt>
                <c:pt idx="1">
                  <c:v>158</c:v>
                </c:pt>
                <c:pt idx="2">
                  <c:v>155</c:v>
                </c:pt>
                <c:pt idx="3">
                  <c:v>163</c:v>
                </c:pt>
                <c:pt idx="4">
                  <c:v>143</c:v>
                </c:pt>
                <c:pt idx="5">
                  <c:v>139</c:v>
                </c:pt>
                <c:pt idx="6">
                  <c:v>161</c:v>
                </c:pt>
                <c:pt idx="7">
                  <c:v>123</c:v>
                </c:pt>
                <c:pt idx="8">
                  <c:v>123</c:v>
                </c:pt>
                <c:pt idx="9">
                  <c:v>122</c:v>
                </c:pt>
                <c:pt idx="10">
                  <c:v>164</c:v>
                </c:pt>
                <c:pt idx="11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'23.07 Masanafu-Busega'!$W$9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Masanafu-Busega'!$W$10:$W$21</c:f>
              <c:numCache>
                <c:formatCode>0</c:formatCode>
                <c:ptCount val="12"/>
                <c:pt idx="0">
                  <c:v>11</c:v>
                </c:pt>
                <c:pt idx="1">
                  <c:v>3</c:v>
                </c:pt>
                <c:pt idx="2">
                  <c:v>6</c:v>
                </c:pt>
                <c:pt idx="3">
                  <c:v>8</c:v>
                </c:pt>
                <c:pt idx="4">
                  <c:v>13</c:v>
                </c:pt>
                <c:pt idx="5">
                  <c:v>7</c:v>
                </c:pt>
                <c:pt idx="6">
                  <c:v>8</c:v>
                </c:pt>
                <c:pt idx="7">
                  <c:v>3</c:v>
                </c:pt>
                <c:pt idx="8">
                  <c:v>4</c:v>
                </c:pt>
                <c:pt idx="9">
                  <c:v>8</c:v>
                </c:pt>
                <c:pt idx="10">
                  <c:v>6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'23.07 Masanafu-Busega'!$X$9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Masanafu-Busega'!$X$10:$X$21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  <c:pt idx="7">
                  <c:v>3</c:v>
                </c:pt>
                <c:pt idx="8">
                  <c:v>6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'23.07 Masanafu-Busega'!$Y$9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Masanafu-Busega'!$Y$10:$Y$21</c:f>
              <c:numCache>
                <c:formatCode>0</c:formatCode>
                <c:ptCount val="12"/>
                <c:pt idx="0">
                  <c:v>38</c:v>
                </c:pt>
                <c:pt idx="1">
                  <c:v>41</c:v>
                </c:pt>
                <c:pt idx="2">
                  <c:v>69</c:v>
                </c:pt>
                <c:pt idx="3">
                  <c:v>63</c:v>
                </c:pt>
                <c:pt idx="4">
                  <c:v>82</c:v>
                </c:pt>
                <c:pt idx="5">
                  <c:v>71</c:v>
                </c:pt>
                <c:pt idx="6">
                  <c:v>55</c:v>
                </c:pt>
                <c:pt idx="7">
                  <c:v>69</c:v>
                </c:pt>
                <c:pt idx="8">
                  <c:v>67</c:v>
                </c:pt>
                <c:pt idx="9">
                  <c:v>82</c:v>
                </c:pt>
                <c:pt idx="10">
                  <c:v>58</c:v>
                </c:pt>
                <c:pt idx="11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'23.07 Masanafu-Busega'!$Z$9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Masanafu-Busega'!$Z$10:$Z$21</c:f>
              <c:numCache>
                <c:formatCode>0</c:formatCode>
                <c:ptCount val="12"/>
                <c:pt idx="0">
                  <c:v>18</c:v>
                </c:pt>
                <c:pt idx="1">
                  <c:v>12</c:v>
                </c:pt>
                <c:pt idx="2">
                  <c:v>20</c:v>
                </c:pt>
                <c:pt idx="3">
                  <c:v>32</c:v>
                </c:pt>
                <c:pt idx="4">
                  <c:v>23</c:v>
                </c:pt>
                <c:pt idx="5">
                  <c:v>31</c:v>
                </c:pt>
                <c:pt idx="6">
                  <c:v>51</c:v>
                </c:pt>
                <c:pt idx="7">
                  <c:v>27</c:v>
                </c:pt>
                <c:pt idx="8">
                  <c:v>38</c:v>
                </c:pt>
                <c:pt idx="9">
                  <c:v>36</c:v>
                </c:pt>
                <c:pt idx="10">
                  <c:v>35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'23.07 Masanafu-Busega'!$AA$9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Masanafu-Busega'!$AA$10:$AA$21</c:f>
              <c:numCache>
                <c:formatCode>0</c:formatCode>
                <c:ptCount val="12"/>
                <c:pt idx="0">
                  <c:v>4</c:v>
                </c:pt>
                <c:pt idx="1">
                  <c:v>11</c:v>
                </c:pt>
                <c:pt idx="2">
                  <c:v>6</c:v>
                </c:pt>
                <c:pt idx="3">
                  <c:v>8</c:v>
                </c:pt>
                <c:pt idx="4">
                  <c:v>17</c:v>
                </c:pt>
                <c:pt idx="5">
                  <c:v>18</c:v>
                </c:pt>
                <c:pt idx="6">
                  <c:v>20</c:v>
                </c:pt>
                <c:pt idx="7">
                  <c:v>19</c:v>
                </c:pt>
                <c:pt idx="8">
                  <c:v>24</c:v>
                </c:pt>
                <c:pt idx="9">
                  <c:v>21</c:v>
                </c:pt>
                <c:pt idx="10">
                  <c:v>11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'23.07 Masanafu-Busega'!$AB$9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Masanafu-Busega'!$AB$10:$AB$21</c:f>
              <c:numCache>
                <c:formatCode>0</c:formatCode>
                <c:ptCount val="12"/>
                <c:pt idx="0">
                  <c:v>12</c:v>
                </c:pt>
                <c:pt idx="1">
                  <c:v>19</c:v>
                </c:pt>
                <c:pt idx="2">
                  <c:v>13</c:v>
                </c:pt>
                <c:pt idx="3">
                  <c:v>19</c:v>
                </c:pt>
                <c:pt idx="4">
                  <c:v>20</c:v>
                </c:pt>
                <c:pt idx="5">
                  <c:v>24</c:v>
                </c:pt>
                <c:pt idx="6">
                  <c:v>26</c:v>
                </c:pt>
                <c:pt idx="7">
                  <c:v>27</c:v>
                </c:pt>
                <c:pt idx="8">
                  <c:v>26</c:v>
                </c:pt>
                <c:pt idx="9">
                  <c:v>19</c:v>
                </c:pt>
                <c:pt idx="10">
                  <c:v>18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'23.07 Masanafu-Busega'!$AC$9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Masanafu-Busega'!$AC$10:$AC$21</c:f>
              <c:numCache>
                <c:formatCode>0</c:formatCode>
                <c:ptCount val="12"/>
                <c:pt idx="0">
                  <c:v>407</c:v>
                </c:pt>
                <c:pt idx="1">
                  <c:v>476</c:v>
                </c:pt>
                <c:pt idx="2">
                  <c:v>517</c:v>
                </c:pt>
                <c:pt idx="3">
                  <c:v>458</c:v>
                </c:pt>
                <c:pt idx="4">
                  <c:v>458</c:v>
                </c:pt>
                <c:pt idx="5">
                  <c:v>371</c:v>
                </c:pt>
                <c:pt idx="6">
                  <c:v>396</c:v>
                </c:pt>
                <c:pt idx="7">
                  <c:v>322</c:v>
                </c:pt>
                <c:pt idx="8">
                  <c:v>295</c:v>
                </c:pt>
                <c:pt idx="9">
                  <c:v>275</c:v>
                </c:pt>
                <c:pt idx="10">
                  <c:v>324</c:v>
                </c:pt>
                <c:pt idx="11">
                  <c:v>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'23.07 Masanafu-Busega'!$AD$9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Masanafu-Busega'!$AD$10:$AD$21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982912"/>
        <c:axId val="99001088"/>
      </c:lineChart>
      <c:catAx>
        <c:axId val="9898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9001088"/>
        <c:crosses val="autoZero"/>
        <c:auto val="1"/>
        <c:lblAlgn val="ctr"/>
        <c:lblOffset val="100"/>
        <c:noMultiLvlLbl val="0"/>
      </c:catAx>
      <c:valAx>
        <c:axId val="99001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982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Masanafu-Busega'!$C$9:$N$9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Masanafu-Busega'!$C$60:$N$60</c:f>
              <c:numCache>
                <c:formatCode>0.00%</c:formatCode>
                <c:ptCount val="12"/>
                <c:pt idx="0">
                  <c:v>0.4688270083785116</c:v>
                </c:pt>
                <c:pt idx="1">
                  <c:v>5.4583538689009364E-2</c:v>
                </c:pt>
                <c:pt idx="2">
                  <c:v>6.1853129620502711E-2</c:v>
                </c:pt>
                <c:pt idx="3">
                  <c:v>0.21241991128634796</c:v>
                </c:pt>
                <c:pt idx="4">
                  <c:v>1.0473139477575159E-2</c:v>
                </c:pt>
                <c:pt idx="5">
                  <c:v>3.326761951700345E-3</c:v>
                </c:pt>
                <c:pt idx="6">
                  <c:v>9.2656481025135531E-2</c:v>
                </c:pt>
                <c:pt idx="7">
                  <c:v>4.4726466239526863E-2</c:v>
                </c:pt>
                <c:pt idx="8">
                  <c:v>2.1315919172005916E-2</c:v>
                </c:pt>
                <c:pt idx="9">
                  <c:v>2.9817644159684575E-2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Busega-Masanafu'!$AE$9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Busega-Masanafu'!$R$10:$R$21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Busega-Masanafu'!$AE$10:$AE$21</c:f>
              <c:numCache>
                <c:formatCode>0</c:formatCode>
                <c:ptCount val="12"/>
                <c:pt idx="0">
                  <c:v>516</c:v>
                </c:pt>
                <c:pt idx="1">
                  <c:v>525</c:v>
                </c:pt>
                <c:pt idx="2">
                  <c:v>535</c:v>
                </c:pt>
                <c:pt idx="3">
                  <c:v>548</c:v>
                </c:pt>
                <c:pt idx="4">
                  <c:v>560</c:v>
                </c:pt>
                <c:pt idx="5">
                  <c:v>503</c:v>
                </c:pt>
                <c:pt idx="6">
                  <c:v>577</c:v>
                </c:pt>
                <c:pt idx="7">
                  <c:v>577</c:v>
                </c:pt>
                <c:pt idx="8">
                  <c:v>652</c:v>
                </c:pt>
                <c:pt idx="9">
                  <c:v>657</c:v>
                </c:pt>
                <c:pt idx="10">
                  <c:v>640</c:v>
                </c:pt>
                <c:pt idx="11">
                  <c:v>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'24.07 Busega-Masanafu'!$AF$9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Busega-Masanafu'!$R$10:$R$21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Busega-Masanafu'!$AF$10:$AF$21</c:f>
              <c:numCache>
                <c:formatCode>0</c:formatCode>
                <c:ptCount val="12"/>
                <c:pt idx="0">
                  <c:v>1131</c:v>
                </c:pt>
                <c:pt idx="1">
                  <c:v>1157</c:v>
                </c:pt>
                <c:pt idx="2">
                  <c:v>1079</c:v>
                </c:pt>
                <c:pt idx="3">
                  <c:v>1045</c:v>
                </c:pt>
                <c:pt idx="4">
                  <c:v>1053</c:v>
                </c:pt>
                <c:pt idx="5">
                  <c:v>1050</c:v>
                </c:pt>
                <c:pt idx="6">
                  <c:v>924</c:v>
                </c:pt>
                <c:pt idx="7">
                  <c:v>974</c:v>
                </c:pt>
                <c:pt idx="8">
                  <c:v>1030</c:v>
                </c:pt>
                <c:pt idx="9">
                  <c:v>1080</c:v>
                </c:pt>
                <c:pt idx="10">
                  <c:v>1047</c:v>
                </c:pt>
                <c:pt idx="11">
                  <c:v>1200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361920"/>
        <c:axId val="99363840"/>
      </c:lineChart>
      <c:catAx>
        <c:axId val="993619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9363840"/>
        <c:crosses val="autoZero"/>
        <c:auto val="1"/>
        <c:lblAlgn val="ctr"/>
        <c:lblOffset val="100"/>
        <c:noMultiLvlLbl val="0"/>
      </c:catAx>
      <c:valAx>
        <c:axId val="993638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936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Busega-Masanafu'!$C$9:$N$9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Busega-Masanafu'!$C$59:$N$59</c:f>
              <c:numCache>
                <c:formatCode>0.0%</c:formatCode>
                <c:ptCount val="12"/>
                <c:pt idx="0">
                  <c:v>0.23335943617854346</c:v>
                </c:pt>
                <c:pt idx="1">
                  <c:v>5.1840250587314014E-2</c:v>
                </c:pt>
                <c:pt idx="2">
                  <c:v>3.9310884886452624E-2</c:v>
                </c:pt>
                <c:pt idx="3">
                  <c:v>9.8747063429913864E-2</c:v>
                </c:pt>
                <c:pt idx="4">
                  <c:v>5.5599060297572434E-3</c:v>
                </c:pt>
                <c:pt idx="5">
                  <c:v>1.8010963194988255E-3</c:v>
                </c:pt>
                <c:pt idx="6">
                  <c:v>3.8684416601409553E-2</c:v>
                </c:pt>
                <c:pt idx="7">
                  <c:v>4.0485512920908379E-2</c:v>
                </c:pt>
                <c:pt idx="8">
                  <c:v>1.5974941268598278E-2</c:v>
                </c:pt>
                <c:pt idx="9">
                  <c:v>1.8402505873140171E-2</c:v>
                </c:pt>
                <c:pt idx="10">
                  <c:v>0.45567736883320281</c:v>
                </c:pt>
                <c:pt idx="11">
                  <c:v>1.5661707126076742E-4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26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Busega-Masanafu'!$S$9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'24.07 Busega-Masanafu'!$R$10:$R$21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Busega-Masanafu'!$S$10:$S$21</c:f>
              <c:numCache>
                <c:formatCode>0</c:formatCode>
                <c:ptCount val="12"/>
                <c:pt idx="0">
                  <c:v>276</c:v>
                </c:pt>
                <c:pt idx="1">
                  <c:v>265</c:v>
                </c:pt>
                <c:pt idx="2">
                  <c:v>244</c:v>
                </c:pt>
                <c:pt idx="3">
                  <c:v>227</c:v>
                </c:pt>
                <c:pt idx="4">
                  <c:v>229</c:v>
                </c:pt>
                <c:pt idx="5">
                  <c:v>188</c:v>
                </c:pt>
                <c:pt idx="6">
                  <c:v>209</c:v>
                </c:pt>
                <c:pt idx="7">
                  <c:v>241</c:v>
                </c:pt>
                <c:pt idx="8">
                  <c:v>261</c:v>
                </c:pt>
                <c:pt idx="9">
                  <c:v>278</c:v>
                </c:pt>
                <c:pt idx="10">
                  <c:v>268</c:v>
                </c:pt>
                <c:pt idx="11">
                  <c:v>294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'24.07 Busega-Masanafu'!$T$9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'24.07 Busega-Masanafu'!$R$10:$R$21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Busega-Masanafu'!$T$10:$T$21</c:f>
              <c:numCache>
                <c:formatCode>0</c:formatCode>
                <c:ptCount val="12"/>
                <c:pt idx="0">
                  <c:v>28</c:v>
                </c:pt>
                <c:pt idx="1">
                  <c:v>44</c:v>
                </c:pt>
                <c:pt idx="2">
                  <c:v>54</c:v>
                </c:pt>
                <c:pt idx="3">
                  <c:v>51</c:v>
                </c:pt>
                <c:pt idx="4">
                  <c:v>48</c:v>
                </c:pt>
                <c:pt idx="5">
                  <c:v>45</c:v>
                </c:pt>
                <c:pt idx="6">
                  <c:v>68</c:v>
                </c:pt>
                <c:pt idx="7">
                  <c:v>58</c:v>
                </c:pt>
                <c:pt idx="8">
                  <c:v>68</c:v>
                </c:pt>
                <c:pt idx="9">
                  <c:v>68</c:v>
                </c:pt>
                <c:pt idx="10">
                  <c:v>62</c:v>
                </c:pt>
                <c:pt idx="11">
                  <c:v>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'24.07 Busega-Masanafu'!$U$9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'24.07 Busega-Masanafu'!$U$10:$U$21</c:f>
              <c:numCache>
                <c:formatCode>0</c:formatCode>
                <c:ptCount val="12"/>
                <c:pt idx="0">
                  <c:v>22</c:v>
                </c:pt>
                <c:pt idx="1">
                  <c:v>28</c:v>
                </c:pt>
                <c:pt idx="2">
                  <c:v>36</c:v>
                </c:pt>
                <c:pt idx="3">
                  <c:v>46</c:v>
                </c:pt>
                <c:pt idx="4">
                  <c:v>42</c:v>
                </c:pt>
                <c:pt idx="5">
                  <c:v>37</c:v>
                </c:pt>
                <c:pt idx="6">
                  <c:v>37</c:v>
                </c:pt>
                <c:pt idx="7">
                  <c:v>51</c:v>
                </c:pt>
                <c:pt idx="8">
                  <c:v>53</c:v>
                </c:pt>
                <c:pt idx="9">
                  <c:v>44</c:v>
                </c:pt>
                <c:pt idx="10">
                  <c:v>51</c:v>
                </c:pt>
                <c:pt idx="11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'24.07 Busega-Masanafu'!$V$9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'24.07 Busega-Masanafu'!$V$10:$V$21</c:f>
              <c:numCache>
                <c:formatCode>0</c:formatCode>
                <c:ptCount val="12"/>
                <c:pt idx="0">
                  <c:v>76</c:v>
                </c:pt>
                <c:pt idx="1">
                  <c:v>79</c:v>
                </c:pt>
                <c:pt idx="2">
                  <c:v>94</c:v>
                </c:pt>
                <c:pt idx="3">
                  <c:v>105</c:v>
                </c:pt>
                <c:pt idx="4">
                  <c:v>119</c:v>
                </c:pt>
                <c:pt idx="5">
                  <c:v>117</c:v>
                </c:pt>
                <c:pt idx="6">
                  <c:v>121</c:v>
                </c:pt>
                <c:pt idx="7">
                  <c:v>100</c:v>
                </c:pt>
                <c:pt idx="8">
                  <c:v>107</c:v>
                </c:pt>
                <c:pt idx="9">
                  <c:v>115</c:v>
                </c:pt>
                <c:pt idx="10">
                  <c:v>111</c:v>
                </c:pt>
                <c:pt idx="11">
                  <c:v>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'24.07 Busega-Masanafu'!$W$9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'24.07 Busega-Masanafu'!$W$10:$W$21</c:f>
              <c:numCache>
                <c:formatCode>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8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1</c:v>
                </c:pt>
                <c:pt idx="8">
                  <c:v>12</c:v>
                </c:pt>
                <c:pt idx="9">
                  <c:v>5</c:v>
                </c:pt>
                <c:pt idx="10">
                  <c:v>18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'24.07 Busega-Masanafu'!$X$9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'24.07 Busega-Masanafu'!$X$10:$X$21</c:f>
              <c:numCache>
                <c:formatCode>0</c:formatCode>
                <c:ptCount val="12"/>
                <c:pt idx="0">
                  <c:v>0</c:v>
                </c:pt>
                <c:pt idx="1">
                  <c:v>7</c:v>
                </c:pt>
                <c:pt idx="2">
                  <c:v>3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'24.07 Busega-Masanafu'!$Y$9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Busega-Masanafu'!$Y$10:$Y$21</c:f>
              <c:numCache>
                <c:formatCode>0</c:formatCode>
                <c:ptCount val="12"/>
                <c:pt idx="0">
                  <c:v>37</c:v>
                </c:pt>
                <c:pt idx="1">
                  <c:v>28</c:v>
                </c:pt>
                <c:pt idx="2">
                  <c:v>38</c:v>
                </c:pt>
                <c:pt idx="3">
                  <c:v>40</c:v>
                </c:pt>
                <c:pt idx="4">
                  <c:v>40</c:v>
                </c:pt>
                <c:pt idx="5">
                  <c:v>48</c:v>
                </c:pt>
                <c:pt idx="6">
                  <c:v>42</c:v>
                </c:pt>
                <c:pt idx="7">
                  <c:v>44</c:v>
                </c:pt>
                <c:pt idx="8">
                  <c:v>57</c:v>
                </c:pt>
                <c:pt idx="9">
                  <c:v>51</c:v>
                </c:pt>
                <c:pt idx="10">
                  <c:v>46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'24.07 Busega-Masanafu'!$Z$9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Busega-Masanafu'!$Z$10:$Z$21</c:f>
              <c:numCache>
                <c:formatCode>0</c:formatCode>
                <c:ptCount val="12"/>
                <c:pt idx="0">
                  <c:v>44</c:v>
                </c:pt>
                <c:pt idx="1">
                  <c:v>47</c:v>
                </c:pt>
                <c:pt idx="2">
                  <c:v>27</c:v>
                </c:pt>
                <c:pt idx="3">
                  <c:v>35</c:v>
                </c:pt>
                <c:pt idx="4">
                  <c:v>43</c:v>
                </c:pt>
                <c:pt idx="5">
                  <c:v>45</c:v>
                </c:pt>
                <c:pt idx="6">
                  <c:v>47</c:v>
                </c:pt>
                <c:pt idx="7">
                  <c:v>45</c:v>
                </c:pt>
                <c:pt idx="8">
                  <c:v>50</c:v>
                </c:pt>
                <c:pt idx="9">
                  <c:v>40</c:v>
                </c:pt>
                <c:pt idx="10">
                  <c:v>41</c:v>
                </c:pt>
                <c:pt idx="11">
                  <c:v>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'24.07 Busega-Masanafu'!$AA$9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Busega-Masanafu'!$AA$10:$AA$21</c:f>
              <c:numCache>
                <c:formatCode>0</c:formatCode>
                <c:ptCount val="12"/>
                <c:pt idx="0">
                  <c:v>13</c:v>
                </c:pt>
                <c:pt idx="1">
                  <c:v>14</c:v>
                </c:pt>
                <c:pt idx="2">
                  <c:v>18</c:v>
                </c:pt>
                <c:pt idx="3">
                  <c:v>21</c:v>
                </c:pt>
                <c:pt idx="4">
                  <c:v>19</c:v>
                </c:pt>
                <c:pt idx="5">
                  <c:v>8</c:v>
                </c:pt>
                <c:pt idx="6">
                  <c:v>25</c:v>
                </c:pt>
                <c:pt idx="7">
                  <c:v>15</c:v>
                </c:pt>
                <c:pt idx="8">
                  <c:v>21</c:v>
                </c:pt>
                <c:pt idx="9">
                  <c:v>22</c:v>
                </c:pt>
                <c:pt idx="10">
                  <c:v>15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'24.07 Busega-Masanafu'!$AB$9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Busega-Masanafu'!$AB$10:$AB$21</c:f>
              <c:numCache>
                <c:formatCode>0</c:formatCode>
                <c:ptCount val="12"/>
                <c:pt idx="0">
                  <c:v>15</c:v>
                </c:pt>
                <c:pt idx="1">
                  <c:v>12</c:v>
                </c:pt>
                <c:pt idx="2">
                  <c:v>13</c:v>
                </c:pt>
                <c:pt idx="3">
                  <c:v>21</c:v>
                </c:pt>
                <c:pt idx="4">
                  <c:v>17</c:v>
                </c:pt>
                <c:pt idx="5">
                  <c:v>12</c:v>
                </c:pt>
                <c:pt idx="6">
                  <c:v>24</c:v>
                </c:pt>
                <c:pt idx="7">
                  <c:v>22</c:v>
                </c:pt>
                <c:pt idx="8">
                  <c:v>19</c:v>
                </c:pt>
                <c:pt idx="9">
                  <c:v>31</c:v>
                </c:pt>
                <c:pt idx="10">
                  <c:v>23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'24.07 Busega-Masanafu'!$AC$9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Busega-Masanafu'!$AC$10:$AC$21</c:f>
              <c:numCache>
                <c:formatCode>0</c:formatCode>
                <c:ptCount val="12"/>
                <c:pt idx="0">
                  <c:v>615</c:v>
                </c:pt>
                <c:pt idx="1">
                  <c:v>632</c:v>
                </c:pt>
                <c:pt idx="2">
                  <c:v>544</c:v>
                </c:pt>
                <c:pt idx="3">
                  <c:v>497</c:v>
                </c:pt>
                <c:pt idx="4">
                  <c:v>493</c:v>
                </c:pt>
                <c:pt idx="5">
                  <c:v>547</c:v>
                </c:pt>
                <c:pt idx="6">
                  <c:v>347</c:v>
                </c:pt>
                <c:pt idx="7">
                  <c:v>397</c:v>
                </c:pt>
                <c:pt idx="8">
                  <c:v>378</c:v>
                </c:pt>
                <c:pt idx="9">
                  <c:v>423</c:v>
                </c:pt>
                <c:pt idx="10">
                  <c:v>407</c:v>
                </c:pt>
                <c:pt idx="11">
                  <c:v>539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'24.07 Busega-Masanafu'!$AD$9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Busega-Masanafu'!$AD$10:$AD$21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097216"/>
        <c:axId val="99103104"/>
      </c:lineChart>
      <c:catAx>
        <c:axId val="99097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9103104"/>
        <c:crosses val="autoZero"/>
        <c:auto val="1"/>
        <c:lblAlgn val="ctr"/>
        <c:lblOffset val="100"/>
        <c:noMultiLvlLbl val="0"/>
      </c:catAx>
      <c:valAx>
        <c:axId val="9910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909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Busega-Masanafu'!$C$9:$N$9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Busega-Masanafu'!$C$60:$N$60</c:f>
              <c:numCache>
                <c:formatCode>0.00%</c:formatCode>
                <c:ptCount val="12"/>
                <c:pt idx="0">
                  <c:v>0.42871529276363113</c:v>
                </c:pt>
                <c:pt idx="1">
                  <c:v>9.5238095238095233E-2</c:v>
                </c:pt>
                <c:pt idx="2">
                  <c:v>7.2219824485685508E-2</c:v>
                </c:pt>
                <c:pt idx="3">
                  <c:v>0.18141274636742916</c:v>
                </c:pt>
                <c:pt idx="4">
                  <c:v>1.0214357646381816E-2</c:v>
                </c:pt>
                <c:pt idx="5">
                  <c:v>3.308876420658898E-3</c:v>
                </c:pt>
                <c:pt idx="6">
                  <c:v>7.1068910948065028E-2</c:v>
                </c:pt>
                <c:pt idx="7">
                  <c:v>7.4377787368723927E-2</c:v>
                </c:pt>
                <c:pt idx="8">
                  <c:v>2.93482952093224E-2</c:v>
                </c:pt>
                <c:pt idx="9">
                  <c:v>3.3808085167601781E-2</c:v>
                </c:pt>
                <c:pt idx="11">
                  <c:v>2.8772838440512156E-4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Masanafu-Busega'!$AE$9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Masanafu-Busega'!$R$10:$R$21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Masanafu-Busega'!$AE$10:$AE$21</c:f>
              <c:numCache>
                <c:formatCode>0</c:formatCode>
                <c:ptCount val="12"/>
                <c:pt idx="0">
                  <c:v>537</c:v>
                </c:pt>
                <c:pt idx="1">
                  <c:v>600</c:v>
                </c:pt>
                <c:pt idx="2">
                  <c:v>635</c:v>
                </c:pt>
                <c:pt idx="3">
                  <c:v>651</c:v>
                </c:pt>
                <c:pt idx="4">
                  <c:v>698</c:v>
                </c:pt>
                <c:pt idx="5">
                  <c:v>714</c:v>
                </c:pt>
                <c:pt idx="6">
                  <c:v>642</c:v>
                </c:pt>
                <c:pt idx="7">
                  <c:v>643</c:v>
                </c:pt>
                <c:pt idx="8">
                  <c:v>639</c:v>
                </c:pt>
                <c:pt idx="9">
                  <c:v>802</c:v>
                </c:pt>
                <c:pt idx="10">
                  <c:v>803</c:v>
                </c:pt>
                <c:pt idx="11">
                  <c:v>874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'24.07 Masanafu-Busega'!$AF$9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Masanafu-Busega'!$R$10:$R$21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Masanafu-Busega'!$AF$10:$AF$21</c:f>
              <c:numCache>
                <c:formatCode>0</c:formatCode>
                <c:ptCount val="12"/>
                <c:pt idx="0">
                  <c:v>948</c:v>
                </c:pt>
                <c:pt idx="1">
                  <c:v>1091</c:v>
                </c:pt>
                <c:pt idx="2">
                  <c:v>1107</c:v>
                </c:pt>
                <c:pt idx="3">
                  <c:v>1085</c:v>
                </c:pt>
                <c:pt idx="4">
                  <c:v>1078</c:v>
                </c:pt>
                <c:pt idx="5">
                  <c:v>1101</c:v>
                </c:pt>
                <c:pt idx="6">
                  <c:v>960</c:v>
                </c:pt>
                <c:pt idx="7">
                  <c:v>997</c:v>
                </c:pt>
                <c:pt idx="8">
                  <c:v>1021</c:v>
                </c:pt>
                <c:pt idx="9">
                  <c:v>1223</c:v>
                </c:pt>
                <c:pt idx="10">
                  <c:v>1279</c:v>
                </c:pt>
                <c:pt idx="11">
                  <c:v>1399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730176"/>
        <c:axId val="99732096"/>
      </c:lineChart>
      <c:catAx>
        <c:axId val="997301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9732096"/>
        <c:crosses val="autoZero"/>
        <c:auto val="1"/>
        <c:lblAlgn val="ctr"/>
        <c:lblOffset val="100"/>
        <c:noMultiLvlLbl val="0"/>
      </c:catAx>
      <c:valAx>
        <c:axId val="99732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973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Masanafu-Busega'!$C$9:$N$9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Masanafu-Busega'!$C$59:$N$59</c:f>
              <c:numCache>
                <c:formatCode>0.0%</c:formatCode>
                <c:ptCount val="12"/>
                <c:pt idx="0">
                  <c:v>0.28662803822710514</c:v>
                </c:pt>
                <c:pt idx="1">
                  <c:v>3.4840845812325986E-2</c:v>
                </c:pt>
                <c:pt idx="2">
                  <c:v>3.8302355331477161E-2</c:v>
                </c:pt>
                <c:pt idx="3">
                  <c:v>0.1297313567612311</c:v>
                </c:pt>
                <c:pt idx="4">
                  <c:v>7.8260215215591837E-3</c:v>
                </c:pt>
                <c:pt idx="5">
                  <c:v>1.881255173451727E-3</c:v>
                </c:pt>
                <c:pt idx="6">
                  <c:v>5.6738656031304083E-2</c:v>
                </c:pt>
                <c:pt idx="7">
                  <c:v>2.9422830912785011E-2</c:v>
                </c:pt>
                <c:pt idx="8">
                  <c:v>1.4598540145985401E-2</c:v>
                </c:pt>
                <c:pt idx="9">
                  <c:v>1.9941304838588306E-2</c:v>
                </c:pt>
                <c:pt idx="10">
                  <c:v>0.38008879524418693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Masanafu-Busega'!$C$9:$N$9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Masanafu-Busega'!$C$60:$N$60</c:f>
              <c:numCache>
                <c:formatCode>0.00%</c:formatCode>
                <c:ptCount val="12"/>
                <c:pt idx="0">
                  <c:v>0.46236950716193248</c:v>
                </c:pt>
                <c:pt idx="1">
                  <c:v>5.6202961883952414E-2</c:v>
                </c:pt>
                <c:pt idx="2">
                  <c:v>6.1786841466375336E-2</c:v>
                </c:pt>
                <c:pt idx="3">
                  <c:v>0.20927409565428501</c:v>
                </c:pt>
                <c:pt idx="4">
                  <c:v>1.2624423403738771E-2</c:v>
                </c:pt>
                <c:pt idx="5">
                  <c:v>3.0347171643602816E-3</c:v>
                </c:pt>
                <c:pt idx="6">
                  <c:v>9.1527069677106096E-2</c:v>
                </c:pt>
                <c:pt idx="7">
                  <c:v>4.7462976450594802E-2</c:v>
                </c:pt>
                <c:pt idx="8">
                  <c:v>2.3549405195435785E-2</c:v>
                </c:pt>
                <c:pt idx="9">
                  <c:v>3.2168001942218985E-2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Busega-Masanafu'!$AE$9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Busega-Masanafu'!$R$10:$R$21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Busega-Masanafu'!$AE$10:$AE$21</c:f>
              <c:numCache>
                <c:formatCode>0</c:formatCode>
                <c:ptCount val="12"/>
                <c:pt idx="0">
                  <c:v>492</c:v>
                </c:pt>
                <c:pt idx="1">
                  <c:v>552</c:v>
                </c:pt>
                <c:pt idx="2">
                  <c:v>507</c:v>
                </c:pt>
                <c:pt idx="3">
                  <c:v>529</c:v>
                </c:pt>
                <c:pt idx="4">
                  <c:v>549</c:v>
                </c:pt>
                <c:pt idx="5">
                  <c:v>563</c:v>
                </c:pt>
                <c:pt idx="6">
                  <c:v>566</c:v>
                </c:pt>
                <c:pt idx="7">
                  <c:v>1227</c:v>
                </c:pt>
                <c:pt idx="8">
                  <c:v>636</c:v>
                </c:pt>
                <c:pt idx="9">
                  <c:v>713</c:v>
                </c:pt>
                <c:pt idx="10">
                  <c:v>697</c:v>
                </c:pt>
                <c:pt idx="11">
                  <c:v>709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'25.07 Busega-Masanafu'!$AF$9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Busega-Masanafu'!$R$10:$R$21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Busega-Masanafu'!$AF$10:$AF$21</c:f>
              <c:numCache>
                <c:formatCode>0</c:formatCode>
                <c:ptCount val="12"/>
                <c:pt idx="0">
                  <c:v>1180</c:v>
                </c:pt>
                <c:pt idx="1">
                  <c:v>1253</c:v>
                </c:pt>
                <c:pt idx="2">
                  <c:v>1132</c:v>
                </c:pt>
                <c:pt idx="3">
                  <c:v>1059</c:v>
                </c:pt>
                <c:pt idx="4">
                  <c:v>1074</c:v>
                </c:pt>
                <c:pt idx="5">
                  <c:v>1072</c:v>
                </c:pt>
                <c:pt idx="6">
                  <c:v>1031</c:v>
                </c:pt>
                <c:pt idx="7">
                  <c:v>1638</c:v>
                </c:pt>
                <c:pt idx="8">
                  <c:v>1034</c:v>
                </c:pt>
                <c:pt idx="9">
                  <c:v>1115</c:v>
                </c:pt>
                <c:pt idx="10">
                  <c:v>1120</c:v>
                </c:pt>
                <c:pt idx="11">
                  <c:v>1230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981184"/>
        <c:axId val="99991552"/>
      </c:lineChart>
      <c:catAx>
        <c:axId val="999811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9991552"/>
        <c:crosses val="autoZero"/>
        <c:auto val="1"/>
        <c:lblAlgn val="ctr"/>
        <c:lblOffset val="100"/>
        <c:noMultiLvlLbl val="0"/>
      </c:catAx>
      <c:valAx>
        <c:axId val="999915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998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Busega-Masanafu'!$C$9:$N$9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Busega-Masanafu'!$C$59:$N$59</c:f>
              <c:numCache>
                <c:formatCode>0.0%</c:formatCode>
                <c:ptCount val="12"/>
                <c:pt idx="0">
                  <c:v>0.28074329172047641</c:v>
                </c:pt>
                <c:pt idx="1">
                  <c:v>4.5200172191132156E-2</c:v>
                </c:pt>
                <c:pt idx="2">
                  <c:v>3.2070598364184244E-2</c:v>
                </c:pt>
                <c:pt idx="3">
                  <c:v>9.0328598077199021E-2</c:v>
                </c:pt>
                <c:pt idx="4">
                  <c:v>6.5289137609413116E-3</c:v>
                </c:pt>
                <c:pt idx="5">
                  <c:v>1.4349261013057828E-3</c:v>
                </c:pt>
                <c:pt idx="6">
                  <c:v>3.2716315109771847E-2</c:v>
                </c:pt>
                <c:pt idx="7">
                  <c:v>3.3577270770555313E-2</c:v>
                </c:pt>
                <c:pt idx="8">
                  <c:v>1.2340364471229732E-2</c:v>
                </c:pt>
                <c:pt idx="9">
                  <c:v>2.0375950638542115E-2</c:v>
                </c:pt>
                <c:pt idx="10">
                  <c:v>0.44468359879466207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26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Busega-Masanafu'!$S$9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Busega-Masanafu'!$R$10:$R$21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Busega-Masanafu'!$S$10:$S$21</c:f>
              <c:numCache>
                <c:formatCode>0</c:formatCode>
                <c:ptCount val="12"/>
                <c:pt idx="0">
                  <c:v>277</c:v>
                </c:pt>
                <c:pt idx="1">
                  <c:v>274</c:v>
                </c:pt>
                <c:pt idx="2">
                  <c:v>239</c:v>
                </c:pt>
                <c:pt idx="3">
                  <c:v>216</c:v>
                </c:pt>
                <c:pt idx="4">
                  <c:v>248</c:v>
                </c:pt>
                <c:pt idx="5">
                  <c:v>255</c:v>
                </c:pt>
                <c:pt idx="6">
                  <c:v>219</c:v>
                </c:pt>
                <c:pt idx="7">
                  <c:v>925</c:v>
                </c:pt>
                <c:pt idx="8">
                  <c:v>308</c:v>
                </c:pt>
                <c:pt idx="9">
                  <c:v>324</c:v>
                </c:pt>
                <c:pt idx="10">
                  <c:v>307</c:v>
                </c:pt>
                <c:pt idx="11">
                  <c:v>321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'25.07 Busega-Masanafu'!$T$9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Busega-Masanafu'!$R$10:$R$21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Busega-Masanafu'!$T$10:$T$21</c:f>
              <c:numCache>
                <c:formatCode>0</c:formatCode>
                <c:ptCount val="12"/>
                <c:pt idx="0">
                  <c:v>25</c:v>
                </c:pt>
                <c:pt idx="1">
                  <c:v>38</c:v>
                </c:pt>
                <c:pt idx="2">
                  <c:v>53</c:v>
                </c:pt>
                <c:pt idx="3">
                  <c:v>49</c:v>
                </c:pt>
                <c:pt idx="4">
                  <c:v>55</c:v>
                </c:pt>
                <c:pt idx="5">
                  <c:v>47</c:v>
                </c:pt>
                <c:pt idx="6">
                  <c:v>46</c:v>
                </c:pt>
                <c:pt idx="7">
                  <c:v>44</c:v>
                </c:pt>
                <c:pt idx="8">
                  <c:v>71</c:v>
                </c:pt>
                <c:pt idx="9">
                  <c:v>71</c:v>
                </c:pt>
                <c:pt idx="10">
                  <c:v>59</c:v>
                </c:pt>
                <c:pt idx="11">
                  <c:v>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'25.07 Busega-Masanafu'!$U$9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Busega-Masanafu'!$U$10:$U$21</c:f>
              <c:numCache>
                <c:formatCode>0</c:formatCode>
                <c:ptCount val="12"/>
                <c:pt idx="0">
                  <c:v>29</c:v>
                </c:pt>
                <c:pt idx="1">
                  <c:v>35</c:v>
                </c:pt>
                <c:pt idx="2">
                  <c:v>31</c:v>
                </c:pt>
                <c:pt idx="3">
                  <c:v>32</c:v>
                </c:pt>
                <c:pt idx="4">
                  <c:v>32</c:v>
                </c:pt>
                <c:pt idx="5">
                  <c:v>38</c:v>
                </c:pt>
                <c:pt idx="6">
                  <c:v>32</c:v>
                </c:pt>
                <c:pt idx="7">
                  <c:v>29</c:v>
                </c:pt>
                <c:pt idx="8">
                  <c:v>45</c:v>
                </c:pt>
                <c:pt idx="9">
                  <c:v>41</c:v>
                </c:pt>
                <c:pt idx="10">
                  <c:v>63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'25.07 Busega-Masanafu'!$V$9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Busega-Masanafu'!$V$10:$V$21</c:f>
              <c:numCache>
                <c:formatCode>0</c:formatCode>
                <c:ptCount val="12"/>
                <c:pt idx="0">
                  <c:v>69</c:v>
                </c:pt>
                <c:pt idx="1">
                  <c:v>75</c:v>
                </c:pt>
                <c:pt idx="2">
                  <c:v>80</c:v>
                </c:pt>
                <c:pt idx="3">
                  <c:v>125</c:v>
                </c:pt>
                <c:pt idx="4">
                  <c:v>120</c:v>
                </c:pt>
                <c:pt idx="5">
                  <c:v>113</c:v>
                </c:pt>
                <c:pt idx="6">
                  <c:v>108</c:v>
                </c:pt>
                <c:pt idx="7">
                  <c:v>98</c:v>
                </c:pt>
                <c:pt idx="8">
                  <c:v>105</c:v>
                </c:pt>
                <c:pt idx="9">
                  <c:v>102</c:v>
                </c:pt>
                <c:pt idx="10">
                  <c:v>124</c:v>
                </c:pt>
                <c:pt idx="11">
                  <c:v>140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'25.07 Busega-Masanafu'!$W$9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Busega-Masanafu'!$W$10:$W$21</c:f>
              <c:numCache>
                <c:formatCode>0</c:formatCode>
                <c:ptCount val="12"/>
                <c:pt idx="0">
                  <c:v>4</c:v>
                </c:pt>
                <c:pt idx="1">
                  <c:v>8</c:v>
                </c:pt>
                <c:pt idx="2">
                  <c:v>7</c:v>
                </c:pt>
                <c:pt idx="3">
                  <c:v>7</c:v>
                </c:pt>
                <c:pt idx="4">
                  <c:v>2</c:v>
                </c:pt>
                <c:pt idx="5">
                  <c:v>1</c:v>
                </c:pt>
                <c:pt idx="6">
                  <c:v>3</c:v>
                </c:pt>
                <c:pt idx="7">
                  <c:v>4</c:v>
                </c:pt>
                <c:pt idx="8">
                  <c:v>1</c:v>
                </c:pt>
                <c:pt idx="9">
                  <c:v>15</c:v>
                </c:pt>
                <c:pt idx="10">
                  <c:v>19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'25.07 Busega-Masanafu'!$X$9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Busega-Masanafu'!$X$10:$X$21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'25.07 Busega-Masanafu'!$Y$9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Busega-Masanafu'!$Y$10:$Y$21</c:f>
              <c:numCache>
                <c:formatCode>0</c:formatCode>
                <c:ptCount val="12"/>
                <c:pt idx="0">
                  <c:v>33</c:v>
                </c:pt>
                <c:pt idx="1">
                  <c:v>40</c:v>
                </c:pt>
                <c:pt idx="2">
                  <c:v>22</c:v>
                </c:pt>
                <c:pt idx="3">
                  <c:v>35</c:v>
                </c:pt>
                <c:pt idx="4">
                  <c:v>25</c:v>
                </c:pt>
                <c:pt idx="5">
                  <c:v>35</c:v>
                </c:pt>
                <c:pt idx="6">
                  <c:v>54</c:v>
                </c:pt>
                <c:pt idx="7">
                  <c:v>45</c:v>
                </c:pt>
                <c:pt idx="8">
                  <c:v>39</c:v>
                </c:pt>
                <c:pt idx="9">
                  <c:v>57</c:v>
                </c:pt>
                <c:pt idx="10">
                  <c:v>32</c:v>
                </c:pt>
                <c:pt idx="1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'25.07 Busega-Masanafu'!$Z$9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Busega-Masanafu'!$Z$10:$Z$21</c:f>
              <c:numCache>
                <c:formatCode>0</c:formatCode>
                <c:ptCount val="12"/>
                <c:pt idx="0">
                  <c:v>32</c:v>
                </c:pt>
                <c:pt idx="1">
                  <c:v>48</c:v>
                </c:pt>
                <c:pt idx="2">
                  <c:v>40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54</c:v>
                </c:pt>
                <c:pt idx="7">
                  <c:v>41</c:v>
                </c:pt>
                <c:pt idx="8">
                  <c:v>29</c:v>
                </c:pt>
                <c:pt idx="9">
                  <c:v>46</c:v>
                </c:pt>
                <c:pt idx="10">
                  <c:v>31</c:v>
                </c:pt>
                <c:pt idx="1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'25.07 Busega-Masanafu'!$AA$9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Busega-Masanafu'!$AA$10:$AA$21</c:f>
              <c:numCache>
                <c:formatCode>0</c:formatCode>
                <c:ptCount val="12"/>
                <c:pt idx="0">
                  <c:v>7</c:v>
                </c:pt>
                <c:pt idx="1">
                  <c:v>15</c:v>
                </c:pt>
                <c:pt idx="2">
                  <c:v>20</c:v>
                </c:pt>
                <c:pt idx="3">
                  <c:v>19</c:v>
                </c:pt>
                <c:pt idx="4">
                  <c:v>8</c:v>
                </c:pt>
                <c:pt idx="5">
                  <c:v>13</c:v>
                </c:pt>
                <c:pt idx="6">
                  <c:v>14</c:v>
                </c:pt>
                <c:pt idx="7">
                  <c:v>14</c:v>
                </c:pt>
                <c:pt idx="8">
                  <c:v>15</c:v>
                </c:pt>
                <c:pt idx="9">
                  <c:v>19</c:v>
                </c:pt>
                <c:pt idx="10">
                  <c:v>16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'25.07 Busega-Masanafu'!$AB$9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Busega-Masanafu'!$AB$10:$AB$21</c:f>
              <c:numCache>
                <c:formatCode>0</c:formatCode>
                <c:ptCount val="12"/>
                <c:pt idx="0">
                  <c:v>14</c:v>
                </c:pt>
                <c:pt idx="1">
                  <c:v>15</c:v>
                </c:pt>
                <c:pt idx="2">
                  <c:v>13</c:v>
                </c:pt>
                <c:pt idx="3">
                  <c:v>10</c:v>
                </c:pt>
                <c:pt idx="4">
                  <c:v>23</c:v>
                </c:pt>
                <c:pt idx="5">
                  <c:v>24</c:v>
                </c:pt>
                <c:pt idx="6">
                  <c:v>36</c:v>
                </c:pt>
                <c:pt idx="7">
                  <c:v>26</c:v>
                </c:pt>
                <c:pt idx="8">
                  <c:v>23</c:v>
                </c:pt>
                <c:pt idx="9">
                  <c:v>37</c:v>
                </c:pt>
                <c:pt idx="10">
                  <c:v>44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'25.07 Busega-Masanafu'!$AC$9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Busega-Masanafu'!$AC$10:$AC$21</c:f>
              <c:numCache>
                <c:formatCode>0</c:formatCode>
                <c:ptCount val="12"/>
                <c:pt idx="0">
                  <c:v>688</c:v>
                </c:pt>
                <c:pt idx="1">
                  <c:v>701</c:v>
                </c:pt>
                <c:pt idx="2">
                  <c:v>625</c:v>
                </c:pt>
                <c:pt idx="3">
                  <c:v>530</c:v>
                </c:pt>
                <c:pt idx="4">
                  <c:v>525</c:v>
                </c:pt>
                <c:pt idx="5">
                  <c:v>509</c:v>
                </c:pt>
                <c:pt idx="6">
                  <c:v>465</c:v>
                </c:pt>
                <c:pt idx="7">
                  <c:v>411</c:v>
                </c:pt>
                <c:pt idx="8">
                  <c:v>398</c:v>
                </c:pt>
                <c:pt idx="9">
                  <c:v>402</c:v>
                </c:pt>
                <c:pt idx="10">
                  <c:v>423</c:v>
                </c:pt>
                <c:pt idx="11">
                  <c:v>521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'25.07 Busega-Masanafu'!$AD$9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Busega-Masanafu'!$AD$10:$AD$21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544064"/>
        <c:axId val="121558144"/>
      </c:lineChart>
      <c:catAx>
        <c:axId val="121544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1558144"/>
        <c:crosses val="autoZero"/>
        <c:auto val="1"/>
        <c:lblAlgn val="ctr"/>
        <c:lblOffset val="100"/>
        <c:noMultiLvlLbl val="0"/>
      </c:catAx>
      <c:valAx>
        <c:axId val="12155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1544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Busega-Masanafu'!$C$9:$N$9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Busega-Masanafu'!$C$60:$N$60</c:f>
              <c:numCache>
                <c:formatCode>0.00%</c:formatCode>
                <c:ptCount val="12"/>
                <c:pt idx="0">
                  <c:v>0.50555555555555554</c:v>
                </c:pt>
                <c:pt idx="1">
                  <c:v>8.1395348837209308E-2</c:v>
                </c:pt>
                <c:pt idx="2">
                  <c:v>5.7751937984496127E-2</c:v>
                </c:pt>
                <c:pt idx="3">
                  <c:v>0.16266149870801033</c:v>
                </c:pt>
                <c:pt idx="4">
                  <c:v>1.1757105943152454E-2</c:v>
                </c:pt>
                <c:pt idx="5">
                  <c:v>2.5839793281653748E-3</c:v>
                </c:pt>
                <c:pt idx="6">
                  <c:v>5.8914728682170542E-2</c:v>
                </c:pt>
                <c:pt idx="7">
                  <c:v>6.0465116279069767E-2</c:v>
                </c:pt>
                <c:pt idx="8">
                  <c:v>2.2222222222222223E-2</c:v>
                </c:pt>
                <c:pt idx="9">
                  <c:v>3.6692506459948322E-2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Masanafu-Busega'!$AE$9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Masanafu-Busega'!$R$10:$R$21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Masanafu-Busega'!$AE$10:$AE$21</c:f>
              <c:numCache>
                <c:formatCode>0</c:formatCode>
                <c:ptCount val="12"/>
                <c:pt idx="0">
                  <c:v>532</c:v>
                </c:pt>
                <c:pt idx="1">
                  <c:v>610</c:v>
                </c:pt>
                <c:pt idx="2">
                  <c:v>595</c:v>
                </c:pt>
                <c:pt idx="3">
                  <c:v>552</c:v>
                </c:pt>
                <c:pt idx="4">
                  <c:v>756</c:v>
                </c:pt>
                <c:pt idx="5">
                  <c:v>792</c:v>
                </c:pt>
                <c:pt idx="6">
                  <c:v>604</c:v>
                </c:pt>
                <c:pt idx="7">
                  <c:v>593</c:v>
                </c:pt>
                <c:pt idx="8">
                  <c:v>645</c:v>
                </c:pt>
                <c:pt idx="9">
                  <c:v>755</c:v>
                </c:pt>
                <c:pt idx="10">
                  <c:v>828</c:v>
                </c:pt>
                <c:pt idx="11">
                  <c:v>987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'25.07 Masanafu-Busega'!$AF$9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Masanafu-Busega'!$R$10:$R$21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Masanafu-Busega'!$AF$10:$AF$21</c:f>
              <c:numCache>
                <c:formatCode>0</c:formatCode>
                <c:ptCount val="12"/>
                <c:pt idx="0">
                  <c:v>967</c:v>
                </c:pt>
                <c:pt idx="1">
                  <c:v>1009</c:v>
                </c:pt>
                <c:pt idx="2">
                  <c:v>1091</c:v>
                </c:pt>
                <c:pt idx="3">
                  <c:v>1082</c:v>
                </c:pt>
                <c:pt idx="4">
                  <c:v>1312</c:v>
                </c:pt>
                <c:pt idx="5">
                  <c:v>1227</c:v>
                </c:pt>
                <c:pt idx="6">
                  <c:v>968</c:v>
                </c:pt>
                <c:pt idx="7">
                  <c:v>950</c:v>
                </c:pt>
                <c:pt idx="8">
                  <c:v>1025</c:v>
                </c:pt>
                <c:pt idx="9">
                  <c:v>1150</c:v>
                </c:pt>
                <c:pt idx="10">
                  <c:v>1243</c:v>
                </c:pt>
                <c:pt idx="11">
                  <c:v>1590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583488"/>
        <c:axId val="121602048"/>
      </c:lineChart>
      <c:catAx>
        <c:axId val="1215834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1602048"/>
        <c:crosses val="autoZero"/>
        <c:auto val="1"/>
        <c:lblAlgn val="ctr"/>
        <c:lblOffset val="100"/>
        <c:noMultiLvlLbl val="0"/>
      </c:catAx>
      <c:valAx>
        <c:axId val="1216020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1583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Masanafu-Busega'!$C$9:$N$9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Masanafu-Busega'!$C$59:$N$59</c:f>
              <c:numCache>
                <c:formatCode>0.0%</c:formatCode>
                <c:ptCount val="12"/>
                <c:pt idx="0">
                  <c:v>0.28713089466725428</c:v>
                </c:pt>
                <c:pt idx="1">
                  <c:v>3.4743646246510947E-2</c:v>
                </c:pt>
                <c:pt idx="2">
                  <c:v>3.8416336124577642E-2</c:v>
                </c:pt>
                <c:pt idx="3">
                  <c:v>0.12252093433230499</c:v>
                </c:pt>
                <c:pt idx="4">
                  <c:v>8.9613633024827385E-3</c:v>
                </c:pt>
                <c:pt idx="5">
                  <c:v>1.836344939033348E-3</c:v>
                </c:pt>
                <c:pt idx="6">
                  <c:v>5.920376083443514E-2</c:v>
                </c:pt>
                <c:pt idx="7">
                  <c:v>2.2844131041574848E-2</c:v>
                </c:pt>
                <c:pt idx="8">
                  <c:v>1.2193330395181431E-2</c:v>
                </c:pt>
                <c:pt idx="9">
                  <c:v>1.8069634200088145E-2</c:v>
                </c:pt>
                <c:pt idx="10">
                  <c:v>0.39407962391655649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26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Masanafu-Busega'!$S$9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Masanafu-Busega'!$R$10:$R$21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Masanafu-Busega'!$S$10:$S$21</c:f>
              <c:numCache>
                <c:formatCode>0</c:formatCode>
                <c:ptCount val="12"/>
                <c:pt idx="0">
                  <c:v>250</c:v>
                </c:pt>
                <c:pt idx="1">
                  <c:v>287</c:v>
                </c:pt>
                <c:pt idx="2">
                  <c:v>251</c:v>
                </c:pt>
                <c:pt idx="3">
                  <c:v>208</c:v>
                </c:pt>
                <c:pt idx="4">
                  <c:v>363</c:v>
                </c:pt>
                <c:pt idx="5">
                  <c:v>371</c:v>
                </c:pt>
                <c:pt idx="6">
                  <c:v>272</c:v>
                </c:pt>
                <c:pt idx="7">
                  <c:v>242</c:v>
                </c:pt>
                <c:pt idx="8">
                  <c:v>268</c:v>
                </c:pt>
                <c:pt idx="9">
                  <c:v>353</c:v>
                </c:pt>
                <c:pt idx="10">
                  <c:v>441</c:v>
                </c:pt>
                <c:pt idx="11">
                  <c:v>603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'25.07 Masanafu-Busega'!$T$9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Masanafu-Busega'!$R$10:$R$21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Masanafu-Busega'!$T$10:$T$21</c:f>
              <c:numCache>
                <c:formatCode>0</c:formatCode>
                <c:ptCount val="12"/>
                <c:pt idx="0">
                  <c:v>40</c:v>
                </c:pt>
                <c:pt idx="1">
                  <c:v>33</c:v>
                </c:pt>
                <c:pt idx="2">
                  <c:v>33</c:v>
                </c:pt>
                <c:pt idx="3">
                  <c:v>31</c:v>
                </c:pt>
                <c:pt idx="4">
                  <c:v>51</c:v>
                </c:pt>
                <c:pt idx="5">
                  <c:v>42</c:v>
                </c:pt>
                <c:pt idx="6">
                  <c:v>39</c:v>
                </c:pt>
                <c:pt idx="7">
                  <c:v>37</c:v>
                </c:pt>
                <c:pt idx="8">
                  <c:v>43</c:v>
                </c:pt>
                <c:pt idx="9">
                  <c:v>36</c:v>
                </c:pt>
                <c:pt idx="10">
                  <c:v>46</c:v>
                </c:pt>
                <c:pt idx="11">
                  <c:v>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'25.07 Masanafu-Busega'!$U$9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Masanafu-Busega'!$U$10:$U$21</c:f>
              <c:numCache>
                <c:formatCode>0</c:formatCode>
                <c:ptCount val="12"/>
                <c:pt idx="0">
                  <c:v>35</c:v>
                </c:pt>
                <c:pt idx="1">
                  <c:v>47</c:v>
                </c:pt>
                <c:pt idx="2">
                  <c:v>35</c:v>
                </c:pt>
                <c:pt idx="3">
                  <c:v>41</c:v>
                </c:pt>
                <c:pt idx="4">
                  <c:v>40</c:v>
                </c:pt>
                <c:pt idx="5">
                  <c:v>47</c:v>
                </c:pt>
                <c:pt idx="6">
                  <c:v>35</c:v>
                </c:pt>
                <c:pt idx="7">
                  <c:v>34</c:v>
                </c:pt>
                <c:pt idx="8">
                  <c:v>63</c:v>
                </c:pt>
                <c:pt idx="9">
                  <c:v>57</c:v>
                </c:pt>
                <c:pt idx="10">
                  <c:v>49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'25.07 Masanafu-Busega'!$V$9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Masanafu-Busega'!$V$10:$V$21</c:f>
              <c:numCache>
                <c:formatCode>0</c:formatCode>
                <c:ptCount val="12"/>
                <c:pt idx="0">
                  <c:v>128</c:v>
                </c:pt>
                <c:pt idx="1">
                  <c:v>142</c:v>
                </c:pt>
                <c:pt idx="2">
                  <c:v>153</c:v>
                </c:pt>
                <c:pt idx="3">
                  <c:v>134</c:v>
                </c:pt>
                <c:pt idx="4">
                  <c:v>139</c:v>
                </c:pt>
                <c:pt idx="5">
                  <c:v>160</c:v>
                </c:pt>
                <c:pt idx="6">
                  <c:v>126</c:v>
                </c:pt>
                <c:pt idx="7">
                  <c:v>127</c:v>
                </c:pt>
                <c:pt idx="8">
                  <c:v>127</c:v>
                </c:pt>
                <c:pt idx="9">
                  <c:v>133</c:v>
                </c:pt>
                <c:pt idx="10">
                  <c:v>135</c:v>
                </c:pt>
                <c:pt idx="11">
                  <c:v>164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'25.07 Masanafu-Busega'!$W$9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Masanafu-Busega'!$W$10:$W$21</c:f>
              <c:numCache>
                <c:formatCode>0</c:formatCode>
                <c:ptCount val="12"/>
                <c:pt idx="0">
                  <c:v>10</c:v>
                </c:pt>
                <c:pt idx="1">
                  <c:v>7</c:v>
                </c:pt>
                <c:pt idx="2">
                  <c:v>12</c:v>
                </c:pt>
                <c:pt idx="3">
                  <c:v>27</c:v>
                </c:pt>
                <c:pt idx="4">
                  <c:v>22</c:v>
                </c:pt>
                <c:pt idx="5">
                  <c:v>19</c:v>
                </c:pt>
                <c:pt idx="6">
                  <c:v>5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'25.07 Masanafu-Busega'!$X$9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Masanafu-Busega'!$X$10:$X$21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'25.07 Masanafu-Busega'!$Y$9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Masanafu-Busega'!$Y$10:$Y$21</c:f>
              <c:numCache>
                <c:formatCode>0</c:formatCode>
                <c:ptCount val="12"/>
                <c:pt idx="0">
                  <c:v>37</c:v>
                </c:pt>
                <c:pt idx="1">
                  <c:v>36</c:v>
                </c:pt>
                <c:pt idx="2">
                  <c:v>62</c:v>
                </c:pt>
                <c:pt idx="3">
                  <c:v>56</c:v>
                </c:pt>
                <c:pt idx="4">
                  <c:v>73</c:v>
                </c:pt>
                <c:pt idx="5">
                  <c:v>79</c:v>
                </c:pt>
                <c:pt idx="6">
                  <c:v>73</c:v>
                </c:pt>
                <c:pt idx="7">
                  <c:v>90</c:v>
                </c:pt>
                <c:pt idx="8">
                  <c:v>73</c:v>
                </c:pt>
                <c:pt idx="9">
                  <c:v>91</c:v>
                </c:pt>
                <c:pt idx="10">
                  <c:v>79</c:v>
                </c:pt>
                <c:pt idx="11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'25.07 Masanafu-Busega'!$Z$9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Masanafu-Busega'!$Z$10:$Z$21</c:f>
              <c:numCache>
                <c:formatCode>0</c:formatCode>
                <c:ptCount val="12"/>
                <c:pt idx="0">
                  <c:v>14</c:v>
                </c:pt>
                <c:pt idx="1">
                  <c:v>22</c:v>
                </c:pt>
                <c:pt idx="2">
                  <c:v>19</c:v>
                </c:pt>
                <c:pt idx="3">
                  <c:v>26</c:v>
                </c:pt>
                <c:pt idx="4">
                  <c:v>27</c:v>
                </c:pt>
                <c:pt idx="5">
                  <c:v>33</c:v>
                </c:pt>
                <c:pt idx="6">
                  <c:v>23</c:v>
                </c:pt>
                <c:pt idx="7">
                  <c:v>25</c:v>
                </c:pt>
                <c:pt idx="8">
                  <c:v>27</c:v>
                </c:pt>
                <c:pt idx="9">
                  <c:v>34</c:v>
                </c:pt>
                <c:pt idx="10">
                  <c:v>29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'25.07 Masanafu-Busega'!$AA$9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Masanafu-Busega'!$AA$10:$AA$21</c:f>
              <c:numCache>
                <c:formatCode>0</c:formatCode>
                <c:ptCount val="12"/>
                <c:pt idx="0">
                  <c:v>7</c:v>
                </c:pt>
                <c:pt idx="1">
                  <c:v>17</c:v>
                </c:pt>
                <c:pt idx="2">
                  <c:v>13</c:v>
                </c:pt>
                <c:pt idx="3">
                  <c:v>10</c:v>
                </c:pt>
                <c:pt idx="4">
                  <c:v>14</c:v>
                </c:pt>
                <c:pt idx="5">
                  <c:v>18</c:v>
                </c:pt>
                <c:pt idx="6">
                  <c:v>14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17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'25.07 Masanafu-Busega'!$AB$9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Masanafu-Busega'!$AB$10:$AB$21</c:f>
              <c:numCache>
                <c:formatCode>0</c:formatCode>
                <c:ptCount val="12"/>
                <c:pt idx="0">
                  <c:v>11</c:v>
                </c:pt>
                <c:pt idx="1">
                  <c:v>16</c:v>
                </c:pt>
                <c:pt idx="2">
                  <c:v>13</c:v>
                </c:pt>
                <c:pt idx="3">
                  <c:v>15</c:v>
                </c:pt>
                <c:pt idx="4">
                  <c:v>23</c:v>
                </c:pt>
                <c:pt idx="5">
                  <c:v>22</c:v>
                </c:pt>
                <c:pt idx="6">
                  <c:v>15</c:v>
                </c:pt>
                <c:pt idx="7">
                  <c:v>22</c:v>
                </c:pt>
                <c:pt idx="8">
                  <c:v>26</c:v>
                </c:pt>
                <c:pt idx="9">
                  <c:v>35</c:v>
                </c:pt>
                <c:pt idx="10">
                  <c:v>23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'25.07 Masanafu-Busega'!$AC$9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Masanafu-Busega'!$AC$10:$AC$21</c:f>
              <c:numCache>
                <c:formatCode>0</c:formatCode>
                <c:ptCount val="12"/>
                <c:pt idx="0">
                  <c:v>435</c:v>
                </c:pt>
                <c:pt idx="1">
                  <c:v>399</c:v>
                </c:pt>
                <c:pt idx="2">
                  <c:v>496</c:v>
                </c:pt>
                <c:pt idx="3">
                  <c:v>530</c:v>
                </c:pt>
                <c:pt idx="4">
                  <c:v>556</c:v>
                </c:pt>
                <c:pt idx="5">
                  <c:v>435</c:v>
                </c:pt>
                <c:pt idx="6">
                  <c:v>364</c:v>
                </c:pt>
                <c:pt idx="7">
                  <c:v>357</c:v>
                </c:pt>
                <c:pt idx="8">
                  <c:v>380</c:v>
                </c:pt>
                <c:pt idx="9">
                  <c:v>395</c:v>
                </c:pt>
                <c:pt idx="10">
                  <c:v>415</c:v>
                </c:pt>
                <c:pt idx="11">
                  <c:v>603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'25.07 Masanafu-Busega'!$AD$9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Masanafu-Busega'!$AD$10:$AD$21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854976"/>
        <c:axId val="121873152"/>
      </c:lineChart>
      <c:catAx>
        <c:axId val="12185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1873152"/>
        <c:crosses val="autoZero"/>
        <c:auto val="1"/>
        <c:lblAlgn val="ctr"/>
        <c:lblOffset val="100"/>
        <c:noMultiLvlLbl val="0"/>
      </c:catAx>
      <c:valAx>
        <c:axId val="12187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185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Masanafu-Busega'!$C$9:$N$9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Masanafu-Busega'!$C$60:$N$60</c:f>
              <c:numCache>
                <c:formatCode>0.00%</c:formatCode>
                <c:ptCount val="12"/>
                <c:pt idx="0">
                  <c:v>0.47387562128742877</c:v>
                </c:pt>
                <c:pt idx="1">
                  <c:v>5.734028367074797E-2</c:v>
                </c:pt>
                <c:pt idx="2">
                  <c:v>6.3401624439325982E-2</c:v>
                </c:pt>
                <c:pt idx="3">
                  <c:v>0.20220632803976241</c:v>
                </c:pt>
                <c:pt idx="4">
                  <c:v>1.4789671475330344E-2</c:v>
                </c:pt>
                <c:pt idx="5">
                  <c:v>3.0306703842890048E-3</c:v>
                </c:pt>
                <c:pt idx="6">
                  <c:v>9.7708813189477509E-2</c:v>
                </c:pt>
                <c:pt idx="7">
                  <c:v>3.7701539580555221E-2</c:v>
                </c:pt>
                <c:pt idx="8">
                  <c:v>2.0123651351678991E-2</c:v>
                </c:pt>
                <c:pt idx="9">
                  <c:v>2.9821796581403808E-2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Busega-Masanafu-24h'!$AE$9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Busega-Masanafu-24h'!$R$10:$R$33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Busega-Masanafu-24h'!$AE$10:$AE$33</c:f>
              <c:numCache>
                <c:formatCode>0</c:formatCode>
                <c:ptCount val="24"/>
                <c:pt idx="0">
                  <c:v>640</c:v>
                </c:pt>
                <c:pt idx="1">
                  <c:v>501</c:v>
                </c:pt>
                <c:pt idx="2">
                  <c:v>574</c:v>
                </c:pt>
                <c:pt idx="3">
                  <c:v>559</c:v>
                </c:pt>
                <c:pt idx="4">
                  <c:v>623</c:v>
                </c:pt>
                <c:pt idx="5">
                  <c:v>614</c:v>
                </c:pt>
                <c:pt idx="6">
                  <c:v>597</c:v>
                </c:pt>
                <c:pt idx="7">
                  <c:v>547</c:v>
                </c:pt>
                <c:pt idx="8">
                  <c:v>631</c:v>
                </c:pt>
                <c:pt idx="9">
                  <c:v>586</c:v>
                </c:pt>
                <c:pt idx="10">
                  <c:v>780</c:v>
                </c:pt>
                <c:pt idx="11">
                  <c:v>774</c:v>
                </c:pt>
                <c:pt idx="12">
                  <c:v>566</c:v>
                </c:pt>
                <c:pt idx="13">
                  <c:v>553</c:v>
                </c:pt>
                <c:pt idx="14">
                  <c:v>516</c:v>
                </c:pt>
                <c:pt idx="15">
                  <c:v>403</c:v>
                </c:pt>
                <c:pt idx="16">
                  <c:v>257</c:v>
                </c:pt>
                <c:pt idx="17">
                  <c:v>210</c:v>
                </c:pt>
                <c:pt idx="18">
                  <c:v>123</c:v>
                </c:pt>
                <c:pt idx="19">
                  <c:v>96</c:v>
                </c:pt>
                <c:pt idx="20">
                  <c:v>126</c:v>
                </c:pt>
                <c:pt idx="21">
                  <c:v>130</c:v>
                </c:pt>
                <c:pt idx="22">
                  <c:v>225</c:v>
                </c:pt>
                <c:pt idx="23">
                  <c:v>367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'26.07 Busega-Masanafu-24h'!$AF$9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Busega-Masanafu-24h'!$R$10:$R$33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Busega-Masanafu-24h'!$AF$10:$AF$33</c:f>
              <c:numCache>
                <c:formatCode>0</c:formatCode>
                <c:ptCount val="24"/>
                <c:pt idx="0">
                  <c:v>1303</c:v>
                </c:pt>
                <c:pt idx="1">
                  <c:v>1253</c:v>
                </c:pt>
                <c:pt idx="2">
                  <c:v>1236</c:v>
                </c:pt>
                <c:pt idx="3">
                  <c:v>1100</c:v>
                </c:pt>
                <c:pt idx="4">
                  <c:v>973</c:v>
                </c:pt>
                <c:pt idx="5">
                  <c:v>1153</c:v>
                </c:pt>
                <c:pt idx="6">
                  <c:v>1177</c:v>
                </c:pt>
                <c:pt idx="7">
                  <c:v>966</c:v>
                </c:pt>
                <c:pt idx="8">
                  <c:v>1069</c:v>
                </c:pt>
                <c:pt idx="9">
                  <c:v>945</c:v>
                </c:pt>
                <c:pt idx="10">
                  <c:v>1187</c:v>
                </c:pt>
                <c:pt idx="11">
                  <c:v>1321</c:v>
                </c:pt>
                <c:pt idx="12">
                  <c:v>921</c:v>
                </c:pt>
                <c:pt idx="13">
                  <c:v>829</c:v>
                </c:pt>
                <c:pt idx="14">
                  <c:v>843</c:v>
                </c:pt>
                <c:pt idx="15">
                  <c:v>672</c:v>
                </c:pt>
                <c:pt idx="16">
                  <c:v>470</c:v>
                </c:pt>
                <c:pt idx="17">
                  <c:v>319</c:v>
                </c:pt>
                <c:pt idx="18">
                  <c:v>177</c:v>
                </c:pt>
                <c:pt idx="19">
                  <c:v>126</c:v>
                </c:pt>
                <c:pt idx="20">
                  <c:v>158</c:v>
                </c:pt>
                <c:pt idx="21">
                  <c:v>173</c:v>
                </c:pt>
                <c:pt idx="22">
                  <c:v>305</c:v>
                </c:pt>
                <c:pt idx="23">
                  <c:v>543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4752"/>
        <c:axId val="122249216"/>
      </c:lineChart>
      <c:catAx>
        <c:axId val="1222347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2249216"/>
        <c:crosses val="autoZero"/>
        <c:auto val="1"/>
        <c:lblAlgn val="ctr"/>
        <c:lblOffset val="100"/>
        <c:noMultiLvlLbl val="0"/>
      </c:catAx>
      <c:valAx>
        <c:axId val="1222492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223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Busega-Masanafu-24h'!$C$9:$N$9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Busega-Masanafu-24h'!$C$107:$N$107</c:f>
              <c:numCache>
                <c:formatCode>0.0%</c:formatCode>
                <c:ptCount val="12"/>
                <c:pt idx="0">
                  <c:v>0.24257245434205735</c:v>
                </c:pt>
                <c:pt idx="1">
                  <c:v>4.3966907747541494E-2</c:v>
                </c:pt>
                <c:pt idx="2">
                  <c:v>4.4279098808470786E-2</c:v>
                </c:pt>
                <c:pt idx="3">
                  <c:v>0.10031739424527811</c:v>
                </c:pt>
                <c:pt idx="4">
                  <c:v>1.0042145793225455E-2</c:v>
                </c:pt>
                <c:pt idx="5">
                  <c:v>3.1219106092928873E-3</c:v>
                </c:pt>
                <c:pt idx="6">
                  <c:v>3.970029658150788E-2</c:v>
                </c:pt>
                <c:pt idx="7">
                  <c:v>4.8857901035433686E-2</c:v>
                </c:pt>
                <c:pt idx="8">
                  <c:v>1.8471304438316249E-2</c:v>
                </c:pt>
                <c:pt idx="9">
                  <c:v>2.0864769238774131E-2</c:v>
                </c:pt>
                <c:pt idx="10">
                  <c:v>0.42775378531661379</c:v>
                </c:pt>
                <c:pt idx="11">
                  <c:v>5.2031843488214785E-5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Busega-Masanafu-24h'!$C$9:$N$9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Busega-Masanafu-24h'!$C$108:$N$108</c:f>
              <c:numCache>
                <c:formatCode>0.00%</c:formatCode>
                <c:ptCount val="12"/>
                <c:pt idx="0">
                  <c:v>0.4238952536824877</c:v>
                </c:pt>
                <c:pt idx="1">
                  <c:v>7.6832151300236406E-2</c:v>
                </c:pt>
                <c:pt idx="2">
                  <c:v>7.7377705037279504E-2</c:v>
                </c:pt>
                <c:pt idx="3">
                  <c:v>0.17530460083651572</c:v>
                </c:pt>
                <c:pt idx="4">
                  <c:v>1.7548645208219676E-2</c:v>
                </c:pt>
                <c:pt idx="5">
                  <c:v>5.4555373704309879E-3</c:v>
                </c:pt>
                <c:pt idx="6">
                  <c:v>6.9376250227314057E-2</c:v>
                </c:pt>
                <c:pt idx="7">
                  <c:v>8.5379159847244951E-2</c:v>
                </c:pt>
                <c:pt idx="8">
                  <c:v>3.2278596108383344E-2</c:v>
                </c:pt>
                <c:pt idx="9">
                  <c:v>3.6461174759047102E-2</c:v>
                </c:pt>
                <c:pt idx="11">
                  <c:v>9.0925622840516454E-5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Masanafu-Busega-24h'!$AE$9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Masanafu-Busega-24h'!$R$10:$R$33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Masanafu-Busega-24h'!$AE$10:$AE$33</c:f>
              <c:numCache>
                <c:formatCode>0</c:formatCode>
                <c:ptCount val="24"/>
                <c:pt idx="0">
                  <c:v>557</c:v>
                </c:pt>
                <c:pt idx="1">
                  <c:v>620</c:v>
                </c:pt>
                <c:pt idx="2">
                  <c:v>654</c:v>
                </c:pt>
                <c:pt idx="3">
                  <c:v>688</c:v>
                </c:pt>
                <c:pt idx="4">
                  <c:v>730</c:v>
                </c:pt>
                <c:pt idx="5">
                  <c:v>798</c:v>
                </c:pt>
                <c:pt idx="6">
                  <c:v>824</c:v>
                </c:pt>
                <c:pt idx="7">
                  <c:v>748</c:v>
                </c:pt>
                <c:pt idx="8">
                  <c:v>808</c:v>
                </c:pt>
                <c:pt idx="9">
                  <c:v>838</c:v>
                </c:pt>
                <c:pt idx="10">
                  <c:v>783</c:v>
                </c:pt>
                <c:pt idx="11">
                  <c:v>901</c:v>
                </c:pt>
                <c:pt idx="12">
                  <c:v>644</c:v>
                </c:pt>
                <c:pt idx="13">
                  <c:v>549</c:v>
                </c:pt>
                <c:pt idx="14">
                  <c:v>499</c:v>
                </c:pt>
                <c:pt idx="15">
                  <c:v>446</c:v>
                </c:pt>
                <c:pt idx="16">
                  <c:v>321</c:v>
                </c:pt>
                <c:pt idx="17">
                  <c:v>209</c:v>
                </c:pt>
                <c:pt idx="18">
                  <c:v>100</c:v>
                </c:pt>
                <c:pt idx="19">
                  <c:v>75</c:v>
                </c:pt>
                <c:pt idx="20">
                  <c:v>83</c:v>
                </c:pt>
                <c:pt idx="21">
                  <c:v>138</c:v>
                </c:pt>
                <c:pt idx="22">
                  <c:v>256</c:v>
                </c:pt>
                <c:pt idx="23">
                  <c:v>393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'26.07 Masanafu-Busega-24h'!$AF$9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Masanafu-Busega-24h'!$R$10:$R$33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Masanafu-Busega-24h'!$AF$10:$AF$33</c:f>
              <c:numCache>
                <c:formatCode>0</c:formatCode>
                <c:ptCount val="24"/>
                <c:pt idx="0">
                  <c:v>1017</c:v>
                </c:pt>
                <c:pt idx="1">
                  <c:v>1131</c:v>
                </c:pt>
                <c:pt idx="2">
                  <c:v>1127</c:v>
                </c:pt>
                <c:pt idx="3">
                  <c:v>1116</c:v>
                </c:pt>
                <c:pt idx="4">
                  <c:v>1080</c:v>
                </c:pt>
                <c:pt idx="5">
                  <c:v>1091</c:v>
                </c:pt>
                <c:pt idx="6">
                  <c:v>1210</c:v>
                </c:pt>
                <c:pt idx="7">
                  <c:v>1147</c:v>
                </c:pt>
                <c:pt idx="8">
                  <c:v>1172</c:v>
                </c:pt>
                <c:pt idx="9">
                  <c:v>1168</c:v>
                </c:pt>
                <c:pt idx="10">
                  <c:v>1236</c:v>
                </c:pt>
                <c:pt idx="11">
                  <c:v>1477</c:v>
                </c:pt>
                <c:pt idx="12">
                  <c:v>995</c:v>
                </c:pt>
                <c:pt idx="13">
                  <c:v>944</c:v>
                </c:pt>
                <c:pt idx="14">
                  <c:v>853</c:v>
                </c:pt>
                <c:pt idx="15">
                  <c:v>713</c:v>
                </c:pt>
                <c:pt idx="16">
                  <c:v>516</c:v>
                </c:pt>
                <c:pt idx="17">
                  <c:v>339</c:v>
                </c:pt>
                <c:pt idx="18">
                  <c:v>158</c:v>
                </c:pt>
                <c:pt idx="19">
                  <c:v>121</c:v>
                </c:pt>
                <c:pt idx="20">
                  <c:v>110</c:v>
                </c:pt>
                <c:pt idx="21">
                  <c:v>203</c:v>
                </c:pt>
                <c:pt idx="22">
                  <c:v>360</c:v>
                </c:pt>
                <c:pt idx="23">
                  <c:v>615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129408"/>
        <c:axId val="122152064"/>
      </c:lineChart>
      <c:catAx>
        <c:axId val="1221294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2152064"/>
        <c:crosses val="autoZero"/>
        <c:auto val="1"/>
        <c:lblAlgn val="ctr"/>
        <c:lblOffset val="100"/>
        <c:noMultiLvlLbl val="0"/>
      </c:catAx>
      <c:valAx>
        <c:axId val="1221520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2129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Masanafu-Busega-24h'!$C$9:$N$9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Masanafu-Busega-24h'!$C$107:$N$107</c:f>
              <c:numCache>
                <c:formatCode>0.0%</c:formatCode>
                <c:ptCount val="12"/>
                <c:pt idx="0">
                  <c:v>0.30287954168551184</c:v>
                </c:pt>
                <c:pt idx="1">
                  <c:v>4.1358862254384642E-2</c:v>
                </c:pt>
                <c:pt idx="2">
                  <c:v>3.728830594502236E-2</c:v>
                </c:pt>
                <c:pt idx="3">
                  <c:v>0.12985577164681641</c:v>
                </c:pt>
                <c:pt idx="4">
                  <c:v>8.0406050555304285E-3</c:v>
                </c:pt>
                <c:pt idx="5">
                  <c:v>3.1157344590180412E-3</c:v>
                </c:pt>
                <c:pt idx="6">
                  <c:v>5.005276647067692E-2</c:v>
                </c:pt>
                <c:pt idx="7">
                  <c:v>2.9247700889491933E-2</c:v>
                </c:pt>
                <c:pt idx="8">
                  <c:v>1.4925373134328358E-2</c:v>
                </c:pt>
                <c:pt idx="9">
                  <c:v>1.9548721041258356E-2</c:v>
                </c:pt>
                <c:pt idx="10">
                  <c:v>0.36368661741796071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Masanafu-Busega-24h'!$C$9:$N$9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Masanafu-Busega-24h'!$C$108:$N$108</c:f>
              <c:numCache>
                <c:formatCode>0.00%</c:formatCode>
                <c:ptCount val="12"/>
                <c:pt idx="0">
                  <c:v>0.47599115463591851</c:v>
                </c:pt>
                <c:pt idx="1">
                  <c:v>6.4997630706049594E-2</c:v>
                </c:pt>
                <c:pt idx="2">
                  <c:v>5.860053703996209E-2</c:v>
                </c:pt>
                <c:pt idx="3">
                  <c:v>0.20407518559469279</c:v>
                </c:pt>
                <c:pt idx="4">
                  <c:v>1.263623440214816E-2</c:v>
                </c:pt>
                <c:pt idx="5">
                  <c:v>4.896540830832412E-3</c:v>
                </c:pt>
                <c:pt idx="6">
                  <c:v>7.8660559153372292E-2</c:v>
                </c:pt>
                <c:pt idx="7">
                  <c:v>4.5964302637813932E-2</c:v>
                </c:pt>
                <c:pt idx="8">
                  <c:v>2.3456010108987523E-2</c:v>
                </c:pt>
                <c:pt idx="9">
                  <c:v>3.0721844890222713E-2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Busega-Masanafu-24h'!$AE$9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Busega-Masanafu-24h'!$R$10:$R$33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Busega-Masanafu-24h'!$AE$10:$AE$33</c:f>
              <c:numCache>
                <c:formatCode>0</c:formatCode>
                <c:ptCount val="24"/>
                <c:pt idx="0">
                  <c:v>457</c:v>
                </c:pt>
                <c:pt idx="1">
                  <c:v>577</c:v>
                </c:pt>
                <c:pt idx="2">
                  <c:v>659</c:v>
                </c:pt>
                <c:pt idx="3">
                  <c:v>728</c:v>
                </c:pt>
                <c:pt idx="4">
                  <c:v>738</c:v>
                </c:pt>
                <c:pt idx="5">
                  <c:v>734</c:v>
                </c:pt>
                <c:pt idx="6">
                  <c:v>607</c:v>
                </c:pt>
                <c:pt idx="7">
                  <c:v>645</c:v>
                </c:pt>
                <c:pt idx="8">
                  <c:v>684</c:v>
                </c:pt>
                <c:pt idx="9">
                  <c:v>691</c:v>
                </c:pt>
                <c:pt idx="10">
                  <c:v>656</c:v>
                </c:pt>
                <c:pt idx="11">
                  <c:v>556</c:v>
                </c:pt>
                <c:pt idx="12">
                  <c:v>524</c:v>
                </c:pt>
                <c:pt idx="13">
                  <c:v>714</c:v>
                </c:pt>
                <c:pt idx="14">
                  <c:v>495</c:v>
                </c:pt>
                <c:pt idx="15">
                  <c:v>359</c:v>
                </c:pt>
                <c:pt idx="16">
                  <c:v>242</c:v>
                </c:pt>
                <c:pt idx="17">
                  <c:v>151</c:v>
                </c:pt>
                <c:pt idx="18">
                  <c:v>165</c:v>
                </c:pt>
                <c:pt idx="19">
                  <c:v>178</c:v>
                </c:pt>
                <c:pt idx="20">
                  <c:v>196</c:v>
                </c:pt>
                <c:pt idx="21">
                  <c:v>174</c:v>
                </c:pt>
                <c:pt idx="22">
                  <c:v>171</c:v>
                </c:pt>
                <c:pt idx="23">
                  <c:v>267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'27.07 Busega-Masanafu-24h'!$AF$9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Busega-Masanafu-24h'!$R$10:$R$33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Busega-Masanafu-24h'!$AF$10:$AF$33</c:f>
              <c:numCache>
                <c:formatCode>0</c:formatCode>
                <c:ptCount val="24"/>
                <c:pt idx="0">
                  <c:v>952</c:v>
                </c:pt>
                <c:pt idx="1">
                  <c:v>1210</c:v>
                </c:pt>
                <c:pt idx="2">
                  <c:v>1282</c:v>
                </c:pt>
                <c:pt idx="3">
                  <c:v>1262</c:v>
                </c:pt>
                <c:pt idx="4">
                  <c:v>1269</c:v>
                </c:pt>
                <c:pt idx="5">
                  <c:v>1183</c:v>
                </c:pt>
                <c:pt idx="6">
                  <c:v>1089</c:v>
                </c:pt>
                <c:pt idx="7">
                  <c:v>1053</c:v>
                </c:pt>
                <c:pt idx="8">
                  <c:v>1120</c:v>
                </c:pt>
                <c:pt idx="9">
                  <c:v>1053</c:v>
                </c:pt>
                <c:pt idx="10">
                  <c:v>1092</c:v>
                </c:pt>
                <c:pt idx="11">
                  <c:v>1008</c:v>
                </c:pt>
                <c:pt idx="12">
                  <c:v>909</c:v>
                </c:pt>
                <c:pt idx="13">
                  <c:v>1127</c:v>
                </c:pt>
                <c:pt idx="14">
                  <c:v>784</c:v>
                </c:pt>
                <c:pt idx="15">
                  <c:v>535</c:v>
                </c:pt>
                <c:pt idx="16">
                  <c:v>378</c:v>
                </c:pt>
                <c:pt idx="17">
                  <c:v>189</c:v>
                </c:pt>
                <c:pt idx="18">
                  <c:v>212</c:v>
                </c:pt>
                <c:pt idx="19">
                  <c:v>215</c:v>
                </c:pt>
                <c:pt idx="20">
                  <c:v>242</c:v>
                </c:pt>
                <c:pt idx="21">
                  <c:v>233</c:v>
                </c:pt>
                <c:pt idx="22">
                  <c:v>227</c:v>
                </c:pt>
                <c:pt idx="23">
                  <c:v>435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904384"/>
        <c:axId val="123906304"/>
      </c:lineChart>
      <c:catAx>
        <c:axId val="1239043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3906304"/>
        <c:crosses val="autoZero"/>
        <c:auto val="1"/>
        <c:lblAlgn val="ctr"/>
        <c:lblOffset val="100"/>
        <c:noMultiLvlLbl val="0"/>
      </c:catAx>
      <c:valAx>
        <c:axId val="1239063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390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Busega-Masanafu-24h'!$C$9:$N$9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Busega-Masanafu-24h'!$C$107:$N$107</c:f>
              <c:numCache>
                <c:formatCode>0.0%</c:formatCode>
                <c:ptCount val="12"/>
                <c:pt idx="0">
                  <c:v>0.28742326459940187</c:v>
                </c:pt>
                <c:pt idx="1">
                  <c:v>4.5962537383913114E-2</c:v>
                </c:pt>
                <c:pt idx="2">
                  <c:v>3.7357678786924815E-2</c:v>
                </c:pt>
                <c:pt idx="3">
                  <c:v>0.10037252741486961</c:v>
                </c:pt>
                <c:pt idx="4">
                  <c:v>6.0863633978697727E-3</c:v>
                </c:pt>
                <c:pt idx="5">
                  <c:v>2.0462773492838028E-3</c:v>
                </c:pt>
                <c:pt idx="6">
                  <c:v>4.5490319534078387E-2</c:v>
                </c:pt>
                <c:pt idx="7">
                  <c:v>3.594102523742064E-2</c:v>
                </c:pt>
                <c:pt idx="8">
                  <c:v>1.6737499344141874E-2</c:v>
                </c:pt>
                <c:pt idx="9">
                  <c:v>1.9046119943333859E-2</c:v>
                </c:pt>
                <c:pt idx="10">
                  <c:v>0.40353638700876227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Busega-Masanafu-24h'!$C$9:$N$9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Busega-Masanafu-24h'!$C$108:$N$108</c:f>
              <c:numCache>
                <c:formatCode>0.00%</c:formatCode>
                <c:ptCount val="12"/>
                <c:pt idx="0">
                  <c:v>0.48187895847994372</c:v>
                </c:pt>
                <c:pt idx="1">
                  <c:v>7.7058409570724837E-2</c:v>
                </c:pt>
                <c:pt idx="2">
                  <c:v>6.2631949331456716E-2</c:v>
                </c:pt>
                <c:pt idx="3">
                  <c:v>0.16827938071780435</c:v>
                </c:pt>
                <c:pt idx="4">
                  <c:v>1.020408163265306E-2</c:v>
                </c:pt>
                <c:pt idx="5">
                  <c:v>3.4306826178747362E-3</c:v>
                </c:pt>
                <c:pt idx="6">
                  <c:v>7.6266713581984516E-2</c:v>
                </c:pt>
                <c:pt idx="7">
                  <c:v>6.0256861365235746E-2</c:v>
                </c:pt>
                <c:pt idx="8">
                  <c:v>2.8061224489795918E-2</c:v>
                </c:pt>
                <c:pt idx="9">
                  <c:v>3.1931738212526387E-2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Busega-Masanafu-24h'!$AE$9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Busega-Masanafu-24h'!$R$10:$R$33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Busega-Masanafu-24h'!$AE$10:$AE$33</c:f>
              <c:numCache>
                <c:formatCode>0</c:formatCode>
                <c:ptCount val="24"/>
                <c:pt idx="0">
                  <c:v>457</c:v>
                </c:pt>
                <c:pt idx="1">
                  <c:v>577</c:v>
                </c:pt>
                <c:pt idx="2">
                  <c:v>659</c:v>
                </c:pt>
                <c:pt idx="3">
                  <c:v>728</c:v>
                </c:pt>
                <c:pt idx="4">
                  <c:v>738</c:v>
                </c:pt>
                <c:pt idx="5">
                  <c:v>734</c:v>
                </c:pt>
                <c:pt idx="6">
                  <c:v>607</c:v>
                </c:pt>
                <c:pt idx="7">
                  <c:v>645</c:v>
                </c:pt>
                <c:pt idx="8">
                  <c:v>684</c:v>
                </c:pt>
                <c:pt idx="9">
                  <c:v>691</c:v>
                </c:pt>
                <c:pt idx="10">
                  <c:v>656</c:v>
                </c:pt>
                <c:pt idx="11">
                  <c:v>556</c:v>
                </c:pt>
                <c:pt idx="12">
                  <c:v>524</c:v>
                </c:pt>
                <c:pt idx="13">
                  <c:v>714</c:v>
                </c:pt>
                <c:pt idx="14">
                  <c:v>495</c:v>
                </c:pt>
                <c:pt idx="15">
                  <c:v>359</c:v>
                </c:pt>
                <c:pt idx="16">
                  <c:v>242</c:v>
                </c:pt>
                <c:pt idx="17">
                  <c:v>151</c:v>
                </c:pt>
                <c:pt idx="18">
                  <c:v>165</c:v>
                </c:pt>
                <c:pt idx="19">
                  <c:v>178</c:v>
                </c:pt>
                <c:pt idx="20">
                  <c:v>196</c:v>
                </c:pt>
                <c:pt idx="21">
                  <c:v>174</c:v>
                </c:pt>
                <c:pt idx="22">
                  <c:v>171</c:v>
                </c:pt>
                <c:pt idx="23">
                  <c:v>267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'27.07 Busega-Masanafu-24h'!$AF$9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Busega-Masanafu-24h'!$R$10:$R$33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Busega-Masanafu-24h'!$AF$10:$AF$33</c:f>
              <c:numCache>
                <c:formatCode>0</c:formatCode>
                <c:ptCount val="24"/>
                <c:pt idx="0">
                  <c:v>952</c:v>
                </c:pt>
                <c:pt idx="1">
                  <c:v>1210</c:v>
                </c:pt>
                <c:pt idx="2">
                  <c:v>1282</c:v>
                </c:pt>
                <c:pt idx="3">
                  <c:v>1262</c:v>
                </c:pt>
                <c:pt idx="4">
                  <c:v>1269</c:v>
                </c:pt>
                <c:pt idx="5">
                  <c:v>1183</c:v>
                </c:pt>
                <c:pt idx="6">
                  <c:v>1089</c:v>
                </c:pt>
                <c:pt idx="7">
                  <c:v>1053</c:v>
                </c:pt>
                <c:pt idx="8">
                  <c:v>1120</c:v>
                </c:pt>
                <c:pt idx="9">
                  <c:v>1053</c:v>
                </c:pt>
                <c:pt idx="10">
                  <c:v>1092</c:v>
                </c:pt>
                <c:pt idx="11">
                  <c:v>1008</c:v>
                </c:pt>
                <c:pt idx="12">
                  <c:v>909</c:v>
                </c:pt>
                <c:pt idx="13">
                  <c:v>1127</c:v>
                </c:pt>
                <c:pt idx="14">
                  <c:v>784</c:v>
                </c:pt>
                <c:pt idx="15">
                  <c:v>535</c:v>
                </c:pt>
                <c:pt idx="16">
                  <c:v>378</c:v>
                </c:pt>
                <c:pt idx="17">
                  <c:v>189</c:v>
                </c:pt>
                <c:pt idx="18">
                  <c:v>212</c:v>
                </c:pt>
                <c:pt idx="19">
                  <c:v>215</c:v>
                </c:pt>
                <c:pt idx="20">
                  <c:v>242</c:v>
                </c:pt>
                <c:pt idx="21">
                  <c:v>233</c:v>
                </c:pt>
                <c:pt idx="22">
                  <c:v>227</c:v>
                </c:pt>
                <c:pt idx="23">
                  <c:v>435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105088"/>
        <c:axId val="124107008"/>
      </c:lineChart>
      <c:catAx>
        <c:axId val="124105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4107008"/>
        <c:crosses val="autoZero"/>
        <c:auto val="1"/>
        <c:lblAlgn val="ctr"/>
        <c:lblOffset val="100"/>
        <c:noMultiLvlLbl val="0"/>
      </c:catAx>
      <c:valAx>
        <c:axId val="1241070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4105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8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Busega-Masanafu-24h'!$C$9:$N$9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Busega-Masanafu-24h'!$C$107:$N$107</c:f>
              <c:numCache>
                <c:formatCode>0.0%</c:formatCode>
                <c:ptCount val="12"/>
                <c:pt idx="0">
                  <c:v>0.28742326459940187</c:v>
                </c:pt>
                <c:pt idx="1">
                  <c:v>4.5962537383913114E-2</c:v>
                </c:pt>
                <c:pt idx="2">
                  <c:v>3.7357678786924815E-2</c:v>
                </c:pt>
                <c:pt idx="3">
                  <c:v>0.10037252741486961</c:v>
                </c:pt>
                <c:pt idx="4">
                  <c:v>6.0863633978697727E-3</c:v>
                </c:pt>
                <c:pt idx="5">
                  <c:v>2.0462773492838028E-3</c:v>
                </c:pt>
                <c:pt idx="6">
                  <c:v>4.5490319534078387E-2</c:v>
                </c:pt>
                <c:pt idx="7">
                  <c:v>3.594102523742064E-2</c:v>
                </c:pt>
                <c:pt idx="8">
                  <c:v>1.6737499344141874E-2</c:v>
                </c:pt>
                <c:pt idx="9">
                  <c:v>1.9046119943333859E-2</c:v>
                </c:pt>
                <c:pt idx="10">
                  <c:v>0.40353638700876227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33" l="0.70000000000000062" r="0.70000000000000062" t="0.75000000000000233" header="0.30000000000000032" footer="0.3000000000000003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8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Busega-Masanafu-24h'!$C$9:$N$9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Busega-Masanafu-24h'!$C$108:$N$108</c:f>
              <c:numCache>
                <c:formatCode>0.00%</c:formatCode>
                <c:ptCount val="12"/>
                <c:pt idx="0">
                  <c:v>0.48187895847994372</c:v>
                </c:pt>
                <c:pt idx="1">
                  <c:v>7.7058409570724837E-2</c:v>
                </c:pt>
                <c:pt idx="2">
                  <c:v>6.2631949331456716E-2</c:v>
                </c:pt>
                <c:pt idx="3">
                  <c:v>0.16827938071780435</c:v>
                </c:pt>
                <c:pt idx="4">
                  <c:v>1.020408163265306E-2</c:v>
                </c:pt>
                <c:pt idx="5">
                  <c:v>3.4306826178747362E-3</c:v>
                </c:pt>
                <c:pt idx="6">
                  <c:v>7.6266713581984516E-2</c:v>
                </c:pt>
                <c:pt idx="7">
                  <c:v>6.0256861365235746E-2</c:v>
                </c:pt>
                <c:pt idx="8">
                  <c:v>2.8061224489795918E-2</c:v>
                </c:pt>
                <c:pt idx="9">
                  <c:v>3.1931738212526387E-2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33" l="0.70000000000000062" r="0.70000000000000062" t="0.75000000000000233" header="0.30000000000000032" footer="0.3000000000000003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Masanafu-Busega-24h'!$AE$9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Masanafu-Busega-24h'!$R$10:$R$33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Masanafu-Busega-24h'!$AE$10:$AE$33</c:f>
              <c:numCache>
                <c:formatCode>0</c:formatCode>
                <c:ptCount val="24"/>
                <c:pt idx="0">
                  <c:v>457</c:v>
                </c:pt>
                <c:pt idx="1">
                  <c:v>577</c:v>
                </c:pt>
                <c:pt idx="2">
                  <c:v>659</c:v>
                </c:pt>
                <c:pt idx="3">
                  <c:v>728</c:v>
                </c:pt>
                <c:pt idx="4">
                  <c:v>738</c:v>
                </c:pt>
                <c:pt idx="5">
                  <c:v>734</c:v>
                </c:pt>
                <c:pt idx="6">
                  <c:v>607</c:v>
                </c:pt>
                <c:pt idx="7">
                  <c:v>645</c:v>
                </c:pt>
                <c:pt idx="8">
                  <c:v>684</c:v>
                </c:pt>
                <c:pt idx="9">
                  <c:v>691</c:v>
                </c:pt>
                <c:pt idx="10">
                  <c:v>656</c:v>
                </c:pt>
                <c:pt idx="11">
                  <c:v>556</c:v>
                </c:pt>
                <c:pt idx="12">
                  <c:v>524</c:v>
                </c:pt>
                <c:pt idx="13">
                  <c:v>714</c:v>
                </c:pt>
                <c:pt idx="14">
                  <c:v>495</c:v>
                </c:pt>
                <c:pt idx="15">
                  <c:v>359</c:v>
                </c:pt>
                <c:pt idx="16">
                  <c:v>242</c:v>
                </c:pt>
                <c:pt idx="17">
                  <c:v>151</c:v>
                </c:pt>
                <c:pt idx="18">
                  <c:v>165</c:v>
                </c:pt>
                <c:pt idx="19">
                  <c:v>178</c:v>
                </c:pt>
                <c:pt idx="20">
                  <c:v>196</c:v>
                </c:pt>
                <c:pt idx="21">
                  <c:v>174</c:v>
                </c:pt>
                <c:pt idx="22">
                  <c:v>171</c:v>
                </c:pt>
                <c:pt idx="23">
                  <c:v>267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'27.07 Masanafu-Busega-24h'!$AF$9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Masanafu-Busega-24h'!$R$10:$R$33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Masanafu-Busega-24h'!$AF$10:$AF$33</c:f>
              <c:numCache>
                <c:formatCode>0</c:formatCode>
                <c:ptCount val="24"/>
                <c:pt idx="0">
                  <c:v>890</c:v>
                </c:pt>
                <c:pt idx="1">
                  <c:v>1167</c:v>
                </c:pt>
                <c:pt idx="2">
                  <c:v>1172</c:v>
                </c:pt>
                <c:pt idx="3">
                  <c:v>1197</c:v>
                </c:pt>
                <c:pt idx="4">
                  <c:v>1244</c:v>
                </c:pt>
                <c:pt idx="5">
                  <c:v>1305</c:v>
                </c:pt>
                <c:pt idx="6">
                  <c:v>1242</c:v>
                </c:pt>
                <c:pt idx="7">
                  <c:v>1317</c:v>
                </c:pt>
                <c:pt idx="8">
                  <c:v>1073</c:v>
                </c:pt>
                <c:pt idx="9">
                  <c:v>1024</c:v>
                </c:pt>
                <c:pt idx="10">
                  <c:v>1057</c:v>
                </c:pt>
                <c:pt idx="11">
                  <c:v>935</c:v>
                </c:pt>
                <c:pt idx="12">
                  <c:v>965</c:v>
                </c:pt>
                <c:pt idx="13">
                  <c:v>1403</c:v>
                </c:pt>
                <c:pt idx="14">
                  <c:v>1036</c:v>
                </c:pt>
                <c:pt idx="15">
                  <c:v>816</c:v>
                </c:pt>
                <c:pt idx="16">
                  <c:v>315</c:v>
                </c:pt>
                <c:pt idx="17">
                  <c:v>249</c:v>
                </c:pt>
                <c:pt idx="18">
                  <c:v>227</c:v>
                </c:pt>
                <c:pt idx="19">
                  <c:v>155</c:v>
                </c:pt>
                <c:pt idx="20">
                  <c:v>121</c:v>
                </c:pt>
                <c:pt idx="21">
                  <c:v>134</c:v>
                </c:pt>
                <c:pt idx="22">
                  <c:v>229</c:v>
                </c:pt>
                <c:pt idx="23">
                  <c:v>445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89632"/>
        <c:axId val="124420480"/>
      </c:lineChart>
      <c:catAx>
        <c:axId val="1243896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4420480"/>
        <c:crosses val="autoZero"/>
        <c:auto val="1"/>
        <c:lblAlgn val="ctr"/>
        <c:lblOffset val="100"/>
        <c:noMultiLvlLbl val="0"/>
      </c:catAx>
      <c:valAx>
        <c:axId val="124420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4389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Masanafu-Busega-24h'!$C$9:$N$9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Masanafu-Busega-24h'!$C$107:$N$107</c:f>
              <c:numCache>
                <c:formatCode>0.0%</c:formatCode>
                <c:ptCount val="12"/>
                <c:pt idx="0">
                  <c:v>0.27781722284207322</c:v>
                </c:pt>
                <c:pt idx="1">
                  <c:v>4.4426412415052234E-2</c:v>
                </c:pt>
                <c:pt idx="2">
                  <c:v>3.6109138857896336E-2</c:v>
                </c:pt>
                <c:pt idx="3">
                  <c:v>9.7017953139263619E-2</c:v>
                </c:pt>
                <c:pt idx="4">
                  <c:v>5.8829495892078303E-3</c:v>
                </c:pt>
                <c:pt idx="5">
                  <c:v>1.9778882239578051E-3</c:v>
                </c:pt>
                <c:pt idx="6">
                  <c:v>4.3969976671061971E-2</c:v>
                </c:pt>
                <c:pt idx="7">
                  <c:v>3.4739831625925553E-2</c:v>
                </c:pt>
                <c:pt idx="8">
                  <c:v>1.6178111370321532E-2</c:v>
                </c:pt>
                <c:pt idx="9">
                  <c:v>1.8409575007607263E-2</c:v>
                </c:pt>
                <c:pt idx="10">
                  <c:v>0.39004970078101225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Masanafu-Busega-24h'!$C$9:$N$9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Masanafu-Busega-24h'!$C$108:$N$108</c:f>
              <c:numCache>
                <c:formatCode>0.00%</c:formatCode>
                <c:ptCount val="12"/>
                <c:pt idx="0">
                  <c:v>0.48187895847994372</c:v>
                </c:pt>
                <c:pt idx="1">
                  <c:v>7.7058409570724837E-2</c:v>
                </c:pt>
                <c:pt idx="2">
                  <c:v>6.2631949331456716E-2</c:v>
                </c:pt>
                <c:pt idx="3">
                  <c:v>0.16827938071780435</c:v>
                </c:pt>
                <c:pt idx="4">
                  <c:v>1.020408163265306E-2</c:v>
                </c:pt>
                <c:pt idx="5">
                  <c:v>3.4306826178747362E-3</c:v>
                </c:pt>
                <c:pt idx="6">
                  <c:v>7.6266713581984516E-2</c:v>
                </c:pt>
                <c:pt idx="7">
                  <c:v>6.0256861365235746E-2</c:v>
                </c:pt>
                <c:pt idx="8">
                  <c:v>2.8061224489795918E-2</c:v>
                </c:pt>
                <c:pt idx="9">
                  <c:v>3.1931738212526387E-2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Busega-Masanafu'!$AE$9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Busega-Masanafu'!$R$10:$R$21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Busega-Masanafu'!$AE$10:$AE$21</c:f>
              <c:numCache>
                <c:formatCode>0</c:formatCode>
                <c:ptCount val="12"/>
                <c:pt idx="0">
                  <c:v>431</c:v>
                </c:pt>
                <c:pt idx="1">
                  <c:v>562</c:v>
                </c:pt>
                <c:pt idx="2">
                  <c:v>670</c:v>
                </c:pt>
                <c:pt idx="3">
                  <c:v>666</c:v>
                </c:pt>
                <c:pt idx="4">
                  <c:v>675</c:v>
                </c:pt>
                <c:pt idx="5">
                  <c:v>685</c:v>
                </c:pt>
                <c:pt idx="6">
                  <c:v>659</c:v>
                </c:pt>
                <c:pt idx="7">
                  <c:v>731</c:v>
                </c:pt>
                <c:pt idx="8">
                  <c:v>774</c:v>
                </c:pt>
                <c:pt idx="9">
                  <c:v>801</c:v>
                </c:pt>
                <c:pt idx="10">
                  <c:v>752</c:v>
                </c:pt>
                <c:pt idx="11">
                  <c:v>809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'28.07 Busega-Masanafu'!$AF$9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Busega-Masanafu'!$R$10:$R$21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Busega-Masanafu'!$AF$10:$AF$21</c:f>
              <c:numCache>
                <c:formatCode>0</c:formatCode>
                <c:ptCount val="12"/>
                <c:pt idx="0">
                  <c:v>900</c:v>
                </c:pt>
                <c:pt idx="1">
                  <c:v>1102</c:v>
                </c:pt>
                <c:pt idx="2">
                  <c:v>1259</c:v>
                </c:pt>
                <c:pt idx="3">
                  <c:v>1292</c:v>
                </c:pt>
                <c:pt idx="4">
                  <c:v>1147</c:v>
                </c:pt>
                <c:pt idx="5">
                  <c:v>1256</c:v>
                </c:pt>
                <c:pt idx="6">
                  <c:v>1229</c:v>
                </c:pt>
                <c:pt idx="7">
                  <c:v>1265</c:v>
                </c:pt>
                <c:pt idx="8">
                  <c:v>1297</c:v>
                </c:pt>
                <c:pt idx="9">
                  <c:v>1334</c:v>
                </c:pt>
                <c:pt idx="10">
                  <c:v>1283</c:v>
                </c:pt>
                <c:pt idx="11">
                  <c:v>1137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635776"/>
        <c:axId val="124744448"/>
      </c:lineChart>
      <c:catAx>
        <c:axId val="1246357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4744448"/>
        <c:crosses val="autoZero"/>
        <c:auto val="1"/>
        <c:lblAlgn val="ctr"/>
        <c:lblOffset val="100"/>
        <c:noMultiLvlLbl val="0"/>
      </c:catAx>
      <c:valAx>
        <c:axId val="1247444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463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Busega-Masanafu'!$C$9:$N$9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Busega-Masanafu'!$C$59:$N$59</c:f>
              <c:numCache>
                <c:formatCode>0.0%</c:formatCode>
                <c:ptCount val="12"/>
                <c:pt idx="0">
                  <c:v>0</c:v>
                </c:pt>
                <c:pt idx="1">
                  <c:v>4.9996551961933658E-2</c:v>
                </c:pt>
                <c:pt idx="2">
                  <c:v>2.7584304530722019E-2</c:v>
                </c:pt>
                <c:pt idx="3">
                  <c:v>0.1161299220743397</c:v>
                </c:pt>
                <c:pt idx="4">
                  <c:v>6.2064685194124546E-3</c:v>
                </c:pt>
                <c:pt idx="5">
                  <c:v>1.6550582718433211E-3</c:v>
                </c:pt>
                <c:pt idx="6">
                  <c:v>2.5929246258878699E-2</c:v>
                </c:pt>
                <c:pt idx="7">
                  <c:v>2.7446383008068408E-2</c:v>
                </c:pt>
                <c:pt idx="8">
                  <c:v>8.7580166885042419E-3</c:v>
                </c:pt>
                <c:pt idx="9">
                  <c:v>1.1309564857596028E-2</c:v>
                </c:pt>
                <c:pt idx="10">
                  <c:v>0.43348734570029651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26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Busega-Masanafu'!$S$9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Busega-Masanafu'!$R$10:$R$21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Busega-Masanafu'!$S$10:$S$21</c:f>
              <c:numCache>
                <c:formatCode>0</c:formatCode>
                <c:ptCount val="12"/>
                <c:pt idx="0">
                  <c:v>165</c:v>
                </c:pt>
                <c:pt idx="1">
                  <c:v>230</c:v>
                </c:pt>
                <c:pt idx="2">
                  <c:v>341</c:v>
                </c:pt>
                <c:pt idx="3">
                  <c:v>327</c:v>
                </c:pt>
                <c:pt idx="4">
                  <c:v>327</c:v>
                </c:pt>
                <c:pt idx="5">
                  <c:v>385</c:v>
                </c:pt>
                <c:pt idx="6">
                  <c:v>324</c:v>
                </c:pt>
                <c:pt idx="7">
                  <c:v>390</c:v>
                </c:pt>
                <c:pt idx="8">
                  <c:v>421</c:v>
                </c:pt>
                <c:pt idx="9">
                  <c:v>455</c:v>
                </c:pt>
                <c:pt idx="10">
                  <c:v>411</c:v>
                </c:pt>
                <c:pt idx="11">
                  <c:v>451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'28.07 Busega-Masanafu'!$T$9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Busega-Masanafu'!$R$10:$R$21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Busega-Masanafu'!$T$10:$T$21</c:f>
              <c:numCache>
                <c:formatCode>0</c:formatCode>
                <c:ptCount val="12"/>
                <c:pt idx="0">
                  <c:v>28</c:v>
                </c:pt>
                <c:pt idx="1">
                  <c:v>32</c:v>
                </c:pt>
                <c:pt idx="2">
                  <c:v>47</c:v>
                </c:pt>
                <c:pt idx="3">
                  <c:v>61</c:v>
                </c:pt>
                <c:pt idx="4">
                  <c:v>61</c:v>
                </c:pt>
                <c:pt idx="5">
                  <c:v>55</c:v>
                </c:pt>
                <c:pt idx="6">
                  <c:v>69</c:v>
                </c:pt>
                <c:pt idx="7">
                  <c:v>72</c:v>
                </c:pt>
                <c:pt idx="8">
                  <c:v>81</c:v>
                </c:pt>
                <c:pt idx="9">
                  <c:v>67</c:v>
                </c:pt>
                <c:pt idx="10">
                  <c:v>71</c:v>
                </c:pt>
                <c:pt idx="11">
                  <c:v>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'28.07 Busega-Masanafu'!$U$9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Busega-Masanafu'!$U$10:$U$21</c:f>
              <c:numCache>
                <c:formatCode>0</c:formatCode>
                <c:ptCount val="12"/>
                <c:pt idx="0">
                  <c:v>14</c:v>
                </c:pt>
                <c:pt idx="1">
                  <c:v>25</c:v>
                </c:pt>
                <c:pt idx="2">
                  <c:v>39</c:v>
                </c:pt>
                <c:pt idx="3">
                  <c:v>33</c:v>
                </c:pt>
                <c:pt idx="4">
                  <c:v>31</c:v>
                </c:pt>
                <c:pt idx="5">
                  <c:v>27</c:v>
                </c:pt>
                <c:pt idx="6">
                  <c:v>34</c:v>
                </c:pt>
                <c:pt idx="7">
                  <c:v>27</c:v>
                </c:pt>
                <c:pt idx="8">
                  <c:v>51</c:v>
                </c:pt>
                <c:pt idx="9">
                  <c:v>52</c:v>
                </c:pt>
                <c:pt idx="10">
                  <c:v>34</c:v>
                </c:pt>
                <c:pt idx="1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'28.07 Busega-Masanafu'!$V$9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Busega-Masanafu'!$V$10:$V$21</c:f>
              <c:numCache>
                <c:formatCode>0</c:formatCode>
                <c:ptCount val="12"/>
                <c:pt idx="0">
                  <c:v>125</c:v>
                </c:pt>
                <c:pt idx="1">
                  <c:v>169</c:v>
                </c:pt>
                <c:pt idx="2">
                  <c:v>142</c:v>
                </c:pt>
                <c:pt idx="3">
                  <c:v>147</c:v>
                </c:pt>
                <c:pt idx="4">
                  <c:v>149</c:v>
                </c:pt>
                <c:pt idx="5">
                  <c:v>129</c:v>
                </c:pt>
                <c:pt idx="6">
                  <c:v>137</c:v>
                </c:pt>
                <c:pt idx="7">
                  <c:v>124</c:v>
                </c:pt>
                <c:pt idx="8">
                  <c:v>133</c:v>
                </c:pt>
                <c:pt idx="9">
                  <c:v>125</c:v>
                </c:pt>
                <c:pt idx="10">
                  <c:v>144</c:v>
                </c:pt>
                <c:pt idx="1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'28.07 Busega-Masanafu'!$W$9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Busega-Masanafu'!$W$10:$W$21</c:f>
              <c:numCache>
                <c:formatCode>0</c:formatCode>
                <c:ptCount val="12"/>
                <c:pt idx="0">
                  <c:v>21</c:v>
                </c:pt>
                <c:pt idx="1">
                  <c:v>16</c:v>
                </c:pt>
                <c:pt idx="2">
                  <c:v>15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4</c:v>
                </c:pt>
                <c:pt idx="9">
                  <c:v>6</c:v>
                </c:pt>
                <c:pt idx="10">
                  <c:v>3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'28.07 Busega-Masanafu'!$X$9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Busega-Masanafu'!$X$10:$X$21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4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'28.07 Busega-Masanafu'!$Y$9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Busega-Masanafu'!$Y$10:$Y$21</c:f>
              <c:numCache>
                <c:formatCode>0</c:formatCode>
                <c:ptCount val="12"/>
                <c:pt idx="0">
                  <c:v>24</c:v>
                </c:pt>
                <c:pt idx="1">
                  <c:v>36</c:v>
                </c:pt>
                <c:pt idx="2">
                  <c:v>22</c:v>
                </c:pt>
                <c:pt idx="3">
                  <c:v>32</c:v>
                </c:pt>
                <c:pt idx="4">
                  <c:v>35</c:v>
                </c:pt>
                <c:pt idx="5">
                  <c:v>35</c:v>
                </c:pt>
                <c:pt idx="6">
                  <c:v>30</c:v>
                </c:pt>
                <c:pt idx="7">
                  <c:v>38</c:v>
                </c:pt>
                <c:pt idx="8">
                  <c:v>30</c:v>
                </c:pt>
                <c:pt idx="9">
                  <c:v>34</c:v>
                </c:pt>
                <c:pt idx="10">
                  <c:v>34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'28.07 Busega-Masanafu'!$Z$9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Busega-Masanafu'!$Z$10:$Z$21</c:f>
              <c:numCache>
                <c:formatCode>0</c:formatCode>
                <c:ptCount val="12"/>
                <c:pt idx="0">
                  <c:v>34</c:v>
                </c:pt>
                <c:pt idx="1">
                  <c:v>34</c:v>
                </c:pt>
                <c:pt idx="2">
                  <c:v>42</c:v>
                </c:pt>
                <c:pt idx="3">
                  <c:v>35</c:v>
                </c:pt>
                <c:pt idx="4">
                  <c:v>39</c:v>
                </c:pt>
                <c:pt idx="5">
                  <c:v>28</c:v>
                </c:pt>
                <c:pt idx="6">
                  <c:v>31</c:v>
                </c:pt>
                <c:pt idx="7">
                  <c:v>44</c:v>
                </c:pt>
                <c:pt idx="8">
                  <c:v>26</c:v>
                </c:pt>
                <c:pt idx="9">
                  <c:v>35</c:v>
                </c:pt>
                <c:pt idx="10">
                  <c:v>24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'28.07 Busega-Masanafu'!$AA$9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Busega-Masanafu'!$AA$10:$AA$21</c:f>
              <c:numCache>
                <c:formatCode>0</c:formatCode>
                <c:ptCount val="12"/>
                <c:pt idx="0">
                  <c:v>14</c:v>
                </c:pt>
                <c:pt idx="1">
                  <c:v>10</c:v>
                </c:pt>
                <c:pt idx="2">
                  <c:v>8</c:v>
                </c:pt>
                <c:pt idx="3">
                  <c:v>17</c:v>
                </c:pt>
                <c:pt idx="4">
                  <c:v>11</c:v>
                </c:pt>
                <c:pt idx="5">
                  <c:v>6</c:v>
                </c:pt>
                <c:pt idx="6">
                  <c:v>8</c:v>
                </c:pt>
                <c:pt idx="7">
                  <c:v>21</c:v>
                </c:pt>
                <c:pt idx="8">
                  <c:v>6</c:v>
                </c:pt>
                <c:pt idx="9">
                  <c:v>11</c:v>
                </c:pt>
                <c:pt idx="10">
                  <c:v>10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'28.07 Busega-Masanafu'!$AB$9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Busega-Masanafu'!$AB$10:$AB$21</c:f>
              <c:numCache>
                <c:formatCode>0</c:formatCode>
                <c:ptCount val="12"/>
                <c:pt idx="0">
                  <c:v>3</c:v>
                </c:pt>
                <c:pt idx="1">
                  <c:v>8</c:v>
                </c:pt>
                <c:pt idx="2">
                  <c:v>12</c:v>
                </c:pt>
                <c:pt idx="3">
                  <c:v>11</c:v>
                </c:pt>
                <c:pt idx="4">
                  <c:v>20</c:v>
                </c:pt>
                <c:pt idx="5">
                  <c:v>14</c:v>
                </c:pt>
                <c:pt idx="6">
                  <c:v>18</c:v>
                </c:pt>
                <c:pt idx="7">
                  <c:v>12</c:v>
                </c:pt>
                <c:pt idx="8">
                  <c:v>21</c:v>
                </c:pt>
                <c:pt idx="9">
                  <c:v>14</c:v>
                </c:pt>
                <c:pt idx="10">
                  <c:v>20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'28.07 Busega-Masanafu'!$AC$9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Busega-Masanafu'!$AC$10:$AC$21</c:f>
              <c:numCache>
                <c:formatCode>0</c:formatCode>
                <c:ptCount val="12"/>
                <c:pt idx="0">
                  <c:v>469</c:v>
                </c:pt>
                <c:pt idx="1">
                  <c:v>540</c:v>
                </c:pt>
                <c:pt idx="2">
                  <c:v>589</c:v>
                </c:pt>
                <c:pt idx="3">
                  <c:v>626</c:v>
                </c:pt>
                <c:pt idx="4">
                  <c:v>472</c:v>
                </c:pt>
                <c:pt idx="5">
                  <c:v>571</c:v>
                </c:pt>
                <c:pt idx="6">
                  <c:v>570</c:v>
                </c:pt>
                <c:pt idx="7">
                  <c:v>534</c:v>
                </c:pt>
                <c:pt idx="8">
                  <c:v>523</c:v>
                </c:pt>
                <c:pt idx="9">
                  <c:v>533</c:v>
                </c:pt>
                <c:pt idx="10">
                  <c:v>531</c:v>
                </c:pt>
                <c:pt idx="11">
                  <c:v>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'28.07 Busega-Masanafu'!$AD$9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Busega-Masanafu'!$AD$10:$AD$21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875136"/>
        <c:axId val="124876672"/>
      </c:lineChart>
      <c:catAx>
        <c:axId val="124875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4876672"/>
        <c:crosses val="autoZero"/>
        <c:auto val="1"/>
        <c:lblAlgn val="ctr"/>
        <c:lblOffset val="100"/>
        <c:noMultiLvlLbl val="0"/>
      </c:catAx>
      <c:valAx>
        <c:axId val="12487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487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Busega-Masanafu'!$C$9:$N$9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Busega-Masanafu'!$C$60:$N$60</c:f>
              <c:numCache>
                <c:formatCode>0.00%</c:formatCode>
                <c:ptCount val="12"/>
                <c:pt idx="0">
                  <c:v>0.51454656116859399</c:v>
                </c:pt>
                <c:pt idx="1">
                  <c:v>8.825319537431528E-2</c:v>
                </c:pt>
                <c:pt idx="2">
                  <c:v>4.8691418137553254E-2</c:v>
                </c:pt>
                <c:pt idx="3">
                  <c:v>0.20499087035909921</c:v>
                </c:pt>
                <c:pt idx="4">
                  <c:v>1.0955569080949483E-2</c:v>
                </c:pt>
                <c:pt idx="5">
                  <c:v>2.9214850882531953E-3</c:v>
                </c:pt>
                <c:pt idx="6">
                  <c:v>4.5769933049300063E-2</c:v>
                </c:pt>
                <c:pt idx="7">
                  <c:v>4.8447961046865488E-2</c:v>
                </c:pt>
                <c:pt idx="8">
                  <c:v>1.5459525258673159E-2</c:v>
                </c:pt>
                <c:pt idx="9">
                  <c:v>1.9963481436396834E-2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Masanafu-Busega'!$AE$9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Masanafu-Busega'!$R$10:$R$21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Masanafu-Busega'!$AE$10:$AE$21</c:f>
              <c:numCache>
                <c:formatCode>0</c:formatCode>
                <c:ptCount val="12"/>
                <c:pt idx="0">
                  <c:v>410</c:v>
                </c:pt>
                <c:pt idx="1">
                  <c:v>518</c:v>
                </c:pt>
                <c:pt idx="2">
                  <c:v>587</c:v>
                </c:pt>
                <c:pt idx="3">
                  <c:v>730</c:v>
                </c:pt>
                <c:pt idx="4">
                  <c:v>723</c:v>
                </c:pt>
                <c:pt idx="5">
                  <c:v>1206</c:v>
                </c:pt>
                <c:pt idx="6">
                  <c:v>993</c:v>
                </c:pt>
                <c:pt idx="7">
                  <c:v>849</c:v>
                </c:pt>
                <c:pt idx="8">
                  <c:v>827</c:v>
                </c:pt>
                <c:pt idx="9">
                  <c:v>824</c:v>
                </c:pt>
                <c:pt idx="10">
                  <c:v>891</c:v>
                </c:pt>
                <c:pt idx="11">
                  <c:v>784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'28.07 Masanafu-Busega'!$AF$9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Masanafu-Busega'!$R$10:$R$21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Masanafu-Busega'!$AF$10:$AF$21</c:f>
              <c:numCache>
                <c:formatCode>0</c:formatCode>
                <c:ptCount val="12"/>
                <c:pt idx="0">
                  <c:v>717</c:v>
                </c:pt>
                <c:pt idx="1">
                  <c:v>943</c:v>
                </c:pt>
                <c:pt idx="2">
                  <c:v>1008</c:v>
                </c:pt>
                <c:pt idx="3">
                  <c:v>1135</c:v>
                </c:pt>
                <c:pt idx="4">
                  <c:v>1154</c:v>
                </c:pt>
                <c:pt idx="5">
                  <c:v>1753</c:v>
                </c:pt>
                <c:pt idx="6">
                  <c:v>1418</c:v>
                </c:pt>
                <c:pt idx="7">
                  <c:v>1113</c:v>
                </c:pt>
                <c:pt idx="8">
                  <c:v>1151</c:v>
                </c:pt>
                <c:pt idx="9">
                  <c:v>1177</c:v>
                </c:pt>
                <c:pt idx="10">
                  <c:v>1319</c:v>
                </c:pt>
                <c:pt idx="11">
                  <c:v>1328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4256"/>
        <c:axId val="125190528"/>
      </c:lineChart>
      <c:catAx>
        <c:axId val="1251842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190528"/>
        <c:crosses val="autoZero"/>
        <c:auto val="1"/>
        <c:lblAlgn val="ctr"/>
        <c:lblOffset val="100"/>
        <c:noMultiLvlLbl val="0"/>
      </c:catAx>
      <c:valAx>
        <c:axId val="1251905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184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Masanafu-Busega'!$C$9:$N$9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Masanafu-Busega'!$C$59:$N$59</c:f>
              <c:numCache>
                <c:formatCode>0.0%</c:formatCode>
                <c:ptCount val="12"/>
                <c:pt idx="0">
                  <c:v>0.34454136184580753</c:v>
                </c:pt>
                <c:pt idx="1">
                  <c:v>3.47495779403489E-2</c:v>
                </c:pt>
                <c:pt idx="2">
                  <c:v>3.2568936409679235E-2</c:v>
                </c:pt>
                <c:pt idx="3">
                  <c:v>0.15194147439504782</c:v>
                </c:pt>
                <c:pt idx="4">
                  <c:v>7.1046707934721443E-3</c:v>
                </c:pt>
                <c:pt idx="5">
                  <c:v>2.3213280810354532E-3</c:v>
                </c:pt>
                <c:pt idx="6">
                  <c:v>4.1994935284186831E-2</c:v>
                </c:pt>
                <c:pt idx="7">
                  <c:v>1.8781654473832302E-2</c:v>
                </c:pt>
                <c:pt idx="8">
                  <c:v>9.8480585256049517E-3</c:v>
                </c:pt>
                <c:pt idx="9">
                  <c:v>1.31541924592009E-2</c:v>
                </c:pt>
                <c:pt idx="10">
                  <c:v>0.34285312324141815</c:v>
                </c:pt>
                <c:pt idx="11">
                  <c:v>1.4068655036578504E-4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Masanafu-Busega'!$C$9:$N$9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Masanafu-Busega'!$C$60:$N$60</c:f>
              <c:numCache>
                <c:formatCode>0.00%</c:formatCode>
                <c:ptCount val="12"/>
                <c:pt idx="0">
                  <c:v>0.52429886533932779</c:v>
                </c:pt>
                <c:pt idx="1">
                  <c:v>5.287946906444016E-2</c:v>
                </c:pt>
                <c:pt idx="2">
                  <c:v>4.9561121815457077E-2</c:v>
                </c:pt>
                <c:pt idx="3">
                  <c:v>0.23121387283236994</c:v>
                </c:pt>
                <c:pt idx="4">
                  <c:v>1.0811389424106187E-2</c:v>
                </c:pt>
                <c:pt idx="5">
                  <c:v>3.5324341682723185E-3</c:v>
                </c:pt>
                <c:pt idx="6">
                  <c:v>6.3904945407835576E-2</c:v>
                </c:pt>
                <c:pt idx="7">
                  <c:v>2.8580603725112397E-2</c:v>
                </c:pt>
                <c:pt idx="8">
                  <c:v>1.49860843502462E-2</c:v>
                </c:pt>
                <c:pt idx="9">
                  <c:v>2.001712695354314E-2</c:v>
                </c:pt>
                <c:pt idx="11">
                  <c:v>2.1408691928923143E-4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Busega-Masanafu'!$AE$9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Busega-Masanafu'!$R$10:$R$33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Busega-Masanafu'!$AE$10:$AE$33</c:f>
              <c:numCache>
                <c:formatCode>0</c:formatCode>
                <c:ptCount val="24"/>
                <c:pt idx="0">
                  <c:v>504.14285714285711</c:v>
                </c:pt>
                <c:pt idx="1">
                  <c:v>532.85714285714289</c:v>
                </c:pt>
                <c:pt idx="2">
                  <c:v>568.57142857142856</c:v>
                </c:pt>
                <c:pt idx="3">
                  <c:v>598.57142857142856</c:v>
                </c:pt>
                <c:pt idx="4">
                  <c:v>608.71428571428578</c:v>
                </c:pt>
                <c:pt idx="5">
                  <c:v>596.57142857142856</c:v>
                </c:pt>
                <c:pt idx="6">
                  <c:v>562.85714285714289</c:v>
                </c:pt>
                <c:pt idx="7">
                  <c:v>685.14285714285711</c:v>
                </c:pt>
                <c:pt idx="8">
                  <c:v>635.85714285714289</c:v>
                </c:pt>
                <c:pt idx="9">
                  <c:v>661.14285714285711</c:v>
                </c:pt>
                <c:pt idx="10">
                  <c:v>687.28571428571422</c:v>
                </c:pt>
                <c:pt idx="11">
                  <c:v>679.14285714285711</c:v>
                </c:pt>
                <c:pt idx="12">
                  <c:v>5691.4285714285716</c:v>
                </c:pt>
                <c:pt idx="13">
                  <c:v>613</c:v>
                </c:pt>
                <c:pt idx="14">
                  <c:v>633</c:v>
                </c:pt>
                <c:pt idx="15">
                  <c:v>447.5</c:v>
                </c:pt>
                <c:pt idx="16">
                  <c:v>359.5</c:v>
                </c:pt>
                <c:pt idx="17">
                  <c:v>227.5</c:v>
                </c:pt>
                <c:pt idx="18">
                  <c:v>179.5</c:v>
                </c:pt>
                <c:pt idx="19">
                  <c:v>135.5</c:v>
                </c:pt>
                <c:pt idx="20">
                  <c:v>144</c:v>
                </c:pt>
                <c:pt idx="21">
                  <c:v>157.5</c:v>
                </c:pt>
                <c:pt idx="22">
                  <c:v>149.5</c:v>
                </c:pt>
                <c:pt idx="23">
                  <c:v>220.5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Busega-Masanafu'!$AF$9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Busega-Masanafu'!$R$10:$R$33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Busega-Masanafu'!$AF$10:$AF$33</c:f>
              <c:numCache>
                <c:formatCode>0</c:formatCode>
                <c:ptCount val="24"/>
                <c:pt idx="0">
                  <c:v>1085.4285714285713</c:v>
                </c:pt>
                <c:pt idx="1">
                  <c:v>1174.8571428571427</c:v>
                </c:pt>
                <c:pt idx="2">
                  <c:v>1147.8571428571429</c:v>
                </c:pt>
                <c:pt idx="3">
                  <c:v>1112.2857142857142</c:v>
                </c:pt>
                <c:pt idx="4">
                  <c:v>1069.1428571428571</c:v>
                </c:pt>
                <c:pt idx="5">
                  <c:v>1077.5714285714287</c:v>
                </c:pt>
                <c:pt idx="6">
                  <c:v>1030.5714285714284</c:v>
                </c:pt>
                <c:pt idx="7">
                  <c:v>1093.5714285714284</c:v>
                </c:pt>
                <c:pt idx="8">
                  <c:v>1012.1428571428571</c:v>
                </c:pt>
                <c:pt idx="9">
                  <c:v>1043.7142857142858</c:v>
                </c:pt>
                <c:pt idx="10">
                  <c:v>1104.4285714285713</c:v>
                </c:pt>
                <c:pt idx="11">
                  <c:v>1127.5714285714284</c:v>
                </c:pt>
                <c:pt idx="12">
                  <c:v>10080.142857142859</c:v>
                </c:pt>
                <c:pt idx="13">
                  <c:v>977</c:v>
                </c:pt>
                <c:pt idx="14">
                  <c:v>983.5</c:v>
                </c:pt>
                <c:pt idx="15">
                  <c:v>730</c:v>
                </c:pt>
                <c:pt idx="16">
                  <c:v>569</c:v>
                </c:pt>
                <c:pt idx="17">
                  <c:v>378.5</c:v>
                </c:pt>
                <c:pt idx="18">
                  <c:v>244</c:v>
                </c:pt>
                <c:pt idx="19">
                  <c:v>180</c:v>
                </c:pt>
                <c:pt idx="20">
                  <c:v>175.5</c:v>
                </c:pt>
                <c:pt idx="21">
                  <c:v>203.5</c:v>
                </c:pt>
                <c:pt idx="22">
                  <c:v>206.5</c:v>
                </c:pt>
                <c:pt idx="23">
                  <c:v>295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601664"/>
        <c:axId val="125624320"/>
      </c:lineChart>
      <c:catAx>
        <c:axId val="12560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624320"/>
        <c:crosses val="autoZero"/>
        <c:auto val="1"/>
        <c:lblAlgn val="ctr"/>
        <c:lblOffset val="100"/>
        <c:noMultiLvlLbl val="0"/>
      </c:catAx>
      <c:valAx>
        <c:axId val="1256243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60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Busega-Masanafu'!$C$9:$N$9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Busega-Masanafu'!$C$107:$N$107</c:f>
              <c:numCache>
                <c:formatCode>0.0%</c:formatCode>
                <c:ptCount val="12"/>
                <c:pt idx="0">
                  <c:v>0.17747308939897932</c:v>
                </c:pt>
                <c:pt idx="1">
                  <c:v>3.0735418689696488E-2</c:v>
                </c:pt>
                <c:pt idx="2">
                  <c:v>2.6967418028553125E-2</c:v>
                </c:pt>
                <c:pt idx="3">
                  <c:v>7.0502159046300694E-2</c:v>
                </c:pt>
                <c:pt idx="4">
                  <c:v>5.405363525546992E-3</c:v>
                </c:pt>
                <c:pt idx="5">
                  <c:v>1.6890146897791366E-3</c:v>
                </c:pt>
                <c:pt idx="6">
                  <c:v>2.7685378401272699E-2</c:v>
                </c:pt>
                <c:pt idx="7">
                  <c:v>2.8504059833474506E-2</c:v>
                </c:pt>
                <c:pt idx="8">
                  <c:v>1.2176917832276193E-2</c:v>
                </c:pt>
                <c:pt idx="9">
                  <c:v>1.3834941426830024E-2</c:v>
                </c:pt>
                <c:pt idx="10">
                  <c:v>0.2771481994173674</c:v>
                </c:pt>
                <c:pt idx="11">
                  <c:v>2.840850395652982E-5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26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Busega-Masanafu'!$S$9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'Avg Week Busega-Masanafu'!$R$10:$R$21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Busega-Masanafu'!$S$10:$S$21</c:f>
              <c:numCache>
                <c:formatCode>0</c:formatCode>
                <c:ptCount val="12"/>
                <c:pt idx="0">
                  <c:v>255.42857142857144</c:v>
                </c:pt>
                <c:pt idx="1">
                  <c:v>256.28571428571428</c:v>
                </c:pt>
                <c:pt idx="2">
                  <c:v>268.85714285714289</c:v>
                </c:pt>
                <c:pt idx="3">
                  <c:v>268.71428571428572</c:v>
                </c:pt>
                <c:pt idx="4">
                  <c:v>274.28571428571428</c:v>
                </c:pt>
                <c:pt idx="5">
                  <c:v>270.28571428571428</c:v>
                </c:pt>
                <c:pt idx="6">
                  <c:v>239.85714285714286</c:v>
                </c:pt>
                <c:pt idx="7">
                  <c:v>350.85714285714289</c:v>
                </c:pt>
                <c:pt idx="8">
                  <c:v>283.71428571428572</c:v>
                </c:pt>
                <c:pt idx="9">
                  <c:v>306.28571428571428</c:v>
                </c:pt>
                <c:pt idx="10">
                  <c:v>316</c:v>
                </c:pt>
                <c:pt idx="11">
                  <c:v>305.42857142857144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668-4FCD-A619-4501F07B66D1}"/>
            </c:ext>
          </c:extLst>
        </c:ser>
        <c:ser>
          <c:idx val="1"/>
          <c:order val="1"/>
          <c:tx>
            <c:strRef>
              <c:f>'Avg Week Busega-Masanafu'!$T$9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Week Busega-Masanafu'!$R$10:$R$21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Busega-Masanafu'!$T$10:$T$21</c:f>
              <c:numCache>
                <c:formatCode>0</c:formatCode>
                <c:ptCount val="12"/>
                <c:pt idx="0">
                  <c:v>32.571428571428569</c:v>
                </c:pt>
                <c:pt idx="1">
                  <c:v>43.571428571428569</c:v>
                </c:pt>
                <c:pt idx="2">
                  <c:v>51.571428571428577</c:v>
                </c:pt>
                <c:pt idx="3">
                  <c:v>54</c:v>
                </c:pt>
                <c:pt idx="4">
                  <c:v>52.285714285714278</c:v>
                </c:pt>
                <c:pt idx="5">
                  <c:v>50.285714285714285</c:v>
                </c:pt>
                <c:pt idx="6">
                  <c:v>55.857142857142861</c:v>
                </c:pt>
                <c:pt idx="7">
                  <c:v>61</c:v>
                </c:pt>
                <c:pt idx="8">
                  <c:v>73.285714285714292</c:v>
                </c:pt>
                <c:pt idx="9">
                  <c:v>64.142857142857139</c:v>
                </c:pt>
                <c:pt idx="10">
                  <c:v>62.285714285714278</c:v>
                </c:pt>
                <c:pt idx="11">
                  <c:v>66.714285714285708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668-4FCD-A619-4501F07B66D1}"/>
            </c:ext>
          </c:extLst>
        </c:ser>
        <c:ser>
          <c:idx val="2"/>
          <c:order val="2"/>
          <c:tx>
            <c:strRef>
              <c:f>'Avg Week Busega-Masanafu'!$U$9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'Avg Week Busega-Masanafu'!$U$10:$U$21</c:f>
              <c:numCache>
                <c:formatCode>0</c:formatCode>
                <c:ptCount val="12"/>
                <c:pt idx="0">
                  <c:v>24.285714285714285</c:v>
                </c:pt>
                <c:pt idx="1">
                  <c:v>33.285714285714292</c:v>
                </c:pt>
                <c:pt idx="2">
                  <c:v>38.142857142857146</c:v>
                </c:pt>
                <c:pt idx="3">
                  <c:v>32.285714285714285</c:v>
                </c:pt>
                <c:pt idx="4">
                  <c:v>37</c:v>
                </c:pt>
                <c:pt idx="5">
                  <c:v>31.571428571428573</c:v>
                </c:pt>
                <c:pt idx="6">
                  <c:v>45.571428571428569</c:v>
                </c:pt>
                <c:pt idx="7">
                  <c:v>38.428571428571431</c:v>
                </c:pt>
                <c:pt idx="8">
                  <c:v>47.285714285714292</c:v>
                </c:pt>
                <c:pt idx="9">
                  <c:v>43.285714285714285</c:v>
                </c:pt>
                <c:pt idx="10">
                  <c:v>46.857142857142861</c:v>
                </c:pt>
                <c:pt idx="11">
                  <c:v>42.857142857142861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68-4FCD-A619-4501F07B66D1}"/>
            </c:ext>
          </c:extLst>
        </c:ser>
        <c:ser>
          <c:idx val="3"/>
          <c:order val="3"/>
          <c:tx>
            <c:strRef>
              <c:f>'Avg Week Busega-Masanafu'!$V$9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'Avg Week Busega-Masanafu'!$V$10:$V$21</c:f>
              <c:numCache>
                <c:formatCode>0</c:formatCode>
                <c:ptCount val="12"/>
                <c:pt idx="0">
                  <c:v>85.285714285714278</c:v>
                </c:pt>
                <c:pt idx="1">
                  <c:v>95.714285714285722</c:v>
                </c:pt>
                <c:pt idx="2">
                  <c:v>102.71428571428572</c:v>
                </c:pt>
                <c:pt idx="3">
                  <c:v>113.28571428571428</c:v>
                </c:pt>
                <c:pt idx="4">
                  <c:v>129.57142857142856</c:v>
                </c:pt>
                <c:pt idx="5">
                  <c:v>122.42857142857142</c:v>
                </c:pt>
                <c:pt idx="6">
                  <c:v>99.714285714285708</c:v>
                </c:pt>
                <c:pt idx="7">
                  <c:v>101.57142857142856</c:v>
                </c:pt>
                <c:pt idx="8">
                  <c:v>103.57142857142856</c:v>
                </c:pt>
                <c:pt idx="9">
                  <c:v>107.14285714285714</c:v>
                </c:pt>
                <c:pt idx="10">
                  <c:v>125</c:v>
                </c:pt>
                <c:pt idx="11">
                  <c:v>141.42857142857142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68-4FCD-A619-4501F07B66D1}"/>
            </c:ext>
          </c:extLst>
        </c:ser>
        <c:ser>
          <c:idx val="4"/>
          <c:order val="4"/>
          <c:tx>
            <c:strRef>
              <c:f>'Avg Week Busega-Masanafu'!$W$9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'Avg Week Busega-Masanafu'!$W$10:$W$21</c:f>
              <c:numCache>
                <c:formatCode>0</c:formatCode>
                <c:ptCount val="12"/>
                <c:pt idx="0">
                  <c:v>9.5714285714285712</c:v>
                </c:pt>
                <c:pt idx="1">
                  <c:v>6.2857142857142847</c:v>
                </c:pt>
                <c:pt idx="2">
                  <c:v>8.2857142857142865</c:v>
                </c:pt>
                <c:pt idx="3">
                  <c:v>4.4285714285714279</c:v>
                </c:pt>
                <c:pt idx="4">
                  <c:v>2.2857142857142856</c:v>
                </c:pt>
                <c:pt idx="5">
                  <c:v>8.7142857142857135</c:v>
                </c:pt>
                <c:pt idx="6">
                  <c:v>3</c:v>
                </c:pt>
                <c:pt idx="7">
                  <c:v>2.7142857142857144</c:v>
                </c:pt>
                <c:pt idx="8">
                  <c:v>4.7142857142857144</c:v>
                </c:pt>
                <c:pt idx="9">
                  <c:v>7.2857142857142856</c:v>
                </c:pt>
                <c:pt idx="10">
                  <c:v>11.714285714285715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668-4FCD-A619-4501F07B66D1}"/>
            </c:ext>
          </c:extLst>
        </c:ser>
        <c:ser>
          <c:idx val="5"/>
          <c:order val="5"/>
          <c:tx>
            <c:strRef>
              <c:f>'Avg Week Busega-Masanafu'!$X$9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'Avg Week Busega-Masanafu'!$X$10:$X$21</c:f>
              <c:numCache>
                <c:formatCode>0</c:formatCode>
                <c:ptCount val="12"/>
                <c:pt idx="0">
                  <c:v>1.7142857142857142</c:v>
                </c:pt>
                <c:pt idx="1">
                  <c:v>3</c:v>
                </c:pt>
                <c:pt idx="2">
                  <c:v>2.4285714285714284</c:v>
                </c:pt>
                <c:pt idx="3">
                  <c:v>1.714285714285714</c:v>
                </c:pt>
                <c:pt idx="4">
                  <c:v>1</c:v>
                </c:pt>
                <c:pt idx="5">
                  <c:v>2.8571428571428568</c:v>
                </c:pt>
                <c:pt idx="6">
                  <c:v>0.71428571428571419</c:v>
                </c:pt>
                <c:pt idx="7">
                  <c:v>0.85714285714285698</c:v>
                </c:pt>
                <c:pt idx="8">
                  <c:v>1</c:v>
                </c:pt>
                <c:pt idx="9">
                  <c:v>2</c:v>
                </c:pt>
                <c:pt idx="10">
                  <c:v>1.7142857142857142</c:v>
                </c:pt>
                <c:pt idx="11">
                  <c:v>2.714285714285714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668-4FCD-A619-4501F07B66D1}"/>
            </c:ext>
          </c:extLst>
        </c:ser>
        <c:ser>
          <c:idx val="6"/>
          <c:order val="6"/>
          <c:tx>
            <c:strRef>
              <c:f>'Avg Week Busega-Masanafu'!$Y$9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Busega-Masanafu'!$Y$10:$Y$21</c:f>
              <c:numCache>
                <c:formatCode>0</c:formatCode>
                <c:ptCount val="12"/>
                <c:pt idx="0">
                  <c:v>31.142857142857146</c:v>
                </c:pt>
                <c:pt idx="1">
                  <c:v>32.428571428571431</c:v>
                </c:pt>
                <c:pt idx="2">
                  <c:v>33</c:v>
                </c:pt>
                <c:pt idx="3">
                  <c:v>57.857142857142854</c:v>
                </c:pt>
                <c:pt idx="4">
                  <c:v>35.428571428571431</c:v>
                </c:pt>
                <c:pt idx="5">
                  <c:v>39.142857142857139</c:v>
                </c:pt>
                <c:pt idx="6">
                  <c:v>39.571428571428577</c:v>
                </c:pt>
                <c:pt idx="7">
                  <c:v>45.571428571428569</c:v>
                </c:pt>
                <c:pt idx="8">
                  <c:v>42.285714285714285</c:v>
                </c:pt>
                <c:pt idx="9">
                  <c:v>41.714285714285708</c:v>
                </c:pt>
                <c:pt idx="10">
                  <c:v>42</c:v>
                </c:pt>
                <c:pt idx="11">
                  <c:v>35.571428571428577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668-4FCD-A619-4501F07B66D1}"/>
            </c:ext>
          </c:extLst>
        </c:ser>
        <c:ser>
          <c:idx val="7"/>
          <c:order val="7"/>
          <c:tx>
            <c:strRef>
              <c:f>'Avg Week Busega-Masanafu'!$Z$9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Busega-Masanafu'!$Z$10:$Z$21</c:f>
              <c:numCache>
                <c:formatCode>0</c:formatCode>
                <c:ptCount val="12"/>
                <c:pt idx="0">
                  <c:v>38.714285714285715</c:v>
                </c:pt>
                <c:pt idx="1">
                  <c:v>40.142857142857139</c:v>
                </c:pt>
                <c:pt idx="2">
                  <c:v>37.142857142857139</c:v>
                </c:pt>
                <c:pt idx="3">
                  <c:v>35.714285714285715</c:v>
                </c:pt>
                <c:pt idx="4">
                  <c:v>41.857142857142854</c:v>
                </c:pt>
                <c:pt idx="5">
                  <c:v>40.285714285714285</c:v>
                </c:pt>
                <c:pt idx="6">
                  <c:v>40.571428571428569</c:v>
                </c:pt>
                <c:pt idx="7">
                  <c:v>42.857142857142854</c:v>
                </c:pt>
                <c:pt idx="8">
                  <c:v>41.142857142857139</c:v>
                </c:pt>
                <c:pt idx="9">
                  <c:v>42.428571428571431</c:v>
                </c:pt>
                <c:pt idx="10">
                  <c:v>39.714285714285715</c:v>
                </c:pt>
                <c:pt idx="11">
                  <c:v>39.285714285714285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668-4FCD-A619-4501F07B66D1}"/>
            </c:ext>
          </c:extLst>
        </c:ser>
        <c:ser>
          <c:idx val="8"/>
          <c:order val="8"/>
          <c:tx>
            <c:strRef>
              <c:f>'Avg Week Busega-Masanafu'!$AA$9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Busega-Masanafu'!$AA$10:$AA$21</c:f>
              <c:numCache>
                <c:formatCode>0</c:formatCode>
                <c:ptCount val="12"/>
                <c:pt idx="0">
                  <c:v>14.285714285714285</c:v>
                </c:pt>
                <c:pt idx="1">
                  <c:v>11.571428571428573</c:v>
                </c:pt>
                <c:pt idx="2">
                  <c:v>14</c:v>
                </c:pt>
                <c:pt idx="3">
                  <c:v>16.428571428571431</c:v>
                </c:pt>
                <c:pt idx="4">
                  <c:v>14.999999999999998</c:v>
                </c:pt>
                <c:pt idx="5">
                  <c:v>11</c:v>
                </c:pt>
                <c:pt idx="6">
                  <c:v>15.714285714285715</c:v>
                </c:pt>
                <c:pt idx="7">
                  <c:v>18.142857142857142</c:v>
                </c:pt>
                <c:pt idx="8">
                  <c:v>17.428571428571431</c:v>
                </c:pt>
                <c:pt idx="9">
                  <c:v>16</c:v>
                </c:pt>
                <c:pt idx="10">
                  <c:v>17.571428571428573</c:v>
                </c:pt>
                <c:pt idx="11">
                  <c:v>11.142857142857144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668-4FCD-A619-4501F07B66D1}"/>
            </c:ext>
          </c:extLst>
        </c:ser>
        <c:ser>
          <c:idx val="9"/>
          <c:order val="9"/>
          <c:tx>
            <c:strRef>
              <c:f>'Avg Week Busega-Masanafu'!$AB$9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Busega-Masanafu'!$AB$10:$AB$21</c:f>
              <c:numCache>
                <c:formatCode>0</c:formatCode>
                <c:ptCount val="12"/>
                <c:pt idx="0">
                  <c:v>11.142857142857142</c:v>
                </c:pt>
                <c:pt idx="1">
                  <c:v>10.571428571428573</c:v>
                </c:pt>
                <c:pt idx="2">
                  <c:v>12.428571428571429</c:v>
                </c:pt>
                <c:pt idx="3">
                  <c:v>14.142857142857144</c:v>
                </c:pt>
                <c:pt idx="4">
                  <c:v>20</c:v>
                </c:pt>
                <c:pt idx="5">
                  <c:v>20</c:v>
                </c:pt>
                <c:pt idx="6">
                  <c:v>22.285714285714285</c:v>
                </c:pt>
                <c:pt idx="7">
                  <c:v>23.142857142857142</c:v>
                </c:pt>
                <c:pt idx="8">
                  <c:v>21.428571428571427</c:v>
                </c:pt>
                <c:pt idx="9">
                  <c:v>30.857142857142861</c:v>
                </c:pt>
                <c:pt idx="10">
                  <c:v>24.142857142857146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668-4FCD-A619-4501F07B66D1}"/>
            </c:ext>
          </c:extLst>
        </c:ser>
        <c:ser>
          <c:idx val="10"/>
          <c:order val="10"/>
          <c:tx>
            <c:strRef>
              <c:f>'Avg Week Busega-Masanafu'!$AC$9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Busega-Masanafu'!$AC$10:$AC$21</c:f>
              <c:numCache>
                <c:formatCode>0</c:formatCode>
                <c:ptCount val="12"/>
                <c:pt idx="0">
                  <c:v>581.28571428571422</c:v>
                </c:pt>
                <c:pt idx="1">
                  <c:v>642</c:v>
                </c:pt>
                <c:pt idx="2">
                  <c:v>579.28571428571422</c:v>
                </c:pt>
                <c:pt idx="3">
                  <c:v>513.71428571428578</c:v>
                </c:pt>
                <c:pt idx="4">
                  <c:v>460.42857142857144</c:v>
                </c:pt>
                <c:pt idx="5">
                  <c:v>481</c:v>
                </c:pt>
                <c:pt idx="6">
                  <c:v>467.71428571428572</c:v>
                </c:pt>
                <c:pt idx="7">
                  <c:v>408.42857142857144</c:v>
                </c:pt>
                <c:pt idx="8">
                  <c:v>376.28571428571428</c:v>
                </c:pt>
                <c:pt idx="9">
                  <c:v>382.57142857142856</c:v>
                </c:pt>
                <c:pt idx="10">
                  <c:v>417.14285714285717</c:v>
                </c:pt>
                <c:pt idx="11">
                  <c:v>448.42857142857139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668-4FCD-A619-4501F07B66D1}"/>
            </c:ext>
          </c:extLst>
        </c:ser>
        <c:ser>
          <c:idx val="11"/>
          <c:order val="11"/>
          <c:tx>
            <c:strRef>
              <c:f>'Avg Week Busega-Masanafu'!$AD$9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Busega-Masanafu'!$AD$10:$AD$21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0.2857142857142857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668-4FCD-A619-4501F07B66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873536"/>
        <c:axId val="125883520"/>
      </c:lineChart>
      <c:catAx>
        <c:axId val="125873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883520"/>
        <c:crosses val="autoZero"/>
        <c:auto val="1"/>
        <c:lblAlgn val="ctr"/>
        <c:lblOffset val="100"/>
        <c:noMultiLvlLbl val="0"/>
      </c:catAx>
      <c:valAx>
        <c:axId val="12588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873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Busega-Masanafu'!$C$9:$N$9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Busega-Masanafu'!$C$108:$N$108</c:f>
              <c:numCache>
                <c:formatCode>0.00%</c:formatCode>
                <c:ptCount val="12"/>
                <c:pt idx="0">
                  <c:v>0.30633815374190909</c:v>
                </c:pt>
                <c:pt idx="1">
                  <c:v>5.3052727305147915E-2</c:v>
                </c:pt>
                <c:pt idx="2">
                  <c:v>4.6548741998181209E-2</c:v>
                </c:pt>
                <c:pt idx="3">
                  <c:v>0.12169451329327227</c:v>
                </c:pt>
                <c:pt idx="4">
                  <c:v>9.3302544533799339E-3</c:v>
                </c:pt>
                <c:pt idx="5">
                  <c:v>2.9154259018205815E-3</c:v>
                </c:pt>
                <c:pt idx="6">
                  <c:v>4.7788020898343476E-2</c:v>
                </c:pt>
                <c:pt idx="7">
                  <c:v>4.920115547155008E-2</c:v>
                </c:pt>
                <c:pt idx="8">
                  <c:v>2.101870508728447E-2</c:v>
                </c:pt>
                <c:pt idx="9">
                  <c:v>2.3880636935860639E-2</c:v>
                </c:pt>
                <c:pt idx="11">
                  <c:v>4.9036215474046472E-5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Masanafu-Busega'!$AE$9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Masanafu-Busega'!$R$10:$R$33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Masanafu-Busega'!$AE$10:$AE$33</c:f>
              <c:numCache>
                <c:formatCode>0</c:formatCode>
                <c:ptCount val="24"/>
                <c:pt idx="0">
                  <c:v>526.71428571428578</c:v>
                </c:pt>
                <c:pt idx="1">
                  <c:v>582.71428571428567</c:v>
                </c:pt>
                <c:pt idx="2">
                  <c:v>619.57142857142856</c:v>
                </c:pt>
                <c:pt idx="3">
                  <c:v>663.71428571428578</c:v>
                </c:pt>
                <c:pt idx="4">
                  <c:v>713.85714285714289</c:v>
                </c:pt>
                <c:pt idx="5">
                  <c:v>798.14285714285711</c:v>
                </c:pt>
                <c:pt idx="6">
                  <c:v>724.42857142857156</c:v>
                </c:pt>
                <c:pt idx="7">
                  <c:v>679.28571428571422</c:v>
                </c:pt>
                <c:pt idx="8">
                  <c:v>677</c:v>
                </c:pt>
                <c:pt idx="9">
                  <c:v>762.42857142857133</c:v>
                </c:pt>
                <c:pt idx="10">
                  <c:v>820.14285714285711</c:v>
                </c:pt>
                <c:pt idx="11">
                  <c:v>824.42857142857144</c:v>
                </c:pt>
                <c:pt idx="12">
                  <c:v>772.78571428571422</c:v>
                </c:pt>
                <c:pt idx="13">
                  <c:v>612</c:v>
                </c:pt>
                <c:pt idx="14">
                  <c:v>606.5</c:v>
                </c:pt>
                <c:pt idx="15">
                  <c:v>490.5</c:v>
                </c:pt>
                <c:pt idx="16">
                  <c:v>426.5</c:v>
                </c:pt>
                <c:pt idx="17">
                  <c:v>244.5</c:v>
                </c:pt>
                <c:pt idx="18">
                  <c:v>175.5</c:v>
                </c:pt>
                <c:pt idx="19">
                  <c:v>113.5</c:v>
                </c:pt>
                <c:pt idx="20">
                  <c:v>83.5</c:v>
                </c:pt>
                <c:pt idx="21">
                  <c:v>87.5</c:v>
                </c:pt>
                <c:pt idx="22">
                  <c:v>137.5</c:v>
                </c:pt>
                <c:pt idx="23">
                  <c:v>226.5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Masanafu-Busega'!$AF$9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Masanafu-Busega'!$R$10:$R$33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Masanafu-Busega'!$AF$10:$AF$33</c:f>
              <c:numCache>
                <c:formatCode>0</c:formatCode>
                <c:ptCount val="24"/>
                <c:pt idx="0">
                  <c:v>945</c:v>
                </c:pt>
                <c:pt idx="1">
                  <c:v>1066.8571428571429</c:v>
                </c:pt>
                <c:pt idx="2">
                  <c:v>1110</c:v>
                </c:pt>
                <c:pt idx="3">
                  <c:v>1116.5714285714287</c:v>
                </c:pt>
                <c:pt idx="4">
                  <c:v>1161.5714285714284</c:v>
                </c:pt>
                <c:pt idx="5">
                  <c:v>1197.4285714285716</c:v>
                </c:pt>
                <c:pt idx="6">
                  <c:v>1106</c:v>
                </c:pt>
                <c:pt idx="7">
                  <c:v>1035.8571428571429</c:v>
                </c:pt>
                <c:pt idx="8">
                  <c:v>1012.1428571428571</c:v>
                </c:pt>
                <c:pt idx="9">
                  <c:v>1133.8571428571427</c:v>
                </c:pt>
                <c:pt idx="10">
                  <c:v>1243.7142857142858</c:v>
                </c:pt>
                <c:pt idx="11">
                  <c:v>1317.2857142857144</c:v>
                </c:pt>
                <c:pt idx="12">
                  <c:v>1191.8571428571429</c:v>
                </c:pt>
                <c:pt idx="13">
                  <c:v>1050</c:v>
                </c:pt>
                <c:pt idx="14">
                  <c:v>1140</c:v>
                </c:pt>
                <c:pt idx="15">
                  <c:v>857</c:v>
                </c:pt>
                <c:pt idx="16">
                  <c:v>699.5</c:v>
                </c:pt>
                <c:pt idx="17">
                  <c:v>379</c:v>
                </c:pt>
                <c:pt idx="18">
                  <c:v>276.5</c:v>
                </c:pt>
                <c:pt idx="19">
                  <c:v>162.5</c:v>
                </c:pt>
                <c:pt idx="20">
                  <c:v>133</c:v>
                </c:pt>
                <c:pt idx="21">
                  <c:v>117</c:v>
                </c:pt>
                <c:pt idx="22">
                  <c:v>200</c:v>
                </c:pt>
                <c:pt idx="23">
                  <c:v>322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941248"/>
        <c:axId val="125943168"/>
      </c:lineChart>
      <c:catAx>
        <c:axId val="1259412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943168"/>
        <c:crosses val="autoZero"/>
        <c:auto val="1"/>
        <c:lblAlgn val="ctr"/>
        <c:lblOffset val="100"/>
        <c:noMultiLvlLbl val="0"/>
      </c:catAx>
      <c:valAx>
        <c:axId val="1259431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94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Masanafu-Busega'!$C$9:$N$9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Masanafu-Busega'!$C$107:$N$107</c:f>
              <c:numCache>
                <c:formatCode>0.0%</c:formatCode>
                <c:ptCount val="12"/>
                <c:pt idx="0">
                  <c:v>0.29511530752343967</c:v>
                </c:pt>
                <c:pt idx="1">
                  <c:v>4.1016585781308498E-2</c:v>
                </c:pt>
                <c:pt idx="2">
                  <c:v>3.9037892526486581E-2</c:v>
                </c:pt>
                <c:pt idx="3">
                  <c:v>0.12355636155387992</c:v>
                </c:pt>
                <c:pt idx="4">
                  <c:v>6.6225651794039695E-3</c:v>
                </c:pt>
                <c:pt idx="5">
                  <c:v>2.3788371597859045E-3</c:v>
                </c:pt>
                <c:pt idx="6">
                  <c:v>4.7253691235747158E-2</c:v>
                </c:pt>
                <c:pt idx="7">
                  <c:v>3.0965264572213127E-2</c:v>
                </c:pt>
                <c:pt idx="8">
                  <c:v>1.4383154308705515E-2</c:v>
                </c:pt>
                <c:pt idx="9">
                  <c:v>1.8546119338330849E-2</c:v>
                </c:pt>
                <c:pt idx="10">
                  <c:v>0.38110953664070019</c:v>
                </c:pt>
                <c:pt idx="11">
                  <c:v>1.4684179998678423E-5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26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Masanafu-Busega'!$S$9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'Avg Week Masanafu-Busega'!$R$10:$R$21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Masanafu-Busega'!$S$10:$S$21</c:f>
              <c:numCache>
                <c:formatCode>0</c:formatCode>
                <c:ptCount val="12"/>
                <c:pt idx="0">
                  <c:v>255.71428571428572</c:v>
                </c:pt>
                <c:pt idx="1">
                  <c:v>274.71428571428572</c:v>
                </c:pt>
                <c:pt idx="2">
                  <c:v>272.14285714285711</c:v>
                </c:pt>
                <c:pt idx="3">
                  <c:v>293</c:v>
                </c:pt>
                <c:pt idx="4">
                  <c:v>341.14285714285711</c:v>
                </c:pt>
                <c:pt idx="5">
                  <c:v>381.14285714285711</c:v>
                </c:pt>
                <c:pt idx="6">
                  <c:v>339.57142857142856</c:v>
                </c:pt>
                <c:pt idx="7">
                  <c:v>314.28571428571433</c:v>
                </c:pt>
                <c:pt idx="8">
                  <c:v>317.28571428571428</c:v>
                </c:pt>
                <c:pt idx="9">
                  <c:v>378.57142857142861</c:v>
                </c:pt>
                <c:pt idx="10">
                  <c:v>425</c:v>
                </c:pt>
                <c:pt idx="11">
                  <c:v>460.57142857142861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AB2-4E89-BB96-27269775CB4B}"/>
            </c:ext>
          </c:extLst>
        </c:ser>
        <c:ser>
          <c:idx val="1"/>
          <c:order val="1"/>
          <c:tx>
            <c:strRef>
              <c:f>'Avg Week Masanafu-Busega'!$T$9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Week Masanafu-Busega'!$R$10:$R$21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Masanafu-Busega'!$T$10:$T$21</c:f>
              <c:numCache>
                <c:formatCode>0</c:formatCode>
                <c:ptCount val="12"/>
                <c:pt idx="0">
                  <c:v>35.428571428571431</c:v>
                </c:pt>
                <c:pt idx="1">
                  <c:v>35.428571428571431</c:v>
                </c:pt>
                <c:pt idx="2">
                  <c:v>37.714285714285715</c:v>
                </c:pt>
                <c:pt idx="3">
                  <c:v>39.142857142857146</c:v>
                </c:pt>
                <c:pt idx="4">
                  <c:v>45.428571428571431</c:v>
                </c:pt>
                <c:pt idx="5">
                  <c:v>50.714285714285715</c:v>
                </c:pt>
                <c:pt idx="6">
                  <c:v>45.142857142857139</c:v>
                </c:pt>
                <c:pt idx="7">
                  <c:v>37.428571428571431</c:v>
                </c:pt>
                <c:pt idx="8">
                  <c:v>45.571428571428569</c:v>
                </c:pt>
                <c:pt idx="9">
                  <c:v>45.714285714285715</c:v>
                </c:pt>
                <c:pt idx="10">
                  <c:v>47.285714285714285</c:v>
                </c:pt>
                <c:pt idx="11">
                  <c:v>43.571428571428569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AB2-4E89-BB96-27269775CB4B}"/>
            </c:ext>
          </c:extLst>
        </c:ser>
        <c:ser>
          <c:idx val="2"/>
          <c:order val="2"/>
          <c:tx>
            <c:strRef>
              <c:f>'Avg Week Masanafu-Busega'!$U$9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'Avg Week Masanafu-Busega'!$U$10:$U$21</c:f>
              <c:numCache>
                <c:formatCode>0</c:formatCode>
                <c:ptCount val="12"/>
                <c:pt idx="0">
                  <c:v>31.857142857142854</c:v>
                </c:pt>
                <c:pt idx="1">
                  <c:v>37.142857142857146</c:v>
                </c:pt>
                <c:pt idx="2">
                  <c:v>39</c:v>
                </c:pt>
                <c:pt idx="3">
                  <c:v>41</c:v>
                </c:pt>
                <c:pt idx="4">
                  <c:v>39.571428571428577</c:v>
                </c:pt>
                <c:pt idx="5">
                  <c:v>43.142857142857139</c:v>
                </c:pt>
                <c:pt idx="6">
                  <c:v>39</c:v>
                </c:pt>
                <c:pt idx="7">
                  <c:v>44.714285714285715</c:v>
                </c:pt>
                <c:pt idx="8">
                  <c:v>46.571428571428569</c:v>
                </c:pt>
                <c:pt idx="9">
                  <c:v>46.142857142857146</c:v>
                </c:pt>
                <c:pt idx="10">
                  <c:v>40.428571428571431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B2-4E89-BB96-27269775CB4B}"/>
            </c:ext>
          </c:extLst>
        </c:ser>
        <c:ser>
          <c:idx val="3"/>
          <c:order val="3"/>
          <c:tx>
            <c:strRef>
              <c:f>'Avg Week Masanafu-Busega'!$V$9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'Avg Week Masanafu-Busega'!$V$10:$V$21</c:f>
              <c:numCache>
                <c:formatCode>0</c:formatCode>
                <c:ptCount val="12"/>
                <c:pt idx="0">
                  <c:v>121.14285714285714</c:v>
                </c:pt>
                <c:pt idx="1">
                  <c:v>141.14285714285711</c:v>
                </c:pt>
                <c:pt idx="2">
                  <c:v>152.71428571428572</c:v>
                </c:pt>
                <c:pt idx="3">
                  <c:v>155.57142857142858</c:v>
                </c:pt>
                <c:pt idx="4">
                  <c:v>145.85714285714286</c:v>
                </c:pt>
                <c:pt idx="5">
                  <c:v>174</c:v>
                </c:pt>
                <c:pt idx="6">
                  <c:v>149.42857142857144</c:v>
                </c:pt>
                <c:pt idx="7">
                  <c:v>137.42857142857144</c:v>
                </c:pt>
                <c:pt idx="8">
                  <c:v>127.28571428571429</c:v>
                </c:pt>
                <c:pt idx="9">
                  <c:v>142</c:v>
                </c:pt>
                <c:pt idx="10">
                  <c:v>160.71428571428572</c:v>
                </c:pt>
                <c:pt idx="11">
                  <c:v>160.28571428571428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AB2-4E89-BB96-27269775CB4B}"/>
            </c:ext>
          </c:extLst>
        </c:ser>
        <c:ser>
          <c:idx val="4"/>
          <c:order val="4"/>
          <c:tx>
            <c:strRef>
              <c:f>'Avg Week Masanafu-Busega'!$W$9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'Avg Week Masanafu-Busega'!$W$10:$W$21</c:f>
              <c:numCache>
                <c:formatCode>0</c:formatCode>
                <c:ptCount val="12"/>
                <c:pt idx="0">
                  <c:v>9.7142857142857135</c:v>
                </c:pt>
                <c:pt idx="1">
                  <c:v>4.4285714285714288</c:v>
                </c:pt>
                <c:pt idx="2">
                  <c:v>11.714285714285715</c:v>
                </c:pt>
                <c:pt idx="3">
                  <c:v>14.571428571428571</c:v>
                </c:pt>
                <c:pt idx="4">
                  <c:v>11.571428571428571</c:v>
                </c:pt>
                <c:pt idx="5">
                  <c:v>9.8571428571428577</c:v>
                </c:pt>
                <c:pt idx="6">
                  <c:v>8</c:v>
                </c:pt>
                <c:pt idx="7">
                  <c:v>3.5714285714285716</c:v>
                </c:pt>
                <c:pt idx="8">
                  <c:v>2.8571428571428568</c:v>
                </c:pt>
                <c:pt idx="9">
                  <c:v>5.7142857142857144</c:v>
                </c:pt>
                <c:pt idx="10">
                  <c:v>7.4285714285714279</c:v>
                </c:pt>
                <c:pt idx="11">
                  <c:v>6.4285714285714288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AB2-4E89-BB96-27269775CB4B}"/>
            </c:ext>
          </c:extLst>
        </c:ser>
        <c:ser>
          <c:idx val="5"/>
          <c:order val="5"/>
          <c:tx>
            <c:strRef>
              <c:f>'Avg Week Masanafu-Busega'!$X$9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'Avg Week Masanafu-Busega'!$X$10:$X$21</c:f>
              <c:numCache>
                <c:formatCode>0</c:formatCode>
                <c:ptCount val="12"/>
                <c:pt idx="0">
                  <c:v>1.1428571428571428</c:v>
                </c:pt>
                <c:pt idx="1">
                  <c:v>1.4285714285714284</c:v>
                </c:pt>
                <c:pt idx="2">
                  <c:v>2.4285714285714284</c:v>
                </c:pt>
                <c:pt idx="3">
                  <c:v>3.285714285714286</c:v>
                </c:pt>
                <c:pt idx="4">
                  <c:v>2.4285714285714284</c:v>
                </c:pt>
                <c:pt idx="5">
                  <c:v>2.2857142857142856</c:v>
                </c:pt>
                <c:pt idx="6">
                  <c:v>2</c:v>
                </c:pt>
                <c:pt idx="7">
                  <c:v>2.4285714285714288</c:v>
                </c:pt>
                <c:pt idx="8">
                  <c:v>2.1428571428571428</c:v>
                </c:pt>
                <c:pt idx="9">
                  <c:v>1.4285714285714284</c:v>
                </c:pt>
                <c:pt idx="10">
                  <c:v>3.4285714285714284</c:v>
                </c:pt>
                <c:pt idx="11">
                  <c:v>1.8571428571428572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AB2-4E89-BB96-27269775CB4B}"/>
            </c:ext>
          </c:extLst>
        </c:ser>
        <c:ser>
          <c:idx val="6"/>
          <c:order val="6"/>
          <c:tx>
            <c:strRef>
              <c:f>'Avg Week Masanafu-Busega'!$Y$9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Masanafu-Busega'!$Y$10:$Y$21</c:f>
              <c:numCache>
                <c:formatCode>0</c:formatCode>
                <c:ptCount val="12"/>
                <c:pt idx="0">
                  <c:v>32.142857142857139</c:v>
                </c:pt>
                <c:pt idx="1">
                  <c:v>40.571428571428569</c:v>
                </c:pt>
                <c:pt idx="2">
                  <c:v>57.857142857142861</c:v>
                </c:pt>
                <c:pt idx="3">
                  <c:v>57.714285714285715</c:v>
                </c:pt>
                <c:pt idx="4">
                  <c:v>64</c:v>
                </c:pt>
                <c:pt idx="5">
                  <c:v>63.428571428571431</c:v>
                </c:pt>
                <c:pt idx="6">
                  <c:v>65.857142857142861</c:v>
                </c:pt>
                <c:pt idx="7">
                  <c:v>70.571428571428569</c:v>
                </c:pt>
                <c:pt idx="8">
                  <c:v>61.142857142857146</c:v>
                </c:pt>
                <c:pt idx="9">
                  <c:v>70.142857142857139</c:v>
                </c:pt>
                <c:pt idx="10">
                  <c:v>67.714285714285708</c:v>
                </c:pt>
                <c:pt idx="11">
                  <c:v>49.285714285714292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B2-4E89-BB96-27269775CB4B}"/>
            </c:ext>
          </c:extLst>
        </c:ser>
        <c:ser>
          <c:idx val="7"/>
          <c:order val="7"/>
          <c:tx>
            <c:strRef>
              <c:f>'Avg Week Masanafu-Busega'!$Z$9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Masanafu-Busega'!$Z$10:$Z$21</c:f>
              <c:numCache>
                <c:formatCode>0</c:formatCode>
                <c:ptCount val="12"/>
                <c:pt idx="0">
                  <c:v>22.142857142857142</c:v>
                </c:pt>
                <c:pt idx="1">
                  <c:v>23.142857142857142</c:v>
                </c:pt>
                <c:pt idx="2">
                  <c:v>22.142857142857142</c:v>
                </c:pt>
                <c:pt idx="3">
                  <c:v>30.285714285714285</c:v>
                </c:pt>
                <c:pt idx="4">
                  <c:v>27</c:v>
                </c:pt>
                <c:pt idx="5">
                  <c:v>34.142857142857139</c:v>
                </c:pt>
                <c:pt idx="6">
                  <c:v>34.571428571428569</c:v>
                </c:pt>
                <c:pt idx="7">
                  <c:v>30.428571428571431</c:v>
                </c:pt>
                <c:pt idx="8">
                  <c:v>32.285714285714285</c:v>
                </c:pt>
                <c:pt idx="9">
                  <c:v>32.285714285714285</c:v>
                </c:pt>
                <c:pt idx="10">
                  <c:v>30.142857142857146</c:v>
                </c:pt>
                <c:pt idx="11">
                  <c:v>32.428571428571431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AB2-4E89-BB96-27269775CB4B}"/>
            </c:ext>
          </c:extLst>
        </c:ser>
        <c:ser>
          <c:idx val="8"/>
          <c:order val="8"/>
          <c:tx>
            <c:strRef>
              <c:f>'Avg Week Masanafu-Busega'!$AA$9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Masanafu-Busega'!$AA$10:$AA$21</c:f>
              <c:numCache>
                <c:formatCode>0</c:formatCode>
                <c:ptCount val="12"/>
                <c:pt idx="0">
                  <c:v>8</c:v>
                </c:pt>
                <c:pt idx="1">
                  <c:v>11.714285714285715</c:v>
                </c:pt>
                <c:pt idx="2">
                  <c:v>9.5714285714285694</c:v>
                </c:pt>
                <c:pt idx="3">
                  <c:v>11.571428571428573</c:v>
                </c:pt>
                <c:pt idx="4">
                  <c:v>16.571428571428573</c:v>
                </c:pt>
                <c:pt idx="5">
                  <c:v>16.857142857142854</c:v>
                </c:pt>
                <c:pt idx="6">
                  <c:v>17.142857142857142</c:v>
                </c:pt>
                <c:pt idx="7">
                  <c:v>14.142857142857142</c:v>
                </c:pt>
                <c:pt idx="8">
                  <c:v>21.142857142857146</c:v>
                </c:pt>
                <c:pt idx="9">
                  <c:v>17.428571428571431</c:v>
                </c:pt>
                <c:pt idx="10">
                  <c:v>15.857142857142858</c:v>
                </c:pt>
                <c:pt idx="11">
                  <c:v>11.857142857142858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AB2-4E89-BB96-27269775CB4B}"/>
            </c:ext>
          </c:extLst>
        </c:ser>
        <c:ser>
          <c:idx val="9"/>
          <c:order val="9"/>
          <c:tx>
            <c:strRef>
              <c:f>'Avg Week Masanafu-Busega'!$AB$9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Masanafu-Busega'!$AB$10:$AB$21</c:f>
              <c:numCache>
                <c:formatCode>0</c:formatCode>
                <c:ptCount val="12"/>
                <c:pt idx="0">
                  <c:v>9.4285714285714288</c:v>
                </c:pt>
                <c:pt idx="1">
                  <c:v>13</c:v>
                </c:pt>
                <c:pt idx="2">
                  <c:v>14.285714285714285</c:v>
                </c:pt>
                <c:pt idx="3">
                  <c:v>17.428571428571427</c:v>
                </c:pt>
                <c:pt idx="4">
                  <c:v>20.142857142857142</c:v>
                </c:pt>
                <c:pt idx="5">
                  <c:v>22.571428571428569</c:v>
                </c:pt>
                <c:pt idx="6">
                  <c:v>23.714285714285715</c:v>
                </c:pt>
                <c:pt idx="7">
                  <c:v>24.285714285714285</c:v>
                </c:pt>
                <c:pt idx="8">
                  <c:v>20.714285714285715</c:v>
                </c:pt>
                <c:pt idx="9">
                  <c:v>23</c:v>
                </c:pt>
                <c:pt idx="10">
                  <c:v>22.142857142857142</c:v>
                </c:pt>
                <c:pt idx="11">
                  <c:v>18.142857142857142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AB2-4E89-BB96-27269775CB4B}"/>
            </c:ext>
          </c:extLst>
        </c:ser>
        <c:ser>
          <c:idx val="10"/>
          <c:order val="10"/>
          <c:tx>
            <c:strRef>
              <c:f>'Avg Week Masanafu-Busega'!$AC$9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Masanafu-Busega'!$AC$10:$AC$21</c:f>
              <c:numCache>
                <c:formatCode>0</c:formatCode>
                <c:ptCount val="12"/>
                <c:pt idx="0">
                  <c:v>418.28571428571428</c:v>
                </c:pt>
                <c:pt idx="1">
                  <c:v>484.14285714285717</c:v>
                </c:pt>
                <c:pt idx="2">
                  <c:v>490.42857142857144</c:v>
                </c:pt>
                <c:pt idx="3">
                  <c:v>452.85714285714289</c:v>
                </c:pt>
                <c:pt idx="4">
                  <c:v>447.71428571428567</c:v>
                </c:pt>
                <c:pt idx="5">
                  <c:v>399.28571428571428</c:v>
                </c:pt>
                <c:pt idx="6">
                  <c:v>381.57142857142861</c:v>
                </c:pt>
                <c:pt idx="7">
                  <c:v>356.57142857142856</c:v>
                </c:pt>
                <c:pt idx="8">
                  <c:v>335.14285714285717</c:v>
                </c:pt>
                <c:pt idx="9">
                  <c:v>371.42857142857144</c:v>
                </c:pt>
                <c:pt idx="10">
                  <c:v>423.57142857142856</c:v>
                </c:pt>
                <c:pt idx="11">
                  <c:v>492.85714285714289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AB2-4E89-BB96-27269775CB4B}"/>
            </c:ext>
          </c:extLst>
        </c:ser>
        <c:ser>
          <c:idx val="11"/>
          <c:order val="11"/>
          <c:tx>
            <c:strRef>
              <c:f>'Avg Week Masanafu-Busega'!$AD$9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Masanafu-Busega'!$AD$10:$AD$21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0.14285714285714285</c:v>
                </c:pt>
                <c:pt idx="4">
                  <c:v>0.14285714285714285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AB2-4E89-BB96-27269775CB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385152"/>
        <c:axId val="126399232"/>
      </c:lineChart>
      <c:catAx>
        <c:axId val="126385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6399232"/>
        <c:crosses val="autoZero"/>
        <c:auto val="1"/>
        <c:lblAlgn val="ctr"/>
        <c:lblOffset val="100"/>
        <c:noMultiLvlLbl val="0"/>
      </c:catAx>
      <c:valAx>
        <c:axId val="12639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6385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Masanafu-Busega'!$C$9:$N$9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Masanafu-Busega'!$C$108:$N$108</c:f>
              <c:numCache>
                <c:formatCode>0.00%</c:formatCode>
                <c:ptCount val="12"/>
                <c:pt idx="0">
                  <c:v>0.47684578288954671</c:v>
                </c:pt>
                <c:pt idx="1">
                  <c:v>6.6274386518533457E-2</c:v>
                </c:pt>
                <c:pt idx="2">
                  <c:v>6.3077224222508249E-2</c:v>
                </c:pt>
                <c:pt idx="3">
                  <c:v>0.19964172800987029</c:v>
                </c:pt>
                <c:pt idx="4">
                  <c:v>1.0700706460165969E-2</c:v>
                </c:pt>
                <c:pt idx="5">
                  <c:v>3.8437127417891063E-3</c:v>
                </c:pt>
                <c:pt idx="6">
                  <c:v>7.6352269154798397E-2</c:v>
                </c:pt>
                <c:pt idx="7">
                  <c:v>5.0033513853381346E-2</c:v>
                </c:pt>
                <c:pt idx="8">
                  <c:v>2.3240226114706351E-2</c:v>
                </c:pt>
                <c:pt idx="9">
                  <c:v>2.9966723412837289E-2</c:v>
                </c:pt>
                <c:pt idx="11">
                  <c:v>2.3726621862895714E-5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Busega-Masanafu-2Dir'!$C$9:$N$9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Busega-Masanafu-2Dir'!$C$107:$N$107</c:f>
              <c:numCache>
                <c:formatCode>0.0%</c:formatCode>
                <c:ptCount val="12"/>
                <c:pt idx="0">
                  <c:v>0.27993068801345689</c:v>
                </c:pt>
                <c:pt idx="1">
                  <c:v>4.3318114233362875E-2</c:v>
                </c:pt>
                <c:pt idx="2">
                  <c:v>3.9567156781761106E-2</c:v>
                </c:pt>
                <c:pt idx="3">
                  <c:v>0.11443611732724569</c:v>
                </c:pt>
                <c:pt idx="4">
                  <c:v>7.3160566510971289E-3</c:v>
                </c:pt>
                <c:pt idx="5">
                  <c:v>2.4443176186113576E-3</c:v>
                </c:pt>
                <c:pt idx="6">
                  <c:v>4.4290584683778146E-2</c:v>
                </c:pt>
                <c:pt idx="7">
                  <c:v>3.6555877626421159E-2</c:v>
                </c:pt>
                <c:pt idx="8">
                  <c:v>1.6207215054893895E-2</c:v>
                </c:pt>
                <c:pt idx="9">
                  <c:v>1.9541399456317683E-2</c:v>
                </c:pt>
                <c:pt idx="10">
                  <c:v>0.396364312211826</c:v>
                </c:pt>
                <c:pt idx="11">
                  <c:v>2.8160341228241448E-5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6542440043546895E-2"/>
          <c:y val="9.5672239583942192E-2"/>
          <c:w val="0.82150478835981877"/>
          <c:h val="0.84339679761191022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843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Busega-Masanafu-2Dir'!$C$9:$N$9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Busega-Masanafu-2Dir'!$C$108:$N$108</c:f>
              <c:numCache>
                <c:formatCode>0.00%</c:formatCode>
                <c:ptCount val="12"/>
                <c:pt idx="0">
                  <c:v>0.46374111683020497</c:v>
                </c:pt>
                <c:pt idx="1">
                  <c:v>7.1762016576733464E-2</c:v>
                </c:pt>
                <c:pt idx="2">
                  <c:v>6.5548074082137225E-2</c:v>
                </c:pt>
                <c:pt idx="3">
                  <c:v>0.18957811746777173</c:v>
                </c:pt>
                <c:pt idx="4">
                  <c:v>1.2119986937658419E-2</c:v>
                </c:pt>
                <c:pt idx="5">
                  <c:v>4.0493258898720193E-3</c:v>
                </c:pt>
                <c:pt idx="6">
                  <c:v>7.3373038704962118E-2</c:v>
                </c:pt>
                <c:pt idx="7">
                  <c:v>6.0559503631019931E-2</c:v>
                </c:pt>
                <c:pt idx="8">
                  <c:v>2.6849332110034676E-2</c:v>
                </c:pt>
                <c:pt idx="9">
                  <c:v>3.2372836549675772E-2</c:v>
                </c:pt>
                <c:pt idx="11">
                  <c:v>4.6651219929401145E-5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22" l="0.70000000000000062" r="0.70000000000000062" t="0.75000000000000222" header="0.30000000000000032" footer="0.30000000000000032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Busega-Masanafu-2Dir'!$S$9:$AF$9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Busega-Masanafu-2Dir'!$S$41:$AF$41</c:f>
              <c:numCache>
                <c:formatCode>_-* #,##0_-;\-* #,##0_-;_-* "-"_-;_-@_-</c:formatCode>
                <c:ptCount val="14"/>
                <c:pt idx="0">
                  <c:v>10650.642857142859</c:v>
                </c:pt>
                <c:pt idx="1">
                  <c:v>1648.1428571428571</c:v>
                </c:pt>
                <c:pt idx="2">
                  <c:v>1505.4285714285716</c:v>
                </c:pt>
                <c:pt idx="3">
                  <c:v>4354</c:v>
                </c:pt>
                <c:pt idx="4">
                  <c:v>278.35714285714283</c:v>
                </c:pt>
                <c:pt idx="5">
                  <c:v>93</c:v>
                </c:pt>
                <c:pt idx="6">
                  <c:v>1685.1428571428571</c:v>
                </c:pt>
                <c:pt idx="7">
                  <c:v>1390.8571428571429</c:v>
                </c:pt>
                <c:pt idx="8">
                  <c:v>616.64285714285711</c:v>
                </c:pt>
                <c:pt idx="9">
                  <c:v>743.50000000000011</c:v>
                </c:pt>
                <c:pt idx="10">
                  <c:v>15080.642857142855</c:v>
                </c:pt>
                <c:pt idx="11">
                  <c:v>1.0714285714285714</c:v>
                </c:pt>
                <c:pt idx="12">
                  <c:v>22966.785714285714</c:v>
                </c:pt>
                <c:pt idx="13">
                  <c:v>38047.428571428572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00-459B-BEDA-77FB1F29973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Busega-Masanafu-2Dir'!$S$9:$AF$9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Busega-Masanafu-2Dir'!$S$42:$AF$42</c:f>
              <c:numCache>
                <c:formatCode>0.000</c:formatCode>
                <c:ptCount val="14"/>
                <c:pt idx="0">
                  <c:v>1.4297809911015651</c:v>
                </c:pt>
                <c:pt idx="1">
                  <c:v>1.401311793999757</c:v>
                </c:pt>
                <c:pt idx="2">
                  <c:v>1.5856154077640685</c:v>
                </c:pt>
                <c:pt idx="3">
                  <c:v>1.4067851373182549</c:v>
                </c:pt>
                <c:pt idx="4">
                  <c:v>1.5390995260663507</c:v>
                </c:pt>
                <c:pt idx="5">
                  <c:v>1.9375</c:v>
                </c:pt>
                <c:pt idx="6">
                  <c:v>1.4327705575124499</c:v>
                </c:pt>
                <c:pt idx="7">
                  <c:v>1.6740027510316369</c:v>
                </c:pt>
                <c:pt idx="8">
                  <c:v>1.7611179110567112</c:v>
                </c:pt>
                <c:pt idx="9">
                  <c:v>1.6269146608315097</c:v>
                </c:pt>
                <c:pt idx="10">
                  <c:v>1.394787606527053</c:v>
                </c:pt>
                <c:pt idx="11">
                  <c:v>1.875</c:v>
                </c:pt>
                <c:pt idx="12">
                  <c:v>1.4616157391834026</c:v>
                </c:pt>
                <c:pt idx="13">
                  <c:v>1.4343756395480347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CA-4BAD-874A-0AEA813DBCE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Busega-Masanafu-2Dir'!$AE$9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Busega-Masanafu-2Dir'!$R$10:$R$33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Busega-Masanafu-2Dir'!$AE$10:$AE$33</c:f>
              <c:numCache>
                <c:formatCode>0</c:formatCode>
                <c:ptCount val="24"/>
                <c:pt idx="0">
                  <c:v>1030.8571428571429</c:v>
                </c:pt>
                <c:pt idx="1">
                  <c:v>1115.5714285714284</c:v>
                </c:pt>
                <c:pt idx="2">
                  <c:v>1188.1428571428571</c:v>
                </c:pt>
                <c:pt idx="3">
                  <c:v>1262.2857142857147</c:v>
                </c:pt>
                <c:pt idx="4">
                  <c:v>1322.5714285714287</c:v>
                </c:pt>
                <c:pt idx="5">
                  <c:v>1394.7142857142858</c:v>
                </c:pt>
                <c:pt idx="6">
                  <c:v>1287.2857142857144</c:v>
                </c:pt>
                <c:pt idx="7">
                  <c:v>1364.4285714285716</c:v>
                </c:pt>
                <c:pt idx="8">
                  <c:v>1312.8571428571427</c:v>
                </c:pt>
                <c:pt idx="9">
                  <c:v>1423.5714285714287</c:v>
                </c:pt>
                <c:pt idx="10">
                  <c:v>1507.4285714285716</c:v>
                </c:pt>
                <c:pt idx="11">
                  <c:v>1503.5714285714284</c:v>
                </c:pt>
                <c:pt idx="12">
                  <c:v>1138.5</c:v>
                </c:pt>
                <c:pt idx="13">
                  <c:v>1287</c:v>
                </c:pt>
                <c:pt idx="14">
                  <c:v>1020</c:v>
                </c:pt>
                <c:pt idx="15">
                  <c:v>842</c:v>
                </c:pt>
                <c:pt idx="16">
                  <c:v>522.5</c:v>
                </c:pt>
                <c:pt idx="17">
                  <c:v>365</c:v>
                </c:pt>
                <c:pt idx="18">
                  <c:v>274.5</c:v>
                </c:pt>
                <c:pt idx="19">
                  <c:v>225.5</c:v>
                </c:pt>
                <c:pt idx="20">
                  <c:v>243.5</c:v>
                </c:pt>
                <c:pt idx="21">
                  <c:v>269.5</c:v>
                </c:pt>
                <c:pt idx="22">
                  <c:v>407.5</c:v>
                </c:pt>
                <c:pt idx="23">
                  <c:v>658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013-4FFE-9109-BAB7FBB66946}"/>
            </c:ext>
          </c:extLst>
        </c:ser>
        <c:ser>
          <c:idx val="1"/>
          <c:order val="1"/>
          <c:tx>
            <c:strRef>
              <c:f>'Avg Week Busega-Masanafu-2Dir'!$AF$9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Busega-Masanafu-2Dir'!$R$10:$R$33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Busega-Masanafu-2Dir'!$AF$10:$AF$33</c:f>
              <c:numCache>
                <c:formatCode>0</c:formatCode>
                <c:ptCount val="24"/>
                <c:pt idx="0">
                  <c:v>2030.4285714285713</c:v>
                </c:pt>
                <c:pt idx="1">
                  <c:v>2241.7142857142858</c:v>
                </c:pt>
                <c:pt idx="2">
                  <c:v>2257.8571428571427</c:v>
                </c:pt>
                <c:pt idx="3">
                  <c:v>2228.8571428571431</c:v>
                </c:pt>
                <c:pt idx="4">
                  <c:v>2230.7142857142858</c:v>
                </c:pt>
                <c:pt idx="5">
                  <c:v>2275</c:v>
                </c:pt>
                <c:pt idx="6">
                  <c:v>2136.5714285714284</c:v>
                </c:pt>
                <c:pt idx="7">
                  <c:v>2129.4285714285716</c:v>
                </c:pt>
                <c:pt idx="8">
                  <c:v>2024.2857142857142</c:v>
                </c:pt>
                <c:pt idx="9">
                  <c:v>2177.5714285714284</c:v>
                </c:pt>
                <c:pt idx="10">
                  <c:v>2348.1428571428573</c:v>
                </c:pt>
                <c:pt idx="11">
                  <c:v>2444.8571428571431</c:v>
                </c:pt>
                <c:pt idx="12">
                  <c:v>1895</c:v>
                </c:pt>
                <c:pt idx="13">
                  <c:v>2151.5</c:v>
                </c:pt>
                <c:pt idx="14">
                  <c:v>1758</c:v>
                </c:pt>
                <c:pt idx="15">
                  <c:v>1368</c:v>
                </c:pt>
                <c:pt idx="16">
                  <c:v>839.5</c:v>
                </c:pt>
                <c:pt idx="17">
                  <c:v>548</c:v>
                </c:pt>
                <c:pt idx="18">
                  <c:v>387</c:v>
                </c:pt>
                <c:pt idx="19">
                  <c:v>308.5</c:v>
                </c:pt>
                <c:pt idx="20">
                  <c:v>315.5</c:v>
                </c:pt>
                <c:pt idx="21">
                  <c:v>371.5</c:v>
                </c:pt>
                <c:pt idx="22">
                  <c:v>560.5</c:v>
                </c:pt>
                <c:pt idx="23">
                  <c:v>1019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013-4FFE-9109-BAB7FBB66946}"/>
            </c:ext>
          </c:extLst>
        </c:ser>
        <c:ser>
          <c:idx val="5"/>
          <c:order val="2"/>
          <c:tx>
            <c:strRef>
              <c:f>'Avg Week Busega-Masanafu-2Dir'!$AC$9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Busega-Masanafu-2Dir'!$R$10:$R$33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Busega-Masanafu-2Dir'!$AC$10:$AC$33</c:f>
              <c:numCache>
                <c:formatCode>0</c:formatCode>
                <c:ptCount val="24"/>
                <c:pt idx="0">
                  <c:v>999.57142857142844</c:v>
                </c:pt>
                <c:pt idx="1">
                  <c:v>1126.1428571428573</c:v>
                </c:pt>
                <c:pt idx="2">
                  <c:v>1069.7142857142856</c:v>
                </c:pt>
                <c:pt idx="3">
                  <c:v>966.57142857142844</c:v>
                </c:pt>
                <c:pt idx="4">
                  <c:v>908.14285714285711</c:v>
                </c:pt>
                <c:pt idx="5">
                  <c:v>880.28571428571422</c:v>
                </c:pt>
                <c:pt idx="6">
                  <c:v>849.28571428571422</c:v>
                </c:pt>
                <c:pt idx="7">
                  <c:v>765</c:v>
                </c:pt>
                <c:pt idx="8">
                  <c:v>711.42857142857144</c:v>
                </c:pt>
                <c:pt idx="9">
                  <c:v>754</c:v>
                </c:pt>
                <c:pt idx="10">
                  <c:v>840.71428571428578</c:v>
                </c:pt>
                <c:pt idx="11">
                  <c:v>941.28571428571422</c:v>
                </c:pt>
                <c:pt idx="12">
                  <c:v>756.5</c:v>
                </c:pt>
                <c:pt idx="13">
                  <c:v>864.5</c:v>
                </c:pt>
                <c:pt idx="14">
                  <c:v>738</c:v>
                </c:pt>
                <c:pt idx="15">
                  <c:v>526</c:v>
                </c:pt>
                <c:pt idx="16">
                  <c:v>317</c:v>
                </c:pt>
                <c:pt idx="17">
                  <c:v>183</c:v>
                </c:pt>
                <c:pt idx="18">
                  <c:v>112.5</c:v>
                </c:pt>
                <c:pt idx="19">
                  <c:v>83</c:v>
                </c:pt>
                <c:pt idx="20">
                  <c:v>72</c:v>
                </c:pt>
                <c:pt idx="21">
                  <c:v>102</c:v>
                </c:pt>
                <c:pt idx="22">
                  <c:v>153</c:v>
                </c:pt>
                <c:pt idx="23">
                  <c:v>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13-4FFE-9109-BAB7FBB669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7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42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chart" Target="../charts/chart41.xml"/><Relationship Id="rId2" Type="http://schemas.openxmlformats.org/officeDocument/2006/relationships/image" Target="../media/image1.emf"/><Relationship Id="rId16" Type="http://schemas.openxmlformats.org/officeDocument/2006/relationships/chart" Target="../charts/chart40.xml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9.xml"/><Relationship Id="rId1" Type="http://schemas.openxmlformats.org/officeDocument/2006/relationships/chart" Target="../charts/chart46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7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1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6.xml"/><Relationship Id="rId1" Type="http://schemas.openxmlformats.org/officeDocument/2006/relationships/chart" Target="../charts/chart5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4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60.xml"/><Relationship Id="rId1" Type="http://schemas.openxmlformats.org/officeDocument/2006/relationships/chart" Target="../charts/chart5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8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61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9.jpeg"/><Relationship Id="rId17" Type="http://schemas.openxmlformats.org/officeDocument/2006/relationships/chart" Target="../charts/chart65.xml"/><Relationship Id="rId2" Type="http://schemas.openxmlformats.org/officeDocument/2006/relationships/image" Target="../media/image2.emf"/><Relationship Id="rId16" Type="http://schemas.openxmlformats.org/officeDocument/2006/relationships/chart" Target="../charts/chart64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jpeg"/><Relationship Id="rId5" Type="http://schemas.openxmlformats.org/officeDocument/2006/relationships/image" Target="../media/image5.emf"/><Relationship Id="rId15" Type="http://schemas.openxmlformats.org/officeDocument/2006/relationships/chart" Target="../charts/chart63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6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A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A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A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A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A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A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A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A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A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A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A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00000000-0008-0000-0A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A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A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A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A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B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B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B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B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B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B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B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C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C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C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C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D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D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D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D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D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D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D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12745</xdr:colOff>
      <xdr:row>42</xdr:row>
      <xdr:rowOff>281997</xdr:rowOff>
    </xdr:from>
    <xdr:to>
      <xdr:col>28</xdr:col>
      <xdr:colOff>0</xdr:colOff>
      <xdr:row>57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E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E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E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E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E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E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E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E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20204</xdr:colOff>
      <xdr:row>59</xdr:row>
      <xdr:rowOff>867</xdr:rowOff>
    </xdr:from>
    <xdr:to>
      <xdr:col>31</xdr:col>
      <xdr:colOff>806737</xdr:colOff>
      <xdr:row>73</xdr:row>
      <xdr:rowOff>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E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107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E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15875</xdr:colOff>
      <xdr:row>59</xdr:row>
      <xdr:rowOff>15875</xdr:rowOff>
    </xdr:from>
    <xdr:to>
      <xdr:col>24</xdr:col>
      <xdr:colOff>0</xdr:colOff>
      <xdr:row>73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E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5953</xdr:colOff>
      <xdr:row>42</xdr:row>
      <xdr:rowOff>274357</xdr:rowOff>
    </xdr:from>
    <xdr:to>
      <xdr:col>27</xdr:col>
      <xdr:colOff>714374</xdr:colOff>
      <xdr:row>57</xdr:row>
      <xdr:rowOff>280146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F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F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F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F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F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F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F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F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F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17743</xdr:colOff>
      <xdr:row>58</xdr:row>
      <xdr:rowOff>275664</xdr:rowOff>
    </xdr:from>
    <xdr:to>
      <xdr:col>31</xdr:col>
      <xdr:colOff>738654</xdr:colOff>
      <xdr:row>73</xdr:row>
      <xdr:rowOff>81242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F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107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F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3736</xdr:colOff>
      <xdr:row>58</xdr:row>
      <xdr:rowOff>266139</xdr:rowOff>
    </xdr:from>
    <xdr:to>
      <xdr:col>24</xdr:col>
      <xdr:colOff>1</xdr:colOff>
      <xdr:row>73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F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1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1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1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1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1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1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1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1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1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1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3838</xdr:colOff>
      <xdr:row>76</xdr:row>
      <xdr:rowOff>1153</xdr:rowOff>
    </xdr:from>
    <xdr:to>
      <xdr:col>24</xdr:col>
      <xdr:colOff>707570</xdr:colOff>
      <xdr:row>91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10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16</xdr:col>
      <xdr:colOff>146189</xdr:colOff>
      <xdr:row>59</xdr:row>
      <xdr:rowOff>0</xdr:rowOff>
    </xdr:from>
    <xdr:to>
      <xdr:col>25</xdr:col>
      <xdr:colOff>0</xdr:colOff>
      <xdr:row>76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709907</xdr:colOff>
      <xdr:row>59</xdr:row>
      <xdr:rowOff>1047</xdr:rowOff>
    </xdr:from>
    <xdr:to>
      <xdr:col>31</xdr:col>
      <xdr:colOff>511139</xdr:colOff>
      <xdr:row>76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7A98EC6-B684-40DE-85E2-503AA99AE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705827</xdr:colOff>
      <xdr:row>75</xdr:row>
      <xdr:rowOff>281389</xdr:rowOff>
    </xdr:from>
    <xdr:to>
      <xdr:col>31</xdr:col>
      <xdr:colOff>497534</xdr:colOff>
      <xdr:row>91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B2CF4862-D734-4C24-9935-3689E64EF3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0</xdr:colOff>
      <xdr:row>59</xdr:row>
      <xdr:rowOff>-1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971C665D-0AEE-431B-B201-7B3873077B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C1" zoomScale="50" zoomScaleSheetLayoutView="50" workbookViewId="0">
      <selection activeCell="E10" sqref="E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1" t="s">
        <v>96</v>
      </c>
      <c r="C3" s="60" t="s">
        <v>173</v>
      </c>
      <c r="D3" s="60"/>
      <c r="E3" s="60"/>
      <c r="F3" s="60"/>
      <c r="G3" s="60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162</v>
      </c>
      <c r="E5" s="3"/>
      <c r="F5" s="41" t="s">
        <v>1</v>
      </c>
      <c r="G5" s="55" t="s">
        <v>172</v>
      </c>
      <c r="H5" s="56"/>
      <c r="I5" s="14"/>
      <c r="J5" s="2" t="s">
        <v>5</v>
      </c>
      <c r="K5" s="55" t="s">
        <v>174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170</v>
      </c>
      <c r="E6" s="56"/>
      <c r="F6" s="2" t="s">
        <v>2</v>
      </c>
      <c r="G6" s="55" t="s">
        <v>171</v>
      </c>
      <c r="H6" s="56"/>
      <c r="J6" s="2" t="s">
        <v>21</v>
      </c>
      <c r="K6" s="55" t="s">
        <v>175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66</v>
      </c>
      <c r="D10" s="50">
        <v>6</v>
      </c>
      <c r="E10" s="50">
        <v>4</v>
      </c>
      <c r="F10" s="50">
        <v>22</v>
      </c>
      <c r="G10" s="50">
        <v>11</v>
      </c>
      <c r="H10" s="50">
        <v>0</v>
      </c>
      <c r="I10" s="50">
        <v>9</v>
      </c>
      <c r="J10" s="50">
        <v>7</v>
      </c>
      <c r="K10" s="50">
        <v>4</v>
      </c>
      <c r="L10" s="50">
        <v>1</v>
      </c>
      <c r="M10" s="50">
        <v>129</v>
      </c>
      <c r="N10" s="50">
        <v>0</v>
      </c>
      <c r="O10" s="15">
        <f t="shared" ref="O10:O57" si="0">SUM(C10:L10,N10)</f>
        <v>130</v>
      </c>
      <c r="P10" s="15">
        <f t="shared" ref="P10:P57" si="1">SUM(C10:N10)</f>
        <v>259</v>
      </c>
      <c r="R10" s="1" t="s">
        <v>6</v>
      </c>
      <c r="S10" s="17">
        <f t="shared" ref="S10:AF10" si="2">SUM(C10:C13)</f>
        <v>261</v>
      </c>
      <c r="T10" s="17">
        <f t="shared" si="2"/>
        <v>25</v>
      </c>
      <c r="U10" s="17">
        <f t="shared" si="2"/>
        <v>24</v>
      </c>
      <c r="V10" s="17">
        <f t="shared" si="2"/>
        <v>79</v>
      </c>
      <c r="W10" s="17">
        <f t="shared" si="2"/>
        <v>16</v>
      </c>
      <c r="X10" s="17">
        <f t="shared" si="2"/>
        <v>0</v>
      </c>
      <c r="Y10" s="17">
        <f t="shared" si="2"/>
        <v>28</v>
      </c>
      <c r="Z10" s="17">
        <f t="shared" si="2"/>
        <v>26</v>
      </c>
      <c r="AA10" s="17">
        <f t="shared" si="2"/>
        <v>9</v>
      </c>
      <c r="AB10" s="17">
        <f t="shared" si="2"/>
        <v>12</v>
      </c>
      <c r="AC10" s="17">
        <f t="shared" si="2"/>
        <v>561</v>
      </c>
      <c r="AD10" s="17">
        <f t="shared" si="2"/>
        <v>0</v>
      </c>
      <c r="AE10" s="31">
        <f t="shared" si="2"/>
        <v>480</v>
      </c>
      <c r="AF10" s="31">
        <f t="shared" si="2"/>
        <v>1041</v>
      </c>
    </row>
    <row r="11" spans="2:32" s="6" customFormat="1" ht="23.1" customHeight="1" x14ac:dyDescent="0.25">
      <c r="B11" s="23" t="s">
        <v>38</v>
      </c>
      <c r="C11" s="50">
        <v>83</v>
      </c>
      <c r="D11" s="50">
        <v>7</v>
      </c>
      <c r="E11" s="50">
        <v>4</v>
      </c>
      <c r="F11" s="50">
        <v>21</v>
      </c>
      <c r="G11" s="50">
        <v>1</v>
      </c>
      <c r="H11" s="50">
        <v>0</v>
      </c>
      <c r="I11" s="50">
        <v>7</v>
      </c>
      <c r="J11" s="50">
        <v>4</v>
      </c>
      <c r="K11" s="50">
        <v>1</v>
      </c>
      <c r="L11" s="50">
        <v>5</v>
      </c>
      <c r="M11" s="50">
        <v>136</v>
      </c>
      <c r="N11" s="50">
        <v>0</v>
      </c>
      <c r="O11" s="15">
        <f t="shared" si="0"/>
        <v>133</v>
      </c>
      <c r="P11" s="15">
        <f t="shared" si="1"/>
        <v>269</v>
      </c>
      <c r="R11" s="1" t="s">
        <v>7</v>
      </c>
      <c r="S11" s="17">
        <f t="shared" ref="S11:AF11" si="3">SUM(C14:C17)</f>
        <v>211</v>
      </c>
      <c r="T11" s="17">
        <f t="shared" si="3"/>
        <v>64</v>
      </c>
      <c r="U11" s="17">
        <f t="shared" si="3"/>
        <v>50</v>
      </c>
      <c r="V11" s="17">
        <f t="shared" si="3"/>
        <v>70</v>
      </c>
      <c r="W11" s="17">
        <f t="shared" si="3"/>
        <v>0</v>
      </c>
      <c r="X11" s="17">
        <f t="shared" si="3"/>
        <v>0</v>
      </c>
      <c r="Y11" s="17">
        <f t="shared" si="3"/>
        <v>24</v>
      </c>
      <c r="Z11" s="17">
        <f t="shared" si="3"/>
        <v>34</v>
      </c>
      <c r="AA11" s="17">
        <f t="shared" si="3"/>
        <v>13</v>
      </c>
      <c r="AB11" s="17">
        <f t="shared" si="3"/>
        <v>9</v>
      </c>
      <c r="AC11" s="17">
        <f t="shared" si="3"/>
        <v>564</v>
      </c>
      <c r="AD11" s="17">
        <f t="shared" si="3"/>
        <v>0</v>
      </c>
      <c r="AE11" s="31">
        <f t="shared" si="3"/>
        <v>475</v>
      </c>
      <c r="AF11" s="31">
        <f t="shared" si="3"/>
        <v>1039</v>
      </c>
    </row>
    <row r="12" spans="2:32" ht="23.1" customHeight="1" x14ac:dyDescent="0.25">
      <c r="B12" s="23" t="s">
        <v>39</v>
      </c>
      <c r="C12" s="50">
        <v>67</v>
      </c>
      <c r="D12" s="50">
        <v>3</v>
      </c>
      <c r="E12" s="50">
        <v>8</v>
      </c>
      <c r="F12" s="50">
        <v>14</v>
      </c>
      <c r="G12" s="50">
        <v>3</v>
      </c>
      <c r="H12" s="50">
        <v>0</v>
      </c>
      <c r="I12" s="50">
        <v>7</v>
      </c>
      <c r="J12" s="50">
        <v>5</v>
      </c>
      <c r="K12" s="50">
        <v>3</v>
      </c>
      <c r="L12" s="50">
        <v>2</v>
      </c>
      <c r="M12" s="50">
        <v>167</v>
      </c>
      <c r="N12" s="50">
        <v>0</v>
      </c>
      <c r="O12" s="15">
        <f t="shared" si="0"/>
        <v>112</v>
      </c>
      <c r="P12" s="15">
        <f t="shared" si="1"/>
        <v>279</v>
      </c>
      <c r="R12" s="1" t="s">
        <v>8</v>
      </c>
      <c r="S12" s="17">
        <f t="shared" ref="S12:AF12" si="4">SUM(C18:C21)</f>
        <v>211</v>
      </c>
      <c r="T12" s="17">
        <f t="shared" si="4"/>
        <v>55</v>
      </c>
      <c r="U12" s="17">
        <f t="shared" si="4"/>
        <v>27</v>
      </c>
      <c r="V12" s="17">
        <f t="shared" si="4"/>
        <v>101</v>
      </c>
      <c r="W12" s="17">
        <f t="shared" si="4"/>
        <v>0</v>
      </c>
      <c r="X12" s="17">
        <f t="shared" si="4"/>
        <v>0</v>
      </c>
      <c r="Y12" s="17">
        <f t="shared" si="4"/>
        <v>35</v>
      </c>
      <c r="Z12" s="17">
        <f t="shared" si="4"/>
        <v>29</v>
      </c>
      <c r="AA12" s="17">
        <f t="shared" si="4"/>
        <v>16</v>
      </c>
      <c r="AB12" s="17">
        <f t="shared" si="4"/>
        <v>13</v>
      </c>
      <c r="AC12" s="17">
        <f t="shared" si="4"/>
        <v>480</v>
      </c>
      <c r="AD12" s="17">
        <f t="shared" si="4"/>
        <v>0</v>
      </c>
      <c r="AE12" s="31">
        <f t="shared" si="4"/>
        <v>487</v>
      </c>
      <c r="AF12" s="31">
        <f t="shared" si="4"/>
        <v>967</v>
      </c>
    </row>
    <row r="13" spans="2:32" ht="23.1" customHeight="1" x14ac:dyDescent="0.25">
      <c r="B13" s="23" t="s">
        <v>40</v>
      </c>
      <c r="C13" s="50">
        <v>45</v>
      </c>
      <c r="D13" s="50">
        <v>9</v>
      </c>
      <c r="E13" s="50">
        <v>8</v>
      </c>
      <c r="F13" s="50">
        <v>22</v>
      </c>
      <c r="G13" s="50">
        <v>1</v>
      </c>
      <c r="H13" s="50">
        <v>0</v>
      </c>
      <c r="I13" s="50">
        <v>5</v>
      </c>
      <c r="J13" s="50">
        <v>10</v>
      </c>
      <c r="K13" s="50">
        <v>1</v>
      </c>
      <c r="L13" s="50">
        <v>4</v>
      </c>
      <c r="M13" s="50">
        <v>129</v>
      </c>
      <c r="N13" s="50">
        <v>0</v>
      </c>
      <c r="O13" s="15">
        <f t="shared" si="0"/>
        <v>105</v>
      </c>
      <c r="P13" s="15">
        <f t="shared" si="1"/>
        <v>234</v>
      </c>
      <c r="R13" s="1" t="s">
        <v>9</v>
      </c>
      <c r="S13" s="17">
        <f t="shared" ref="S13:AF13" si="5">SUM(C22:C25)</f>
        <v>221</v>
      </c>
      <c r="T13" s="17">
        <f t="shared" si="5"/>
        <v>42</v>
      </c>
      <c r="U13" s="17">
        <f t="shared" si="5"/>
        <v>15</v>
      </c>
      <c r="V13" s="17">
        <f t="shared" si="5"/>
        <v>96</v>
      </c>
      <c r="W13" s="17">
        <f t="shared" si="5"/>
        <v>1</v>
      </c>
      <c r="X13" s="17">
        <f t="shared" si="5"/>
        <v>0</v>
      </c>
      <c r="Y13" s="17">
        <f t="shared" si="5"/>
        <v>33</v>
      </c>
      <c r="Z13" s="17">
        <f t="shared" si="5"/>
        <v>37</v>
      </c>
      <c r="AA13" s="17">
        <f t="shared" si="5"/>
        <v>9</v>
      </c>
      <c r="AB13" s="17">
        <f t="shared" si="5"/>
        <v>14</v>
      </c>
      <c r="AC13" s="17">
        <f t="shared" si="5"/>
        <v>395</v>
      </c>
      <c r="AD13" s="17">
        <f t="shared" si="5"/>
        <v>0</v>
      </c>
      <c r="AE13" s="31">
        <f t="shared" si="5"/>
        <v>468</v>
      </c>
      <c r="AF13" s="31">
        <f t="shared" si="5"/>
        <v>863</v>
      </c>
    </row>
    <row r="14" spans="2:32" ht="23.1" customHeight="1" x14ac:dyDescent="0.25">
      <c r="B14" s="23" t="s">
        <v>41</v>
      </c>
      <c r="C14" s="50">
        <v>52</v>
      </c>
      <c r="D14" s="50">
        <v>17</v>
      </c>
      <c r="E14" s="50">
        <v>4</v>
      </c>
      <c r="F14" s="50">
        <v>22</v>
      </c>
      <c r="G14" s="50">
        <v>0</v>
      </c>
      <c r="H14" s="50">
        <v>0</v>
      </c>
      <c r="I14" s="50">
        <v>7</v>
      </c>
      <c r="J14" s="50">
        <v>3</v>
      </c>
      <c r="K14" s="50">
        <v>3</v>
      </c>
      <c r="L14" s="50">
        <v>4</v>
      </c>
      <c r="M14" s="50">
        <v>141</v>
      </c>
      <c r="N14" s="50">
        <v>0</v>
      </c>
      <c r="O14" s="15">
        <f t="shared" si="0"/>
        <v>112</v>
      </c>
      <c r="P14" s="15">
        <f t="shared" si="1"/>
        <v>253</v>
      </c>
      <c r="R14" s="1" t="s">
        <v>10</v>
      </c>
      <c r="S14" s="17">
        <f t="shared" ref="S14:AF14" si="6">SUM(C26:C29)</f>
        <v>229</v>
      </c>
      <c r="T14" s="17">
        <f t="shared" si="6"/>
        <v>48</v>
      </c>
      <c r="U14" s="17">
        <f t="shared" si="6"/>
        <v>38</v>
      </c>
      <c r="V14" s="17">
        <f t="shared" si="6"/>
        <v>144</v>
      </c>
      <c r="W14" s="17">
        <f t="shared" si="6"/>
        <v>2</v>
      </c>
      <c r="X14" s="17">
        <f t="shared" si="6"/>
        <v>0</v>
      </c>
      <c r="Y14" s="17">
        <f t="shared" si="6"/>
        <v>27</v>
      </c>
      <c r="Z14" s="17">
        <f t="shared" si="6"/>
        <v>47</v>
      </c>
      <c r="AA14" s="17">
        <f t="shared" si="6"/>
        <v>7</v>
      </c>
      <c r="AB14" s="17">
        <f t="shared" si="6"/>
        <v>18</v>
      </c>
      <c r="AC14" s="17">
        <f t="shared" si="6"/>
        <v>398</v>
      </c>
      <c r="AD14" s="17">
        <f t="shared" si="6"/>
        <v>0</v>
      </c>
      <c r="AE14" s="31">
        <f t="shared" si="6"/>
        <v>560</v>
      </c>
      <c r="AF14" s="31">
        <f t="shared" si="6"/>
        <v>958</v>
      </c>
    </row>
    <row r="15" spans="2:32" ht="23.1" customHeight="1" x14ac:dyDescent="0.25">
      <c r="B15" s="23" t="s">
        <v>42</v>
      </c>
      <c r="C15" s="50">
        <v>54</v>
      </c>
      <c r="D15" s="50">
        <v>18</v>
      </c>
      <c r="E15" s="50">
        <v>13</v>
      </c>
      <c r="F15" s="50">
        <v>13</v>
      </c>
      <c r="G15" s="50">
        <v>0</v>
      </c>
      <c r="H15" s="50">
        <v>0</v>
      </c>
      <c r="I15" s="50">
        <v>3</v>
      </c>
      <c r="J15" s="50">
        <v>10</v>
      </c>
      <c r="K15" s="50">
        <v>4</v>
      </c>
      <c r="L15" s="50">
        <v>3</v>
      </c>
      <c r="M15" s="50">
        <v>140</v>
      </c>
      <c r="N15" s="50">
        <v>0</v>
      </c>
      <c r="O15" s="15">
        <f t="shared" si="0"/>
        <v>118</v>
      </c>
      <c r="P15" s="15">
        <f t="shared" si="1"/>
        <v>258</v>
      </c>
      <c r="R15" s="1" t="s">
        <v>11</v>
      </c>
      <c r="S15" s="17">
        <f t="shared" ref="S15:AF15" si="7">SUM(C30:C33)</f>
        <v>185</v>
      </c>
      <c r="T15" s="17">
        <f t="shared" si="7"/>
        <v>45</v>
      </c>
      <c r="U15" s="17">
        <f t="shared" si="7"/>
        <v>30</v>
      </c>
      <c r="V15" s="17">
        <f t="shared" si="7"/>
        <v>115</v>
      </c>
      <c r="W15" s="17">
        <f t="shared" si="7"/>
        <v>16</v>
      </c>
      <c r="X15" s="17">
        <f t="shared" si="7"/>
        <v>2</v>
      </c>
      <c r="Y15" s="17">
        <f t="shared" si="7"/>
        <v>22</v>
      </c>
      <c r="Z15" s="17">
        <f t="shared" si="7"/>
        <v>55</v>
      </c>
      <c r="AA15" s="17">
        <f t="shared" si="7"/>
        <v>10</v>
      </c>
      <c r="AB15" s="17">
        <f t="shared" si="7"/>
        <v>12</v>
      </c>
      <c r="AC15" s="17">
        <f t="shared" si="7"/>
        <v>325</v>
      </c>
      <c r="AD15" s="17">
        <f t="shared" si="7"/>
        <v>0</v>
      </c>
      <c r="AE15" s="31">
        <f t="shared" si="7"/>
        <v>492</v>
      </c>
      <c r="AF15" s="31">
        <f t="shared" si="7"/>
        <v>817</v>
      </c>
    </row>
    <row r="16" spans="2:32" ht="23.1" customHeight="1" x14ac:dyDescent="0.25">
      <c r="B16" s="23" t="s">
        <v>43</v>
      </c>
      <c r="C16" s="50">
        <v>47</v>
      </c>
      <c r="D16" s="50">
        <v>18</v>
      </c>
      <c r="E16" s="50">
        <v>17</v>
      </c>
      <c r="F16" s="50">
        <v>20</v>
      </c>
      <c r="G16" s="50">
        <v>0</v>
      </c>
      <c r="H16" s="50">
        <v>0</v>
      </c>
      <c r="I16" s="50">
        <v>5</v>
      </c>
      <c r="J16" s="50">
        <v>8</v>
      </c>
      <c r="K16" s="50">
        <v>3</v>
      </c>
      <c r="L16" s="50">
        <v>0</v>
      </c>
      <c r="M16" s="50">
        <v>160</v>
      </c>
      <c r="N16" s="50">
        <v>0</v>
      </c>
      <c r="O16" s="15">
        <f t="shared" si="0"/>
        <v>118</v>
      </c>
      <c r="P16" s="15">
        <f t="shared" si="1"/>
        <v>278</v>
      </c>
      <c r="R16" s="1" t="s">
        <v>12</v>
      </c>
      <c r="S16" s="17">
        <f t="shared" ref="S16:AF16" si="8">SUM(C34:C37)</f>
        <v>168</v>
      </c>
      <c r="T16" s="17">
        <f t="shared" si="8"/>
        <v>45</v>
      </c>
      <c r="U16" s="17">
        <f t="shared" si="8"/>
        <v>36</v>
      </c>
      <c r="V16" s="17">
        <f t="shared" si="8"/>
        <v>102</v>
      </c>
      <c r="W16" s="17">
        <f t="shared" si="8"/>
        <v>2</v>
      </c>
      <c r="X16" s="17">
        <f t="shared" si="8"/>
        <v>0</v>
      </c>
      <c r="Y16" s="17">
        <f t="shared" si="8"/>
        <v>29</v>
      </c>
      <c r="Z16" s="17">
        <f t="shared" si="8"/>
        <v>19</v>
      </c>
      <c r="AA16" s="17">
        <f t="shared" si="8"/>
        <v>18</v>
      </c>
      <c r="AB16" s="17">
        <f t="shared" si="8"/>
        <v>19</v>
      </c>
      <c r="AC16" s="17">
        <f t="shared" si="8"/>
        <v>387</v>
      </c>
      <c r="AD16" s="17">
        <f t="shared" si="8"/>
        <v>0</v>
      </c>
      <c r="AE16" s="31">
        <f t="shared" si="8"/>
        <v>438</v>
      </c>
      <c r="AF16" s="31">
        <f t="shared" si="8"/>
        <v>825</v>
      </c>
    </row>
    <row r="17" spans="2:32" ht="23.1" customHeight="1" x14ac:dyDescent="0.25">
      <c r="B17" s="23" t="s">
        <v>44</v>
      </c>
      <c r="C17" s="50">
        <v>58</v>
      </c>
      <c r="D17" s="50">
        <v>11</v>
      </c>
      <c r="E17" s="50">
        <v>16</v>
      </c>
      <c r="F17" s="50">
        <v>15</v>
      </c>
      <c r="G17" s="50">
        <v>0</v>
      </c>
      <c r="H17" s="50">
        <v>0</v>
      </c>
      <c r="I17" s="50">
        <v>9</v>
      </c>
      <c r="J17" s="50">
        <v>13</v>
      </c>
      <c r="K17" s="50">
        <v>3</v>
      </c>
      <c r="L17" s="50">
        <v>2</v>
      </c>
      <c r="M17" s="50">
        <v>123</v>
      </c>
      <c r="N17" s="50">
        <v>0</v>
      </c>
      <c r="O17" s="15">
        <f t="shared" si="0"/>
        <v>127</v>
      </c>
      <c r="P17" s="15">
        <f t="shared" si="1"/>
        <v>250</v>
      </c>
      <c r="R17" s="1" t="s">
        <v>13</v>
      </c>
      <c r="S17" s="17">
        <f t="shared" ref="S17:AF17" si="9">SUM(C38:C41)</f>
        <v>196</v>
      </c>
      <c r="T17" s="17">
        <f t="shared" si="9"/>
        <v>69</v>
      </c>
      <c r="U17" s="17">
        <f t="shared" si="9"/>
        <v>47</v>
      </c>
      <c r="V17" s="17">
        <f t="shared" si="9"/>
        <v>99</v>
      </c>
      <c r="W17" s="17">
        <f t="shared" si="9"/>
        <v>3</v>
      </c>
      <c r="X17" s="17">
        <f t="shared" si="9"/>
        <v>0</v>
      </c>
      <c r="Y17" s="17">
        <f t="shared" si="9"/>
        <v>40</v>
      </c>
      <c r="Z17" s="17">
        <f t="shared" si="9"/>
        <v>54</v>
      </c>
      <c r="AA17" s="17">
        <f t="shared" si="9"/>
        <v>24</v>
      </c>
      <c r="AB17" s="17">
        <f t="shared" si="9"/>
        <v>26</v>
      </c>
      <c r="AC17" s="17">
        <f t="shared" si="9"/>
        <v>334</v>
      </c>
      <c r="AD17" s="17">
        <f t="shared" si="9"/>
        <v>0</v>
      </c>
      <c r="AE17" s="31">
        <f t="shared" si="9"/>
        <v>558</v>
      </c>
      <c r="AF17" s="31">
        <f t="shared" si="9"/>
        <v>892</v>
      </c>
    </row>
    <row r="18" spans="2:32" ht="23.1" customHeight="1" x14ac:dyDescent="0.25">
      <c r="B18" s="23" t="s">
        <v>45</v>
      </c>
      <c r="C18" s="50">
        <v>56</v>
      </c>
      <c r="D18" s="50">
        <v>15</v>
      </c>
      <c r="E18" s="50">
        <v>8</v>
      </c>
      <c r="F18" s="50">
        <v>16</v>
      </c>
      <c r="G18" s="50">
        <v>0</v>
      </c>
      <c r="H18" s="50">
        <v>0</v>
      </c>
      <c r="I18" s="50">
        <v>7</v>
      </c>
      <c r="J18" s="50">
        <v>7</v>
      </c>
      <c r="K18" s="50">
        <v>3</v>
      </c>
      <c r="L18" s="50">
        <v>0</v>
      </c>
      <c r="M18" s="50">
        <v>116</v>
      </c>
      <c r="N18" s="50">
        <v>0</v>
      </c>
      <c r="O18" s="15">
        <f t="shared" si="0"/>
        <v>112</v>
      </c>
      <c r="P18" s="15">
        <f t="shared" si="1"/>
        <v>228</v>
      </c>
      <c r="R18" s="1" t="s">
        <v>14</v>
      </c>
      <c r="S18" s="17">
        <f t="shared" ref="S18:AF18" si="10">SUM(C42:C45)</f>
        <v>215</v>
      </c>
      <c r="T18" s="17">
        <f t="shared" si="10"/>
        <v>41</v>
      </c>
      <c r="U18" s="17">
        <f t="shared" si="10"/>
        <v>42</v>
      </c>
      <c r="V18" s="17">
        <f t="shared" si="10"/>
        <v>92</v>
      </c>
      <c r="W18" s="17">
        <f t="shared" si="10"/>
        <v>9</v>
      </c>
      <c r="X18" s="17">
        <f t="shared" si="10"/>
        <v>0</v>
      </c>
      <c r="Y18" s="17">
        <f t="shared" si="10"/>
        <v>21</v>
      </c>
      <c r="Z18" s="17">
        <f t="shared" si="10"/>
        <v>34</v>
      </c>
      <c r="AA18" s="17">
        <f t="shared" si="10"/>
        <v>6</v>
      </c>
      <c r="AB18" s="17">
        <f t="shared" si="10"/>
        <v>13</v>
      </c>
      <c r="AC18" s="17">
        <f t="shared" si="10"/>
        <v>176</v>
      </c>
      <c r="AD18" s="17">
        <f t="shared" si="10"/>
        <v>0</v>
      </c>
      <c r="AE18" s="31">
        <f t="shared" si="10"/>
        <v>473</v>
      </c>
      <c r="AF18" s="31">
        <f t="shared" si="10"/>
        <v>649</v>
      </c>
    </row>
    <row r="19" spans="2:32" ht="23.1" customHeight="1" x14ac:dyDescent="0.25">
      <c r="B19" s="23" t="s">
        <v>46</v>
      </c>
      <c r="C19" s="50">
        <v>45</v>
      </c>
      <c r="D19" s="50">
        <v>15</v>
      </c>
      <c r="E19" s="50">
        <v>6</v>
      </c>
      <c r="F19" s="50">
        <v>30</v>
      </c>
      <c r="G19" s="50">
        <v>0</v>
      </c>
      <c r="H19" s="50">
        <v>0</v>
      </c>
      <c r="I19" s="50">
        <v>9</v>
      </c>
      <c r="J19" s="50">
        <v>5</v>
      </c>
      <c r="K19" s="50">
        <v>3</v>
      </c>
      <c r="L19" s="50">
        <v>5</v>
      </c>
      <c r="M19" s="50">
        <v>143</v>
      </c>
      <c r="N19" s="50">
        <v>0</v>
      </c>
      <c r="O19" s="15">
        <f t="shared" si="0"/>
        <v>118</v>
      </c>
      <c r="P19" s="15">
        <f t="shared" si="1"/>
        <v>261</v>
      </c>
      <c r="R19" s="1" t="s">
        <v>15</v>
      </c>
      <c r="S19" s="17">
        <f t="shared" ref="S19:AF19" si="11">SUM(C46:C49)</f>
        <v>247</v>
      </c>
      <c r="T19" s="17">
        <f t="shared" si="11"/>
        <v>58</v>
      </c>
      <c r="U19" s="17">
        <f t="shared" si="11"/>
        <v>39</v>
      </c>
      <c r="V19" s="17">
        <f t="shared" si="11"/>
        <v>116</v>
      </c>
      <c r="W19" s="17">
        <f t="shared" si="11"/>
        <v>4</v>
      </c>
      <c r="X19" s="17">
        <f t="shared" si="11"/>
        <v>4</v>
      </c>
      <c r="Y19" s="17">
        <f t="shared" si="11"/>
        <v>31</v>
      </c>
      <c r="Z19" s="17">
        <f t="shared" si="11"/>
        <v>50</v>
      </c>
      <c r="AA19" s="17">
        <f t="shared" si="11"/>
        <v>15</v>
      </c>
      <c r="AB19" s="17">
        <f t="shared" si="11"/>
        <v>14</v>
      </c>
      <c r="AC19" s="17">
        <f t="shared" si="11"/>
        <v>289</v>
      </c>
      <c r="AD19" s="17">
        <f t="shared" si="11"/>
        <v>0</v>
      </c>
      <c r="AE19" s="31">
        <f t="shared" si="11"/>
        <v>578</v>
      </c>
      <c r="AF19" s="31">
        <f t="shared" si="11"/>
        <v>867</v>
      </c>
    </row>
    <row r="20" spans="2:32" ht="23.1" customHeight="1" x14ac:dyDescent="0.25">
      <c r="B20" s="23" t="s">
        <v>47</v>
      </c>
      <c r="C20" s="50">
        <v>58</v>
      </c>
      <c r="D20" s="50">
        <v>18</v>
      </c>
      <c r="E20" s="50">
        <v>9</v>
      </c>
      <c r="F20" s="50">
        <v>28</v>
      </c>
      <c r="G20" s="50">
        <v>0</v>
      </c>
      <c r="H20" s="50">
        <v>0</v>
      </c>
      <c r="I20" s="50">
        <v>11</v>
      </c>
      <c r="J20" s="50">
        <v>9</v>
      </c>
      <c r="K20" s="50">
        <v>2</v>
      </c>
      <c r="L20" s="50">
        <v>1</v>
      </c>
      <c r="M20" s="50">
        <v>99</v>
      </c>
      <c r="N20" s="50">
        <v>0</v>
      </c>
      <c r="O20" s="15">
        <f t="shared" si="0"/>
        <v>136</v>
      </c>
      <c r="P20" s="15">
        <f t="shared" si="1"/>
        <v>235</v>
      </c>
      <c r="R20" s="1" t="s">
        <v>16</v>
      </c>
      <c r="S20" s="17">
        <f t="shared" ref="S20:AF20" si="12">SUM(C50:C53)</f>
        <v>247</v>
      </c>
      <c r="T20" s="17">
        <f t="shared" si="12"/>
        <v>59</v>
      </c>
      <c r="U20" s="17">
        <f t="shared" si="12"/>
        <v>39</v>
      </c>
      <c r="V20" s="17">
        <f t="shared" si="12"/>
        <v>114</v>
      </c>
      <c r="W20" s="17">
        <f t="shared" si="12"/>
        <v>8</v>
      </c>
      <c r="X20" s="17">
        <f t="shared" si="12"/>
        <v>0</v>
      </c>
      <c r="Y20" s="17">
        <f t="shared" si="12"/>
        <v>36</v>
      </c>
      <c r="Z20" s="17">
        <f t="shared" si="12"/>
        <v>47</v>
      </c>
      <c r="AA20" s="17">
        <f t="shared" si="12"/>
        <v>16</v>
      </c>
      <c r="AB20" s="17">
        <f t="shared" si="12"/>
        <v>15</v>
      </c>
      <c r="AC20" s="17">
        <f t="shared" si="12"/>
        <v>331</v>
      </c>
      <c r="AD20" s="17">
        <f t="shared" si="12"/>
        <v>0</v>
      </c>
      <c r="AE20" s="31">
        <f t="shared" si="12"/>
        <v>581</v>
      </c>
      <c r="AF20" s="31">
        <f t="shared" si="12"/>
        <v>912</v>
      </c>
    </row>
    <row r="21" spans="2:32" ht="23.1" customHeight="1" x14ac:dyDescent="0.25">
      <c r="B21" s="23" t="s">
        <v>48</v>
      </c>
      <c r="C21" s="50">
        <v>52</v>
      </c>
      <c r="D21" s="50">
        <v>7</v>
      </c>
      <c r="E21" s="50">
        <v>4</v>
      </c>
      <c r="F21" s="50">
        <v>27</v>
      </c>
      <c r="G21" s="50">
        <v>0</v>
      </c>
      <c r="H21" s="50">
        <v>0</v>
      </c>
      <c r="I21" s="50">
        <v>8</v>
      </c>
      <c r="J21" s="50">
        <v>8</v>
      </c>
      <c r="K21" s="50">
        <v>8</v>
      </c>
      <c r="L21" s="50">
        <v>7</v>
      </c>
      <c r="M21" s="50">
        <v>122</v>
      </c>
      <c r="N21" s="50">
        <v>0</v>
      </c>
      <c r="O21" s="15">
        <f t="shared" si="0"/>
        <v>121</v>
      </c>
      <c r="P21" s="15">
        <f t="shared" si="1"/>
        <v>243</v>
      </c>
      <c r="R21" s="36" t="s">
        <v>20</v>
      </c>
      <c r="S21" s="34">
        <f t="shared" ref="S21:AF21" si="13">SUM(C54:C57)</f>
        <v>265</v>
      </c>
      <c r="T21" s="17">
        <f t="shared" si="13"/>
        <v>72</v>
      </c>
      <c r="U21" s="17">
        <f t="shared" si="13"/>
        <v>39</v>
      </c>
      <c r="V21" s="17">
        <f t="shared" si="13"/>
        <v>117</v>
      </c>
      <c r="W21" s="17">
        <f t="shared" si="13"/>
        <v>14</v>
      </c>
      <c r="X21" s="17">
        <f t="shared" si="13"/>
        <v>0</v>
      </c>
      <c r="Y21" s="17">
        <f t="shared" si="13"/>
        <v>46</v>
      </c>
      <c r="Z21" s="17">
        <f t="shared" si="13"/>
        <v>37</v>
      </c>
      <c r="AA21" s="17">
        <f t="shared" si="13"/>
        <v>14</v>
      </c>
      <c r="AB21" s="17">
        <f t="shared" si="13"/>
        <v>22</v>
      </c>
      <c r="AC21" s="17">
        <f t="shared" si="13"/>
        <v>366</v>
      </c>
      <c r="AD21" s="17">
        <f t="shared" si="13"/>
        <v>0</v>
      </c>
      <c r="AE21" s="31">
        <f t="shared" si="13"/>
        <v>626</v>
      </c>
      <c r="AF21" s="31">
        <f t="shared" si="13"/>
        <v>992</v>
      </c>
    </row>
    <row r="22" spans="2:32" ht="23.1" customHeight="1" x14ac:dyDescent="0.25">
      <c r="B22" s="23" t="s">
        <v>49</v>
      </c>
      <c r="C22" s="50">
        <v>49</v>
      </c>
      <c r="D22" s="50">
        <v>11</v>
      </c>
      <c r="E22" s="50">
        <v>1</v>
      </c>
      <c r="F22" s="50">
        <v>29</v>
      </c>
      <c r="G22" s="50">
        <v>0</v>
      </c>
      <c r="H22" s="50">
        <v>0</v>
      </c>
      <c r="I22" s="50">
        <v>9</v>
      </c>
      <c r="J22" s="50">
        <v>5</v>
      </c>
      <c r="K22" s="50">
        <v>1</v>
      </c>
      <c r="L22" s="50">
        <v>3</v>
      </c>
      <c r="M22" s="50">
        <v>89</v>
      </c>
      <c r="N22" s="50">
        <v>0</v>
      </c>
      <c r="O22" s="15">
        <f t="shared" si="0"/>
        <v>108</v>
      </c>
      <c r="P22" s="15">
        <f t="shared" si="1"/>
        <v>197</v>
      </c>
      <c r="R22" s="38" t="s">
        <v>90</v>
      </c>
      <c r="S22" s="39">
        <f>MAX(S10:S12)</f>
        <v>261</v>
      </c>
      <c r="T22" s="39">
        <f t="shared" ref="T22:AF22" si="14">MAX(T10:T12)</f>
        <v>64</v>
      </c>
      <c r="U22" s="39">
        <f t="shared" si="14"/>
        <v>50</v>
      </c>
      <c r="V22" s="39">
        <f t="shared" si="14"/>
        <v>101</v>
      </c>
      <c r="W22" s="39">
        <f t="shared" si="14"/>
        <v>16</v>
      </c>
      <c r="X22" s="39">
        <f t="shared" si="14"/>
        <v>0</v>
      </c>
      <c r="Y22" s="39">
        <f t="shared" si="14"/>
        <v>35</v>
      </c>
      <c r="Z22" s="39">
        <f t="shared" si="14"/>
        <v>34</v>
      </c>
      <c r="AA22" s="39">
        <f t="shared" si="14"/>
        <v>16</v>
      </c>
      <c r="AB22" s="39">
        <f t="shared" si="14"/>
        <v>13</v>
      </c>
      <c r="AC22" s="39">
        <f t="shared" si="14"/>
        <v>564</v>
      </c>
      <c r="AD22" s="39">
        <f t="shared" si="14"/>
        <v>0</v>
      </c>
      <c r="AE22" s="40">
        <f t="shared" si="14"/>
        <v>487</v>
      </c>
      <c r="AF22" s="40">
        <f t="shared" si="14"/>
        <v>1041</v>
      </c>
    </row>
    <row r="23" spans="2:32" ht="23.1" customHeight="1" x14ac:dyDescent="0.25">
      <c r="B23" s="23" t="s">
        <v>50</v>
      </c>
      <c r="C23" s="50">
        <v>64</v>
      </c>
      <c r="D23" s="50">
        <v>16</v>
      </c>
      <c r="E23" s="50">
        <v>3</v>
      </c>
      <c r="F23" s="50">
        <v>30</v>
      </c>
      <c r="G23" s="50">
        <v>0</v>
      </c>
      <c r="H23" s="50">
        <v>0</v>
      </c>
      <c r="I23" s="50">
        <v>10</v>
      </c>
      <c r="J23" s="50">
        <v>10</v>
      </c>
      <c r="K23" s="50">
        <v>0</v>
      </c>
      <c r="L23" s="50">
        <v>3</v>
      </c>
      <c r="M23" s="50">
        <v>93</v>
      </c>
      <c r="N23" s="50">
        <v>0</v>
      </c>
      <c r="O23" s="15">
        <f t="shared" si="0"/>
        <v>136</v>
      </c>
      <c r="P23" s="15">
        <f t="shared" si="1"/>
        <v>229</v>
      </c>
      <c r="R23" s="38" t="s">
        <v>91</v>
      </c>
      <c r="S23" s="39">
        <f>MAX(S13:S18)</f>
        <v>229</v>
      </c>
      <c r="T23" s="39">
        <f t="shared" ref="T23:AF23" si="15">MAX(T13:T18)</f>
        <v>69</v>
      </c>
      <c r="U23" s="39">
        <f t="shared" si="15"/>
        <v>47</v>
      </c>
      <c r="V23" s="39">
        <f t="shared" si="15"/>
        <v>144</v>
      </c>
      <c r="W23" s="39">
        <f t="shared" si="15"/>
        <v>16</v>
      </c>
      <c r="X23" s="39">
        <f t="shared" si="15"/>
        <v>2</v>
      </c>
      <c r="Y23" s="39">
        <f t="shared" si="15"/>
        <v>40</v>
      </c>
      <c r="Z23" s="39">
        <f t="shared" si="15"/>
        <v>55</v>
      </c>
      <c r="AA23" s="39">
        <f t="shared" si="15"/>
        <v>24</v>
      </c>
      <c r="AB23" s="39">
        <f t="shared" si="15"/>
        <v>26</v>
      </c>
      <c r="AC23" s="39">
        <f t="shared" si="15"/>
        <v>398</v>
      </c>
      <c r="AD23" s="39">
        <f t="shared" si="15"/>
        <v>0</v>
      </c>
      <c r="AE23" s="40">
        <f t="shared" si="15"/>
        <v>560</v>
      </c>
      <c r="AF23" s="40">
        <f t="shared" si="15"/>
        <v>958</v>
      </c>
    </row>
    <row r="24" spans="2:32" ht="23.1" customHeight="1" x14ac:dyDescent="0.25">
      <c r="B24" s="23" t="s">
        <v>51</v>
      </c>
      <c r="C24" s="50">
        <v>50</v>
      </c>
      <c r="D24" s="50">
        <v>4</v>
      </c>
      <c r="E24" s="50">
        <v>8</v>
      </c>
      <c r="F24" s="50">
        <v>2</v>
      </c>
      <c r="G24" s="50">
        <v>1</v>
      </c>
      <c r="H24" s="50">
        <v>0</v>
      </c>
      <c r="I24" s="50">
        <v>5</v>
      </c>
      <c r="J24" s="50">
        <v>14</v>
      </c>
      <c r="K24" s="50">
        <v>6</v>
      </c>
      <c r="L24" s="50">
        <v>5</v>
      </c>
      <c r="M24" s="50">
        <v>98</v>
      </c>
      <c r="N24" s="50">
        <v>0</v>
      </c>
      <c r="O24" s="15">
        <f t="shared" si="0"/>
        <v>95</v>
      </c>
      <c r="P24" s="15">
        <f t="shared" si="1"/>
        <v>193</v>
      </c>
      <c r="R24" s="38" t="s">
        <v>92</v>
      </c>
      <c r="S24" s="39">
        <f>MAX(S19:S21)</f>
        <v>265</v>
      </c>
      <c r="T24" s="39">
        <f t="shared" ref="T24:AF24" si="16">MAX(T19:T21)</f>
        <v>72</v>
      </c>
      <c r="U24" s="39">
        <f t="shared" si="16"/>
        <v>39</v>
      </c>
      <c r="V24" s="39">
        <f t="shared" si="16"/>
        <v>117</v>
      </c>
      <c r="W24" s="39">
        <f t="shared" si="16"/>
        <v>14</v>
      </c>
      <c r="X24" s="39">
        <f t="shared" si="16"/>
        <v>4</v>
      </c>
      <c r="Y24" s="39">
        <f t="shared" si="16"/>
        <v>46</v>
      </c>
      <c r="Z24" s="39">
        <f t="shared" si="16"/>
        <v>50</v>
      </c>
      <c r="AA24" s="39">
        <f t="shared" si="16"/>
        <v>16</v>
      </c>
      <c r="AB24" s="39">
        <f t="shared" si="16"/>
        <v>22</v>
      </c>
      <c r="AC24" s="39">
        <f t="shared" si="16"/>
        <v>366</v>
      </c>
      <c r="AD24" s="39">
        <f t="shared" si="16"/>
        <v>0</v>
      </c>
      <c r="AE24" s="40">
        <f t="shared" si="16"/>
        <v>626</v>
      </c>
      <c r="AF24" s="40">
        <f t="shared" si="16"/>
        <v>992</v>
      </c>
    </row>
    <row r="25" spans="2:32" ht="23.1" customHeight="1" x14ac:dyDescent="0.25">
      <c r="B25" s="23" t="s">
        <v>52</v>
      </c>
      <c r="C25" s="50">
        <v>58</v>
      </c>
      <c r="D25" s="50">
        <v>11</v>
      </c>
      <c r="E25" s="50">
        <v>3</v>
      </c>
      <c r="F25" s="50">
        <v>35</v>
      </c>
      <c r="G25" s="50">
        <v>0</v>
      </c>
      <c r="H25" s="50">
        <v>0</v>
      </c>
      <c r="I25" s="50">
        <v>9</v>
      </c>
      <c r="J25" s="50">
        <v>8</v>
      </c>
      <c r="K25" s="50">
        <v>2</v>
      </c>
      <c r="L25" s="50">
        <v>3</v>
      </c>
      <c r="M25" s="50">
        <v>115</v>
      </c>
      <c r="N25" s="50">
        <v>0</v>
      </c>
      <c r="O25" s="15">
        <f t="shared" si="0"/>
        <v>129</v>
      </c>
      <c r="P25" s="15">
        <f t="shared" si="1"/>
        <v>244</v>
      </c>
      <c r="R25" s="37" t="s">
        <v>85</v>
      </c>
      <c r="S25" s="35">
        <f t="shared" ref="S25:AF25" si="17">SUM(S10:S12)</f>
        <v>683</v>
      </c>
      <c r="T25" s="16">
        <f t="shared" si="17"/>
        <v>144</v>
      </c>
      <c r="U25" s="16">
        <f t="shared" si="17"/>
        <v>101</v>
      </c>
      <c r="V25" s="16">
        <f t="shared" si="17"/>
        <v>250</v>
      </c>
      <c r="W25" s="16">
        <f t="shared" si="17"/>
        <v>16</v>
      </c>
      <c r="X25" s="16">
        <f t="shared" si="17"/>
        <v>0</v>
      </c>
      <c r="Y25" s="16">
        <f t="shared" si="17"/>
        <v>87</v>
      </c>
      <c r="Z25" s="16">
        <f t="shared" si="17"/>
        <v>89</v>
      </c>
      <c r="AA25" s="16">
        <f t="shared" si="17"/>
        <v>38</v>
      </c>
      <c r="AB25" s="16">
        <f t="shared" si="17"/>
        <v>34</v>
      </c>
      <c r="AC25" s="16">
        <f t="shared" si="17"/>
        <v>1605</v>
      </c>
      <c r="AD25" s="16">
        <f t="shared" si="17"/>
        <v>0</v>
      </c>
      <c r="AE25" s="32">
        <f t="shared" si="17"/>
        <v>1442</v>
      </c>
      <c r="AF25" s="32">
        <f t="shared" si="17"/>
        <v>3047</v>
      </c>
    </row>
    <row r="26" spans="2:32" ht="23.1" customHeight="1" x14ac:dyDescent="0.25">
      <c r="B26" s="23" t="s">
        <v>53</v>
      </c>
      <c r="C26" s="50">
        <v>70</v>
      </c>
      <c r="D26" s="50">
        <v>13</v>
      </c>
      <c r="E26" s="50">
        <v>9</v>
      </c>
      <c r="F26" s="50">
        <v>25</v>
      </c>
      <c r="G26" s="50">
        <v>0</v>
      </c>
      <c r="H26" s="50">
        <v>0</v>
      </c>
      <c r="I26" s="50">
        <v>3</v>
      </c>
      <c r="J26" s="50">
        <v>11</v>
      </c>
      <c r="K26" s="50">
        <v>2</v>
      </c>
      <c r="L26" s="50">
        <v>1</v>
      </c>
      <c r="M26" s="50">
        <v>88</v>
      </c>
      <c r="N26" s="50">
        <v>0</v>
      </c>
      <c r="O26" s="15">
        <f t="shared" si="0"/>
        <v>134</v>
      </c>
      <c r="P26" s="15">
        <f t="shared" si="1"/>
        <v>222</v>
      </c>
      <c r="R26" s="28" t="s">
        <v>86</v>
      </c>
      <c r="S26" s="16">
        <f t="shared" ref="S26:AF26" si="18">SUM(S13:S18)</f>
        <v>1214</v>
      </c>
      <c r="T26" s="16">
        <f t="shared" si="18"/>
        <v>290</v>
      </c>
      <c r="U26" s="16">
        <f t="shared" si="18"/>
        <v>208</v>
      </c>
      <c r="V26" s="16">
        <f t="shared" si="18"/>
        <v>648</v>
      </c>
      <c r="W26" s="16">
        <f t="shared" si="18"/>
        <v>33</v>
      </c>
      <c r="X26" s="16">
        <f t="shared" si="18"/>
        <v>2</v>
      </c>
      <c r="Y26" s="16">
        <f t="shared" si="18"/>
        <v>172</v>
      </c>
      <c r="Z26" s="16">
        <f t="shared" si="18"/>
        <v>246</v>
      </c>
      <c r="AA26" s="16">
        <f t="shared" si="18"/>
        <v>74</v>
      </c>
      <c r="AB26" s="16">
        <f t="shared" si="18"/>
        <v>102</v>
      </c>
      <c r="AC26" s="16">
        <f t="shared" si="18"/>
        <v>2015</v>
      </c>
      <c r="AD26" s="16">
        <f t="shared" si="18"/>
        <v>0</v>
      </c>
      <c r="AE26" s="32">
        <f t="shared" si="18"/>
        <v>2989</v>
      </c>
      <c r="AF26" s="32">
        <f t="shared" si="18"/>
        <v>5004</v>
      </c>
    </row>
    <row r="27" spans="2:32" ht="23.1" customHeight="1" x14ac:dyDescent="0.25">
      <c r="B27" s="23" t="s">
        <v>54</v>
      </c>
      <c r="C27" s="50">
        <v>59</v>
      </c>
      <c r="D27" s="50">
        <v>6</v>
      </c>
      <c r="E27" s="50">
        <v>10</v>
      </c>
      <c r="F27" s="50">
        <v>53</v>
      </c>
      <c r="G27" s="50">
        <v>0</v>
      </c>
      <c r="H27" s="50">
        <v>0</v>
      </c>
      <c r="I27" s="50">
        <v>6</v>
      </c>
      <c r="J27" s="50">
        <v>17</v>
      </c>
      <c r="K27" s="50">
        <v>4</v>
      </c>
      <c r="L27" s="50">
        <v>4</v>
      </c>
      <c r="M27" s="50">
        <v>93</v>
      </c>
      <c r="N27" s="50">
        <v>0</v>
      </c>
      <c r="O27" s="15">
        <f t="shared" si="0"/>
        <v>159</v>
      </c>
      <c r="P27" s="15">
        <f t="shared" si="1"/>
        <v>252</v>
      </c>
      <c r="R27" s="29" t="s">
        <v>87</v>
      </c>
      <c r="S27" s="16">
        <f t="shared" ref="S27:AF27" si="19">SUM(S19:S21)</f>
        <v>759</v>
      </c>
      <c r="T27" s="16">
        <f t="shared" si="19"/>
        <v>189</v>
      </c>
      <c r="U27" s="16">
        <f t="shared" si="19"/>
        <v>117</v>
      </c>
      <c r="V27" s="16">
        <f t="shared" si="19"/>
        <v>347</v>
      </c>
      <c r="W27" s="16">
        <f t="shared" si="19"/>
        <v>26</v>
      </c>
      <c r="X27" s="16">
        <f t="shared" si="19"/>
        <v>4</v>
      </c>
      <c r="Y27" s="16">
        <f t="shared" si="19"/>
        <v>113</v>
      </c>
      <c r="Z27" s="16">
        <f t="shared" si="19"/>
        <v>134</v>
      </c>
      <c r="AA27" s="16">
        <f t="shared" si="19"/>
        <v>45</v>
      </c>
      <c r="AB27" s="16">
        <f t="shared" si="19"/>
        <v>51</v>
      </c>
      <c r="AC27" s="16">
        <f t="shared" si="19"/>
        <v>986</v>
      </c>
      <c r="AD27" s="16">
        <f t="shared" si="19"/>
        <v>0</v>
      </c>
      <c r="AE27" s="32">
        <f t="shared" si="19"/>
        <v>1785</v>
      </c>
      <c r="AF27" s="32">
        <f t="shared" si="19"/>
        <v>2771</v>
      </c>
    </row>
    <row r="28" spans="2:32" ht="23.1" customHeight="1" x14ac:dyDescent="0.25">
      <c r="B28" s="23" t="s">
        <v>55</v>
      </c>
      <c r="C28" s="50">
        <v>47</v>
      </c>
      <c r="D28" s="50">
        <v>17</v>
      </c>
      <c r="E28" s="50">
        <v>6</v>
      </c>
      <c r="F28" s="50">
        <v>30</v>
      </c>
      <c r="G28" s="50">
        <v>1</v>
      </c>
      <c r="H28" s="50">
        <v>0</v>
      </c>
      <c r="I28" s="50">
        <v>8</v>
      </c>
      <c r="J28" s="50">
        <v>9</v>
      </c>
      <c r="K28" s="50">
        <v>0</v>
      </c>
      <c r="L28" s="50">
        <v>5</v>
      </c>
      <c r="M28" s="50">
        <v>107</v>
      </c>
      <c r="N28" s="50">
        <v>0</v>
      </c>
      <c r="O28" s="15">
        <f t="shared" si="0"/>
        <v>123</v>
      </c>
      <c r="P28" s="15">
        <f t="shared" si="1"/>
        <v>230</v>
      </c>
      <c r="R28" s="5" t="s">
        <v>17</v>
      </c>
      <c r="S28" s="16">
        <f t="shared" ref="S28:AF28" si="20">SUM(S10:S21)</f>
        <v>2656</v>
      </c>
      <c r="T28" s="16">
        <f t="shared" si="20"/>
        <v>623</v>
      </c>
      <c r="U28" s="16">
        <f t="shared" si="20"/>
        <v>426</v>
      </c>
      <c r="V28" s="16">
        <f t="shared" si="20"/>
        <v>1245</v>
      </c>
      <c r="W28" s="16">
        <f t="shared" si="20"/>
        <v>75</v>
      </c>
      <c r="X28" s="16">
        <f t="shared" si="20"/>
        <v>6</v>
      </c>
      <c r="Y28" s="16">
        <f t="shared" si="20"/>
        <v>372</v>
      </c>
      <c r="Z28" s="16">
        <f t="shared" si="20"/>
        <v>469</v>
      </c>
      <c r="AA28" s="16">
        <f t="shared" si="20"/>
        <v>157</v>
      </c>
      <c r="AB28" s="16">
        <f t="shared" si="20"/>
        <v>187</v>
      </c>
      <c r="AC28" s="16">
        <f t="shared" si="20"/>
        <v>4606</v>
      </c>
      <c r="AD28" s="16">
        <f t="shared" si="20"/>
        <v>0</v>
      </c>
      <c r="AE28" s="32">
        <f t="shared" si="20"/>
        <v>6216</v>
      </c>
      <c r="AF28" s="32">
        <f t="shared" si="20"/>
        <v>10822</v>
      </c>
    </row>
    <row r="29" spans="2:32" ht="23.1" customHeight="1" x14ac:dyDescent="0.25">
      <c r="B29" s="23" t="s">
        <v>56</v>
      </c>
      <c r="C29" s="50">
        <v>53</v>
      </c>
      <c r="D29" s="50">
        <v>12</v>
      </c>
      <c r="E29" s="50">
        <v>13</v>
      </c>
      <c r="F29" s="50">
        <v>36</v>
      </c>
      <c r="G29" s="50">
        <v>1</v>
      </c>
      <c r="H29" s="50">
        <v>0</v>
      </c>
      <c r="I29" s="50">
        <v>10</v>
      </c>
      <c r="J29" s="50">
        <v>10</v>
      </c>
      <c r="K29" s="50">
        <v>1</v>
      </c>
      <c r="L29" s="50">
        <v>8</v>
      </c>
      <c r="M29" s="50">
        <v>110</v>
      </c>
      <c r="N29" s="50">
        <v>0</v>
      </c>
      <c r="O29" s="15">
        <f t="shared" si="0"/>
        <v>144</v>
      </c>
      <c r="P29" s="15">
        <f t="shared" si="1"/>
        <v>254</v>
      </c>
      <c r="R29"/>
      <c r="S29" s="20"/>
      <c r="T29" s="19"/>
    </row>
    <row r="30" spans="2:32" ht="23.1" customHeight="1" x14ac:dyDescent="0.25">
      <c r="B30" s="23" t="s">
        <v>57</v>
      </c>
      <c r="C30" s="50">
        <v>60</v>
      </c>
      <c r="D30" s="50">
        <v>8</v>
      </c>
      <c r="E30" s="50">
        <v>7</v>
      </c>
      <c r="F30" s="50">
        <v>38</v>
      </c>
      <c r="G30" s="50">
        <v>13</v>
      </c>
      <c r="H30" s="50">
        <v>0</v>
      </c>
      <c r="I30" s="50">
        <v>6</v>
      </c>
      <c r="J30" s="50">
        <v>22</v>
      </c>
      <c r="K30" s="50">
        <v>3</v>
      </c>
      <c r="L30" s="50">
        <v>3</v>
      </c>
      <c r="M30" s="50">
        <v>99</v>
      </c>
      <c r="N30" s="50">
        <v>0</v>
      </c>
      <c r="O30" s="15">
        <f t="shared" si="0"/>
        <v>160</v>
      </c>
      <c r="P30" s="15">
        <f t="shared" si="1"/>
        <v>259</v>
      </c>
    </row>
    <row r="31" spans="2:32" ht="23.1" customHeight="1" x14ac:dyDescent="0.25">
      <c r="B31" s="24" t="s">
        <v>58</v>
      </c>
      <c r="C31" s="50">
        <v>36</v>
      </c>
      <c r="D31" s="50">
        <v>9</v>
      </c>
      <c r="E31" s="50">
        <v>9</v>
      </c>
      <c r="F31" s="50">
        <v>23</v>
      </c>
      <c r="G31" s="50">
        <v>1</v>
      </c>
      <c r="H31" s="50">
        <v>0</v>
      </c>
      <c r="I31" s="50">
        <v>2</v>
      </c>
      <c r="J31" s="50">
        <v>6</v>
      </c>
      <c r="K31" s="50">
        <v>3</v>
      </c>
      <c r="L31" s="50">
        <v>1</v>
      </c>
      <c r="M31" s="50">
        <v>79</v>
      </c>
      <c r="N31" s="50">
        <v>0</v>
      </c>
      <c r="O31" s="15">
        <f t="shared" si="0"/>
        <v>90</v>
      </c>
      <c r="P31" s="15">
        <f t="shared" si="1"/>
        <v>169</v>
      </c>
    </row>
    <row r="32" spans="2:32" ht="23.1" customHeight="1" x14ac:dyDescent="0.25">
      <c r="B32" s="24" t="s">
        <v>59</v>
      </c>
      <c r="C32" s="50">
        <v>54</v>
      </c>
      <c r="D32" s="50">
        <v>17</v>
      </c>
      <c r="E32" s="50">
        <v>6</v>
      </c>
      <c r="F32" s="50">
        <v>30</v>
      </c>
      <c r="G32" s="50">
        <v>0</v>
      </c>
      <c r="H32" s="50">
        <v>2</v>
      </c>
      <c r="I32" s="50">
        <v>9</v>
      </c>
      <c r="J32" s="50">
        <v>16</v>
      </c>
      <c r="K32" s="50">
        <v>2</v>
      </c>
      <c r="L32" s="50">
        <v>3</v>
      </c>
      <c r="M32" s="50">
        <v>77</v>
      </c>
      <c r="N32" s="50">
        <v>0</v>
      </c>
      <c r="O32" s="15">
        <f t="shared" si="0"/>
        <v>139</v>
      </c>
      <c r="P32" s="15">
        <f t="shared" si="1"/>
        <v>216</v>
      </c>
    </row>
    <row r="33" spans="2:20" ht="23.1" customHeight="1" x14ac:dyDescent="0.25">
      <c r="B33" s="23" t="s">
        <v>60</v>
      </c>
      <c r="C33" s="50">
        <v>35</v>
      </c>
      <c r="D33" s="50">
        <v>11</v>
      </c>
      <c r="E33" s="50">
        <v>8</v>
      </c>
      <c r="F33" s="50">
        <v>24</v>
      </c>
      <c r="G33" s="50">
        <v>2</v>
      </c>
      <c r="H33" s="50">
        <v>0</v>
      </c>
      <c r="I33" s="50">
        <v>5</v>
      </c>
      <c r="J33" s="50">
        <v>11</v>
      </c>
      <c r="K33" s="50">
        <v>2</v>
      </c>
      <c r="L33" s="50">
        <v>5</v>
      </c>
      <c r="M33" s="50">
        <v>70</v>
      </c>
      <c r="N33" s="50">
        <v>0</v>
      </c>
      <c r="O33" s="15">
        <f t="shared" si="0"/>
        <v>103</v>
      </c>
      <c r="P33" s="15">
        <f t="shared" si="1"/>
        <v>173</v>
      </c>
    </row>
    <row r="34" spans="2:20" ht="23.1" customHeight="1" x14ac:dyDescent="0.25">
      <c r="B34" s="24" t="s">
        <v>61</v>
      </c>
      <c r="C34" s="50">
        <v>43</v>
      </c>
      <c r="D34" s="50">
        <v>15</v>
      </c>
      <c r="E34" s="50">
        <v>10</v>
      </c>
      <c r="F34" s="50">
        <v>23</v>
      </c>
      <c r="G34" s="50">
        <v>0</v>
      </c>
      <c r="H34" s="50">
        <v>0</v>
      </c>
      <c r="I34" s="50">
        <v>5</v>
      </c>
      <c r="J34" s="50">
        <v>5</v>
      </c>
      <c r="K34" s="50">
        <v>1</v>
      </c>
      <c r="L34" s="50">
        <v>6</v>
      </c>
      <c r="M34" s="50">
        <v>91</v>
      </c>
      <c r="N34" s="50">
        <v>0</v>
      </c>
      <c r="O34" s="15">
        <f t="shared" si="0"/>
        <v>108</v>
      </c>
      <c r="P34" s="15">
        <f t="shared" si="1"/>
        <v>199</v>
      </c>
    </row>
    <row r="35" spans="2:20" ht="23.1" customHeight="1" x14ac:dyDescent="0.25">
      <c r="B35" s="24" t="s">
        <v>62</v>
      </c>
      <c r="C35" s="50">
        <v>31</v>
      </c>
      <c r="D35" s="50">
        <v>12</v>
      </c>
      <c r="E35" s="50">
        <v>11</v>
      </c>
      <c r="F35" s="50">
        <v>25</v>
      </c>
      <c r="G35" s="50">
        <v>1</v>
      </c>
      <c r="H35" s="50">
        <v>0</v>
      </c>
      <c r="I35" s="50">
        <v>9</v>
      </c>
      <c r="J35" s="50">
        <v>6</v>
      </c>
      <c r="K35" s="50">
        <v>8</v>
      </c>
      <c r="L35" s="50">
        <v>0</v>
      </c>
      <c r="M35" s="50">
        <v>104</v>
      </c>
      <c r="N35" s="50">
        <v>0</v>
      </c>
      <c r="O35" s="15">
        <f t="shared" si="0"/>
        <v>103</v>
      </c>
      <c r="P35" s="15">
        <f t="shared" si="1"/>
        <v>207</v>
      </c>
    </row>
    <row r="36" spans="2:20" ht="23.1" customHeight="1" x14ac:dyDescent="0.25">
      <c r="B36" s="24" t="s">
        <v>63</v>
      </c>
      <c r="C36" s="50">
        <v>33</v>
      </c>
      <c r="D36" s="50">
        <v>6</v>
      </c>
      <c r="E36" s="50">
        <v>9</v>
      </c>
      <c r="F36" s="50">
        <v>25</v>
      </c>
      <c r="G36" s="50">
        <v>1</v>
      </c>
      <c r="H36" s="50">
        <v>0</v>
      </c>
      <c r="I36" s="50">
        <v>6</v>
      </c>
      <c r="J36" s="50">
        <v>5</v>
      </c>
      <c r="K36" s="50">
        <v>3</v>
      </c>
      <c r="L36" s="50">
        <v>8</v>
      </c>
      <c r="M36" s="50">
        <v>109</v>
      </c>
      <c r="N36" s="50">
        <v>0</v>
      </c>
      <c r="O36" s="15">
        <f t="shared" si="0"/>
        <v>96</v>
      </c>
      <c r="P36" s="15">
        <f t="shared" si="1"/>
        <v>205</v>
      </c>
    </row>
    <row r="37" spans="2:20" ht="23.1" customHeight="1" x14ac:dyDescent="0.25">
      <c r="B37" s="23" t="s">
        <v>64</v>
      </c>
      <c r="C37" s="50">
        <v>61</v>
      </c>
      <c r="D37" s="50">
        <v>12</v>
      </c>
      <c r="E37" s="50">
        <v>6</v>
      </c>
      <c r="F37" s="50">
        <v>29</v>
      </c>
      <c r="G37" s="50">
        <v>0</v>
      </c>
      <c r="H37" s="50">
        <v>0</v>
      </c>
      <c r="I37" s="50">
        <v>9</v>
      </c>
      <c r="J37" s="50">
        <v>3</v>
      </c>
      <c r="K37" s="50">
        <v>6</v>
      </c>
      <c r="L37" s="50">
        <v>5</v>
      </c>
      <c r="M37" s="50">
        <v>83</v>
      </c>
      <c r="N37" s="50">
        <v>0</v>
      </c>
      <c r="O37" s="15">
        <f t="shared" si="0"/>
        <v>131</v>
      </c>
      <c r="P37" s="15">
        <f t="shared" si="1"/>
        <v>214</v>
      </c>
    </row>
    <row r="38" spans="2:20" ht="23.1" customHeight="1" x14ac:dyDescent="0.25">
      <c r="B38" s="24" t="s">
        <v>65</v>
      </c>
      <c r="C38" s="50">
        <v>44</v>
      </c>
      <c r="D38" s="50">
        <v>37</v>
      </c>
      <c r="E38" s="50">
        <v>8</v>
      </c>
      <c r="F38" s="50">
        <v>27</v>
      </c>
      <c r="G38" s="50">
        <v>0</v>
      </c>
      <c r="H38" s="50">
        <v>0</v>
      </c>
      <c r="I38" s="50">
        <v>9</v>
      </c>
      <c r="J38" s="50">
        <v>18</v>
      </c>
      <c r="K38" s="50">
        <v>9</v>
      </c>
      <c r="L38" s="50">
        <v>6</v>
      </c>
      <c r="M38" s="50">
        <v>103</v>
      </c>
      <c r="N38" s="50">
        <v>0</v>
      </c>
      <c r="O38" s="15">
        <f t="shared" si="0"/>
        <v>158</v>
      </c>
      <c r="P38" s="15">
        <f t="shared" si="1"/>
        <v>261</v>
      </c>
    </row>
    <row r="39" spans="2:20" ht="23.1" customHeight="1" x14ac:dyDescent="0.25">
      <c r="B39" s="24" t="s">
        <v>66</v>
      </c>
      <c r="C39" s="50">
        <v>45</v>
      </c>
      <c r="D39" s="50">
        <v>17</v>
      </c>
      <c r="E39" s="50">
        <v>7</v>
      </c>
      <c r="F39" s="50">
        <v>18</v>
      </c>
      <c r="G39" s="50">
        <v>0</v>
      </c>
      <c r="H39" s="50">
        <v>0</v>
      </c>
      <c r="I39" s="50">
        <v>15</v>
      </c>
      <c r="J39" s="50">
        <v>7</v>
      </c>
      <c r="K39" s="50">
        <v>5</v>
      </c>
      <c r="L39" s="50">
        <v>5</v>
      </c>
      <c r="M39" s="50">
        <v>84</v>
      </c>
      <c r="N39" s="50">
        <v>0</v>
      </c>
      <c r="O39" s="15">
        <f t="shared" si="0"/>
        <v>119</v>
      </c>
      <c r="P39" s="15">
        <f t="shared" si="1"/>
        <v>203</v>
      </c>
    </row>
    <row r="40" spans="2:20" ht="23.1" customHeight="1" x14ac:dyDescent="0.25">
      <c r="B40" s="24" t="s">
        <v>67</v>
      </c>
      <c r="C40" s="50">
        <v>56</v>
      </c>
      <c r="D40" s="50">
        <v>7</v>
      </c>
      <c r="E40" s="50">
        <v>16</v>
      </c>
      <c r="F40" s="50">
        <v>28</v>
      </c>
      <c r="G40" s="50">
        <v>1</v>
      </c>
      <c r="H40" s="50">
        <v>0</v>
      </c>
      <c r="I40" s="50">
        <v>9</v>
      </c>
      <c r="J40" s="50">
        <v>17</v>
      </c>
      <c r="K40" s="50">
        <v>5</v>
      </c>
      <c r="L40" s="50">
        <v>6</v>
      </c>
      <c r="M40" s="50">
        <v>73</v>
      </c>
      <c r="N40" s="50">
        <v>0</v>
      </c>
      <c r="O40" s="15">
        <f t="shared" si="0"/>
        <v>145</v>
      </c>
      <c r="P40" s="15">
        <f t="shared" si="1"/>
        <v>218</v>
      </c>
    </row>
    <row r="41" spans="2:20" ht="23.1" customHeight="1" x14ac:dyDescent="0.25">
      <c r="B41" s="23" t="s">
        <v>68</v>
      </c>
      <c r="C41" s="50">
        <v>51</v>
      </c>
      <c r="D41" s="50">
        <v>8</v>
      </c>
      <c r="E41" s="50">
        <v>16</v>
      </c>
      <c r="F41" s="50">
        <v>26</v>
      </c>
      <c r="G41" s="50">
        <v>2</v>
      </c>
      <c r="H41" s="50">
        <v>0</v>
      </c>
      <c r="I41" s="50">
        <v>7</v>
      </c>
      <c r="J41" s="50">
        <v>12</v>
      </c>
      <c r="K41" s="50">
        <v>5</v>
      </c>
      <c r="L41" s="50">
        <v>9</v>
      </c>
      <c r="M41" s="50">
        <v>74</v>
      </c>
      <c r="N41" s="50">
        <v>0</v>
      </c>
      <c r="O41" s="15">
        <f t="shared" si="0"/>
        <v>136</v>
      </c>
      <c r="P41" s="15">
        <f t="shared" si="1"/>
        <v>210</v>
      </c>
    </row>
    <row r="42" spans="2:20" ht="23.1" customHeight="1" x14ac:dyDescent="0.25">
      <c r="B42" s="24" t="s">
        <v>69</v>
      </c>
      <c r="C42" s="50">
        <v>62</v>
      </c>
      <c r="D42" s="50">
        <v>13</v>
      </c>
      <c r="E42" s="50">
        <v>13</v>
      </c>
      <c r="F42" s="50">
        <v>28</v>
      </c>
      <c r="G42" s="50">
        <v>0</v>
      </c>
      <c r="H42" s="50">
        <v>0</v>
      </c>
      <c r="I42" s="50">
        <v>5</v>
      </c>
      <c r="J42" s="50">
        <v>5</v>
      </c>
      <c r="K42" s="50">
        <v>2</v>
      </c>
      <c r="L42" s="50">
        <v>1</v>
      </c>
      <c r="M42" s="50">
        <v>88</v>
      </c>
      <c r="N42" s="50">
        <v>0</v>
      </c>
      <c r="O42" s="15">
        <f t="shared" si="0"/>
        <v>129</v>
      </c>
      <c r="P42" s="15">
        <f t="shared" si="1"/>
        <v>217</v>
      </c>
    </row>
    <row r="43" spans="2:20" ht="23.1" customHeight="1" x14ac:dyDescent="0.25">
      <c r="B43" s="23" t="s">
        <v>70</v>
      </c>
      <c r="C43" s="50">
        <v>38</v>
      </c>
      <c r="D43" s="50">
        <v>7</v>
      </c>
      <c r="E43" s="50">
        <v>5</v>
      </c>
      <c r="F43" s="50">
        <v>17</v>
      </c>
      <c r="G43" s="50">
        <v>0</v>
      </c>
      <c r="H43" s="50">
        <v>0</v>
      </c>
      <c r="I43" s="50">
        <v>2</v>
      </c>
      <c r="J43" s="50">
        <v>8</v>
      </c>
      <c r="K43" s="50">
        <v>0</v>
      </c>
      <c r="L43" s="50">
        <v>3</v>
      </c>
      <c r="M43" s="50">
        <v>38</v>
      </c>
      <c r="N43" s="50">
        <v>0</v>
      </c>
      <c r="O43" s="15">
        <f t="shared" si="0"/>
        <v>80</v>
      </c>
      <c r="P43" s="15">
        <f t="shared" si="1"/>
        <v>118</v>
      </c>
    </row>
    <row r="44" spans="2:20" ht="23.1" customHeight="1" x14ac:dyDescent="0.25">
      <c r="B44" s="25" t="s">
        <v>71</v>
      </c>
      <c r="C44" s="50">
        <v>54</v>
      </c>
      <c r="D44" s="50">
        <v>13</v>
      </c>
      <c r="E44" s="50">
        <v>10</v>
      </c>
      <c r="F44" s="50">
        <v>21</v>
      </c>
      <c r="G44" s="50">
        <v>9</v>
      </c>
      <c r="H44" s="50">
        <v>0</v>
      </c>
      <c r="I44" s="50">
        <v>7</v>
      </c>
      <c r="J44" s="50">
        <v>5</v>
      </c>
      <c r="K44" s="50">
        <v>3</v>
      </c>
      <c r="L44" s="50">
        <v>3</v>
      </c>
      <c r="M44" s="50">
        <v>18</v>
      </c>
      <c r="N44" s="50">
        <v>0</v>
      </c>
      <c r="O44" s="15">
        <f t="shared" si="0"/>
        <v>125</v>
      </c>
      <c r="P44" s="15">
        <f t="shared" si="1"/>
        <v>143</v>
      </c>
    </row>
    <row r="45" spans="2:20" ht="23.1" customHeight="1" x14ac:dyDescent="0.25">
      <c r="B45" s="23" t="s">
        <v>72</v>
      </c>
      <c r="C45" s="50">
        <v>61</v>
      </c>
      <c r="D45" s="50">
        <v>8</v>
      </c>
      <c r="E45" s="50">
        <v>14</v>
      </c>
      <c r="F45" s="50">
        <v>26</v>
      </c>
      <c r="G45" s="50">
        <v>0</v>
      </c>
      <c r="H45" s="50">
        <v>0</v>
      </c>
      <c r="I45" s="50">
        <v>7</v>
      </c>
      <c r="J45" s="50">
        <v>16</v>
      </c>
      <c r="K45" s="50">
        <v>1</v>
      </c>
      <c r="L45" s="50">
        <v>6</v>
      </c>
      <c r="M45" s="50">
        <v>32</v>
      </c>
      <c r="N45" s="50">
        <v>0</v>
      </c>
      <c r="O45" s="15">
        <f t="shared" si="0"/>
        <v>139</v>
      </c>
      <c r="P45" s="15">
        <f t="shared" si="1"/>
        <v>171</v>
      </c>
    </row>
    <row r="46" spans="2:20" ht="23.1" customHeight="1" x14ac:dyDescent="0.25">
      <c r="B46" s="24" t="s">
        <v>73</v>
      </c>
      <c r="C46" s="50">
        <v>57</v>
      </c>
      <c r="D46" s="50">
        <v>22</v>
      </c>
      <c r="E46" s="50">
        <v>5</v>
      </c>
      <c r="F46" s="50">
        <v>24</v>
      </c>
      <c r="G46" s="50">
        <v>0</v>
      </c>
      <c r="H46" s="50">
        <v>1</v>
      </c>
      <c r="I46" s="50">
        <v>14</v>
      </c>
      <c r="J46" s="50">
        <v>10</v>
      </c>
      <c r="K46" s="50">
        <v>10</v>
      </c>
      <c r="L46" s="50">
        <v>4</v>
      </c>
      <c r="M46" s="50">
        <v>51</v>
      </c>
      <c r="N46" s="50">
        <v>0</v>
      </c>
      <c r="O46" s="15">
        <f t="shared" si="0"/>
        <v>147</v>
      </c>
      <c r="P46" s="15">
        <f t="shared" si="1"/>
        <v>198</v>
      </c>
      <c r="R46" s="8"/>
      <c r="T46"/>
    </row>
    <row r="47" spans="2:20" ht="23.1" customHeight="1" x14ac:dyDescent="0.25">
      <c r="B47" s="24" t="s">
        <v>74</v>
      </c>
      <c r="C47" s="50">
        <v>75</v>
      </c>
      <c r="D47" s="50">
        <v>18</v>
      </c>
      <c r="E47" s="50">
        <v>17</v>
      </c>
      <c r="F47" s="50">
        <v>37</v>
      </c>
      <c r="G47" s="50">
        <v>2</v>
      </c>
      <c r="H47" s="50">
        <v>0</v>
      </c>
      <c r="I47" s="50">
        <v>9</v>
      </c>
      <c r="J47" s="50">
        <v>15</v>
      </c>
      <c r="K47" s="50">
        <v>2</v>
      </c>
      <c r="L47" s="50">
        <v>1</v>
      </c>
      <c r="M47" s="50">
        <v>64</v>
      </c>
      <c r="N47" s="50">
        <v>0</v>
      </c>
      <c r="O47" s="15">
        <f t="shared" si="0"/>
        <v>176</v>
      </c>
      <c r="P47" s="15">
        <f t="shared" si="1"/>
        <v>240</v>
      </c>
      <c r="R47" s="8"/>
      <c r="T47"/>
    </row>
    <row r="48" spans="2:20" ht="23.1" customHeight="1" x14ac:dyDescent="0.25">
      <c r="B48" s="24" t="s">
        <v>75</v>
      </c>
      <c r="C48" s="50">
        <v>50</v>
      </c>
      <c r="D48" s="50">
        <v>10</v>
      </c>
      <c r="E48" s="50">
        <v>9</v>
      </c>
      <c r="F48" s="50">
        <v>21</v>
      </c>
      <c r="G48" s="50">
        <v>0</v>
      </c>
      <c r="H48" s="50">
        <v>1</v>
      </c>
      <c r="I48" s="50">
        <v>2</v>
      </c>
      <c r="J48" s="50">
        <v>13</v>
      </c>
      <c r="K48" s="50">
        <v>0</v>
      </c>
      <c r="L48" s="50">
        <v>4</v>
      </c>
      <c r="M48" s="50">
        <v>60</v>
      </c>
      <c r="N48" s="50">
        <v>0</v>
      </c>
      <c r="O48" s="15">
        <f t="shared" si="0"/>
        <v>110</v>
      </c>
      <c r="P48" s="15">
        <f t="shared" si="1"/>
        <v>170</v>
      </c>
      <c r="R48" s="8"/>
      <c r="T48"/>
    </row>
    <row r="49" spans="2:20" ht="23.1" customHeight="1" x14ac:dyDescent="0.25">
      <c r="B49" s="23" t="s">
        <v>76</v>
      </c>
      <c r="C49" s="50">
        <v>65</v>
      </c>
      <c r="D49" s="50">
        <v>8</v>
      </c>
      <c r="E49" s="50">
        <v>8</v>
      </c>
      <c r="F49" s="50">
        <v>34</v>
      </c>
      <c r="G49" s="50">
        <v>2</v>
      </c>
      <c r="H49" s="50">
        <v>2</v>
      </c>
      <c r="I49" s="50">
        <v>6</v>
      </c>
      <c r="J49" s="50">
        <v>12</v>
      </c>
      <c r="K49" s="50">
        <v>3</v>
      </c>
      <c r="L49" s="50">
        <v>5</v>
      </c>
      <c r="M49" s="50">
        <v>114</v>
      </c>
      <c r="N49" s="50">
        <v>0</v>
      </c>
      <c r="O49" s="15">
        <f t="shared" si="0"/>
        <v>145</v>
      </c>
      <c r="P49" s="15">
        <f t="shared" si="1"/>
        <v>259</v>
      </c>
      <c r="R49" s="8"/>
      <c r="T49"/>
    </row>
    <row r="50" spans="2:20" ht="23.1" customHeight="1" x14ac:dyDescent="0.25">
      <c r="B50" s="24" t="s">
        <v>77</v>
      </c>
      <c r="C50" s="50">
        <v>75</v>
      </c>
      <c r="D50" s="50">
        <v>10</v>
      </c>
      <c r="E50" s="50">
        <v>13</v>
      </c>
      <c r="F50" s="50">
        <v>25</v>
      </c>
      <c r="G50" s="50">
        <v>5</v>
      </c>
      <c r="H50" s="50">
        <v>0</v>
      </c>
      <c r="I50" s="50">
        <v>3</v>
      </c>
      <c r="J50" s="50">
        <v>8</v>
      </c>
      <c r="K50" s="50">
        <v>3</v>
      </c>
      <c r="L50" s="50">
        <v>6</v>
      </c>
      <c r="M50" s="50">
        <v>71</v>
      </c>
      <c r="N50" s="50">
        <v>0</v>
      </c>
      <c r="O50" s="15">
        <f t="shared" si="0"/>
        <v>148</v>
      </c>
      <c r="P50" s="15">
        <f t="shared" si="1"/>
        <v>219</v>
      </c>
      <c r="R50" s="8"/>
      <c r="T50"/>
    </row>
    <row r="51" spans="2:20" ht="23.1" customHeight="1" x14ac:dyDescent="0.25">
      <c r="B51" s="24" t="s">
        <v>78</v>
      </c>
      <c r="C51" s="50">
        <v>69</v>
      </c>
      <c r="D51" s="50">
        <v>17</v>
      </c>
      <c r="E51" s="50">
        <v>7</v>
      </c>
      <c r="F51" s="50">
        <v>24</v>
      </c>
      <c r="G51" s="50">
        <v>1</v>
      </c>
      <c r="H51" s="50">
        <v>0</v>
      </c>
      <c r="I51" s="50">
        <v>13</v>
      </c>
      <c r="J51" s="50">
        <v>18</v>
      </c>
      <c r="K51" s="50">
        <v>7</v>
      </c>
      <c r="L51" s="50">
        <v>4</v>
      </c>
      <c r="M51" s="50">
        <v>94</v>
      </c>
      <c r="N51" s="50">
        <v>0</v>
      </c>
      <c r="O51" s="15">
        <f t="shared" si="0"/>
        <v>160</v>
      </c>
      <c r="P51" s="15">
        <f t="shared" si="1"/>
        <v>254</v>
      </c>
      <c r="R51" s="8"/>
      <c r="T51"/>
    </row>
    <row r="52" spans="2:20" ht="23.1" customHeight="1" x14ac:dyDescent="0.25">
      <c r="B52" s="24" t="s">
        <v>79</v>
      </c>
      <c r="C52" s="50">
        <v>60</v>
      </c>
      <c r="D52" s="50">
        <v>19</v>
      </c>
      <c r="E52" s="50">
        <v>9</v>
      </c>
      <c r="F52" s="50">
        <v>29</v>
      </c>
      <c r="G52" s="50">
        <v>1</v>
      </c>
      <c r="H52" s="50">
        <v>0</v>
      </c>
      <c r="I52" s="50">
        <v>10</v>
      </c>
      <c r="J52" s="50">
        <v>6</v>
      </c>
      <c r="K52" s="50">
        <v>3</v>
      </c>
      <c r="L52" s="50">
        <v>4</v>
      </c>
      <c r="M52" s="50">
        <v>64</v>
      </c>
      <c r="N52" s="50">
        <v>0</v>
      </c>
      <c r="O52" s="15">
        <f t="shared" si="0"/>
        <v>141</v>
      </c>
      <c r="P52" s="15">
        <f t="shared" si="1"/>
        <v>205</v>
      </c>
      <c r="R52" s="8"/>
      <c r="T52"/>
    </row>
    <row r="53" spans="2:20" ht="23.1" customHeight="1" x14ac:dyDescent="0.25">
      <c r="B53" s="23" t="s">
        <v>80</v>
      </c>
      <c r="C53" s="50">
        <v>43</v>
      </c>
      <c r="D53" s="50">
        <v>13</v>
      </c>
      <c r="E53" s="50">
        <v>10</v>
      </c>
      <c r="F53" s="50">
        <v>36</v>
      </c>
      <c r="G53" s="50">
        <v>1</v>
      </c>
      <c r="H53" s="50">
        <v>0</v>
      </c>
      <c r="I53" s="50">
        <v>10</v>
      </c>
      <c r="J53" s="50">
        <v>15</v>
      </c>
      <c r="K53" s="50">
        <v>3</v>
      </c>
      <c r="L53" s="50">
        <v>1</v>
      </c>
      <c r="M53" s="50">
        <v>102</v>
      </c>
      <c r="N53" s="50">
        <v>0</v>
      </c>
      <c r="O53" s="15">
        <f t="shared" si="0"/>
        <v>132</v>
      </c>
      <c r="P53" s="15">
        <f t="shared" si="1"/>
        <v>234</v>
      </c>
      <c r="R53" s="8"/>
      <c r="T53"/>
    </row>
    <row r="54" spans="2:20" ht="23.1" customHeight="1" x14ac:dyDescent="0.25">
      <c r="B54" s="23" t="s">
        <v>81</v>
      </c>
      <c r="C54" s="50">
        <v>52</v>
      </c>
      <c r="D54" s="50">
        <v>13</v>
      </c>
      <c r="E54" s="50">
        <v>12</v>
      </c>
      <c r="F54" s="50">
        <v>24</v>
      </c>
      <c r="G54" s="50">
        <v>6</v>
      </c>
      <c r="H54" s="50">
        <v>0</v>
      </c>
      <c r="I54" s="50">
        <v>10</v>
      </c>
      <c r="J54" s="50">
        <v>7</v>
      </c>
      <c r="K54" s="50">
        <v>4</v>
      </c>
      <c r="L54" s="50">
        <v>6</v>
      </c>
      <c r="M54" s="50">
        <v>80</v>
      </c>
      <c r="N54" s="50">
        <v>0</v>
      </c>
      <c r="O54" s="15">
        <f t="shared" si="0"/>
        <v>134</v>
      </c>
      <c r="P54" s="15">
        <f t="shared" si="1"/>
        <v>214</v>
      </c>
      <c r="R54" s="8"/>
      <c r="T54"/>
    </row>
    <row r="55" spans="2:20" ht="23.1" customHeight="1" x14ac:dyDescent="0.25">
      <c r="B55" s="23" t="s">
        <v>82</v>
      </c>
      <c r="C55" s="50">
        <v>71</v>
      </c>
      <c r="D55" s="50">
        <v>22</v>
      </c>
      <c r="E55" s="50">
        <v>14</v>
      </c>
      <c r="F55" s="50">
        <v>29</v>
      </c>
      <c r="G55" s="50">
        <v>3</v>
      </c>
      <c r="H55" s="50">
        <v>0</v>
      </c>
      <c r="I55" s="50">
        <v>12</v>
      </c>
      <c r="J55" s="50">
        <v>12</v>
      </c>
      <c r="K55" s="50">
        <v>2</v>
      </c>
      <c r="L55" s="50">
        <v>3</v>
      </c>
      <c r="M55" s="50">
        <v>85</v>
      </c>
      <c r="N55" s="50">
        <v>0</v>
      </c>
      <c r="O55" s="15">
        <f t="shared" si="0"/>
        <v>168</v>
      </c>
      <c r="P55" s="15">
        <f t="shared" si="1"/>
        <v>253</v>
      </c>
      <c r="R55" s="8"/>
      <c r="T55"/>
    </row>
    <row r="56" spans="2:20" ht="23.1" customHeight="1" x14ac:dyDescent="0.25">
      <c r="B56" s="23" t="s">
        <v>83</v>
      </c>
      <c r="C56" s="50">
        <v>69</v>
      </c>
      <c r="D56" s="50">
        <v>26</v>
      </c>
      <c r="E56" s="50">
        <v>6</v>
      </c>
      <c r="F56" s="50">
        <v>34</v>
      </c>
      <c r="G56" s="50">
        <v>4</v>
      </c>
      <c r="H56" s="50">
        <v>0</v>
      </c>
      <c r="I56" s="50">
        <v>17</v>
      </c>
      <c r="J56" s="50">
        <v>12</v>
      </c>
      <c r="K56" s="50">
        <v>6</v>
      </c>
      <c r="L56" s="50">
        <v>9</v>
      </c>
      <c r="M56" s="50">
        <v>108</v>
      </c>
      <c r="N56" s="50">
        <v>0</v>
      </c>
      <c r="O56" s="15">
        <f t="shared" si="0"/>
        <v>183</v>
      </c>
      <c r="P56" s="15">
        <f t="shared" si="1"/>
        <v>291</v>
      </c>
      <c r="R56" s="8"/>
      <c r="T56"/>
    </row>
    <row r="57" spans="2:20" ht="23.1" customHeight="1" x14ac:dyDescent="0.25">
      <c r="B57" s="23" t="s">
        <v>84</v>
      </c>
      <c r="C57" s="50">
        <v>73</v>
      </c>
      <c r="D57" s="50">
        <v>11</v>
      </c>
      <c r="E57" s="50">
        <v>7</v>
      </c>
      <c r="F57" s="50">
        <v>30</v>
      </c>
      <c r="G57" s="50">
        <v>1</v>
      </c>
      <c r="H57" s="50">
        <v>0</v>
      </c>
      <c r="I57" s="50">
        <v>7</v>
      </c>
      <c r="J57" s="50">
        <v>6</v>
      </c>
      <c r="K57" s="50">
        <v>2</v>
      </c>
      <c r="L57" s="50">
        <v>4</v>
      </c>
      <c r="M57" s="50">
        <v>93</v>
      </c>
      <c r="N57" s="50">
        <v>0</v>
      </c>
      <c r="O57" s="15">
        <f t="shared" si="0"/>
        <v>141</v>
      </c>
      <c r="P57" s="15">
        <f t="shared" si="1"/>
        <v>234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2656</v>
      </c>
      <c r="D58" s="16">
        <f t="shared" si="21"/>
        <v>623</v>
      </c>
      <c r="E58" s="16">
        <f t="shared" si="21"/>
        <v>426</v>
      </c>
      <c r="F58" s="16">
        <f t="shared" si="21"/>
        <v>1245</v>
      </c>
      <c r="G58" s="16">
        <f t="shared" si="21"/>
        <v>75</v>
      </c>
      <c r="H58" s="16">
        <f t="shared" si="21"/>
        <v>6</v>
      </c>
      <c r="I58" s="16">
        <f t="shared" si="21"/>
        <v>372</v>
      </c>
      <c r="J58" s="16">
        <f t="shared" si="21"/>
        <v>469</v>
      </c>
      <c r="K58" s="16">
        <f t="shared" si="21"/>
        <v>157</v>
      </c>
      <c r="L58" s="16">
        <f t="shared" si="21"/>
        <v>187</v>
      </c>
      <c r="M58" s="16">
        <f t="shared" si="21"/>
        <v>4606</v>
      </c>
      <c r="N58" s="16">
        <f t="shared" si="21"/>
        <v>0</v>
      </c>
      <c r="O58" s="16">
        <f t="shared" si="21"/>
        <v>6216</v>
      </c>
      <c r="P58" s="16">
        <f t="shared" si="21"/>
        <v>10822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0.24542598410644983</v>
      </c>
      <c r="D59" s="43">
        <f t="shared" si="22"/>
        <v>5.7567917205692105E-2</v>
      </c>
      <c r="E59" s="43">
        <f t="shared" si="22"/>
        <v>3.936425799297727E-2</v>
      </c>
      <c r="F59" s="43">
        <f t="shared" si="22"/>
        <v>0.11504343004989835</v>
      </c>
      <c r="G59" s="43">
        <f t="shared" si="22"/>
        <v>6.9303271114396596E-3</v>
      </c>
      <c r="H59" s="43">
        <f t="shared" si="22"/>
        <v>5.5442616891517276E-4</v>
      </c>
      <c r="I59" s="43">
        <f t="shared" si="22"/>
        <v>3.4374422472740716E-2</v>
      </c>
      <c r="J59" s="43">
        <f t="shared" si="22"/>
        <v>4.3337645536869342E-2</v>
      </c>
      <c r="K59" s="43">
        <f t="shared" si="22"/>
        <v>1.4507484753280354E-2</v>
      </c>
      <c r="L59" s="43">
        <f t="shared" si="22"/>
        <v>1.7279615597856218E-2</v>
      </c>
      <c r="M59" s="43">
        <f t="shared" si="22"/>
        <v>0.42561448900388099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0.42728442728442728</v>
      </c>
      <c r="D60" s="44">
        <f t="shared" ref="D60:N60" si="23">D58/$O$58</f>
        <v>0.10022522522522523</v>
      </c>
      <c r="E60" s="44">
        <f t="shared" si="23"/>
        <v>6.8532818532818535E-2</v>
      </c>
      <c r="F60" s="44">
        <f t="shared" si="23"/>
        <v>0.20028957528957528</v>
      </c>
      <c r="G60" s="44">
        <f t="shared" si="23"/>
        <v>1.2065637065637066E-2</v>
      </c>
      <c r="H60" s="44">
        <f t="shared" si="23"/>
        <v>9.6525096525096527E-4</v>
      </c>
      <c r="I60" s="44">
        <f t="shared" si="23"/>
        <v>5.9845559845559844E-2</v>
      </c>
      <c r="J60" s="44">
        <f t="shared" si="23"/>
        <v>7.5450450450450457E-2</v>
      </c>
      <c r="K60" s="44">
        <f t="shared" si="23"/>
        <v>2.5257400257400257E-2</v>
      </c>
      <c r="L60" s="44">
        <f t="shared" si="23"/>
        <v>3.0083655083655084E-2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9" zoomScale="40" zoomScaleSheetLayoutView="4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'22.07 Busega-Masanafu'!C3:G3</f>
        <v>MCC - C1 - STN13 - NORTHERN BYPASS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'22.07 Busega-Masanafu'!D5</f>
        <v>22.07.19</v>
      </c>
      <c r="E5" s="3"/>
      <c r="F5" s="41" t="s">
        <v>1</v>
      </c>
      <c r="G5" s="61" t="str">
        <f>'22.07 Busega-Masanafu'!G5:H5</f>
        <v>NORTHERN BYPASS</v>
      </c>
      <c r="H5" s="62"/>
      <c r="I5" s="14"/>
      <c r="J5" s="2" t="s">
        <v>5</v>
      </c>
      <c r="K5" s="61" t="str">
        <f>'22.07 Busega-Masanafu'!K5:L5</f>
        <v>SSEMUKO SAMUEL JUNIOR W/MUTEBI CHRISTOPHER/SSEMWOGERERE FREDRICK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171</v>
      </c>
      <c r="E6" s="56"/>
      <c r="F6" s="2" t="s">
        <v>2</v>
      </c>
      <c r="G6" s="55" t="s">
        <v>170</v>
      </c>
      <c r="H6" s="56"/>
      <c r="J6" s="2" t="s">
        <v>21</v>
      </c>
      <c r="K6" s="61" t="str">
        <f>'22.07 Busega-Masanafu'!K6:L6</f>
        <v>ANDY/ANDREW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>
        <v>6</v>
      </c>
      <c r="E9" s="13">
        <v>12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67</v>
      </c>
      <c r="D10" s="50">
        <v>6</v>
      </c>
      <c r="E10" s="50">
        <v>12</v>
      </c>
      <c r="F10" s="50">
        <v>26</v>
      </c>
      <c r="G10" s="50">
        <v>2</v>
      </c>
      <c r="H10" s="50">
        <v>1</v>
      </c>
      <c r="I10" s="50">
        <v>6</v>
      </c>
      <c r="J10" s="50">
        <v>7</v>
      </c>
      <c r="K10" s="50">
        <v>2</v>
      </c>
      <c r="L10" s="50">
        <v>0</v>
      </c>
      <c r="M10" s="50">
        <v>88</v>
      </c>
      <c r="N10" s="50">
        <v>0</v>
      </c>
      <c r="O10" s="15">
        <f t="shared" ref="O10:O57" si="0">SUM(C10:L10,N10)</f>
        <v>129</v>
      </c>
      <c r="P10" s="15">
        <f t="shared" ref="P10:P57" si="1">SUM(C10:N10)</f>
        <v>217</v>
      </c>
      <c r="R10" s="1" t="s">
        <v>6</v>
      </c>
      <c r="S10" s="17">
        <f t="shared" ref="S10:AF10" si="2">SUM(C10:C13)</f>
        <v>317</v>
      </c>
      <c r="T10" s="17">
        <f t="shared" si="2"/>
        <v>46</v>
      </c>
      <c r="U10" s="17">
        <f t="shared" si="2"/>
        <v>49</v>
      </c>
      <c r="V10" s="17">
        <f t="shared" si="2"/>
        <v>139</v>
      </c>
      <c r="W10" s="17">
        <f t="shared" si="2"/>
        <v>8</v>
      </c>
      <c r="X10" s="17">
        <f t="shared" si="2"/>
        <v>2</v>
      </c>
      <c r="Y10" s="17">
        <f t="shared" si="2"/>
        <v>29</v>
      </c>
      <c r="Z10" s="17">
        <f t="shared" si="2"/>
        <v>25</v>
      </c>
      <c r="AA10" s="17">
        <f t="shared" si="2"/>
        <v>7</v>
      </c>
      <c r="AB10" s="17">
        <f t="shared" si="2"/>
        <v>6</v>
      </c>
      <c r="AC10" s="17">
        <f t="shared" si="2"/>
        <v>413</v>
      </c>
      <c r="AD10" s="17">
        <f t="shared" si="2"/>
        <v>0</v>
      </c>
      <c r="AE10" s="31">
        <f t="shared" si="2"/>
        <v>628</v>
      </c>
      <c r="AF10" s="31">
        <f t="shared" si="2"/>
        <v>1041</v>
      </c>
    </row>
    <row r="11" spans="2:32" s="6" customFormat="1" ht="23.1" customHeight="1" x14ac:dyDescent="0.25">
      <c r="B11" s="23" t="s">
        <v>38</v>
      </c>
      <c r="C11" s="50">
        <v>77</v>
      </c>
      <c r="D11" s="50">
        <v>7</v>
      </c>
      <c r="E11" s="50">
        <v>11</v>
      </c>
      <c r="F11" s="50">
        <v>32</v>
      </c>
      <c r="G11" s="50">
        <v>2</v>
      </c>
      <c r="H11" s="50">
        <v>0</v>
      </c>
      <c r="I11" s="50">
        <v>8</v>
      </c>
      <c r="J11" s="50">
        <v>6</v>
      </c>
      <c r="K11" s="50">
        <v>1</v>
      </c>
      <c r="L11" s="50">
        <v>2</v>
      </c>
      <c r="M11" s="50">
        <v>100</v>
      </c>
      <c r="N11" s="50">
        <v>0</v>
      </c>
      <c r="O11" s="15">
        <f t="shared" si="0"/>
        <v>146</v>
      </c>
      <c r="P11" s="15">
        <f t="shared" si="1"/>
        <v>246</v>
      </c>
      <c r="R11" s="1" t="s">
        <v>7</v>
      </c>
      <c r="S11" s="17">
        <f t="shared" ref="S11:AF11" si="3">SUM(C14:C17)</f>
        <v>252</v>
      </c>
      <c r="T11" s="17">
        <f t="shared" si="3"/>
        <v>33</v>
      </c>
      <c r="U11" s="17">
        <f t="shared" si="3"/>
        <v>39</v>
      </c>
      <c r="V11" s="17">
        <f t="shared" si="3"/>
        <v>147</v>
      </c>
      <c r="W11" s="17">
        <f t="shared" si="3"/>
        <v>0</v>
      </c>
      <c r="X11" s="17">
        <f t="shared" si="3"/>
        <v>0</v>
      </c>
      <c r="Y11" s="17">
        <f t="shared" si="3"/>
        <v>44</v>
      </c>
      <c r="Z11" s="17">
        <f t="shared" si="3"/>
        <v>28</v>
      </c>
      <c r="AA11" s="17">
        <f t="shared" si="3"/>
        <v>8</v>
      </c>
      <c r="AB11" s="17">
        <f t="shared" si="3"/>
        <v>8</v>
      </c>
      <c r="AC11" s="17">
        <f t="shared" si="3"/>
        <v>454</v>
      </c>
      <c r="AD11" s="17">
        <f t="shared" si="3"/>
        <v>0</v>
      </c>
      <c r="AE11" s="31">
        <f t="shared" si="3"/>
        <v>559</v>
      </c>
      <c r="AF11" s="31">
        <f t="shared" si="3"/>
        <v>1013</v>
      </c>
    </row>
    <row r="12" spans="2:32" ht="23.1" customHeight="1" x14ac:dyDescent="0.25">
      <c r="B12" s="23" t="s">
        <v>39</v>
      </c>
      <c r="C12" s="50">
        <v>85</v>
      </c>
      <c r="D12" s="50">
        <v>19</v>
      </c>
      <c r="E12" s="50">
        <v>13</v>
      </c>
      <c r="F12" s="50">
        <v>40</v>
      </c>
      <c r="G12" s="50">
        <v>3</v>
      </c>
      <c r="H12" s="50">
        <v>1</v>
      </c>
      <c r="I12" s="50">
        <v>9</v>
      </c>
      <c r="J12" s="50">
        <v>6</v>
      </c>
      <c r="K12" s="50">
        <v>3</v>
      </c>
      <c r="L12" s="50">
        <v>2</v>
      </c>
      <c r="M12" s="50">
        <v>90</v>
      </c>
      <c r="N12" s="50">
        <v>0</v>
      </c>
      <c r="O12" s="15">
        <f t="shared" si="0"/>
        <v>181</v>
      </c>
      <c r="P12" s="15">
        <f t="shared" si="1"/>
        <v>271</v>
      </c>
      <c r="R12" s="1" t="s">
        <v>8</v>
      </c>
      <c r="S12" s="17">
        <f t="shared" ref="S12:AF12" si="4">SUM(C18:C21)</f>
        <v>273</v>
      </c>
      <c r="T12" s="17">
        <f t="shared" si="4"/>
        <v>50</v>
      </c>
      <c r="U12" s="17">
        <f t="shared" si="4"/>
        <v>36</v>
      </c>
      <c r="V12" s="17">
        <f t="shared" si="4"/>
        <v>178</v>
      </c>
      <c r="W12" s="17">
        <f t="shared" si="4"/>
        <v>10</v>
      </c>
      <c r="X12" s="17">
        <f t="shared" si="4"/>
        <v>3</v>
      </c>
      <c r="Y12" s="17">
        <f t="shared" si="4"/>
        <v>38</v>
      </c>
      <c r="Z12" s="17">
        <f t="shared" si="4"/>
        <v>18</v>
      </c>
      <c r="AA12" s="17">
        <f t="shared" si="4"/>
        <v>8</v>
      </c>
      <c r="AB12" s="17">
        <f t="shared" si="4"/>
        <v>12</v>
      </c>
      <c r="AC12" s="17">
        <f t="shared" si="4"/>
        <v>431</v>
      </c>
      <c r="AD12" s="17">
        <f t="shared" si="4"/>
        <v>0</v>
      </c>
      <c r="AE12" s="31">
        <f t="shared" si="4"/>
        <v>626</v>
      </c>
      <c r="AF12" s="31">
        <f t="shared" si="4"/>
        <v>1057</v>
      </c>
    </row>
    <row r="13" spans="2:32" ht="23.1" customHeight="1" x14ac:dyDescent="0.25">
      <c r="B13" s="23" t="s">
        <v>40</v>
      </c>
      <c r="C13" s="50">
        <v>88</v>
      </c>
      <c r="D13" s="50">
        <v>14</v>
      </c>
      <c r="E13" s="50">
        <v>13</v>
      </c>
      <c r="F13" s="50">
        <v>41</v>
      </c>
      <c r="G13" s="50">
        <v>1</v>
      </c>
      <c r="H13" s="50">
        <v>0</v>
      </c>
      <c r="I13" s="50">
        <v>6</v>
      </c>
      <c r="J13" s="50">
        <v>6</v>
      </c>
      <c r="K13" s="50">
        <v>1</v>
      </c>
      <c r="L13" s="50">
        <v>2</v>
      </c>
      <c r="M13" s="50">
        <v>135</v>
      </c>
      <c r="N13" s="50">
        <v>0</v>
      </c>
      <c r="O13" s="15">
        <f t="shared" si="0"/>
        <v>172</v>
      </c>
      <c r="P13" s="15">
        <f t="shared" si="1"/>
        <v>307</v>
      </c>
      <c r="R13" s="1" t="s">
        <v>9</v>
      </c>
      <c r="S13" s="17">
        <f t="shared" ref="S13:AF13" si="5">SUM(C22:C25)</f>
        <v>297</v>
      </c>
      <c r="T13" s="17">
        <f t="shared" si="5"/>
        <v>40</v>
      </c>
      <c r="U13" s="17">
        <f t="shared" si="5"/>
        <v>44</v>
      </c>
      <c r="V13" s="17">
        <f t="shared" si="5"/>
        <v>177</v>
      </c>
      <c r="W13" s="17">
        <f t="shared" si="5"/>
        <v>12</v>
      </c>
      <c r="X13" s="17">
        <f t="shared" si="5"/>
        <v>2</v>
      </c>
      <c r="Y13" s="17">
        <f t="shared" si="5"/>
        <v>52</v>
      </c>
      <c r="Z13" s="17">
        <f t="shared" si="5"/>
        <v>27</v>
      </c>
      <c r="AA13" s="17">
        <f t="shared" si="5"/>
        <v>8</v>
      </c>
      <c r="AB13" s="17">
        <f t="shared" si="5"/>
        <v>17</v>
      </c>
      <c r="AC13" s="17">
        <f t="shared" si="5"/>
        <v>381</v>
      </c>
      <c r="AD13" s="17">
        <f t="shared" si="5"/>
        <v>0</v>
      </c>
      <c r="AE13" s="31">
        <f t="shared" si="5"/>
        <v>676</v>
      </c>
      <c r="AF13" s="31">
        <f t="shared" si="5"/>
        <v>1057</v>
      </c>
    </row>
    <row r="14" spans="2:32" ht="23.1" customHeight="1" x14ac:dyDescent="0.25">
      <c r="B14" s="23" t="s">
        <v>41</v>
      </c>
      <c r="C14" s="50">
        <v>74</v>
      </c>
      <c r="D14" s="50">
        <v>12</v>
      </c>
      <c r="E14" s="50">
        <v>13</v>
      </c>
      <c r="F14" s="50">
        <v>41</v>
      </c>
      <c r="G14" s="50">
        <v>0</v>
      </c>
      <c r="H14" s="50">
        <v>0</v>
      </c>
      <c r="I14" s="50">
        <v>17</v>
      </c>
      <c r="J14" s="50">
        <v>8</v>
      </c>
      <c r="K14" s="50">
        <v>2</v>
      </c>
      <c r="L14" s="50">
        <v>6</v>
      </c>
      <c r="M14" s="50">
        <v>99</v>
      </c>
      <c r="N14" s="50">
        <v>0</v>
      </c>
      <c r="O14" s="15">
        <f t="shared" si="0"/>
        <v>173</v>
      </c>
      <c r="P14" s="15">
        <f t="shared" si="1"/>
        <v>272</v>
      </c>
      <c r="R14" s="1" t="s">
        <v>10</v>
      </c>
      <c r="S14" s="17">
        <f t="shared" ref="S14:AF14" si="6">SUM(C26:C29)</f>
        <v>290</v>
      </c>
      <c r="T14" s="17">
        <f t="shared" si="6"/>
        <v>45</v>
      </c>
      <c r="U14" s="17">
        <f t="shared" si="6"/>
        <v>41</v>
      </c>
      <c r="V14" s="17">
        <f t="shared" si="6"/>
        <v>152</v>
      </c>
      <c r="W14" s="17">
        <f t="shared" si="6"/>
        <v>4</v>
      </c>
      <c r="X14" s="17">
        <f t="shared" si="6"/>
        <v>1</v>
      </c>
      <c r="Y14" s="17">
        <f t="shared" si="6"/>
        <v>54</v>
      </c>
      <c r="Z14" s="17">
        <f t="shared" si="6"/>
        <v>32</v>
      </c>
      <c r="AA14" s="17">
        <f t="shared" si="6"/>
        <v>17</v>
      </c>
      <c r="AB14" s="17">
        <f t="shared" si="6"/>
        <v>22</v>
      </c>
      <c r="AC14" s="17">
        <f t="shared" si="6"/>
        <v>428</v>
      </c>
      <c r="AD14" s="17">
        <f t="shared" si="6"/>
        <v>0</v>
      </c>
      <c r="AE14" s="31">
        <f t="shared" si="6"/>
        <v>658</v>
      </c>
      <c r="AF14" s="31">
        <f t="shared" si="6"/>
        <v>1086</v>
      </c>
    </row>
    <row r="15" spans="2:32" ht="23.1" customHeight="1" x14ac:dyDescent="0.25">
      <c r="B15" s="23" t="s">
        <v>42</v>
      </c>
      <c r="C15" s="50">
        <v>55</v>
      </c>
      <c r="D15" s="50">
        <v>6</v>
      </c>
      <c r="E15" s="50">
        <v>8</v>
      </c>
      <c r="F15" s="50">
        <v>35</v>
      </c>
      <c r="G15" s="50">
        <v>0</v>
      </c>
      <c r="H15" s="50">
        <v>0</v>
      </c>
      <c r="I15" s="50">
        <v>10</v>
      </c>
      <c r="J15" s="50">
        <v>6</v>
      </c>
      <c r="K15" s="50">
        <v>1</v>
      </c>
      <c r="L15" s="50">
        <v>0</v>
      </c>
      <c r="M15" s="50">
        <v>133</v>
      </c>
      <c r="N15" s="50">
        <v>0</v>
      </c>
      <c r="O15" s="15">
        <f t="shared" si="0"/>
        <v>121</v>
      </c>
      <c r="P15" s="15">
        <f t="shared" si="1"/>
        <v>254</v>
      </c>
      <c r="R15" s="1" t="s">
        <v>11</v>
      </c>
      <c r="S15" s="17">
        <f t="shared" ref="S15:AF15" si="7">SUM(C30:C33)</f>
        <v>292</v>
      </c>
      <c r="T15" s="17">
        <f t="shared" si="7"/>
        <v>52</v>
      </c>
      <c r="U15" s="17">
        <f t="shared" si="7"/>
        <v>44</v>
      </c>
      <c r="V15" s="17">
        <f t="shared" si="7"/>
        <v>155</v>
      </c>
      <c r="W15" s="17">
        <f t="shared" si="7"/>
        <v>12</v>
      </c>
      <c r="X15" s="17">
        <f t="shared" si="7"/>
        <v>2</v>
      </c>
      <c r="Y15" s="17">
        <f t="shared" si="7"/>
        <v>69</v>
      </c>
      <c r="Z15" s="17">
        <f t="shared" si="7"/>
        <v>36</v>
      </c>
      <c r="AA15" s="17">
        <f t="shared" si="7"/>
        <v>16</v>
      </c>
      <c r="AB15" s="17">
        <f t="shared" si="7"/>
        <v>19</v>
      </c>
      <c r="AC15" s="17">
        <f t="shared" si="7"/>
        <v>313</v>
      </c>
      <c r="AD15" s="17">
        <f t="shared" si="7"/>
        <v>0</v>
      </c>
      <c r="AE15" s="31">
        <f t="shared" si="7"/>
        <v>697</v>
      </c>
      <c r="AF15" s="31">
        <f t="shared" si="7"/>
        <v>1010</v>
      </c>
    </row>
    <row r="16" spans="2:32" ht="23.1" customHeight="1" x14ac:dyDescent="0.25">
      <c r="B16" s="23" t="s">
        <v>43</v>
      </c>
      <c r="C16" s="50">
        <v>60</v>
      </c>
      <c r="D16" s="50">
        <v>6</v>
      </c>
      <c r="E16" s="50">
        <v>5</v>
      </c>
      <c r="F16" s="50">
        <v>35</v>
      </c>
      <c r="G16" s="50">
        <v>0</v>
      </c>
      <c r="H16" s="50">
        <v>0</v>
      </c>
      <c r="I16" s="50">
        <v>7</v>
      </c>
      <c r="J16" s="50">
        <v>4</v>
      </c>
      <c r="K16" s="50">
        <v>3</v>
      </c>
      <c r="L16" s="50">
        <v>1</v>
      </c>
      <c r="M16" s="50">
        <v>136</v>
      </c>
      <c r="N16" s="50">
        <v>0</v>
      </c>
      <c r="O16" s="15">
        <f t="shared" si="0"/>
        <v>121</v>
      </c>
      <c r="P16" s="15">
        <f t="shared" si="1"/>
        <v>257</v>
      </c>
      <c r="R16" s="1" t="s">
        <v>12</v>
      </c>
      <c r="S16" s="17">
        <f t="shared" ref="S16:AF16" si="8">SUM(C34:C37)</f>
        <v>285</v>
      </c>
      <c r="T16" s="17">
        <f t="shared" si="8"/>
        <v>45</v>
      </c>
      <c r="U16" s="17">
        <f t="shared" si="8"/>
        <v>40</v>
      </c>
      <c r="V16" s="17">
        <f t="shared" si="8"/>
        <v>146</v>
      </c>
      <c r="W16" s="17">
        <f t="shared" si="8"/>
        <v>7</v>
      </c>
      <c r="X16" s="17">
        <f t="shared" si="8"/>
        <v>3</v>
      </c>
      <c r="Y16" s="17">
        <f t="shared" si="8"/>
        <v>67</v>
      </c>
      <c r="Z16" s="17">
        <f t="shared" si="8"/>
        <v>41</v>
      </c>
      <c r="AA16" s="17">
        <f t="shared" si="8"/>
        <v>16</v>
      </c>
      <c r="AB16" s="17">
        <f t="shared" si="8"/>
        <v>26</v>
      </c>
      <c r="AC16" s="17">
        <f t="shared" si="8"/>
        <v>300</v>
      </c>
      <c r="AD16" s="17">
        <f t="shared" si="8"/>
        <v>0</v>
      </c>
      <c r="AE16" s="31">
        <f t="shared" si="8"/>
        <v>676</v>
      </c>
      <c r="AF16" s="31">
        <f t="shared" si="8"/>
        <v>976</v>
      </c>
    </row>
    <row r="17" spans="2:32" ht="23.1" customHeight="1" x14ac:dyDescent="0.25">
      <c r="B17" s="23" t="s">
        <v>44</v>
      </c>
      <c r="C17" s="50">
        <v>63</v>
      </c>
      <c r="D17" s="50">
        <v>9</v>
      </c>
      <c r="E17" s="50">
        <v>13</v>
      </c>
      <c r="F17" s="50">
        <v>36</v>
      </c>
      <c r="G17" s="50">
        <v>0</v>
      </c>
      <c r="H17" s="50">
        <v>0</v>
      </c>
      <c r="I17" s="50">
        <v>10</v>
      </c>
      <c r="J17" s="50">
        <v>10</v>
      </c>
      <c r="K17" s="50">
        <v>2</v>
      </c>
      <c r="L17" s="50">
        <v>1</v>
      </c>
      <c r="M17" s="50">
        <v>86</v>
      </c>
      <c r="N17" s="50">
        <v>0</v>
      </c>
      <c r="O17" s="15">
        <f t="shared" si="0"/>
        <v>144</v>
      </c>
      <c r="P17" s="15">
        <f t="shared" si="1"/>
        <v>230</v>
      </c>
      <c r="R17" s="1" t="s">
        <v>13</v>
      </c>
      <c r="S17" s="17">
        <f t="shared" ref="S17:AF17" si="9">SUM(C38:C41)</f>
        <v>292</v>
      </c>
      <c r="T17" s="17">
        <f t="shared" si="9"/>
        <v>26</v>
      </c>
      <c r="U17" s="17">
        <f t="shared" si="9"/>
        <v>51</v>
      </c>
      <c r="V17" s="17">
        <f t="shared" si="9"/>
        <v>138</v>
      </c>
      <c r="W17" s="17">
        <f t="shared" si="9"/>
        <v>2</v>
      </c>
      <c r="X17" s="17">
        <f t="shared" si="9"/>
        <v>1</v>
      </c>
      <c r="Y17" s="17">
        <f t="shared" si="9"/>
        <v>70</v>
      </c>
      <c r="Z17" s="17">
        <f t="shared" si="9"/>
        <v>42</v>
      </c>
      <c r="AA17" s="17">
        <f t="shared" si="9"/>
        <v>13</v>
      </c>
      <c r="AB17" s="17">
        <f t="shared" si="9"/>
        <v>22</v>
      </c>
      <c r="AC17" s="17">
        <f t="shared" si="9"/>
        <v>392</v>
      </c>
      <c r="AD17" s="17">
        <f t="shared" si="9"/>
        <v>0</v>
      </c>
      <c r="AE17" s="31">
        <f t="shared" si="9"/>
        <v>657</v>
      </c>
      <c r="AF17" s="31">
        <f t="shared" si="9"/>
        <v>1049</v>
      </c>
    </row>
    <row r="18" spans="2:32" ht="23.1" customHeight="1" x14ac:dyDescent="0.25">
      <c r="B18" s="23" t="s">
        <v>45</v>
      </c>
      <c r="C18" s="50">
        <v>85</v>
      </c>
      <c r="D18" s="50">
        <v>9</v>
      </c>
      <c r="E18" s="50">
        <v>6</v>
      </c>
      <c r="F18" s="50">
        <v>44</v>
      </c>
      <c r="G18" s="50">
        <v>0</v>
      </c>
      <c r="H18" s="50">
        <v>1</v>
      </c>
      <c r="I18" s="50">
        <v>10</v>
      </c>
      <c r="J18" s="50">
        <v>4</v>
      </c>
      <c r="K18" s="50">
        <v>1</v>
      </c>
      <c r="L18" s="50">
        <v>3</v>
      </c>
      <c r="M18" s="50">
        <v>109</v>
      </c>
      <c r="N18" s="50">
        <v>0</v>
      </c>
      <c r="O18" s="15">
        <f t="shared" si="0"/>
        <v>163</v>
      </c>
      <c r="P18" s="15">
        <f t="shared" si="1"/>
        <v>272</v>
      </c>
      <c r="R18" s="1" t="s">
        <v>14</v>
      </c>
      <c r="S18" s="17">
        <f t="shared" ref="S18:AF18" si="10">SUM(C42:C45)</f>
        <v>231</v>
      </c>
      <c r="T18" s="17">
        <f t="shared" si="10"/>
        <v>28</v>
      </c>
      <c r="U18" s="17">
        <f t="shared" si="10"/>
        <v>45</v>
      </c>
      <c r="V18" s="17">
        <f t="shared" si="10"/>
        <v>82</v>
      </c>
      <c r="W18" s="17">
        <f t="shared" si="10"/>
        <v>3</v>
      </c>
      <c r="X18" s="17">
        <f t="shared" si="10"/>
        <v>1</v>
      </c>
      <c r="Y18" s="17">
        <f t="shared" si="10"/>
        <v>47</v>
      </c>
      <c r="Z18" s="17">
        <f t="shared" si="10"/>
        <v>36</v>
      </c>
      <c r="AA18" s="17">
        <f t="shared" si="10"/>
        <v>12</v>
      </c>
      <c r="AB18" s="17">
        <f t="shared" si="10"/>
        <v>21</v>
      </c>
      <c r="AC18" s="17">
        <f t="shared" si="10"/>
        <v>165</v>
      </c>
      <c r="AD18" s="17">
        <f t="shared" si="10"/>
        <v>0</v>
      </c>
      <c r="AE18" s="31">
        <f t="shared" si="10"/>
        <v>506</v>
      </c>
      <c r="AF18" s="31">
        <f t="shared" si="10"/>
        <v>671</v>
      </c>
    </row>
    <row r="19" spans="2:32" ht="23.1" customHeight="1" x14ac:dyDescent="0.25">
      <c r="B19" s="23" t="s">
        <v>46</v>
      </c>
      <c r="C19" s="50">
        <v>64</v>
      </c>
      <c r="D19" s="50">
        <v>12</v>
      </c>
      <c r="E19" s="50">
        <v>14</v>
      </c>
      <c r="F19" s="50">
        <v>43</v>
      </c>
      <c r="G19" s="50">
        <v>3</v>
      </c>
      <c r="H19" s="50">
        <v>0</v>
      </c>
      <c r="I19" s="50">
        <v>11</v>
      </c>
      <c r="J19" s="50">
        <v>5</v>
      </c>
      <c r="K19" s="50">
        <v>2</v>
      </c>
      <c r="L19" s="50">
        <v>9</v>
      </c>
      <c r="M19" s="50">
        <v>121</v>
      </c>
      <c r="N19" s="50">
        <v>0</v>
      </c>
      <c r="O19" s="15">
        <f t="shared" si="0"/>
        <v>163</v>
      </c>
      <c r="P19" s="15">
        <f t="shared" si="1"/>
        <v>284</v>
      </c>
      <c r="R19" s="1" t="s">
        <v>15</v>
      </c>
      <c r="S19" s="17">
        <f t="shared" ref="S19:AF19" si="11">SUM(C46:C49)</f>
        <v>329</v>
      </c>
      <c r="T19" s="17">
        <f t="shared" si="11"/>
        <v>35</v>
      </c>
      <c r="U19" s="17">
        <f t="shared" si="11"/>
        <v>43</v>
      </c>
      <c r="V19" s="17">
        <f t="shared" si="11"/>
        <v>133</v>
      </c>
      <c r="W19" s="17">
        <f t="shared" si="11"/>
        <v>2</v>
      </c>
      <c r="X19" s="17">
        <f t="shared" si="11"/>
        <v>1</v>
      </c>
      <c r="Y19" s="17">
        <f t="shared" si="11"/>
        <v>67</v>
      </c>
      <c r="Z19" s="17">
        <f t="shared" si="11"/>
        <v>33</v>
      </c>
      <c r="AA19" s="17">
        <f t="shared" si="11"/>
        <v>20</v>
      </c>
      <c r="AB19" s="17">
        <f t="shared" si="11"/>
        <v>15</v>
      </c>
      <c r="AC19" s="17">
        <f t="shared" si="11"/>
        <v>464</v>
      </c>
      <c r="AD19" s="17">
        <f t="shared" si="11"/>
        <v>0</v>
      </c>
      <c r="AE19" s="31">
        <f t="shared" si="11"/>
        <v>678</v>
      </c>
      <c r="AF19" s="31">
        <f t="shared" si="11"/>
        <v>1142</v>
      </c>
    </row>
    <row r="20" spans="2:32" ht="23.1" customHeight="1" x14ac:dyDescent="0.25">
      <c r="B20" s="23" t="s">
        <v>47</v>
      </c>
      <c r="C20" s="50">
        <v>41</v>
      </c>
      <c r="D20" s="50">
        <v>10</v>
      </c>
      <c r="E20" s="50">
        <v>11</v>
      </c>
      <c r="F20" s="50">
        <v>44</v>
      </c>
      <c r="G20" s="50">
        <v>6</v>
      </c>
      <c r="H20" s="50">
        <v>2</v>
      </c>
      <c r="I20" s="50">
        <v>5</v>
      </c>
      <c r="J20" s="50">
        <v>4</v>
      </c>
      <c r="K20" s="50">
        <v>3</v>
      </c>
      <c r="L20" s="50">
        <v>0</v>
      </c>
      <c r="M20" s="50">
        <v>94</v>
      </c>
      <c r="N20" s="50">
        <v>0</v>
      </c>
      <c r="O20" s="15">
        <f t="shared" si="0"/>
        <v>126</v>
      </c>
      <c r="P20" s="15">
        <f t="shared" si="1"/>
        <v>220</v>
      </c>
      <c r="R20" s="1" t="s">
        <v>16</v>
      </c>
      <c r="S20" s="17">
        <f t="shared" ref="S20:AF20" si="12">SUM(C50:C53)</f>
        <v>421</v>
      </c>
      <c r="T20" s="17">
        <f t="shared" si="12"/>
        <v>51</v>
      </c>
      <c r="U20" s="17">
        <f t="shared" si="12"/>
        <v>45</v>
      </c>
      <c r="V20" s="17">
        <f t="shared" si="12"/>
        <v>248</v>
      </c>
      <c r="W20" s="17">
        <f t="shared" si="12"/>
        <v>3</v>
      </c>
      <c r="X20" s="17">
        <f t="shared" si="12"/>
        <v>1</v>
      </c>
      <c r="Y20" s="17">
        <f t="shared" si="12"/>
        <v>101</v>
      </c>
      <c r="Z20" s="17">
        <f t="shared" si="12"/>
        <v>18</v>
      </c>
      <c r="AA20" s="17">
        <f t="shared" si="12"/>
        <v>12</v>
      </c>
      <c r="AB20" s="17">
        <f t="shared" si="12"/>
        <v>19</v>
      </c>
      <c r="AC20" s="17">
        <f t="shared" si="12"/>
        <v>433</v>
      </c>
      <c r="AD20" s="17">
        <f t="shared" si="12"/>
        <v>0</v>
      </c>
      <c r="AE20" s="31">
        <f t="shared" si="12"/>
        <v>919</v>
      </c>
      <c r="AF20" s="31">
        <f t="shared" si="12"/>
        <v>1352</v>
      </c>
    </row>
    <row r="21" spans="2:32" ht="23.1" customHeight="1" x14ac:dyDescent="0.25">
      <c r="B21" s="23" t="s">
        <v>48</v>
      </c>
      <c r="C21" s="50">
        <v>83</v>
      </c>
      <c r="D21" s="50">
        <v>19</v>
      </c>
      <c r="E21" s="50">
        <v>5</v>
      </c>
      <c r="F21" s="50">
        <v>47</v>
      </c>
      <c r="G21" s="50">
        <v>1</v>
      </c>
      <c r="H21" s="50">
        <v>0</v>
      </c>
      <c r="I21" s="50">
        <v>12</v>
      </c>
      <c r="J21" s="50">
        <v>5</v>
      </c>
      <c r="K21" s="50">
        <v>2</v>
      </c>
      <c r="L21" s="50">
        <v>0</v>
      </c>
      <c r="M21" s="50">
        <v>107</v>
      </c>
      <c r="N21" s="50">
        <v>0</v>
      </c>
      <c r="O21" s="15">
        <f t="shared" si="0"/>
        <v>174</v>
      </c>
      <c r="P21" s="15">
        <f t="shared" si="1"/>
        <v>281</v>
      </c>
      <c r="R21" s="36" t="s">
        <v>20</v>
      </c>
      <c r="S21" s="34">
        <f t="shared" ref="S21:AF21" si="13">SUM(C54:C57)</f>
        <v>449</v>
      </c>
      <c r="T21" s="17">
        <f t="shared" si="13"/>
        <v>52</v>
      </c>
      <c r="U21" s="17">
        <f t="shared" si="13"/>
        <v>43</v>
      </c>
      <c r="V21" s="17">
        <f t="shared" si="13"/>
        <v>163</v>
      </c>
      <c r="W21" s="17">
        <f t="shared" si="13"/>
        <v>4</v>
      </c>
      <c r="X21" s="17">
        <f t="shared" si="13"/>
        <v>1</v>
      </c>
      <c r="Y21" s="17">
        <f t="shared" si="13"/>
        <v>66</v>
      </c>
      <c r="Z21" s="17">
        <f t="shared" si="13"/>
        <v>39</v>
      </c>
      <c r="AA21" s="17">
        <f t="shared" si="13"/>
        <v>15</v>
      </c>
      <c r="AB21" s="17">
        <f t="shared" si="13"/>
        <v>9</v>
      </c>
      <c r="AC21" s="17">
        <f t="shared" si="13"/>
        <v>291</v>
      </c>
      <c r="AD21" s="17">
        <f t="shared" si="13"/>
        <v>0</v>
      </c>
      <c r="AE21" s="31">
        <f t="shared" si="13"/>
        <v>841</v>
      </c>
      <c r="AF21" s="31">
        <f t="shared" si="13"/>
        <v>1132</v>
      </c>
    </row>
    <row r="22" spans="2:32" ht="23.1" customHeight="1" x14ac:dyDescent="0.25">
      <c r="B22" s="23" t="s">
        <v>49</v>
      </c>
      <c r="C22" s="50">
        <v>72</v>
      </c>
      <c r="D22" s="50">
        <v>14</v>
      </c>
      <c r="E22" s="50">
        <v>9</v>
      </c>
      <c r="F22" s="50">
        <v>50</v>
      </c>
      <c r="G22" s="50">
        <v>2</v>
      </c>
      <c r="H22" s="50">
        <v>1</v>
      </c>
      <c r="I22" s="50">
        <v>13</v>
      </c>
      <c r="J22" s="50">
        <v>3</v>
      </c>
      <c r="K22" s="50">
        <v>4</v>
      </c>
      <c r="L22" s="50">
        <v>2</v>
      </c>
      <c r="M22" s="50">
        <v>104</v>
      </c>
      <c r="N22" s="50">
        <v>0</v>
      </c>
      <c r="O22" s="15">
        <f t="shared" si="0"/>
        <v>170</v>
      </c>
      <c r="P22" s="15">
        <f t="shared" si="1"/>
        <v>274</v>
      </c>
      <c r="R22" s="38" t="s">
        <v>90</v>
      </c>
      <c r="S22" s="39">
        <f>MAX(S10:S12)</f>
        <v>317</v>
      </c>
      <c r="T22" s="39">
        <f t="shared" ref="T22:AF22" si="14">MAX(T10:T12)</f>
        <v>50</v>
      </c>
      <c r="U22" s="39">
        <f t="shared" si="14"/>
        <v>49</v>
      </c>
      <c r="V22" s="39">
        <f t="shared" si="14"/>
        <v>178</v>
      </c>
      <c r="W22" s="39">
        <f t="shared" si="14"/>
        <v>10</v>
      </c>
      <c r="X22" s="39">
        <f t="shared" si="14"/>
        <v>3</v>
      </c>
      <c r="Y22" s="39">
        <f t="shared" si="14"/>
        <v>44</v>
      </c>
      <c r="Z22" s="39">
        <f t="shared" si="14"/>
        <v>28</v>
      </c>
      <c r="AA22" s="39">
        <f t="shared" si="14"/>
        <v>8</v>
      </c>
      <c r="AB22" s="39">
        <f t="shared" si="14"/>
        <v>12</v>
      </c>
      <c r="AC22" s="39">
        <f t="shared" si="14"/>
        <v>454</v>
      </c>
      <c r="AD22" s="39">
        <f t="shared" si="14"/>
        <v>0</v>
      </c>
      <c r="AE22" s="40">
        <f t="shared" si="14"/>
        <v>628</v>
      </c>
      <c r="AF22" s="40">
        <f t="shared" si="14"/>
        <v>1057</v>
      </c>
    </row>
    <row r="23" spans="2:32" ht="23.1" customHeight="1" x14ac:dyDescent="0.25">
      <c r="B23" s="23" t="s">
        <v>50</v>
      </c>
      <c r="C23" s="50">
        <v>71</v>
      </c>
      <c r="D23" s="50">
        <v>10</v>
      </c>
      <c r="E23" s="50">
        <v>14</v>
      </c>
      <c r="F23" s="50">
        <v>44</v>
      </c>
      <c r="G23" s="50">
        <v>2</v>
      </c>
      <c r="H23" s="50">
        <v>0</v>
      </c>
      <c r="I23" s="50">
        <v>14</v>
      </c>
      <c r="J23" s="50">
        <v>5</v>
      </c>
      <c r="K23" s="50">
        <v>1</v>
      </c>
      <c r="L23" s="50">
        <v>4</v>
      </c>
      <c r="M23" s="50">
        <v>87</v>
      </c>
      <c r="N23" s="50">
        <v>0</v>
      </c>
      <c r="O23" s="15">
        <f t="shared" si="0"/>
        <v>165</v>
      </c>
      <c r="P23" s="15">
        <f t="shared" si="1"/>
        <v>252</v>
      </c>
      <c r="R23" s="38" t="s">
        <v>91</v>
      </c>
      <c r="S23" s="39">
        <f>MAX(S13:S18)</f>
        <v>297</v>
      </c>
      <c r="T23" s="39">
        <f t="shared" ref="T23:AF23" si="15">MAX(T13:T18)</f>
        <v>52</v>
      </c>
      <c r="U23" s="39">
        <f t="shared" si="15"/>
        <v>51</v>
      </c>
      <c r="V23" s="39">
        <f t="shared" si="15"/>
        <v>177</v>
      </c>
      <c r="W23" s="39">
        <f t="shared" si="15"/>
        <v>12</v>
      </c>
      <c r="X23" s="39">
        <f t="shared" si="15"/>
        <v>3</v>
      </c>
      <c r="Y23" s="39">
        <f t="shared" si="15"/>
        <v>70</v>
      </c>
      <c r="Z23" s="39">
        <f t="shared" si="15"/>
        <v>42</v>
      </c>
      <c r="AA23" s="39">
        <f t="shared" si="15"/>
        <v>17</v>
      </c>
      <c r="AB23" s="39">
        <f t="shared" si="15"/>
        <v>26</v>
      </c>
      <c r="AC23" s="39">
        <f t="shared" si="15"/>
        <v>428</v>
      </c>
      <c r="AD23" s="39">
        <f t="shared" si="15"/>
        <v>0</v>
      </c>
      <c r="AE23" s="40">
        <f t="shared" si="15"/>
        <v>697</v>
      </c>
      <c r="AF23" s="40">
        <f t="shared" si="15"/>
        <v>1086</v>
      </c>
    </row>
    <row r="24" spans="2:32" ht="23.1" customHeight="1" x14ac:dyDescent="0.25">
      <c r="B24" s="23" t="s">
        <v>51</v>
      </c>
      <c r="C24" s="50">
        <v>72</v>
      </c>
      <c r="D24" s="50">
        <v>9</v>
      </c>
      <c r="E24" s="50">
        <v>10</v>
      </c>
      <c r="F24" s="50">
        <v>41</v>
      </c>
      <c r="G24" s="50">
        <v>8</v>
      </c>
      <c r="H24" s="50">
        <v>1</v>
      </c>
      <c r="I24" s="50">
        <v>14</v>
      </c>
      <c r="J24" s="50">
        <v>9</v>
      </c>
      <c r="K24" s="50">
        <v>0</v>
      </c>
      <c r="L24" s="50">
        <v>4</v>
      </c>
      <c r="M24" s="50">
        <v>124</v>
      </c>
      <c r="N24" s="50">
        <v>0</v>
      </c>
      <c r="O24" s="15">
        <f t="shared" si="0"/>
        <v>168</v>
      </c>
      <c r="P24" s="15">
        <f t="shared" si="1"/>
        <v>292</v>
      </c>
      <c r="R24" s="38" t="s">
        <v>92</v>
      </c>
      <c r="S24" s="39">
        <f>MAX(S19:S21)</f>
        <v>449</v>
      </c>
      <c r="T24" s="39">
        <f t="shared" ref="T24:AF24" si="16">MAX(T19:T21)</f>
        <v>52</v>
      </c>
      <c r="U24" s="39">
        <f t="shared" si="16"/>
        <v>45</v>
      </c>
      <c r="V24" s="39">
        <f t="shared" si="16"/>
        <v>248</v>
      </c>
      <c r="W24" s="39">
        <f t="shared" si="16"/>
        <v>4</v>
      </c>
      <c r="X24" s="39">
        <f t="shared" si="16"/>
        <v>1</v>
      </c>
      <c r="Y24" s="39">
        <f t="shared" si="16"/>
        <v>101</v>
      </c>
      <c r="Z24" s="39">
        <f t="shared" si="16"/>
        <v>39</v>
      </c>
      <c r="AA24" s="39">
        <f t="shared" si="16"/>
        <v>20</v>
      </c>
      <c r="AB24" s="39">
        <f t="shared" si="16"/>
        <v>19</v>
      </c>
      <c r="AC24" s="39">
        <f t="shared" si="16"/>
        <v>464</v>
      </c>
      <c r="AD24" s="39">
        <f t="shared" si="16"/>
        <v>0</v>
      </c>
      <c r="AE24" s="40">
        <f t="shared" si="16"/>
        <v>919</v>
      </c>
      <c r="AF24" s="40">
        <f t="shared" si="16"/>
        <v>1352</v>
      </c>
    </row>
    <row r="25" spans="2:32" ht="23.1" customHeight="1" x14ac:dyDescent="0.25">
      <c r="B25" s="23" t="s">
        <v>52</v>
      </c>
      <c r="C25" s="50">
        <v>82</v>
      </c>
      <c r="D25" s="50">
        <v>7</v>
      </c>
      <c r="E25" s="50">
        <v>11</v>
      </c>
      <c r="F25" s="50">
        <v>42</v>
      </c>
      <c r="G25" s="50">
        <v>0</v>
      </c>
      <c r="H25" s="50">
        <v>0</v>
      </c>
      <c r="I25" s="50">
        <v>11</v>
      </c>
      <c r="J25" s="50">
        <v>10</v>
      </c>
      <c r="K25" s="50">
        <v>3</v>
      </c>
      <c r="L25" s="50">
        <v>7</v>
      </c>
      <c r="M25" s="50">
        <v>66</v>
      </c>
      <c r="N25" s="50">
        <v>0</v>
      </c>
      <c r="O25" s="15">
        <f t="shared" si="0"/>
        <v>173</v>
      </c>
      <c r="P25" s="15">
        <f t="shared" si="1"/>
        <v>239</v>
      </c>
      <c r="R25" s="37" t="s">
        <v>85</v>
      </c>
      <c r="S25" s="35">
        <f t="shared" ref="S25:AF25" si="17">SUM(S10:S12)</f>
        <v>842</v>
      </c>
      <c r="T25" s="16">
        <f t="shared" si="17"/>
        <v>129</v>
      </c>
      <c r="U25" s="16">
        <f t="shared" si="17"/>
        <v>124</v>
      </c>
      <c r="V25" s="16">
        <f t="shared" si="17"/>
        <v>464</v>
      </c>
      <c r="W25" s="16">
        <f t="shared" si="17"/>
        <v>18</v>
      </c>
      <c r="X25" s="16">
        <f t="shared" si="17"/>
        <v>5</v>
      </c>
      <c r="Y25" s="16">
        <f t="shared" si="17"/>
        <v>111</v>
      </c>
      <c r="Z25" s="16">
        <f t="shared" si="17"/>
        <v>71</v>
      </c>
      <c r="AA25" s="16">
        <f t="shared" si="17"/>
        <v>23</v>
      </c>
      <c r="AB25" s="16">
        <f t="shared" si="17"/>
        <v>26</v>
      </c>
      <c r="AC25" s="16">
        <f t="shared" si="17"/>
        <v>1298</v>
      </c>
      <c r="AD25" s="16">
        <f t="shared" si="17"/>
        <v>0</v>
      </c>
      <c r="AE25" s="32">
        <f t="shared" si="17"/>
        <v>1813</v>
      </c>
      <c r="AF25" s="32">
        <f t="shared" si="17"/>
        <v>3111</v>
      </c>
    </row>
    <row r="26" spans="2:32" ht="23.1" customHeight="1" x14ac:dyDescent="0.25">
      <c r="B26" s="23" t="s">
        <v>53</v>
      </c>
      <c r="C26" s="50">
        <v>54</v>
      </c>
      <c r="D26" s="50">
        <v>12</v>
      </c>
      <c r="E26" s="50">
        <v>16</v>
      </c>
      <c r="F26" s="50">
        <v>45</v>
      </c>
      <c r="G26" s="50">
        <v>2</v>
      </c>
      <c r="H26" s="50">
        <v>1</v>
      </c>
      <c r="I26" s="50">
        <v>15</v>
      </c>
      <c r="J26" s="50">
        <v>8</v>
      </c>
      <c r="K26" s="50">
        <v>2</v>
      </c>
      <c r="L26" s="50">
        <v>5</v>
      </c>
      <c r="M26" s="50">
        <v>84</v>
      </c>
      <c r="N26" s="50">
        <v>0</v>
      </c>
      <c r="O26" s="15">
        <f t="shared" si="0"/>
        <v>160</v>
      </c>
      <c r="P26" s="15">
        <f t="shared" si="1"/>
        <v>244</v>
      </c>
      <c r="R26" s="28" t="s">
        <v>86</v>
      </c>
      <c r="S26" s="16">
        <f t="shared" ref="S26:AF26" si="18">SUM(S13:S18)</f>
        <v>1687</v>
      </c>
      <c r="T26" s="16">
        <f t="shared" si="18"/>
        <v>236</v>
      </c>
      <c r="U26" s="16">
        <f t="shared" si="18"/>
        <v>265</v>
      </c>
      <c r="V26" s="16">
        <f t="shared" si="18"/>
        <v>850</v>
      </c>
      <c r="W26" s="16">
        <f t="shared" si="18"/>
        <v>40</v>
      </c>
      <c r="X26" s="16">
        <f t="shared" si="18"/>
        <v>10</v>
      </c>
      <c r="Y26" s="16">
        <f t="shared" si="18"/>
        <v>359</v>
      </c>
      <c r="Z26" s="16">
        <f t="shared" si="18"/>
        <v>214</v>
      </c>
      <c r="AA26" s="16">
        <f t="shared" si="18"/>
        <v>82</v>
      </c>
      <c r="AB26" s="16">
        <f t="shared" si="18"/>
        <v>127</v>
      </c>
      <c r="AC26" s="16">
        <f t="shared" si="18"/>
        <v>1979</v>
      </c>
      <c r="AD26" s="16">
        <f t="shared" si="18"/>
        <v>0</v>
      </c>
      <c r="AE26" s="32">
        <f t="shared" si="18"/>
        <v>3870</v>
      </c>
      <c r="AF26" s="32">
        <f t="shared" si="18"/>
        <v>5849</v>
      </c>
    </row>
    <row r="27" spans="2:32" ht="23.1" customHeight="1" x14ac:dyDescent="0.25">
      <c r="B27" s="23" t="s">
        <v>54</v>
      </c>
      <c r="C27" s="50">
        <v>91</v>
      </c>
      <c r="D27" s="50">
        <v>12</v>
      </c>
      <c r="E27" s="50">
        <v>11</v>
      </c>
      <c r="F27" s="50">
        <v>29</v>
      </c>
      <c r="G27" s="50">
        <v>0</v>
      </c>
      <c r="H27" s="50">
        <v>0</v>
      </c>
      <c r="I27" s="50">
        <v>15</v>
      </c>
      <c r="J27" s="50">
        <v>14</v>
      </c>
      <c r="K27" s="50">
        <v>5</v>
      </c>
      <c r="L27" s="50">
        <v>6</v>
      </c>
      <c r="M27" s="50">
        <v>88</v>
      </c>
      <c r="N27" s="50">
        <v>0</v>
      </c>
      <c r="O27" s="15">
        <f t="shared" si="0"/>
        <v>183</v>
      </c>
      <c r="P27" s="15">
        <f t="shared" si="1"/>
        <v>271</v>
      </c>
      <c r="R27" s="29" t="s">
        <v>87</v>
      </c>
      <c r="S27" s="16">
        <f t="shared" ref="S27:AF27" si="19">SUM(S19:S21)</f>
        <v>1199</v>
      </c>
      <c r="T27" s="16">
        <f t="shared" si="19"/>
        <v>138</v>
      </c>
      <c r="U27" s="16">
        <f t="shared" si="19"/>
        <v>131</v>
      </c>
      <c r="V27" s="16">
        <f t="shared" si="19"/>
        <v>544</v>
      </c>
      <c r="W27" s="16">
        <f t="shared" si="19"/>
        <v>9</v>
      </c>
      <c r="X27" s="16">
        <f t="shared" si="19"/>
        <v>3</v>
      </c>
      <c r="Y27" s="16">
        <f t="shared" si="19"/>
        <v>234</v>
      </c>
      <c r="Z27" s="16">
        <f t="shared" si="19"/>
        <v>90</v>
      </c>
      <c r="AA27" s="16">
        <f t="shared" si="19"/>
        <v>47</v>
      </c>
      <c r="AB27" s="16">
        <f t="shared" si="19"/>
        <v>43</v>
      </c>
      <c r="AC27" s="16">
        <f t="shared" si="19"/>
        <v>1188</v>
      </c>
      <c r="AD27" s="16">
        <f t="shared" si="19"/>
        <v>0</v>
      </c>
      <c r="AE27" s="32">
        <f t="shared" si="19"/>
        <v>2438</v>
      </c>
      <c r="AF27" s="32">
        <f t="shared" si="19"/>
        <v>3626</v>
      </c>
    </row>
    <row r="28" spans="2:32" ht="23.1" customHeight="1" x14ac:dyDescent="0.25">
      <c r="B28" s="23" t="s">
        <v>55</v>
      </c>
      <c r="C28" s="50">
        <v>78</v>
      </c>
      <c r="D28" s="50">
        <v>12</v>
      </c>
      <c r="E28" s="50">
        <v>6</v>
      </c>
      <c r="F28" s="50">
        <v>42</v>
      </c>
      <c r="G28" s="50">
        <v>0</v>
      </c>
      <c r="H28" s="50">
        <v>0</v>
      </c>
      <c r="I28" s="50">
        <v>16</v>
      </c>
      <c r="J28" s="50">
        <v>6</v>
      </c>
      <c r="K28" s="50">
        <v>4</v>
      </c>
      <c r="L28" s="50">
        <v>5</v>
      </c>
      <c r="M28" s="50">
        <v>153</v>
      </c>
      <c r="N28" s="50">
        <v>0</v>
      </c>
      <c r="O28" s="15">
        <f t="shared" si="0"/>
        <v>169</v>
      </c>
      <c r="P28" s="15">
        <f t="shared" si="1"/>
        <v>322</v>
      </c>
      <c r="R28" s="5" t="s">
        <v>17</v>
      </c>
      <c r="S28" s="16">
        <f t="shared" ref="S28:AF28" si="20">SUM(S10:S21)</f>
        <v>3728</v>
      </c>
      <c r="T28" s="16">
        <f t="shared" si="20"/>
        <v>503</v>
      </c>
      <c r="U28" s="16">
        <f t="shared" si="20"/>
        <v>520</v>
      </c>
      <c r="V28" s="16">
        <f t="shared" si="20"/>
        <v>1858</v>
      </c>
      <c r="W28" s="16">
        <f t="shared" si="20"/>
        <v>67</v>
      </c>
      <c r="X28" s="16">
        <f t="shared" si="20"/>
        <v>18</v>
      </c>
      <c r="Y28" s="16">
        <f t="shared" si="20"/>
        <v>704</v>
      </c>
      <c r="Z28" s="16">
        <f t="shared" si="20"/>
        <v>375</v>
      </c>
      <c r="AA28" s="16">
        <f t="shared" si="20"/>
        <v>152</v>
      </c>
      <c r="AB28" s="16">
        <f t="shared" si="20"/>
        <v>196</v>
      </c>
      <c r="AC28" s="16">
        <f t="shared" si="20"/>
        <v>4465</v>
      </c>
      <c r="AD28" s="16">
        <f t="shared" si="20"/>
        <v>0</v>
      </c>
      <c r="AE28" s="32">
        <f t="shared" si="20"/>
        <v>8121</v>
      </c>
      <c r="AF28" s="32">
        <f t="shared" si="20"/>
        <v>12586</v>
      </c>
    </row>
    <row r="29" spans="2:32" ht="23.1" customHeight="1" x14ac:dyDescent="0.25">
      <c r="B29" s="23" t="s">
        <v>56</v>
      </c>
      <c r="C29" s="50">
        <v>67</v>
      </c>
      <c r="D29" s="50">
        <v>9</v>
      </c>
      <c r="E29" s="50">
        <v>8</v>
      </c>
      <c r="F29" s="50">
        <v>36</v>
      </c>
      <c r="G29" s="50">
        <v>2</v>
      </c>
      <c r="H29" s="50">
        <v>0</v>
      </c>
      <c r="I29" s="50">
        <v>8</v>
      </c>
      <c r="J29" s="50">
        <v>4</v>
      </c>
      <c r="K29" s="50">
        <v>6</v>
      </c>
      <c r="L29" s="50">
        <v>6</v>
      </c>
      <c r="M29" s="50">
        <v>103</v>
      </c>
      <c r="N29" s="50">
        <v>0</v>
      </c>
      <c r="O29" s="15">
        <f t="shared" si="0"/>
        <v>146</v>
      </c>
      <c r="P29" s="15">
        <f t="shared" si="1"/>
        <v>249</v>
      </c>
      <c r="R29"/>
      <c r="S29" s="20"/>
      <c r="T29" s="19"/>
    </row>
    <row r="30" spans="2:32" ht="23.1" customHeight="1" x14ac:dyDescent="0.25">
      <c r="B30" s="23" t="s">
        <v>57</v>
      </c>
      <c r="C30" s="50">
        <v>87</v>
      </c>
      <c r="D30" s="50">
        <v>11</v>
      </c>
      <c r="E30" s="50">
        <v>7</v>
      </c>
      <c r="F30" s="50">
        <v>40</v>
      </c>
      <c r="G30" s="50">
        <v>6</v>
      </c>
      <c r="H30" s="50">
        <v>0</v>
      </c>
      <c r="I30" s="50">
        <v>19</v>
      </c>
      <c r="J30" s="50">
        <v>6</v>
      </c>
      <c r="K30" s="50">
        <v>8</v>
      </c>
      <c r="L30" s="50">
        <v>6</v>
      </c>
      <c r="M30" s="50">
        <v>90</v>
      </c>
      <c r="N30" s="50">
        <v>0</v>
      </c>
      <c r="O30" s="15">
        <f t="shared" si="0"/>
        <v>190</v>
      </c>
      <c r="P30" s="15">
        <f t="shared" si="1"/>
        <v>280</v>
      </c>
    </row>
    <row r="31" spans="2:32" ht="23.1" customHeight="1" x14ac:dyDescent="0.25">
      <c r="B31" s="24" t="s">
        <v>58</v>
      </c>
      <c r="C31" s="50">
        <v>56</v>
      </c>
      <c r="D31" s="50">
        <v>9</v>
      </c>
      <c r="E31" s="50">
        <v>10</v>
      </c>
      <c r="F31" s="50">
        <v>35</v>
      </c>
      <c r="G31" s="50">
        <v>2</v>
      </c>
      <c r="H31" s="50">
        <v>0</v>
      </c>
      <c r="I31" s="50">
        <v>9</v>
      </c>
      <c r="J31" s="50">
        <v>9</v>
      </c>
      <c r="K31" s="50">
        <v>1</v>
      </c>
      <c r="L31" s="50">
        <v>3</v>
      </c>
      <c r="M31" s="50">
        <v>70</v>
      </c>
      <c r="N31" s="50">
        <v>0</v>
      </c>
      <c r="O31" s="15">
        <f t="shared" si="0"/>
        <v>134</v>
      </c>
      <c r="P31" s="15">
        <f t="shared" si="1"/>
        <v>204</v>
      </c>
    </row>
    <row r="32" spans="2:32" ht="23.1" customHeight="1" x14ac:dyDescent="0.25">
      <c r="B32" s="24" t="s">
        <v>59</v>
      </c>
      <c r="C32" s="50">
        <v>63</v>
      </c>
      <c r="D32" s="50">
        <v>14</v>
      </c>
      <c r="E32" s="50">
        <v>11</v>
      </c>
      <c r="F32" s="50">
        <v>38</v>
      </c>
      <c r="G32" s="50">
        <v>2</v>
      </c>
      <c r="H32" s="50">
        <v>2</v>
      </c>
      <c r="I32" s="50">
        <v>18</v>
      </c>
      <c r="J32" s="50">
        <v>6</v>
      </c>
      <c r="K32" s="50">
        <v>3</v>
      </c>
      <c r="L32" s="50">
        <v>7</v>
      </c>
      <c r="M32" s="50">
        <v>59</v>
      </c>
      <c r="N32" s="50">
        <v>0</v>
      </c>
      <c r="O32" s="15">
        <f t="shared" si="0"/>
        <v>164</v>
      </c>
      <c r="P32" s="15">
        <f t="shared" si="1"/>
        <v>223</v>
      </c>
    </row>
    <row r="33" spans="2:20" ht="23.1" customHeight="1" x14ac:dyDescent="0.25">
      <c r="B33" s="23" t="s">
        <v>60</v>
      </c>
      <c r="C33" s="50">
        <v>86</v>
      </c>
      <c r="D33" s="50">
        <v>18</v>
      </c>
      <c r="E33" s="50">
        <v>16</v>
      </c>
      <c r="F33" s="50">
        <v>42</v>
      </c>
      <c r="G33" s="50">
        <v>2</v>
      </c>
      <c r="H33" s="50">
        <v>0</v>
      </c>
      <c r="I33" s="50">
        <v>23</v>
      </c>
      <c r="J33" s="50">
        <v>15</v>
      </c>
      <c r="K33" s="50">
        <v>4</v>
      </c>
      <c r="L33" s="50">
        <v>3</v>
      </c>
      <c r="M33" s="50">
        <v>94</v>
      </c>
      <c r="N33" s="50">
        <v>0</v>
      </c>
      <c r="O33" s="15">
        <f t="shared" si="0"/>
        <v>209</v>
      </c>
      <c r="P33" s="15">
        <f t="shared" si="1"/>
        <v>303</v>
      </c>
    </row>
    <row r="34" spans="2:20" ht="23.1" customHeight="1" x14ac:dyDescent="0.25">
      <c r="B34" s="24" t="s">
        <v>61</v>
      </c>
      <c r="C34" s="50">
        <v>78</v>
      </c>
      <c r="D34" s="50">
        <v>12</v>
      </c>
      <c r="E34" s="50">
        <v>7</v>
      </c>
      <c r="F34" s="50">
        <v>47</v>
      </c>
      <c r="G34" s="50">
        <v>2</v>
      </c>
      <c r="H34" s="50">
        <v>0</v>
      </c>
      <c r="I34" s="50">
        <v>17</v>
      </c>
      <c r="J34" s="50">
        <v>8</v>
      </c>
      <c r="K34" s="50">
        <v>7</v>
      </c>
      <c r="L34" s="50">
        <v>4</v>
      </c>
      <c r="M34" s="50">
        <v>86</v>
      </c>
      <c r="N34" s="50">
        <v>0</v>
      </c>
      <c r="O34" s="15">
        <f t="shared" si="0"/>
        <v>182</v>
      </c>
      <c r="P34" s="15">
        <f t="shared" si="1"/>
        <v>268</v>
      </c>
    </row>
    <row r="35" spans="2:20" ht="23.1" customHeight="1" x14ac:dyDescent="0.25">
      <c r="B35" s="24" t="s">
        <v>62</v>
      </c>
      <c r="C35" s="50">
        <v>75</v>
      </c>
      <c r="D35" s="50">
        <v>11</v>
      </c>
      <c r="E35" s="50">
        <v>10</v>
      </c>
      <c r="F35" s="50">
        <v>40</v>
      </c>
      <c r="G35" s="50">
        <v>1</v>
      </c>
      <c r="H35" s="50">
        <v>0</v>
      </c>
      <c r="I35" s="50">
        <v>19</v>
      </c>
      <c r="J35" s="50">
        <v>10</v>
      </c>
      <c r="K35" s="50">
        <v>0</v>
      </c>
      <c r="L35" s="50">
        <v>7</v>
      </c>
      <c r="M35" s="50">
        <v>74</v>
      </c>
      <c r="N35" s="50">
        <v>0</v>
      </c>
      <c r="O35" s="15">
        <f t="shared" si="0"/>
        <v>173</v>
      </c>
      <c r="P35" s="15">
        <f t="shared" si="1"/>
        <v>247</v>
      </c>
    </row>
    <row r="36" spans="2:20" ht="23.1" customHeight="1" x14ac:dyDescent="0.25">
      <c r="B36" s="24" t="s">
        <v>63</v>
      </c>
      <c r="C36" s="50">
        <v>64</v>
      </c>
      <c r="D36" s="50">
        <v>9</v>
      </c>
      <c r="E36" s="50">
        <v>10</v>
      </c>
      <c r="F36" s="50">
        <v>29</v>
      </c>
      <c r="G36" s="50">
        <v>1</v>
      </c>
      <c r="H36" s="50">
        <v>0</v>
      </c>
      <c r="I36" s="50">
        <v>7</v>
      </c>
      <c r="J36" s="50">
        <v>8</v>
      </c>
      <c r="K36" s="50">
        <v>4</v>
      </c>
      <c r="L36" s="50">
        <v>5</v>
      </c>
      <c r="M36" s="50">
        <v>78</v>
      </c>
      <c r="N36" s="50">
        <v>0</v>
      </c>
      <c r="O36" s="15">
        <f t="shared" si="0"/>
        <v>137</v>
      </c>
      <c r="P36" s="15">
        <f t="shared" si="1"/>
        <v>215</v>
      </c>
    </row>
    <row r="37" spans="2:20" ht="23.1" customHeight="1" x14ac:dyDescent="0.25">
      <c r="B37" s="23" t="s">
        <v>64</v>
      </c>
      <c r="C37" s="50">
        <v>68</v>
      </c>
      <c r="D37" s="50">
        <v>13</v>
      </c>
      <c r="E37" s="50">
        <v>13</v>
      </c>
      <c r="F37" s="50">
        <v>30</v>
      </c>
      <c r="G37" s="50">
        <v>3</v>
      </c>
      <c r="H37" s="50">
        <v>3</v>
      </c>
      <c r="I37" s="50">
        <v>24</v>
      </c>
      <c r="J37" s="50">
        <v>15</v>
      </c>
      <c r="K37" s="50">
        <v>5</v>
      </c>
      <c r="L37" s="50">
        <v>10</v>
      </c>
      <c r="M37" s="50">
        <v>62</v>
      </c>
      <c r="N37" s="50">
        <v>0</v>
      </c>
      <c r="O37" s="15">
        <f t="shared" si="0"/>
        <v>184</v>
      </c>
      <c r="P37" s="15">
        <f t="shared" si="1"/>
        <v>246</v>
      </c>
    </row>
    <row r="38" spans="2:20" ht="23.1" customHeight="1" x14ac:dyDescent="0.25">
      <c r="B38" s="24" t="s">
        <v>65</v>
      </c>
      <c r="C38" s="50">
        <v>87</v>
      </c>
      <c r="D38" s="50">
        <v>8</v>
      </c>
      <c r="E38" s="50">
        <v>15</v>
      </c>
      <c r="F38" s="50">
        <v>40</v>
      </c>
      <c r="G38" s="50">
        <v>0</v>
      </c>
      <c r="H38" s="50">
        <v>0</v>
      </c>
      <c r="I38" s="50">
        <v>18</v>
      </c>
      <c r="J38" s="50">
        <v>9</v>
      </c>
      <c r="K38" s="50">
        <v>3</v>
      </c>
      <c r="L38" s="50">
        <v>4</v>
      </c>
      <c r="M38" s="50">
        <v>94</v>
      </c>
      <c r="N38" s="50">
        <v>0</v>
      </c>
      <c r="O38" s="15">
        <f t="shared" si="0"/>
        <v>184</v>
      </c>
      <c r="P38" s="15">
        <f t="shared" si="1"/>
        <v>278</v>
      </c>
    </row>
    <row r="39" spans="2:20" ht="23.1" customHeight="1" x14ac:dyDescent="0.25">
      <c r="B39" s="24" t="s">
        <v>66</v>
      </c>
      <c r="C39" s="50">
        <v>61</v>
      </c>
      <c r="D39" s="50">
        <v>4</v>
      </c>
      <c r="E39" s="50">
        <v>10</v>
      </c>
      <c r="F39" s="50">
        <v>33</v>
      </c>
      <c r="G39" s="50">
        <v>1</v>
      </c>
      <c r="H39" s="50">
        <v>1</v>
      </c>
      <c r="I39" s="50">
        <v>15</v>
      </c>
      <c r="J39" s="50">
        <v>9</v>
      </c>
      <c r="K39" s="50">
        <v>2</v>
      </c>
      <c r="L39" s="50">
        <v>6</v>
      </c>
      <c r="M39" s="50">
        <v>111</v>
      </c>
      <c r="N39" s="50">
        <v>0</v>
      </c>
      <c r="O39" s="15">
        <f t="shared" si="0"/>
        <v>142</v>
      </c>
      <c r="P39" s="15">
        <f t="shared" si="1"/>
        <v>253</v>
      </c>
    </row>
    <row r="40" spans="2:20" ht="23.1" customHeight="1" x14ac:dyDescent="0.25">
      <c r="B40" s="24" t="s">
        <v>67</v>
      </c>
      <c r="C40" s="50">
        <v>79</v>
      </c>
      <c r="D40" s="50">
        <v>9</v>
      </c>
      <c r="E40" s="50">
        <v>11</v>
      </c>
      <c r="F40" s="50">
        <v>41</v>
      </c>
      <c r="G40" s="50">
        <v>1</v>
      </c>
      <c r="H40" s="50">
        <v>0</v>
      </c>
      <c r="I40" s="50">
        <v>22</v>
      </c>
      <c r="J40" s="50">
        <v>16</v>
      </c>
      <c r="K40" s="50">
        <v>1</v>
      </c>
      <c r="L40" s="50">
        <v>2</v>
      </c>
      <c r="M40" s="50">
        <v>103</v>
      </c>
      <c r="N40" s="50">
        <v>0</v>
      </c>
      <c r="O40" s="15">
        <f t="shared" si="0"/>
        <v>182</v>
      </c>
      <c r="P40" s="15">
        <f t="shared" si="1"/>
        <v>285</v>
      </c>
    </row>
    <row r="41" spans="2:20" ht="23.1" customHeight="1" x14ac:dyDescent="0.25">
      <c r="B41" s="23" t="s">
        <v>68</v>
      </c>
      <c r="C41" s="50">
        <v>65</v>
      </c>
      <c r="D41" s="50">
        <v>5</v>
      </c>
      <c r="E41" s="50">
        <v>15</v>
      </c>
      <c r="F41" s="50">
        <v>24</v>
      </c>
      <c r="G41" s="50">
        <v>0</v>
      </c>
      <c r="H41" s="50">
        <v>0</v>
      </c>
      <c r="I41" s="50">
        <v>15</v>
      </c>
      <c r="J41" s="50">
        <v>8</v>
      </c>
      <c r="K41" s="50">
        <v>7</v>
      </c>
      <c r="L41" s="50">
        <v>10</v>
      </c>
      <c r="M41" s="50">
        <v>84</v>
      </c>
      <c r="N41" s="50">
        <v>0</v>
      </c>
      <c r="O41" s="15">
        <f t="shared" si="0"/>
        <v>149</v>
      </c>
      <c r="P41" s="15">
        <f t="shared" si="1"/>
        <v>233</v>
      </c>
    </row>
    <row r="42" spans="2:20" ht="23.1" customHeight="1" x14ac:dyDescent="0.25">
      <c r="B42" s="24" t="s">
        <v>69</v>
      </c>
      <c r="C42" s="50">
        <v>77</v>
      </c>
      <c r="D42" s="50">
        <v>8</v>
      </c>
      <c r="E42" s="50">
        <v>19</v>
      </c>
      <c r="F42" s="50">
        <v>29</v>
      </c>
      <c r="G42" s="50">
        <v>1</v>
      </c>
      <c r="H42" s="50">
        <v>1</v>
      </c>
      <c r="I42" s="50">
        <v>16</v>
      </c>
      <c r="J42" s="50">
        <v>16</v>
      </c>
      <c r="K42" s="50">
        <v>5</v>
      </c>
      <c r="L42" s="50">
        <v>7</v>
      </c>
      <c r="M42" s="50">
        <v>64</v>
      </c>
      <c r="N42" s="50">
        <v>0</v>
      </c>
      <c r="O42" s="15">
        <f t="shared" si="0"/>
        <v>179</v>
      </c>
      <c r="P42" s="15">
        <f t="shared" si="1"/>
        <v>243</v>
      </c>
    </row>
    <row r="43" spans="2:20" ht="23.1" customHeight="1" x14ac:dyDescent="0.25">
      <c r="B43" s="23" t="s">
        <v>70</v>
      </c>
      <c r="C43" s="50">
        <v>50</v>
      </c>
      <c r="D43" s="50">
        <v>11</v>
      </c>
      <c r="E43" s="50">
        <v>5</v>
      </c>
      <c r="F43" s="50">
        <v>19</v>
      </c>
      <c r="G43" s="50">
        <v>0</v>
      </c>
      <c r="H43" s="50">
        <v>0</v>
      </c>
      <c r="I43" s="50">
        <v>10</v>
      </c>
      <c r="J43" s="50">
        <v>4</v>
      </c>
      <c r="K43" s="50">
        <v>2</v>
      </c>
      <c r="L43" s="50">
        <v>1</v>
      </c>
      <c r="M43" s="50">
        <v>30</v>
      </c>
      <c r="N43" s="50">
        <v>0</v>
      </c>
      <c r="O43" s="15">
        <f t="shared" si="0"/>
        <v>102</v>
      </c>
      <c r="P43" s="15">
        <f t="shared" si="1"/>
        <v>132</v>
      </c>
    </row>
    <row r="44" spans="2:20" ht="23.1" customHeight="1" x14ac:dyDescent="0.25">
      <c r="B44" s="25" t="s">
        <v>71</v>
      </c>
      <c r="C44" s="50">
        <v>52</v>
      </c>
      <c r="D44" s="50">
        <v>4</v>
      </c>
      <c r="E44" s="50">
        <v>12</v>
      </c>
      <c r="F44" s="50">
        <v>20</v>
      </c>
      <c r="G44" s="50">
        <v>0</v>
      </c>
      <c r="H44" s="50">
        <v>0</v>
      </c>
      <c r="I44" s="50">
        <v>6</v>
      </c>
      <c r="J44" s="50">
        <v>12</v>
      </c>
      <c r="K44" s="50">
        <v>4</v>
      </c>
      <c r="L44" s="50">
        <v>9</v>
      </c>
      <c r="M44" s="50">
        <v>25</v>
      </c>
      <c r="N44" s="50">
        <v>0</v>
      </c>
      <c r="O44" s="15">
        <f t="shared" si="0"/>
        <v>119</v>
      </c>
      <c r="P44" s="15">
        <f t="shared" si="1"/>
        <v>144</v>
      </c>
    </row>
    <row r="45" spans="2:20" ht="23.1" customHeight="1" x14ac:dyDescent="0.25">
      <c r="B45" s="23" t="s">
        <v>72</v>
      </c>
      <c r="C45" s="50">
        <v>52</v>
      </c>
      <c r="D45" s="50">
        <v>5</v>
      </c>
      <c r="E45" s="50">
        <v>9</v>
      </c>
      <c r="F45" s="50">
        <v>14</v>
      </c>
      <c r="G45" s="50">
        <v>2</v>
      </c>
      <c r="H45" s="50">
        <v>0</v>
      </c>
      <c r="I45" s="50">
        <v>15</v>
      </c>
      <c r="J45" s="50">
        <v>4</v>
      </c>
      <c r="K45" s="50">
        <v>1</v>
      </c>
      <c r="L45" s="50">
        <v>4</v>
      </c>
      <c r="M45" s="50">
        <v>46</v>
      </c>
      <c r="N45" s="50">
        <v>0</v>
      </c>
      <c r="O45" s="15">
        <f t="shared" si="0"/>
        <v>106</v>
      </c>
      <c r="P45" s="15">
        <f t="shared" si="1"/>
        <v>152</v>
      </c>
    </row>
    <row r="46" spans="2:20" ht="23.1" customHeight="1" x14ac:dyDescent="0.25">
      <c r="B46" s="24" t="s">
        <v>73</v>
      </c>
      <c r="C46" s="50">
        <v>79</v>
      </c>
      <c r="D46" s="50">
        <v>5</v>
      </c>
      <c r="E46" s="50">
        <v>15</v>
      </c>
      <c r="F46" s="50">
        <v>21</v>
      </c>
      <c r="G46" s="50">
        <v>0</v>
      </c>
      <c r="H46" s="50">
        <v>0</v>
      </c>
      <c r="I46" s="50">
        <v>10</v>
      </c>
      <c r="J46" s="50">
        <v>7</v>
      </c>
      <c r="K46" s="50">
        <v>8</v>
      </c>
      <c r="L46" s="50">
        <v>4</v>
      </c>
      <c r="M46" s="50">
        <v>91</v>
      </c>
      <c r="N46" s="50">
        <v>0</v>
      </c>
      <c r="O46" s="15">
        <f t="shared" si="0"/>
        <v>149</v>
      </c>
      <c r="P46" s="15">
        <f t="shared" si="1"/>
        <v>240</v>
      </c>
      <c r="R46" s="8"/>
      <c r="T46"/>
    </row>
    <row r="47" spans="2:20" ht="23.1" customHeight="1" x14ac:dyDescent="0.25">
      <c r="B47" s="24" t="s">
        <v>74</v>
      </c>
      <c r="C47" s="50">
        <v>71</v>
      </c>
      <c r="D47" s="50">
        <v>12</v>
      </c>
      <c r="E47" s="50">
        <v>10</v>
      </c>
      <c r="F47" s="50">
        <v>35</v>
      </c>
      <c r="G47" s="50">
        <v>1</v>
      </c>
      <c r="H47" s="50">
        <v>1</v>
      </c>
      <c r="I47" s="50">
        <v>22</v>
      </c>
      <c r="J47" s="50">
        <v>5</v>
      </c>
      <c r="K47" s="50">
        <v>6</v>
      </c>
      <c r="L47" s="50">
        <v>2</v>
      </c>
      <c r="M47" s="50">
        <v>131</v>
      </c>
      <c r="N47" s="50">
        <v>0</v>
      </c>
      <c r="O47" s="15">
        <f t="shared" si="0"/>
        <v>165</v>
      </c>
      <c r="P47" s="15">
        <f t="shared" si="1"/>
        <v>296</v>
      </c>
      <c r="R47" s="8"/>
      <c r="T47"/>
    </row>
    <row r="48" spans="2:20" ht="23.1" customHeight="1" x14ac:dyDescent="0.25">
      <c r="B48" s="24" t="s">
        <v>75</v>
      </c>
      <c r="C48" s="50">
        <v>75</v>
      </c>
      <c r="D48" s="50">
        <v>7</v>
      </c>
      <c r="E48" s="50">
        <v>11</v>
      </c>
      <c r="F48" s="50">
        <v>35</v>
      </c>
      <c r="G48" s="50">
        <v>1</v>
      </c>
      <c r="H48" s="50">
        <v>0</v>
      </c>
      <c r="I48" s="50">
        <v>21</v>
      </c>
      <c r="J48" s="50">
        <v>8</v>
      </c>
      <c r="K48" s="50">
        <v>5</v>
      </c>
      <c r="L48" s="50">
        <v>4</v>
      </c>
      <c r="M48" s="50">
        <v>117</v>
      </c>
      <c r="N48" s="50">
        <v>0</v>
      </c>
      <c r="O48" s="15">
        <f t="shared" si="0"/>
        <v>167</v>
      </c>
      <c r="P48" s="15">
        <f t="shared" si="1"/>
        <v>284</v>
      </c>
      <c r="R48" s="8"/>
      <c r="T48"/>
    </row>
    <row r="49" spans="2:20" ht="23.1" customHeight="1" x14ac:dyDescent="0.25">
      <c r="B49" s="23" t="s">
        <v>76</v>
      </c>
      <c r="C49" s="50">
        <v>104</v>
      </c>
      <c r="D49" s="50">
        <v>11</v>
      </c>
      <c r="E49" s="50">
        <v>7</v>
      </c>
      <c r="F49" s="50">
        <v>42</v>
      </c>
      <c r="G49" s="50">
        <v>0</v>
      </c>
      <c r="H49" s="50">
        <v>0</v>
      </c>
      <c r="I49" s="50">
        <v>14</v>
      </c>
      <c r="J49" s="50">
        <v>13</v>
      </c>
      <c r="K49" s="50">
        <v>1</v>
      </c>
      <c r="L49" s="50">
        <v>5</v>
      </c>
      <c r="M49" s="50">
        <v>125</v>
      </c>
      <c r="N49" s="50">
        <v>0</v>
      </c>
      <c r="O49" s="15">
        <f t="shared" si="0"/>
        <v>197</v>
      </c>
      <c r="P49" s="15">
        <f t="shared" si="1"/>
        <v>322</v>
      </c>
      <c r="R49" s="8"/>
      <c r="T49"/>
    </row>
    <row r="50" spans="2:20" ht="23.1" customHeight="1" x14ac:dyDescent="0.25">
      <c r="B50" s="24" t="s">
        <v>77</v>
      </c>
      <c r="C50" s="50">
        <v>90</v>
      </c>
      <c r="D50" s="50">
        <v>15</v>
      </c>
      <c r="E50" s="50">
        <v>8</v>
      </c>
      <c r="F50" s="50">
        <v>40</v>
      </c>
      <c r="G50" s="50">
        <v>1</v>
      </c>
      <c r="H50" s="50">
        <v>0</v>
      </c>
      <c r="I50" s="50">
        <v>22</v>
      </c>
      <c r="J50" s="50">
        <v>6</v>
      </c>
      <c r="K50" s="50">
        <v>2</v>
      </c>
      <c r="L50" s="50">
        <v>3</v>
      </c>
      <c r="M50" s="50">
        <v>100</v>
      </c>
      <c r="N50" s="50">
        <v>0</v>
      </c>
      <c r="O50" s="15">
        <f t="shared" si="0"/>
        <v>187</v>
      </c>
      <c r="P50" s="15">
        <f t="shared" si="1"/>
        <v>287</v>
      </c>
      <c r="R50" s="8"/>
      <c r="T50"/>
    </row>
    <row r="51" spans="2:20" ht="23.1" customHeight="1" x14ac:dyDescent="0.25">
      <c r="B51" s="24" t="s">
        <v>78</v>
      </c>
      <c r="C51" s="50">
        <v>103</v>
      </c>
      <c r="D51" s="50">
        <v>10</v>
      </c>
      <c r="E51" s="50">
        <v>14</v>
      </c>
      <c r="F51" s="50">
        <v>42</v>
      </c>
      <c r="G51" s="50">
        <v>0</v>
      </c>
      <c r="H51" s="50">
        <v>0</v>
      </c>
      <c r="I51" s="50">
        <v>29</v>
      </c>
      <c r="J51" s="50">
        <v>3</v>
      </c>
      <c r="K51" s="50">
        <v>4</v>
      </c>
      <c r="L51" s="50">
        <v>4</v>
      </c>
      <c r="M51" s="50">
        <v>96</v>
      </c>
      <c r="N51" s="50">
        <v>0</v>
      </c>
      <c r="O51" s="15">
        <f t="shared" si="0"/>
        <v>209</v>
      </c>
      <c r="P51" s="15">
        <f t="shared" si="1"/>
        <v>305</v>
      </c>
      <c r="R51" s="8"/>
      <c r="T51"/>
    </row>
    <row r="52" spans="2:20" ht="23.1" customHeight="1" x14ac:dyDescent="0.25">
      <c r="B52" s="24" t="s">
        <v>79</v>
      </c>
      <c r="C52" s="50">
        <v>123</v>
      </c>
      <c r="D52" s="50">
        <v>16</v>
      </c>
      <c r="E52" s="50">
        <v>10</v>
      </c>
      <c r="F52" s="50">
        <v>33</v>
      </c>
      <c r="G52" s="50">
        <v>0</v>
      </c>
      <c r="H52" s="50">
        <v>0</v>
      </c>
      <c r="I52" s="50">
        <v>26</v>
      </c>
      <c r="J52" s="50">
        <v>5</v>
      </c>
      <c r="K52" s="50">
        <v>2</v>
      </c>
      <c r="L52" s="50">
        <v>4</v>
      </c>
      <c r="M52" s="50">
        <v>88</v>
      </c>
      <c r="N52" s="50">
        <v>0</v>
      </c>
      <c r="O52" s="15">
        <f t="shared" si="0"/>
        <v>219</v>
      </c>
      <c r="P52" s="15">
        <f t="shared" si="1"/>
        <v>307</v>
      </c>
      <c r="R52" s="8"/>
      <c r="T52"/>
    </row>
    <row r="53" spans="2:20" ht="23.1" customHeight="1" x14ac:dyDescent="0.25">
      <c r="B53" s="23" t="s">
        <v>80</v>
      </c>
      <c r="C53" s="50">
        <v>105</v>
      </c>
      <c r="D53" s="50">
        <v>10</v>
      </c>
      <c r="E53" s="50">
        <v>13</v>
      </c>
      <c r="F53" s="50">
        <v>133</v>
      </c>
      <c r="G53" s="50">
        <v>2</v>
      </c>
      <c r="H53" s="50">
        <v>1</v>
      </c>
      <c r="I53" s="50">
        <v>24</v>
      </c>
      <c r="J53" s="50">
        <v>4</v>
      </c>
      <c r="K53" s="50">
        <v>4</v>
      </c>
      <c r="L53" s="50">
        <v>8</v>
      </c>
      <c r="M53" s="50">
        <v>149</v>
      </c>
      <c r="N53" s="50">
        <v>0</v>
      </c>
      <c r="O53" s="15">
        <f t="shared" si="0"/>
        <v>304</v>
      </c>
      <c r="P53" s="15">
        <f t="shared" si="1"/>
        <v>453</v>
      </c>
      <c r="R53" s="8"/>
      <c r="T53"/>
    </row>
    <row r="54" spans="2:20" ht="23.1" customHeight="1" x14ac:dyDescent="0.25">
      <c r="B54" s="23" t="s">
        <v>81</v>
      </c>
      <c r="C54" s="50">
        <v>137</v>
      </c>
      <c r="D54" s="50">
        <v>13</v>
      </c>
      <c r="E54" s="50">
        <v>8</v>
      </c>
      <c r="F54" s="50">
        <v>37</v>
      </c>
      <c r="G54" s="50">
        <v>2</v>
      </c>
      <c r="H54" s="50">
        <v>0</v>
      </c>
      <c r="I54" s="50">
        <v>12</v>
      </c>
      <c r="J54" s="50">
        <v>12</v>
      </c>
      <c r="K54" s="50">
        <v>5</v>
      </c>
      <c r="L54" s="50">
        <v>2</v>
      </c>
      <c r="M54" s="50">
        <v>117</v>
      </c>
      <c r="N54" s="50">
        <v>0</v>
      </c>
      <c r="O54" s="15">
        <f t="shared" si="0"/>
        <v>228</v>
      </c>
      <c r="P54" s="15">
        <f t="shared" si="1"/>
        <v>345</v>
      </c>
      <c r="R54" s="8"/>
      <c r="T54"/>
    </row>
    <row r="55" spans="2:20" ht="23.1" customHeight="1" x14ac:dyDescent="0.25">
      <c r="B55" s="23" t="s">
        <v>82</v>
      </c>
      <c r="C55" s="50">
        <v>129</v>
      </c>
      <c r="D55" s="50">
        <v>15</v>
      </c>
      <c r="E55" s="50">
        <v>12</v>
      </c>
      <c r="F55" s="50">
        <v>36</v>
      </c>
      <c r="G55" s="50">
        <v>0</v>
      </c>
      <c r="H55" s="50">
        <v>0</v>
      </c>
      <c r="I55" s="50">
        <v>16</v>
      </c>
      <c r="J55" s="50">
        <v>5</v>
      </c>
      <c r="K55" s="50">
        <v>3</v>
      </c>
      <c r="L55" s="50">
        <v>3</v>
      </c>
      <c r="M55" s="50">
        <v>47</v>
      </c>
      <c r="N55" s="50">
        <v>0</v>
      </c>
      <c r="O55" s="15">
        <f t="shared" si="0"/>
        <v>219</v>
      </c>
      <c r="P55" s="15">
        <f t="shared" si="1"/>
        <v>266</v>
      </c>
      <c r="R55" s="8"/>
      <c r="T55"/>
    </row>
    <row r="56" spans="2:20" ht="23.1" customHeight="1" x14ac:dyDescent="0.25">
      <c r="B56" s="23" t="s">
        <v>83</v>
      </c>
      <c r="C56" s="50">
        <v>98</v>
      </c>
      <c r="D56" s="50">
        <v>17</v>
      </c>
      <c r="E56" s="50">
        <v>15</v>
      </c>
      <c r="F56" s="50">
        <v>46</v>
      </c>
      <c r="G56" s="50">
        <v>1</v>
      </c>
      <c r="H56" s="50">
        <v>1</v>
      </c>
      <c r="I56" s="50">
        <v>18</v>
      </c>
      <c r="J56" s="50">
        <v>12</v>
      </c>
      <c r="K56" s="50">
        <v>4</v>
      </c>
      <c r="L56" s="50">
        <v>1</v>
      </c>
      <c r="M56" s="50">
        <v>64</v>
      </c>
      <c r="N56" s="50">
        <v>0</v>
      </c>
      <c r="O56" s="15">
        <f t="shared" si="0"/>
        <v>213</v>
      </c>
      <c r="P56" s="15">
        <f t="shared" si="1"/>
        <v>277</v>
      </c>
      <c r="R56" s="8"/>
      <c r="T56"/>
    </row>
    <row r="57" spans="2:20" ht="23.1" customHeight="1" x14ac:dyDescent="0.25">
      <c r="B57" s="23" t="s">
        <v>84</v>
      </c>
      <c r="C57" s="50">
        <v>85</v>
      </c>
      <c r="D57" s="50">
        <v>7</v>
      </c>
      <c r="E57" s="50">
        <v>8</v>
      </c>
      <c r="F57" s="50">
        <v>44</v>
      </c>
      <c r="G57" s="50">
        <v>1</v>
      </c>
      <c r="H57" s="50">
        <v>0</v>
      </c>
      <c r="I57" s="50">
        <v>20</v>
      </c>
      <c r="J57" s="50">
        <v>10</v>
      </c>
      <c r="K57" s="50">
        <v>3</v>
      </c>
      <c r="L57" s="50">
        <v>3</v>
      </c>
      <c r="M57" s="50">
        <v>63</v>
      </c>
      <c r="N57" s="50">
        <v>0</v>
      </c>
      <c r="O57" s="15">
        <f t="shared" si="0"/>
        <v>181</v>
      </c>
      <c r="P57" s="15">
        <f t="shared" si="1"/>
        <v>244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3728</v>
      </c>
      <c r="D58" s="16">
        <f t="shared" si="21"/>
        <v>503</v>
      </c>
      <c r="E58" s="16">
        <f t="shared" si="21"/>
        <v>520</v>
      </c>
      <c r="F58" s="16">
        <f t="shared" si="21"/>
        <v>1858</v>
      </c>
      <c r="G58" s="16">
        <f t="shared" si="21"/>
        <v>67</v>
      </c>
      <c r="H58" s="16">
        <f t="shared" si="21"/>
        <v>18</v>
      </c>
      <c r="I58" s="16">
        <f t="shared" si="21"/>
        <v>704</v>
      </c>
      <c r="J58" s="16">
        <f t="shared" si="21"/>
        <v>375</v>
      </c>
      <c r="K58" s="16">
        <f t="shared" si="21"/>
        <v>152</v>
      </c>
      <c r="L58" s="16">
        <f t="shared" si="21"/>
        <v>196</v>
      </c>
      <c r="M58" s="16">
        <f t="shared" si="21"/>
        <v>4465</v>
      </c>
      <c r="N58" s="16">
        <f t="shared" si="21"/>
        <v>0</v>
      </c>
      <c r="O58" s="16">
        <f t="shared" si="21"/>
        <v>8121</v>
      </c>
      <c r="P58" s="16">
        <f t="shared" si="21"/>
        <v>12586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0.29620212935007151</v>
      </c>
      <c r="D59" s="43">
        <f t="shared" si="22"/>
        <v>3.9965040521214044E-2</v>
      </c>
      <c r="E59" s="43">
        <f t="shared" si="22"/>
        <v>4.1315747656125855E-2</v>
      </c>
      <c r="F59" s="43">
        <f t="shared" si="22"/>
        <v>0.14762434450977277</v>
      </c>
      <c r="G59" s="43">
        <f t="shared" si="22"/>
        <v>5.3233751787700621E-3</v>
      </c>
      <c r="H59" s="43">
        <f t="shared" si="22"/>
        <v>1.4301604957889719E-3</v>
      </c>
      <c r="I59" s="43">
        <f t="shared" si="22"/>
        <v>5.593516605752423E-2</v>
      </c>
      <c r="J59" s="43">
        <f t="shared" si="22"/>
        <v>2.9795010328936913E-2</v>
      </c>
      <c r="K59" s="43">
        <f t="shared" si="22"/>
        <v>1.2076910853329096E-2</v>
      </c>
      <c r="L59" s="43">
        <f t="shared" si="22"/>
        <v>1.557285873192436E-2</v>
      </c>
      <c r="M59" s="43">
        <f t="shared" si="22"/>
        <v>0.3547592563165422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0.4590567664080778</v>
      </c>
      <c r="D60" s="44">
        <f t="shared" ref="D60:N60" si="23">D58/$O$58</f>
        <v>6.1938184952592047E-2</v>
      </c>
      <c r="E60" s="44">
        <f t="shared" si="23"/>
        <v>6.403152321142716E-2</v>
      </c>
      <c r="F60" s="44">
        <f t="shared" si="23"/>
        <v>0.22878955793621475</v>
      </c>
      <c r="G60" s="44">
        <f t="shared" si="23"/>
        <v>8.2502154907031153E-3</v>
      </c>
      <c r="H60" s="44">
        <f t="shared" si="23"/>
        <v>2.216475803472479E-3</v>
      </c>
      <c r="I60" s="44">
        <f t="shared" si="23"/>
        <v>8.6688831424701393E-2</v>
      </c>
      <c r="J60" s="44">
        <f t="shared" si="23"/>
        <v>4.6176579239009974E-2</v>
      </c>
      <c r="K60" s="44">
        <f t="shared" si="23"/>
        <v>1.8716906784878709E-2</v>
      </c>
      <c r="L60" s="44">
        <f t="shared" si="23"/>
        <v>2.4134958748922547E-2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5" zoomScale="40" zoomScaleSheetLayoutView="40" workbookViewId="0">
      <selection activeCell="F13" sqref="F1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'22.07 Busega-Masanafu'!C3:G3</f>
        <v>MCC - C1 - STN13 - NORTHERN BYPASS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64" t="str">
        <f>'22.07 Busega-Masanafu'!G5:H5</f>
        <v>NORTHERN BYPASS</v>
      </c>
      <c r="H5" s="65"/>
      <c r="I5" s="14"/>
      <c r="J5" s="2" t="s">
        <v>5</v>
      </c>
      <c r="K5" s="64" t="str">
        <f>'22.07 Busega-Masanafu'!K5:L5</f>
        <v>SSEMUKO SAMUEL JUNIOR W/MUTEBI CHRISTOPHER/SSEMWOGERERE FREDRICK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'22.07 Busega-Masanafu'!D6:E6</f>
        <v>BUSEGA</v>
      </c>
      <c r="E6" s="65"/>
      <c r="F6" s="2" t="s">
        <v>2</v>
      </c>
      <c r="G6" s="64" t="str">
        <f>'22.07 Busega-Masanafu'!G6:H6</f>
        <v>MASANAFU</v>
      </c>
      <c r="H6" s="65"/>
      <c r="J6" s="2" t="s">
        <v>21</v>
      </c>
      <c r="K6" s="64" t="str">
        <f>'22.07 Busega-Masanafu'!K6:L6</f>
        <v>ANDY/ANDREW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86</v>
      </c>
      <c r="D10" s="50">
        <v>11</v>
      </c>
      <c r="E10" s="50">
        <v>8</v>
      </c>
      <c r="F10" s="50">
        <v>22</v>
      </c>
      <c r="G10" s="50">
        <v>1</v>
      </c>
      <c r="H10" s="50">
        <v>0</v>
      </c>
      <c r="I10" s="50">
        <v>6</v>
      </c>
      <c r="J10" s="50">
        <v>13</v>
      </c>
      <c r="K10" s="50">
        <v>5</v>
      </c>
      <c r="L10" s="50">
        <v>1</v>
      </c>
      <c r="M10" s="50">
        <v>136</v>
      </c>
      <c r="N10" s="50">
        <v>0</v>
      </c>
      <c r="O10" s="15">
        <f t="shared" ref="O10:O57" si="0">SUM(C10:L10,N10)</f>
        <v>153</v>
      </c>
      <c r="P10" s="15">
        <f t="shared" ref="P10:P57" si="1">SUM(C10:N10)</f>
        <v>289</v>
      </c>
      <c r="R10" s="1" t="s">
        <v>6</v>
      </c>
      <c r="S10" s="17">
        <f t="shared" ref="S10:AF10" si="2">SUM(C10:C13)</f>
        <v>264</v>
      </c>
      <c r="T10" s="17">
        <f t="shared" si="2"/>
        <v>43</v>
      </c>
      <c r="U10" s="17">
        <f t="shared" si="2"/>
        <v>28</v>
      </c>
      <c r="V10" s="17">
        <f t="shared" si="2"/>
        <v>74</v>
      </c>
      <c r="W10" s="17">
        <f t="shared" si="2"/>
        <v>4</v>
      </c>
      <c r="X10" s="17">
        <f t="shared" si="2"/>
        <v>0</v>
      </c>
      <c r="Y10" s="17">
        <f t="shared" si="2"/>
        <v>24</v>
      </c>
      <c r="Z10" s="17">
        <f t="shared" si="2"/>
        <v>48</v>
      </c>
      <c r="AA10" s="17">
        <f t="shared" si="2"/>
        <v>16</v>
      </c>
      <c r="AB10" s="17">
        <f t="shared" si="2"/>
        <v>12</v>
      </c>
      <c r="AC10" s="17">
        <f t="shared" si="2"/>
        <v>578</v>
      </c>
      <c r="AD10" s="17">
        <f t="shared" si="2"/>
        <v>0</v>
      </c>
      <c r="AE10" s="31">
        <f t="shared" si="2"/>
        <v>513</v>
      </c>
      <c r="AF10" s="31">
        <f t="shared" si="2"/>
        <v>1091</v>
      </c>
    </row>
    <row r="11" spans="2:32" s="6" customFormat="1" ht="23.1" customHeight="1" x14ac:dyDescent="0.25">
      <c r="B11" s="23" t="s">
        <v>38</v>
      </c>
      <c r="C11" s="50">
        <v>55</v>
      </c>
      <c r="D11" s="50">
        <v>6</v>
      </c>
      <c r="E11" s="50">
        <v>6</v>
      </c>
      <c r="F11" s="50">
        <v>13</v>
      </c>
      <c r="G11" s="50">
        <v>0</v>
      </c>
      <c r="H11" s="50">
        <v>0</v>
      </c>
      <c r="I11" s="50">
        <v>4</v>
      </c>
      <c r="J11" s="50">
        <v>9</v>
      </c>
      <c r="K11" s="50">
        <v>2</v>
      </c>
      <c r="L11" s="50">
        <v>3</v>
      </c>
      <c r="M11" s="50">
        <v>145</v>
      </c>
      <c r="N11" s="50">
        <v>0</v>
      </c>
      <c r="O11" s="15">
        <f t="shared" si="0"/>
        <v>98</v>
      </c>
      <c r="P11" s="15">
        <f t="shared" si="1"/>
        <v>243</v>
      </c>
      <c r="R11" s="1" t="s">
        <v>7</v>
      </c>
      <c r="S11" s="17">
        <f t="shared" ref="S11:AF11" si="3">SUM(C14:C17)</f>
        <v>271</v>
      </c>
      <c r="T11" s="17">
        <f t="shared" si="3"/>
        <v>52</v>
      </c>
      <c r="U11" s="17">
        <f t="shared" si="3"/>
        <v>44</v>
      </c>
      <c r="V11" s="17">
        <f t="shared" si="3"/>
        <v>81</v>
      </c>
      <c r="W11" s="17">
        <f t="shared" si="3"/>
        <v>5</v>
      </c>
      <c r="X11" s="17">
        <f t="shared" si="3"/>
        <v>5</v>
      </c>
      <c r="Y11" s="17">
        <f t="shared" si="3"/>
        <v>29</v>
      </c>
      <c r="Z11" s="17">
        <f t="shared" si="3"/>
        <v>34</v>
      </c>
      <c r="AA11" s="17">
        <f t="shared" si="3"/>
        <v>11</v>
      </c>
      <c r="AB11" s="17">
        <f t="shared" si="3"/>
        <v>6</v>
      </c>
      <c r="AC11" s="17">
        <f t="shared" si="3"/>
        <v>672</v>
      </c>
      <c r="AD11" s="17">
        <f t="shared" si="3"/>
        <v>0</v>
      </c>
      <c r="AE11" s="31">
        <f t="shared" si="3"/>
        <v>538</v>
      </c>
      <c r="AF11" s="31">
        <f t="shared" si="3"/>
        <v>1210</v>
      </c>
    </row>
    <row r="12" spans="2:32" ht="23.1" customHeight="1" x14ac:dyDescent="0.25">
      <c r="B12" s="23" t="s">
        <v>39</v>
      </c>
      <c r="C12" s="50">
        <v>60</v>
      </c>
      <c r="D12" s="50">
        <v>12</v>
      </c>
      <c r="E12" s="50">
        <v>4</v>
      </c>
      <c r="F12" s="50">
        <v>20</v>
      </c>
      <c r="G12" s="50">
        <v>2</v>
      </c>
      <c r="H12" s="50">
        <v>0</v>
      </c>
      <c r="I12" s="50">
        <v>8</v>
      </c>
      <c r="J12" s="50">
        <v>18</v>
      </c>
      <c r="K12" s="50">
        <v>1</v>
      </c>
      <c r="L12" s="50">
        <v>5</v>
      </c>
      <c r="M12" s="50">
        <v>150</v>
      </c>
      <c r="N12" s="50">
        <v>0</v>
      </c>
      <c r="O12" s="15">
        <f t="shared" si="0"/>
        <v>130</v>
      </c>
      <c r="P12" s="15">
        <f t="shared" si="1"/>
        <v>280</v>
      </c>
      <c r="R12" s="1" t="s">
        <v>8</v>
      </c>
      <c r="S12" s="17">
        <f t="shared" ref="S12:AF12" si="4">SUM(C18:C21)</f>
        <v>276</v>
      </c>
      <c r="T12" s="17">
        <f t="shared" si="4"/>
        <v>53</v>
      </c>
      <c r="U12" s="17">
        <f t="shared" si="4"/>
        <v>34</v>
      </c>
      <c r="V12" s="17">
        <f t="shared" si="4"/>
        <v>95</v>
      </c>
      <c r="W12" s="17">
        <f t="shared" si="4"/>
        <v>9</v>
      </c>
      <c r="X12" s="17">
        <f t="shared" si="4"/>
        <v>3</v>
      </c>
      <c r="Y12" s="17">
        <f t="shared" si="4"/>
        <v>27</v>
      </c>
      <c r="Z12" s="17">
        <f t="shared" si="4"/>
        <v>32</v>
      </c>
      <c r="AA12" s="17">
        <f t="shared" si="4"/>
        <v>13</v>
      </c>
      <c r="AB12" s="17">
        <f t="shared" si="4"/>
        <v>6</v>
      </c>
      <c r="AC12" s="17">
        <f t="shared" si="4"/>
        <v>532</v>
      </c>
      <c r="AD12" s="17">
        <f t="shared" si="4"/>
        <v>0</v>
      </c>
      <c r="AE12" s="31">
        <f t="shared" si="4"/>
        <v>548</v>
      </c>
      <c r="AF12" s="31">
        <f t="shared" si="4"/>
        <v>1080</v>
      </c>
    </row>
    <row r="13" spans="2:32" ht="23.1" customHeight="1" x14ac:dyDescent="0.25">
      <c r="B13" s="23" t="s">
        <v>40</v>
      </c>
      <c r="C13" s="50">
        <v>63</v>
      </c>
      <c r="D13" s="50">
        <v>14</v>
      </c>
      <c r="E13" s="50">
        <v>10</v>
      </c>
      <c r="F13" s="50">
        <v>19</v>
      </c>
      <c r="G13" s="50">
        <v>1</v>
      </c>
      <c r="H13" s="50">
        <v>0</v>
      </c>
      <c r="I13" s="50">
        <v>6</v>
      </c>
      <c r="J13" s="50">
        <v>8</v>
      </c>
      <c r="K13" s="50">
        <v>8</v>
      </c>
      <c r="L13" s="50">
        <v>3</v>
      </c>
      <c r="M13" s="50">
        <v>147</v>
      </c>
      <c r="N13" s="50">
        <v>0</v>
      </c>
      <c r="O13" s="15">
        <f t="shared" si="0"/>
        <v>132</v>
      </c>
      <c r="P13" s="15">
        <f t="shared" si="1"/>
        <v>279</v>
      </c>
      <c r="R13" s="1" t="s">
        <v>9</v>
      </c>
      <c r="S13" s="17">
        <f t="shared" ref="S13:AF13" si="5">SUM(C22:C25)</f>
        <v>241</v>
      </c>
      <c r="T13" s="17">
        <f t="shared" si="5"/>
        <v>73</v>
      </c>
      <c r="U13" s="17">
        <f t="shared" si="5"/>
        <v>29</v>
      </c>
      <c r="V13" s="17">
        <f t="shared" si="5"/>
        <v>93</v>
      </c>
      <c r="W13" s="17">
        <f t="shared" si="5"/>
        <v>8</v>
      </c>
      <c r="X13" s="17">
        <f t="shared" si="5"/>
        <v>0</v>
      </c>
      <c r="Y13" s="17">
        <f t="shared" si="5"/>
        <v>172</v>
      </c>
      <c r="Z13" s="17">
        <f t="shared" si="5"/>
        <v>33</v>
      </c>
      <c r="AA13" s="17">
        <f t="shared" si="5"/>
        <v>25</v>
      </c>
      <c r="AB13" s="17">
        <f t="shared" si="5"/>
        <v>18</v>
      </c>
      <c r="AC13" s="17">
        <f t="shared" si="5"/>
        <v>473</v>
      </c>
      <c r="AD13" s="17">
        <f t="shared" si="5"/>
        <v>0</v>
      </c>
      <c r="AE13" s="31">
        <f t="shared" si="5"/>
        <v>692</v>
      </c>
      <c r="AF13" s="31">
        <f t="shared" si="5"/>
        <v>1165</v>
      </c>
    </row>
    <row r="14" spans="2:32" ht="23.1" customHeight="1" x14ac:dyDescent="0.25">
      <c r="B14" s="23" t="s">
        <v>41</v>
      </c>
      <c r="C14" s="50">
        <v>77</v>
      </c>
      <c r="D14" s="50">
        <v>10</v>
      </c>
      <c r="E14" s="50">
        <v>3</v>
      </c>
      <c r="F14" s="50">
        <v>16</v>
      </c>
      <c r="G14" s="50">
        <v>0</v>
      </c>
      <c r="H14" s="50">
        <v>0</v>
      </c>
      <c r="I14" s="50">
        <v>8</v>
      </c>
      <c r="J14" s="50">
        <v>9</v>
      </c>
      <c r="K14" s="50">
        <v>5</v>
      </c>
      <c r="L14" s="50">
        <v>1</v>
      </c>
      <c r="M14" s="50">
        <v>182</v>
      </c>
      <c r="N14" s="50">
        <v>0</v>
      </c>
      <c r="O14" s="15">
        <f t="shared" si="0"/>
        <v>129</v>
      </c>
      <c r="P14" s="15">
        <f t="shared" si="1"/>
        <v>311</v>
      </c>
      <c r="R14" s="1" t="s">
        <v>10</v>
      </c>
      <c r="S14" s="17">
        <f t="shared" ref="S14:AF14" si="6">SUM(C26:C29)</f>
        <v>236</v>
      </c>
      <c r="T14" s="17">
        <f t="shared" si="6"/>
        <v>40</v>
      </c>
      <c r="U14" s="17">
        <f t="shared" si="6"/>
        <v>37</v>
      </c>
      <c r="V14" s="17">
        <f t="shared" si="6"/>
        <v>112</v>
      </c>
      <c r="W14" s="17">
        <f t="shared" si="6"/>
        <v>2</v>
      </c>
      <c r="X14" s="17">
        <f t="shared" si="6"/>
        <v>2</v>
      </c>
      <c r="Y14" s="17">
        <f t="shared" si="6"/>
        <v>26</v>
      </c>
      <c r="Z14" s="17">
        <f t="shared" si="6"/>
        <v>51</v>
      </c>
      <c r="AA14" s="17">
        <f t="shared" si="6"/>
        <v>28</v>
      </c>
      <c r="AB14" s="17">
        <f t="shared" si="6"/>
        <v>22</v>
      </c>
      <c r="AC14" s="17">
        <f t="shared" si="6"/>
        <v>454</v>
      </c>
      <c r="AD14" s="17">
        <f t="shared" si="6"/>
        <v>0</v>
      </c>
      <c r="AE14" s="31">
        <f t="shared" si="6"/>
        <v>556</v>
      </c>
      <c r="AF14" s="31">
        <f t="shared" si="6"/>
        <v>1010</v>
      </c>
    </row>
    <row r="15" spans="2:32" ht="23.1" customHeight="1" x14ac:dyDescent="0.25">
      <c r="B15" s="23" t="s">
        <v>42</v>
      </c>
      <c r="C15" s="50">
        <v>69</v>
      </c>
      <c r="D15" s="50">
        <v>18</v>
      </c>
      <c r="E15" s="50">
        <v>12</v>
      </c>
      <c r="F15" s="50">
        <v>24</v>
      </c>
      <c r="G15" s="50">
        <v>1</v>
      </c>
      <c r="H15" s="50">
        <v>0</v>
      </c>
      <c r="I15" s="50">
        <v>10</v>
      </c>
      <c r="J15" s="50">
        <v>12</v>
      </c>
      <c r="K15" s="50">
        <v>0</v>
      </c>
      <c r="L15" s="50">
        <v>2</v>
      </c>
      <c r="M15" s="50">
        <v>153</v>
      </c>
      <c r="N15" s="50">
        <v>0</v>
      </c>
      <c r="O15" s="15">
        <f t="shared" si="0"/>
        <v>148</v>
      </c>
      <c r="P15" s="15">
        <f t="shared" si="1"/>
        <v>301</v>
      </c>
      <c r="R15" s="1" t="s">
        <v>11</v>
      </c>
      <c r="S15" s="17">
        <f t="shared" ref="S15:AF15" si="7">SUM(C30:C33)</f>
        <v>207</v>
      </c>
      <c r="T15" s="17">
        <f t="shared" si="7"/>
        <v>47</v>
      </c>
      <c r="U15" s="17">
        <f t="shared" si="7"/>
        <v>38</v>
      </c>
      <c r="V15" s="17">
        <f t="shared" si="7"/>
        <v>142</v>
      </c>
      <c r="W15" s="17">
        <f t="shared" si="7"/>
        <v>25</v>
      </c>
      <c r="X15" s="17">
        <f t="shared" si="7"/>
        <v>12</v>
      </c>
      <c r="Y15" s="17">
        <f t="shared" si="7"/>
        <v>43</v>
      </c>
      <c r="Z15" s="17">
        <f t="shared" si="7"/>
        <v>34</v>
      </c>
      <c r="AA15" s="17">
        <f t="shared" si="7"/>
        <v>16</v>
      </c>
      <c r="AB15" s="17">
        <f t="shared" si="7"/>
        <v>21</v>
      </c>
      <c r="AC15" s="17">
        <f t="shared" si="7"/>
        <v>427</v>
      </c>
      <c r="AD15" s="17">
        <f t="shared" si="7"/>
        <v>0</v>
      </c>
      <c r="AE15" s="31">
        <f t="shared" si="7"/>
        <v>585</v>
      </c>
      <c r="AF15" s="31">
        <f t="shared" si="7"/>
        <v>1012</v>
      </c>
    </row>
    <row r="16" spans="2:32" ht="23.1" customHeight="1" x14ac:dyDescent="0.25">
      <c r="B16" s="23" t="s">
        <v>43</v>
      </c>
      <c r="C16" s="50">
        <v>56</v>
      </c>
      <c r="D16" s="50">
        <v>12</v>
      </c>
      <c r="E16" s="50">
        <v>9</v>
      </c>
      <c r="F16" s="50">
        <v>20</v>
      </c>
      <c r="G16" s="50">
        <v>3</v>
      </c>
      <c r="H16" s="50">
        <v>5</v>
      </c>
      <c r="I16" s="50">
        <v>5</v>
      </c>
      <c r="J16" s="50">
        <v>6</v>
      </c>
      <c r="K16" s="50">
        <v>1</v>
      </c>
      <c r="L16" s="50">
        <v>1</v>
      </c>
      <c r="M16" s="50">
        <v>177</v>
      </c>
      <c r="N16" s="50">
        <v>0</v>
      </c>
      <c r="O16" s="15">
        <f t="shared" si="0"/>
        <v>118</v>
      </c>
      <c r="P16" s="15">
        <f t="shared" si="1"/>
        <v>295</v>
      </c>
      <c r="R16" s="1" t="s">
        <v>12</v>
      </c>
      <c r="S16" s="17">
        <f t="shared" ref="S16:AF16" si="8">SUM(C34:C37)</f>
        <v>209</v>
      </c>
      <c r="T16" s="17">
        <f t="shared" si="8"/>
        <v>46</v>
      </c>
      <c r="U16" s="17">
        <f t="shared" si="8"/>
        <v>29</v>
      </c>
      <c r="V16" s="17">
        <f t="shared" si="8"/>
        <v>100</v>
      </c>
      <c r="W16" s="17">
        <f t="shared" si="8"/>
        <v>2</v>
      </c>
      <c r="X16" s="17">
        <f t="shared" si="8"/>
        <v>0</v>
      </c>
      <c r="Y16" s="17">
        <f t="shared" si="8"/>
        <v>33</v>
      </c>
      <c r="Z16" s="17">
        <f t="shared" si="8"/>
        <v>43</v>
      </c>
      <c r="AA16" s="17">
        <f t="shared" si="8"/>
        <v>16</v>
      </c>
      <c r="AB16" s="17">
        <f t="shared" si="8"/>
        <v>18</v>
      </c>
      <c r="AC16" s="17">
        <f t="shared" si="8"/>
        <v>443</v>
      </c>
      <c r="AD16" s="17">
        <f t="shared" si="8"/>
        <v>0</v>
      </c>
      <c r="AE16" s="31">
        <f t="shared" si="8"/>
        <v>496</v>
      </c>
      <c r="AF16" s="31">
        <f t="shared" si="8"/>
        <v>939</v>
      </c>
    </row>
    <row r="17" spans="2:32" ht="23.1" customHeight="1" x14ac:dyDescent="0.25">
      <c r="B17" s="23" t="s">
        <v>44</v>
      </c>
      <c r="C17" s="50">
        <v>69</v>
      </c>
      <c r="D17" s="50">
        <v>12</v>
      </c>
      <c r="E17" s="50">
        <v>20</v>
      </c>
      <c r="F17" s="50">
        <v>21</v>
      </c>
      <c r="G17" s="50">
        <v>1</v>
      </c>
      <c r="H17" s="50">
        <v>0</v>
      </c>
      <c r="I17" s="50">
        <v>6</v>
      </c>
      <c r="J17" s="50">
        <v>7</v>
      </c>
      <c r="K17" s="50">
        <v>5</v>
      </c>
      <c r="L17" s="50">
        <v>2</v>
      </c>
      <c r="M17" s="50">
        <v>160</v>
      </c>
      <c r="N17" s="50">
        <v>0</v>
      </c>
      <c r="O17" s="15">
        <f t="shared" si="0"/>
        <v>143</v>
      </c>
      <c r="P17" s="15">
        <f t="shared" si="1"/>
        <v>303</v>
      </c>
      <c r="R17" s="1" t="s">
        <v>13</v>
      </c>
      <c r="S17" s="17">
        <f t="shared" ref="S17:AF17" si="9">SUM(C38:C41)</f>
        <v>190</v>
      </c>
      <c r="T17" s="17">
        <f t="shared" si="9"/>
        <v>61</v>
      </c>
      <c r="U17" s="17">
        <f t="shared" si="9"/>
        <v>35</v>
      </c>
      <c r="V17" s="17">
        <f t="shared" si="9"/>
        <v>87</v>
      </c>
      <c r="W17" s="17">
        <f t="shared" si="9"/>
        <v>3</v>
      </c>
      <c r="X17" s="17">
        <f t="shared" si="9"/>
        <v>2</v>
      </c>
      <c r="Y17" s="17">
        <f t="shared" si="9"/>
        <v>49</v>
      </c>
      <c r="Z17" s="17">
        <f t="shared" si="9"/>
        <v>43</v>
      </c>
      <c r="AA17" s="17">
        <f t="shared" si="9"/>
        <v>18</v>
      </c>
      <c r="AB17" s="17">
        <f t="shared" si="9"/>
        <v>23</v>
      </c>
      <c r="AC17" s="17">
        <f t="shared" si="9"/>
        <v>356</v>
      </c>
      <c r="AD17" s="17">
        <f t="shared" si="9"/>
        <v>0</v>
      </c>
      <c r="AE17" s="31">
        <f t="shared" si="9"/>
        <v>511</v>
      </c>
      <c r="AF17" s="31">
        <f t="shared" si="9"/>
        <v>867</v>
      </c>
    </row>
    <row r="18" spans="2:32" ht="23.1" customHeight="1" x14ac:dyDescent="0.25">
      <c r="B18" s="23" t="s">
        <v>45</v>
      </c>
      <c r="C18" s="50">
        <v>76</v>
      </c>
      <c r="D18" s="50">
        <v>13</v>
      </c>
      <c r="E18" s="50">
        <v>11</v>
      </c>
      <c r="F18" s="50">
        <v>15</v>
      </c>
      <c r="G18" s="50">
        <v>2</v>
      </c>
      <c r="H18" s="50">
        <v>1</v>
      </c>
      <c r="I18" s="50">
        <v>6</v>
      </c>
      <c r="J18" s="50">
        <v>12</v>
      </c>
      <c r="K18" s="50">
        <v>2</v>
      </c>
      <c r="L18" s="50">
        <v>1</v>
      </c>
      <c r="M18" s="50">
        <v>125</v>
      </c>
      <c r="N18" s="50">
        <v>0</v>
      </c>
      <c r="O18" s="15">
        <f t="shared" si="0"/>
        <v>139</v>
      </c>
      <c r="P18" s="15">
        <f t="shared" si="1"/>
        <v>264</v>
      </c>
      <c r="R18" s="1" t="s">
        <v>14</v>
      </c>
      <c r="S18" s="17">
        <f t="shared" ref="S18:AF18" si="10">SUM(C42:C45)</f>
        <v>220</v>
      </c>
      <c r="T18" s="17">
        <f t="shared" si="10"/>
        <v>93</v>
      </c>
      <c r="U18" s="17">
        <f t="shared" si="10"/>
        <v>45</v>
      </c>
      <c r="V18" s="17">
        <f t="shared" si="10"/>
        <v>87</v>
      </c>
      <c r="W18" s="17">
        <f t="shared" si="10"/>
        <v>1</v>
      </c>
      <c r="X18" s="17">
        <f t="shared" si="10"/>
        <v>0</v>
      </c>
      <c r="Y18" s="17">
        <f t="shared" si="10"/>
        <v>52</v>
      </c>
      <c r="Z18" s="17">
        <f t="shared" si="10"/>
        <v>52</v>
      </c>
      <c r="AA18" s="17">
        <f t="shared" si="10"/>
        <v>21</v>
      </c>
      <c r="AB18" s="17">
        <f t="shared" si="10"/>
        <v>30</v>
      </c>
      <c r="AC18" s="17">
        <f t="shared" si="10"/>
        <v>285</v>
      </c>
      <c r="AD18" s="17">
        <f t="shared" si="10"/>
        <v>0</v>
      </c>
      <c r="AE18" s="31">
        <f t="shared" si="10"/>
        <v>601</v>
      </c>
      <c r="AF18" s="31">
        <f t="shared" si="10"/>
        <v>886</v>
      </c>
    </row>
    <row r="19" spans="2:32" ht="23.1" customHeight="1" x14ac:dyDescent="0.25">
      <c r="B19" s="23" t="s">
        <v>46</v>
      </c>
      <c r="C19" s="50">
        <v>65</v>
      </c>
      <c r="D19" s="50">
        <v>10</v>
      </c>
      <c r="E19" s="50">
        <v>11</v>
      </c>
      <c r="F19" s="50">
        <v>23</v>
      </c>
      <c r="G19" s="50">
        <v>0</v>
      </c>
      <c r="H19" s="50">
        <v>1</v>
      </c>
      <c r="I19" s="50">
        <v>10</v>
      </c>
      <c r="J19" s="50">
        <v>7</v>
      </c>
      <c r="K19" s="50">
        <v>3</v>
      </c>
      <c r="L19" s="50">
        <v>0</v>
      </c>
      <c r="M19" s="50">
        <v>151</v>
      </c>
      <c r="N19" s="50">
        <v>0</v>
      </c>
      <c r="O19" s="15">
        <f t="shared" si="0"/>
        <v>130</v>
      </c>
      <c r="P19" s="15">
        <f t="shared" si="1"/>
        <v>281</v>
      </c>
      <c r="R19" s="1" t="s">
        <v>15</v>
      </c>
      <c r="S19" s="17">
        <f t="shared" ref="S19:AF19" si="11">SUM(C46:C49)</f>
        <v>218</v>
      </c>
      <c r="T19" s="17">
        <f t="shared" si="11"/>
        <v>51</v>
      </c>
      <c r="U19" s="17">
        <f t="shared" si="11"/>
        <v>36</v>
      </c>
      <c r="V19" s="17">
        <f t="shared" si="11"/>
        <v>113</v>
      </c>
      <c r="W19" s="17">
        <f t="shared" si="11"/>
        <v>6</v>
      </c>
      <c r="X19" s="17">
        <f t="shared" si="11"/>
        <v>2</v>
      </c>
      <c r="Y19" s="17">
        <f t="shared" si="11"/>
        <v>33</v>
      </c>
      <c r="Z19" s="17">
        <f t="shared" si="11"/>
        <v>54</v>
      </c>
      <c r="AA19" s="17">
        <f t="shared" si="11"/>
        <v>18</v>
      </c>
      <c r="AB19" s="17">
        <f t="shared" si="11"/>
        <v>71</v>
      </c>
      <c r="AC19" s="17">
        <f t="shared" si="11"/>
        <v>310</v>
      </c>
      <c r="AD19" s="17">
        <f t="shared" si="11"/>
        <v>0</v>
      </c>
      <c r="AE19" s="31">
        <f t="shared" si="11"/>
        <v>602</v>
      </c>
      <c r="AF19" s="31">
        <f t="shared" si="11"/>
        <v>912</v>
      </c>
    </row>
    <row r="20" spans="2:32" ht="23.1" customHeight="1" x14ac:dyDescent="0.25">
      <c r="B20" s="23" t="s">
        <v>47</v>
      </c>
      <c r="C20" s="50">
        <v>65</v>
      </c>
      <c r="D20" s="50">
        <v>16</v>
      </c>
      <c r="E20" s="50">
        <v>6</v>
      </c>
      <c r="F20" s="50">
        <v>29</v>
      </c>
      <c r="G20" s="50">
        <v>3</v>
      </c>
      <c r="H20" s="50">
        <v>0</v>
      </c>
      <c r="I20" s="50">
        <v>7</v>
      </c>
      <c r="J20" s="50">
        <v>6</v>
      </c>
      <c r="K20" s="50">
        <v>3</v>
      </c>
      <c r="L20" s="50">
        <v>3</v>
      </c>
      <c r="M20" s="50">
        <v>113</v>
      </c>
      <c r="N20" s="50">
        <v>0</v>
      </c>
      <c r="O20" s="15">
        <f t="shared" si="0"/>
        <v>138</v>
      </c>
      <c r="P20" s="15">
        <f t="shared" si="1"/>
        <v>251</v>
      </c>
      <c r="R20" s="1" t="s">
        <v>16</v>
      </c>
      <c r="S20" s="17">
        <f t="shared" ref="S20:AF20" si="12">SUM(C50:C53)</f>
        <v>292</v>
      </c>
      <c r="T20" s="17">
        <f t="shared" si="12"/>
        <v>67</v>
      </c>
      <c r="U20" s="17">
        <f t="shared" si="12"/>
        <v>55</v>
      </c>
      <c r="V20" s="17">
        <f t="shared" si="12"/>
        <v>128</v>
      </c>
      <c r="W20" s="17">
        <f t="shared" si="12"/>
        <v>9</v>
      </c>
      <c r="X20" s="17">
        <f t="shared" si="12"/>
        <v>4</v>
      </c>
      <c r="Y20" s="17">
        <f t="shared" si="12"/>
        <v>48</v>
      </c>
      <c r="Z20" s="17">
        <f t="shared" si="12"/>
        <v>39</v>
      </c>
      <c r="AA20" s="17">
        <f t="shared" si="12"/>
        <v>38</v>
      </c>
      <c r="AB20" s="17">
        <f t="shared" si="12"/>
        <v>25</v>
      </c>
      <c r="AC20" s="17">
        <f t="shared" si="12"/>
        <v>385</v>
      </c>
      <c r="AD20" s="17">
        <f t="shared" si="12"/>
        <v>0</v>
      </c>
      <c r="AE20" s="31">
        <f t="shared" si="12"/>
        <v>705</v>
      </c>
      <c r="AF20" s="31">
        <f t="shared" si="12"/>
        <v>1090</v>
      </c>
    </row>
    <row r="21" spans="2:32" ht="23.1" customHeight="1" x14ac:dyDescent="0.25">
      <c r="B21" s="23" t="s">
        <v>48</v>
      </c>
      <c r="C21" s="50">
        <v>70</v>
      </c>
      <c r="D21" s="50">
        <v>14</v>
      </c>
      <c r="E21" s="50">
        <v>6</v>
      </c>
      <c r="F21" s="50">
        <v>28</v>
      </c>
      <c r="G21" s="50">
        <v>4</v>
      </c>
      <c r="H21" s="50">
        <v>1</v>
      </c>
      <c r="I21" s="50">
        <v>4</v>
      </c>
      <c r="J21" s="50">
        <v>7</v>
      </c>
      <c r="K21" s="50">
        <v>5</v>
      </c>
      <c r="L21" s="50">
        <v>2</v>
      </c>
      <c r="M21" s="50">
        <v>143</v>
      </c>
      <c r="N21" s="50">
        <v>0</v>
      </c>
      <c r="O21" s="15">
        <f t="shared" si="0"/>
        <v>141</v>
      </c>
      <c r="P21" s="15">
        <f t="shared" si="1"/>
        <v>284</v>
      </c>
      <c r="R21" s="36" t="s">
        <v>20</v>
      </c>
      <c r="S21" s="34">
        <f t="shared" ref="S21:AF21" si="13">SUM(C54:C57)</f>
        <v>257</v>
      </c>
      <c r="T21" s="17">
        <f t="shared" si="13"/>
        <v>51</v>
      </c>
      <c r="U21" s="17">
        <f t="shared" si="13"/>
        <v>48</v>
      </c>
      <c r="V21" s="17">
        <f t="shared" si="13"/>
        <v>135</v>
      </c>
      <c r="W21" s="17">
        <f t="shared" si="13"/>
        <v>14</v>
      </c>
      <c r="X21" s="17">
        <f t="shared" si="13"/>
        <v>0</v>
      </c>
      <c r="Y21" s="17">
        <f t="shared" si="13"/>
        <v>46</v>
      </c>
      <c r="Z21" s="17">
        <f t="shared" si="13"/>
        <v>37</v>
      </c>
      <c r="AA21" s="17">
        <f t="shared" si="13"/>
        <v>11</v>
      </c>
      <c r="AB21" s="17">
        <f t="shared" si="13"/>
        <v>20</v>
      </c>
      <c r="AC21" s="17">
        <f t="shared" si="13"/>
        <v>386</v>
      </c>
      <c r="AD21" s="17">
        <f t="shared" si="13"/>
        <v>0</v>
      </c>
      <c r="AE21" s="31">
        <f t="shared" si="13"/>
        <v>619</v>
      </c>
      <c r="AF21" s="31">
        <f t="shared" si="13"/>
        <v>1005</v>
      </c>
    </row>
    <row r="22" spans="2:32" ht="23.1" customHeight="1" x14ac:dyDescent="0.25">
      <c r="B22" s="23" t="s">
        <v>49</v>
      </c>
      <c r="C22" s="50">
        <v>50</v>
      </c>
      <c r="D22" s="50">
        <v>13</v>
      </c>
      <c r="E22" s="50">
        <v>7</v>
      </c>
      <c r="F22" s="50">
        <v>15</v>
      </c>
      <c r="G22" s="50">
        <v>0</v>
      </c>
      <c r="H22" s="50">
        <v>0</v>
      </c>
      <c r="I22" s="50">
        <v>151</v>
      </c>
      <c r="J22" s="50">
        <v>10</v>
      </c>
      <c r="K22" s="50">
        <v>6</v>
      </c>
      <c r="L22" s="50">
        <v>3</v>
      </c>
      <c r="M22" s="50">
        <v>131</v>
      </c>
      <c r="N22" s="50">
        <v>0</v>
      </c>
      <c r="O22" s="15">
        <f t="shared" si="0"/>
        <v>255</v>
      </c>
      <c r="P22" s="15">
        <f t="shared" si="1"/>
        <v>386</v>
      </c>
      <c r="R22" s="38" t="s">
        <v>90</v>
      </c>
      <c r="S22" s="39">
        <f>MAX(S10:S12)</f>
        <v>276</v>
      </c>
      <c r="T22" s="39">
        <f t="shared" ref="T22:AF22" si="14">MAX(T10:T12)</f>
        <v>53</v>
      </c>
      <c r="U22" s="39">
        <f t="shared" si="14"/>
        <v>44</v>
      </c>
      <c r="V22" s="39">
        <f t="shared" si="14"/>
        <v>95</v>
      </c>
      <c r="W22" s="39">
        <f t="shared" si="14"/>
        <v>9</v>
      </c>
      <c r="X22" s="39">
        <f t="shared" si="14"/>
        <v>5</v>
      </c>
      <c r="Y22" s="39">
        <f t="shared" si="14"/>
        <v>29</v>
      </c>
      <c r="Z22" s="39">
        <f t="shared" si="14"/>
        <v>48</v>
      </c>
      <c r="AA22" s="39">
        <f t="shared" si="14"/>
        <v>16</v>
      </c>
      <c r="AB22" s="39">
        <f t="shared" si="14"/>
        <v>12</v>
      </c>
      <c r="AC22" s="39">
        <f t="shared" si="14"/>
        <v>672</v>
      </c>
      <c r="AD22" s="39">
        <f t="shared" si="14"/>
        <v>0</v>
      </c>
      <c r="AE22" s="40">
        <f t="shared" si="14"/>
        <v>548</v>
      </c>
      <c r="AF22" s="40">
        <f t="shared" si="14"/>
        <v>1210</v>
      </c>
    </row>
    <row r="23" spans="2:32" ht="23.1" customHeight="1" x14ac:dyDescent="0.25">
      <c r="B23" s="23" t="s">
        <v>50</v>
      </c>
      <c r="C23" s="50">
        <v>80</v>
      </c>
      <c r="D23" s="50">
        <v>19</v>
      </c>
      <c r="E23" s="50">
        <v>7</v>
      </c>
      <c r="F23" s="50">
        <v>16</v>
      </c>
      <c r="G23" s="50">
        <v>3</v>
      </c>
      <c r="H23" s="50">
        <v>0</v>
      </c>
      <c r="I23" s="50">
        <v>10</v>
      </c>
      <c r="J23" s="50">
        <v>6</v>
      </c>
      <c r="K23" s="50">
        <v>8</v>
      </c>
      <c r="L23" s="50">
        <v>2</v>
      </c>
      <c r="M23" s="50">
        <v>119</v>
      </c>
      <c r="N23" s="50">
        <v>0</v>
      </c>
      <c r="O23" s="15">
        <f t="shared" si="0"/>
        <v>151</v>
      </c>
      <c r="P23" s="15">
        <f t="shared" si="1"/>
        <v>270</v>
      </c>
      <c r="R23" s="38" t="s">
        <v>91</v>
      </c>
      <c r="S23" s="39">
        <f>MAX(S13:S18)</f>
        <v>241</v>
      </c>
      <c r="T23" s="39">
        <f t="shared" ref="T23:AF23" si="15">MAX(T13:T18)</f>
        <v>93</v>
      </c>
      <c r="U23" s="39">
        <f t="shared" si="15"/>
        <v>45</v>
      </c>
      <c r="V23" s="39">
        <f t="shared" si="15"/>
        <v>142</v>
      </c>
      <c r="W23" s="39">
        <f t="shared" si="15"/>
        <v>25</v>
      </c>
      <c r="X23" s="39">
        <f t="shared" si="15"/>
        <v>12</v>
      </c>
      <c r="Y23" s="39">
        <f t="shared" si="15"/>
        <v>172</v>
      </c>
      <c r="Z23" s="39">
        <f t="shared" si="15"/>
        <v>52</v>
      </c>
      <c r="AA23" s="39">
        <f t="shared" si="15"/>
        <v>28</v>
      </c>
      <c r="AB23" s="39">
        <f t="shared" si="15"/>
        <v>30</v>
      </c>
      <c r="AC23" s="39">
        <f t="shared" si="15"/>
        <v>473</v>
      </c>
      <c r="AD23" s="39">
        <f t="shared" si="15"/>
        <v>0</v>
      </c>
      <c r="AE23" s="40">
        <f t="shared" si="15"/>
        <v>692</v>
      </c>
      <c r="AF23" s="40">
        <f t="shared" si="15"/>
        <v>1165</v>
      </c>
    </row>
    <row r="24" spans="2:32" ht="23.1" customHeight="1" x14ac:dyDescent="0.25">
      <c r="B24" s="23" t="s">
        <v>51</v>
      </c>
      <c r="C24" s="50">
        <v>64</v>
      </c>
      <c r="D24" s="50">
        <v>22</v>
      </c>
      <c r="E24" s="50">
        <v>10</v>
      </c>
      <c r="F24" s="50">
        <v>34</v>
      </c>
      <c r="G24" s="50">
        <v>5</v>
      </c>
      <c r="H24" s="50">
        <v>0</v>
      </c>
      <c r="I24" s="50">
        <v>8</v>
      </c>
      <c r="J24" s="50">
        <v>7</v>
      </c>
      <c r="K24" s="50">
        <v>6</v>
      </c>
      <c r="L24" s="50">
        <v>6</v>
      </c>
      <c r="M24" s="50">
        <v>103</v>
      </c>
      <c r="N24" s="50">
        <v>0</v>
      </c>
      <c r="O24" s="15">
        <f t="shared" si="0"/>
        <v>162</v>
      </c>
      <c r="P24" s="15">
        <f t="shared" si="1"/>
        <v>265</v>
      </c>
      <c r="R24" s="38" t="s">
        <v>92</v>
      </c>
      <c r="S24" s="39">
        <f>MAX(S19:S21)</f>
        <v>292</v>
      </c>
      <c r="T24" s="39">
        <f t="shared" ref="T24:AF24" si="16">MAX(T19:T21)</f>
        <v>67</v>
      </c>
      <c r="U24" s="39">
        <f t="shared" si="16"/>
        <v>55</v>
      </c>
      <c r="V24" s="39">
        <f t="shared" si="16"/>
        <v>135</v>
      </c>
      <c r="W24" s="39">
        <f t="shared" si="16"/>
        <v>14</v>
      </c>
      <c r="X24" s="39">
        <f t="shared" si="16"/>
        <v>4</v>
      </c>
      <c r="Y24" s="39">
        <f t="shared" si="16"/>
        <v>48</v>
      </c>
      <c r="Z24" s="39">
        <f t="shared" si="16"/>
        <v>54</v>
      </c>
      <c r="AA24" s="39">
        <f t="shared" si="16"/>
        <v>38</v>
      </c>
      <c r="AB24" s="39">
        <f t="shared" si="16"/>
        <v>71</v>
      </c>
      <c r="AC24" s="39">
        <f t="shared" si="16"/>
        <v>386</v>
      </c>
      <c r="AD24" s="39">
        <f t="shared" si="16"/>
        <v>0</v>
      </c>
      <c r="AE24" s="40">
        <f t="shared" si="16"/>
        <v>705</v>
      </c>
      <c r="AF24" s="40">
        <f t="shared" si="16"/>
        <v>1090</v>
      </c>
    </row>
    <row r="25" spans="2:32" ht="23.1" customHeight="1" x14ac:dyDescent="0.25">
      <c r="B25" s="23" t="s">
        <v>52</v>
      </c>
      <c r="C25" s="50">
        <v>47</v>
      </c>
      <c r="D25" s="50">
        <v>19</v>
      </c>
      <c r="E25" s="50">
        <v>5</v>
      </c>
      <c r="F25" s="50">
        <v>28</v>
      </c>
      <c r="G25" s="50">
        <v>0</v>
      </c>
      <c r="H25" s="50">
        <v>0</v>
      </c>
      <c r="I25" s="50">
        <v>3</v>
      </c>
      <c r="J25" s="50">
        <v>10</v>
      </c>
      <c r="K25" s="50">
        <v>5</v>
      </c>
      <c r="L25" s="50">
        <v>7</v>
      </c>
      <c r="M25" s="50">
        <v>120</v>
      </c>
      <c r="N25" s="50">
        <v>0</v>
      </c>
      <c r="O25" s="15">
        <f t="shared" si="0"/>
        <v>124</v>
      </c>
      <c r="P25" s="15">
        <f t="shared" si="1"/>
        <v>244</v>
      </c>
      <c r="R25" s="37" t="s">
        <v>85</v>
      </c>
      <c r="S25" s="35">
        <f t="shared" ref="S25:AF25" si="17">SUM(S10:S12)</f>
        <v>811</v>
      </c>
      <c r="T25" s="16">
        <f t="shared" si="17"/>
        <v>148</v>
      </c>
      <c r="U25" s="16">
        <f t="shared" si="17"/>
        <v>106</v>
      </c>
      <c r="V25" s="16">
        <f t="shared" si="17"/>
        <v>250</v>
      </c>
      <c r="W25" s="16">
        <f t="shared" si="17"/>
        <v>18</v>
      </c>
      <c r="X25" s="16">
        <f t="shared" si="17"/>
        <v>8</v>
      </c>
      <c r="Y25" s="16">
        <f t="shared" si="17"/>
        <v>80</v>
      </c>
      <c r="Z25" s="16">
        <f t="shared" si="17"/>
        <v>114</v>
      </c>
      <c r="AA25" s="16">
        <f t="shared" si="17"/>
        <v>40</v>
      </c>
      <c r="AB25" s="16">
        <f t="shared" si="17"/>
        <v>24</v>
      </c>
      <c r="AC25" s="16">
        <f t="shared" si="17"/>
        <v>1782</v>
      </c>
      <c r="AD25" s="16">
        <f t="shared" si="17"/>
        <v>0</v>
      </c>
      <c r="AE25" s="32">
        <f t="shared" si="17"/>
        <v>1599</v>
      </c>
      <c r="AF25" s="32">
        <f t="shared" si="17"/>
        <v>3381</v>
      </c>
    </row>
    <row r="26" spans="2:32" ht="23.1" customHeight="1" x14ac:dyDescent="0.25">
      <c r="B26" s="23" t="s">
        <v>53</v>
      </c>
      <c r="C26" s="50">
        <v>61</v>
      </c>
      <c r="D26" s="50">
        <v>8</v>
      </c>
      <c r="E26" s="50">
        <v>16</v>
      </c>
      <c r="F26" s="50">
        <v>24</v>
      </c>
      <c r="G26" s="50">
        <v>1</v>
      </c>
      <c r="H26" s="50">
        <v>0</v>
      </c>
      <c r="I26" s="50">
        <v>5</v>
      </c>
      <c r="J26" s="50">
        <v>18</v>
      </c>
      <c r="K26" s="50">
        <v>3</v>
      </c>
      <c r="L26" s="50">
        <v>2</v>
      </c>
      <c r="M26" s="50">
        <v>125</v>
      </c>
      <c r="N26" s="50">
        <v>0</v>
      </c>
      <c r="O26" s="15">
        <f t="shared" si="0"/>
        <v>138</v>
      </c>
      <c r="P26" s="15">
        <f t="shared" si="1"/>
        <v>263</v>
      </c>
      <c r="R26" s="28" t="s">
        <v>86</v>
      </c>
      <c r="S26" s="16">
        <f t="shared" ref="S26:AF26" si="18">SUM(S13:S18)</f>
        <v>1303</v>
      </c>
      <c r="T26" s="16">
        <f t="shared" si="18"/>
        <v>360</v>
      </c>
      <c r="U26" s="16">
        <f t="shared" si="18"/>
        <v>213</v>
      </c>
      <c r="V26" s="16">
        <f t="shared" si="18"/>
        <v>621</v>
      </c>
      <c r="W26" s="16">
        <f t="shared" si="18"/>
        <v>41</v>
      </c>
      <c r="X26" s="16">
        <f t="shared" si="18"/>
        <v>16</v>
      </c>
      <c r="Y26" s="16">
        <f t="shared" si="18"/>
        <v>375</v>
      </c>
      <c r="Z26" s="16">
        <f t="shared" si="18"/>
        <v>256</v>
      </c>
      <c r="AA26" s="16">
        <f t="shared" si="18"/>
        <v>124</v>
      </c>
      <c r="AB26" s="16">
        <f t="shared" si="18"/>
        <v>132</v>
      </c>
      <c r="AC26" s="16">
        <f t="shared" si="18"/>
        <v>2438</v>
      </c>
      <c r="AD26" s="16">
        <f t="shared" si="18"/>
        <v>0</v>
      </c>
      <c r="AE26" s="32">
        <f t="shared" si="18"/>
        <v>3441</v>
      </c>
      <c r="AF26" s="32">
        <f t="shared" si="18"/>
        <v>5879</v>
      </c>
    </row>
    <row r="27" spans="2:32" ht="23.1" customHeight="1" x14ac:dyDescent="0.25">
      <c r="B27" s="23" t="s">
        <v>54</v>
      </c>
      <c r="C27" s="50">
        <v>42</v>
      </c>
      <c r="D27" s="50">
        <v>9</v>
      </c>
      <c r="E27" s="50">
        <v>13</v>
      </c>
      <c r="F27" s="50">
        <v>29</v>
      </c>
      <c r="G27" s="50">
        <v>0</v>
      </c>
      <c r="H27" s="50">
        <v>0</v>
      </c>
      <c r="I27" s="50">
        <v>5</v>
      </c>
      <c r="J27" s="50">
        <v>11</v>
      </c>
      <c r="K27" s="50">
        <v>13</v>
      </c>
      <c r="L27" s="50">
        <v>2</v>
      </c>
      <c r="M27" s="50">
        <v>127</v>
      </c>
      <c r="N27" s="50">
        <v>0</v>
      </c>
      <c r="O27" s="15">
        <f t="shared" si="0"/>
        <v>124</v>
      </c>
      <c r="P27" s="15">
        <f t="shared" si="1"/>
        <v>251</v>
      </c>
      <c r="R27" s="29" t="s">
        <v>87</v>
      </c>
      <c r="S27" s="16">
        <f t="shared" ref="S27:AF27" si="19">SUM(S19:S21)</f>
        <v>767</v>
      </c>
      <c r="T27" s="16">
        <f t="shared" si="19"/>
        <v>169</v>
      </c>
      <c r="U27" s="16">
        <f t="shared" si="19"/>
        <v>139</v>
      </c>
      <c r="V27" s="16">
        <f t="shared" si="19"/>
        <v>376</v>
      </c>
      <c r="W27" s="16">
        <f t="shared" si="19"/>
        <v>29</v>
      </c>
      <c r="X27" s="16">
        <f t="shared" si="19"/>
        <v>6</v>
      </c>
      <c r="Y27" s="16">
        <f t="shared" si="19"/>
        <v>127</v>
      </c>
      <c r="Z27" s="16">
        <f t="shared" si="19"/>
        <v>130</v>
      </c>
      <c r="AA27" s="16">
        <f t="shared" si="19"/>
        <v>67</v>
      </c>
      <c r="AB27" s="16">
        <f t="shared" si="19"/>
        <v>116</v>
      </c>
      <c r="AC27" s="16">
        <f t="shared" si="19"/>
        <v>1081</v>
      </c>
      <c r="AD27" s="16">
        <f t="shared" si="19"/>
        <v>0</v>
      </c>
      <c r="AE27" s="32">
        <f t="shared" si="19"/>
        <v>1926</v>
      </c>
      <c r="AF27" s="32">
        <f t="shared" si="19"/>
        <v>3007</v>
      </c>
    </row>
    <row r="28" spans="2:32" ht="23.1" customHeight="1" x14ac:dyDescent="0.25">
      <c r="B28" s="23" t="s">
        <v>55</v>
      </c>
      <c r="C28" s="50">
        <v>61</v>
      </c>
      <c r="D28" s="50">
        <v>12</v>
      </c>
      <c r="E28" s="50">
        <v>3</v>
      </c>
      <c r="F28" s="50">
        <v>30</v>
      </c>
      <c r="G28" s="50">
        <v>1</v>
      </c>
      <c r="H28" s="50">
        <v>1</v>
      </c>
      <c r="I28" s="50">
        <v>3</v>
      </c>
      <c r="J28" s="50">
        <v>11</v>
      </c>
      <c r="K28" s="50">
        <v>5</v>
      </c>
      <c r="L28" s="50">
        <v>9</v>
      </c>
      <c r="M28" s="50">
        <v>110</v>
      </c>
      <c r="N28" s="50">
        <v>0</v>
      </c>
      <c r="O28" s="15">
        <f t="shared" si="0"/>
        <v>136</v>
      </c>
      <c r="P28" s="15">
        <f t="shared" si="1"/>
        <v>246</v>
      </c>
      <c r="R28" s="5" t="s">
        <v>17</v>
      </c>
      <c r="S28" s="16">
        <f t="shared" ref="S28:AF28" si="20">SUM(S10:S21)</f>
        <v>2881</v>
      </c>
      <c r="T28" s="16">
        <f t="shared" si="20"/>
        <v>677</v>
      </c>
      <c r="U28" s="16">
        <f t="shared" si="20"/>
        <v>458</v>
      </c>
      <c r="V28" s="16">
        <f t="shared" si="20"/>
        <v>1247</v>
      </c>
      <c r="W28" s="16">
        <f t="shared" si="20"/>
        <v>88</v>
      </c>
      <c r="X28" s="16">
        <f t="shared" si="20"/>
        <v>30</v>
      </c>
      <c r="Y28" s="16">
        <f t="shared" si="20"/>
        <v>582</v>
      </c>
      <c r="Z28" s="16">
        <f t="shared" si="20"/>
        <v>500</v>
      </c>
      <c r="AA28" s="16">
        <f t="shared" si="20"/>
        <v>231</v>
      </c>
      <c r="AB28" s="16">
        <f t="shared" si="20"/>
        <v>272</v>
      </c>
      <c r="AC28" s="16">
        <f t="shared" si="20"/>
        <v>5301</v>
      </c>
      <c r="AD28" s="16">
        <f t="shared" si="20"/>
        <v>0</v>
      </c>
      <c r="AE28" s="32">
        <f t="shared" si="20"/>
        <v>6966</v>
      </c>
      <c r="AF28" s="32">
        <f t="shared" si="20"/>
        <v>12267</v>
      </c>
    </row>
    <row r="29" spans="2:32" ht="23.1" customHeight="1" x14ac:dyDescent="0.25">
      <c r="B29" s="23" t="s">
        <v>56</v>
      </c>
      <c r="C29" s="50">
        <v>72</v>
      </c>
      <c r="D29" s="50">
        <v>11</v>
      </c>
      <c r="E29" s="50">
        <v>5</v>
      </c>
      <c r="F29" s="50">
        <v>29</v>
      </c>
      <c r="G29" s="50">
        <v>0</v>
      </c>
      <c r="H29" s="50">
        <v>1</v>
      </c>
      <c r="I29" s="50">
        <v>13</v>
      </c>
      <c r="J29" s="50">
        <v>11</v>
      </c>
      <c r="K29" s="50">
        <v>7</v>
      </c>
      <c r="L29" s="50">
        <v>9</v>
      </c>
      <c r="M29" s="50">
        <v>92</v>
      </c>
      <c r="N29" s="50">
        <v>0</v>
      </c>
      <c r="O29" s="15">
        <f t="shared" si="0"/>
        <v>158</v>
      </c>
      <c r="P29" s="15">
        <f t="shared" si="1"/>
        <v>250</v>
      </c>
      <c r="R29"/>
      <c r="S29" s="20"/>
      <c r="T29" s="19"/>
    </row>
    <row r="30" spans="2:32" ht="23.1" customHeight="1" x14ac:dyDescent="0.25">
      <c r="B30" s="23" t="s">
        <v>57</v>
      </c>
      <c r="C30" s="50">
        <v>55</v>
      </c>
      <c r="D30" s="50">
        <v>11</v>
      </c>
      <c r="E30" s="50">
        <v>9</v>
      </c>
      <c r="F30" s="50">
        <v>37</v>
      </c>
      <c r="G30" s="50">
        <v>1</v>
      </c>
      <c r="H30" s="50">
        <v>0</v>
      </c>
      <c r="I30" s="50">
        <v>16</v>
      </c>
      <c r="J30" s="50">
        <v>9</v>
      </c>
      <c r="K30" s="50">
        <v>6</v>
      </c>
      <c r="L30" s="50">
        <v>5</v>
      </c>
      <c r="M30" s="50">
        <v>102</v>
      </c>
      <c r="N30" s="50">
        <v>0</v>
      </c>
      <c r="O30" s="15">
        <f t="shared" si="0"/>
        <v>149</v>
      </c>
      <c r="P30" s="15">
        <f t="shared" si="1"/>
        <v>251</v>
      </c>
    </row>
    <row r="31" spans="2:32" ht="23.1" customHeight="1" x14ac:dyDescent="0.25">
      <c r="B31" s="24" t="s">
        <v>58</v>
      </c>
      <c r="C31" s="50">
        <v>45</v>
      </c>
      <c r="D31" s="50">
        <v>16</v>
      </c>
      <c r="E31" s="50">
        <v>5</v>
      </c>
      <c r="F31" s="50">
        <v>40</v>
      </c>
      <c r="G31" s="50">
        <v>0</v>
      </c>
      <c r="H31" s="50">
        <v>0</v>
      </c>
      <c r="I31" s="50">
        <v>13</v>
      </c>
      <c r="J31" s="50">
        <v>13</v>
      </c>
      <c r="K31" s="50">
        <v>3</v>
      </c>
      <c r="L31" s="50">
        <v>5</v>
      </c>
      <c r="M31" s="50">
        <v>105</v>
      </c>
      <c r="N31" s="50">
        <v>0</v>
      </c>
      <c r="O31" s="15">
        <f t="shared" si="0"/>
        <v>140</v>
      </c>
      <c r="P31" s="15">
        <f t="shared" si="1"/>
        <v>245</v>
      </c>
    </row>
    <row r="32" spans="2:32" ht="23.1" customHeight="1" x14ac:dyDescent="0.25">
      <c r="B32" s="24" t="s">
        <v>59</v>
      </c>
      <c r="C32" s="50">
        <v>70</v>
      </c>
      <c r="D32" s="50">
        <v>11</v>
      </c>
      <c r="E32" s="50">
        <v>16</v>
      </c>
      <c r="F32" s="50">
        <v>33</v>
      </c>
      <c r="G32" s="50">
        <v>13</v>
      </c>
      <c r="H32" s="50">
        <v>1</v>
      </c>
      <c r="I32" s="50">
        <v>6</v>
      </c>
      <c r="J32" s="50">
        <v>3</v>
      </c>
      <c r="K32" s="50">
        <v>3</v>
      </c>
      <c r="L32" s="50">
        <v>4</v>
      </c>
      <c r="M32" s="50">
        <v>84</v>
      </c>
      <c r="N32" s="50">
        <v>0</v>
      </c>
      <c r="O32" s="15">
        <f t="shared" si="0"/>
        <v>160</v>
      </c>
      <c r="P32" s="15">
        <f t="shared" si="1"/>
        <v>244</v>
      </c>
    </row>
    <row r="33" spans="2:20" ht="23.1" customHeight="1" x14ac:dyDescent="0.25">
      <c r="B33" s="23" t="s">
        <v>60</v>
      </c>
      <c r="C33" s="50">
        <v>37</v>
      </c>
      <c r="D33" s="50">
        <v>9</v>
      </c>
      <c r="E33" s="50">
        <v>8</v>
      </c>
      <c r="F33" s="50">
        <v>32</v>
      </c>
      <c r="G33" s="50">
        <v>11</v>
      </c>
      <c r="H33" s="50">
        <v>11</v>
      </c>
      <c r="I33" s="50">
        <v>8</v>
      </c>
      <c r="J33" s="50">
        <v>9</v>
      </c>
      <c r="K33" s="50">
        <v>4</v>
      </c>
      <c r="L33" s="50">
        <v>7</v>
      </c>
      <c r="M33" s="50">
        <v>136</v>
      </c>
      <c r="N33" s="50">
        <v>0</v>
      </c>
      <c r="O33" s="15">
        <f t="shared" si="0"/>
        <v>136</v>
      </c>
      <c r="P33" s="15">
        <f t="shared" si="1"/>
        <v>272</v>
      </c>
    </row>
    <row r="34" spans="2:20" ht="23.1" customHeight="1" x14ac:dyDescent="0.25">
      <c r="B34" s="24" t="s">
        <v>61</v>
      </c>
      <c r="C34" s="50">
        <v>52</v>
      </c>
      <c r="D34" s="50">
        <v>11</v>
      </c>
      <c r="E34" s="50">
        <v>6</v>
      </c>
      <c r="F34" s="50">
        <v>20</v>
      </c>
      <c r="G34" s="50">
        <v>0</v>
      </c>
      <c r="H34" s="50">
        <v>0</v>
      </c>
      <c r="I34" s="50">
        <v>8</v>
      </c>
      <c r="J34" s="50">
        <v>12</v>
      </c>
      <c r="K34" s="50">
        <v>3</v>
      </c>
      <c r="L34" s="50">
        <v>8</v>
      </c>
      <c r="M34" s="50">
        <v>126</v>
      </c>
      <c r="N34" s="50">
        <v>0</v>
      </c>
      <c r="O34" s="15">
        <f t="shared" si="0"/>
        <v>120</v>
      </c>
      <c r="P34" s="15">
        <f t="shared" si="1"/>
        <v>246</v>
      </c>
    </row>
    <row r="35" spans="2:20" ht="23.1" customHeight="1" x14ac:dyDescent="0.25">
      <c r="B35" s="24" t="s">
        <v>62</v>
      </c>
      <c r="C35" s="50">
        <v>63</v>
      </c>
      <c r="D35" s="50">
        <v>14</v>
      </c>
      <c r="E35" s="50">
        <v>7</v>
      </c>
      <c r="F35" s="50">
        <v>34</v>
      </c>
      <c r="G35" s="50">
        <v>0</v>
      </c>
      <c r="H35" s="50">
        <v>0</v>
      </c>
      <c r="I35" s="50">
        <v>10</v>
      </c>
      <c r="J35" s="50">
        <v>11</v>
      </c>
      <c r="K35" s="50">
        <v>2</v>
      </c>
      <c r="L35" s="50">
        <v>6</v>
      </c>
      <c r="M35" s="50">
        <v>114</v>
      </c>
      <c r="N35" s="50">
        <v>0</v>
      </c>
      <c r="O35" s="15">
        <f t="shared" si="0"/>
        <v>147</v>
      </c>
      <c r="P35" s="15">
        <f t="shared" si="1"/>
        <v>261</v>
      </c>
    </row>
    <row r="36" spans="2:20" ht="23.1" customHeight="1" x14ac:dyDescent="0.25">
      <c r="B36" s="24" t="s">
        <v>63</v>
      </c>
      <c r="C36" s="50">
        <v>51</v>
      </c>
      <c r="D36" s="50">
        <v>5</v>
      </c>
      <c r="E36" s="50">
        <v>9</v>
      </c>
      <c r="F36" s="50">
        <v>24</v>
      </c>
      <c r="G36" s="50">
        <v>2</v>
      </c>
      <c r="H36" s="50">
        <v>0</v>
      </c>
      <c r="I36" s="50">
        <v>6</v>
      </c>
      <c r="J36" s="50">
        <v>9</v>
      </c>
      <c r="K36" s="50">
        <v>8</v>
      </c>
      <c r="L36" s="50">
        <v>3</v>
      </c>
      <c r="M36" s="50">
        <v>113</v>
      </c>
      <c r="N36" s="50">
        <v>0</v>
      </c>
      <c r="O36" s="15">
        <f t="shared" si="0"/>
        <v>117</v>
      </c>
      <c r="P36" s="15">
        <f t="shared" si="1"/>
        <v>230</v>
      </c>
    </row>
    <row r="37" spans="2:20" ht="23.1" customHeight="1" x14ac:dyDescent="0.25">
      <c r="B37" s="23" t="s">
        <v>64</v>
      </c>
      <c r="C37" s="50">
        <v>43</v>
      </c>
      <c r="D37" s="50">
        <v>16</v>
      </c>
      <c r="E37" s="50">
        <v>7</v>
      </c>
      <c r="F37" s="50">
        <v>22</v>
      </c>
      <c r="G37" s="50">
        <v>0</v>
      </c>
      <c r="H37" s="50">
        <v>0</v>
      </c>
      <c r="I37" s="50">
        <v>9</v>
      </c>
      <c r="J37" s="50">
        <v>11</v>
      </c>
      <c r="K37" s="50">
        <v>3</v>
      </c>
      <c r="L37" s="50">
        <v>1</v>
      </c>
      <c r="M37" s="50">
        <v>90</v>
      </c>
      <c r="N37" s="50">
        <v>0</v>
      </c>
      <c r="O37" s="15">
        <f t="shared" si="0"/>
        <v>112</v>
      </c>
      <c r="P37" s="15">
        <f t="shared" si="1"/>
        <v>202</v>
      </c>
    </row>
    <row r="38" spans="2:20" ht="23.1" customHeight="1" x14ac:dyDescent="0.25">
      <c r="B38" s="24" t="s">
        <v>65</v>
      </c>
      <c r="C38" s="50">
        <v>46</v>
      </c>
      <c r="D38" s="50">
        <v>12</v>
      </c>
      <c r="E38" s="50">
        <v>9</v>
      </c>
      <c r="F38" s="50">
        <v>22</v>
      </c>
      <c r="G38" s="50">
        <v>0</v>
      </c>
      <c r="H38" s="50">
        <v>0</v>
      </c>
      <c r="I38" s="50">
        <v>4</v>
      </c>
      <c r="J38" s="50">
        <v>11</v>
      </c>
      <c r="K38" s="50">
        <v>4</v>
      </c>
      <c r="L38" s="50">
        <v>5</v>
      </c>
      <c r="M38" s="50">
        <v>113</v>
      </c>
      <c r="N38" s="50">
        <v>0</v>
      </c>
      <c r="O38" s="15">
        <f t="shared" si="0"/>
        <v>113</v>
      </c>
      <c r="P38" s="15">
        <f t="shared" si="1"/>
        <v>226</v>
      </c>
    </row>
    <row r="39" spans="2:20" ht="23.1" customHeight="1" x14ac:dyDescent="0.25">
      <c r="B39" s="24" t="s">
        <v>66</v>
      </c>
      <c r="C39" s="50">
        <v>56</v>
      </c>
      <c r="D39" s="50">
        <v>17</v>
      </c>
      <c r="E39" s="50">
        <v>12</v>
      </c>
      <c r="F39" s="50">
        <v>28</v>
      </c>
      <c r="G39" s="50">
        <v>0</v>
      </c>
      <c r="H39" s="50">
        <v>0</v>
      </c>
      <c r="I39" s="50">
        <v>19</v>
      </c>
      <c r="J39" s="50">
        <v>12</v>
      </c>
      <c r="K39" s="50">
        <v>6</v>
      </c>
      <c r="L39" s="50">
        <v>5</v>
      </c>
      <c r="M39" s="50">
        <v>96</v>
      </c>
      <c r="N39" s="50">
        <v>0</v>
      </c>
      <c r="O39" s="15">
        <f t="shared" si="0"/>
        <v>155</v>
      </c>
      <c r="P39" s="15">
        <f t="shared" si="1"/>
        <v>251</v>
      </c>
    </row>
    <row r="40" spans="2:20" ht="23.1" customHeight="1" x14ac:dyDescent="0.25">
      <c r="B40" s="24" t="s">
        <v>67</v>
      </c>
      <c r="C40" s="50">
        <v>42</v>
      </c>
      <c r="D40" s="50">
        <v>16</v>
      </c>
      <c r="E40" s="50">
        <v>5</v>
      </c>
      <c r="F40" s="50">
        <v>15</v>
      </c>
      <c r="G40" s="50">
        <v>3</v>
      </c>
      <c r="H40" s="50">
        <v>1</v>
      </c>
      <c r="I40" s="50">
        <v>12</v>
      </c>
      <c r="J40" s="50">
        <v>9</v>
      </c>
      <c r="K40" s="50">
        <v>3</v>
      </c>
      <c r="L40" s="50">
        <v>7</v>
      </c>
      <c r="M40" s="50">
        <v>73</v>
      </c>
      <c r="N40" s="50">
        <v>0</v>
      </c>
      <c r="O40" s="15">
        <f t="shared" si="0"/>
        <v>113</v>
      </c>
      <c r="P40" s="15">
        <f t="shared" si="1"/>
        <v>186</v>
      </c>
    </row>
    <row r="41" spans="2:20" ht="23.1" customHeight="1" x14ac:dyDescent="0.25">
      <c r="B41" s="23" t="s">
        <v>68</v>
      </c>
      <c r="C41" s="50">
        <v>46</v>
      </c>
      <c r="D41" s="50">
        <v>16</v>
      </c>
      <c r="E41" s="50">
        <v>9</v>
      </c>
      <c r="F41" s="50">
        <v>22</v>
      </c>
      <c r="G41" s="50">
        <v>0</v>
      </c>
      <c r="H41" s="50">
        <v>1</v>
      </c>
      <c r="I41" s="50">
        <v>14</v>
      </c>
      <c r="J41" s="50">
        <v>11</v>
      </c>
      <c r="K41" s="50">
        <v>5</v>
      </c>
      <c r="L41" s="50">
        <v>6</v>
      </c>
      <c r="M41" s="50">
        <v>74</v>
      </c>
      <c r="N41" s="50">
        <v>0</v>
      </c>
      <c r="O41" s="15">
        <f t="shared" si="0"/>
        <v>130</v>
      </c>
      <c r="P41" s="15">
        <f t="shared" si="1"/>
        <v>204</v>
      </c>
    </row>
    <row r="42" spans="2:20" ht="23.1" customHeight="1" x14ac:dyDescent="0.25">
      <c r="B42" s="24" t="s">
        <v>69</v>
      </c>
      <c r="C42" s="50">
        <v>53</v>
      </c>
      <c r="D42" s="50">
        <v>21</v>
      </c>
      <c r="E42" s="50">
        <v>14</v>
      </c>
      <c r="F42" s="50">
        <v>19</v>
      </c>
      <c r="G42" s="50">
        <v>0</v>
      </c>
      <c r="H42" s="50">
        <v>0</v>
      </c>
      <c r="I42" s="50">
        <v>14</v>
      </c>
      <c r="J42" s="50">
        <v>18</v>
      </c>
      <c r="K42" s="50">
        <v>4</v>
      </c>
      <c r="L42" s="50">
        <v>5</v>
      </c>
      <c r="M42" s="50">
        <v>90</v>
      </c>
      <c r="N42" s="50">
        <v>0</v>
      </c>
      <c r="O42" s="15">
        <f t="shared" si="0"/>
        <v>148</v>
      </c>
      <c r="P42" s="15">
        <f t="shared" si="1"/>
        <v>238</v>
      </c>
    </row>
    <row r="43" spans="2:20" ht="23.1" customHeight="1" x14ac:dyDescent="0.25">
      <c r="B43" s="23" t="s">
        <v>70</v>
      </c>
      <c r="C43" s="50">
        <v>54</v>
      </c>
      <c r="D43" s="50">
        <v>23</v>
      </c>
      <c r="E43" s="50">
        <v>15</v>
      </c>
      <c r="F43" s="50">
        <v>13</v>
      </c>
      <c r="G43" s="50">
        <v>1</v>
      </c>
      <c r="H43" s="50">
        <v>0</v>
      </c>
      <c r="I43" s="50">
        <v>8</v>
      </c>
      <c r="J43" s="50">
        <v>12</v>
      </c>
      <c r="K43" s="50">
        <v>6</v>
      </c>
      <c r="L43" s="50">
        <v>7</v>
      </c>
      <c r="M43" s="50">
        <v>60</v>
      </c>
      <c r="N43" s="50">
        <v>0</v>
      </c>
      <c r="O43" s="15">
        <f t="shared" si="0"/>
        <v>139</v>
      </c>
      <c r="P43" s="15">
        <f t="shared" si="1"/>
        <v>199</v>
      </c>
    </row>
    <row r="44" spans="2:20" ht="23.1" customHeight="1" x14ac:dyDescent="0.25">
      <c r="B44" s="25" t="s">
        <v>71</v>
      </c>
      <c r="C44" s="50">
        <v>57</v>
      </c>
      <c r="D44" s="50">
        <v>25</v>
      </c>
      <c r="E44" s="50">
        <v>9</v>
      </c>
      <c r="F44" s="50">
        <v>31</v>
      </c>
      <c r="G44" s="50">
        <v>0</v>
      </c>
      <c r="H44" s="50">
        <v>0</v>
      </c>
      <c r="I44" s="50">
        <v>21</v>
      </c>
      <c r="J44" s="50">
        <v>11</v>
      </c>
      <c r="K44" s="50">
        <v>5</v>
      </c>
      <c r="L44" s="50">
        <v>6</v>
      </c>
      <c r="M44" s="50">
        <v>75</v>
      </c>
      <c r="N44" s="50">
        <v>0</v>
      </c>
      <c r="O44" s="15">
        <f t="shared" si="0"/>
        <v>165</v>
      </c>
      <c r="P44" s="15">
        <f t="shared" si="1"/>
        <v>240</v>
      </c>
    </row>
    <row r="45" spans="2:20" ht="23.1" customHeight="1" x14ac:dyDescent="0.25">
      <c r="B45" s="23" t="s">
        <v>72</v>
      </c>
      <c r="C45" s="50">
        <v>56</v>
      </c>
      <c r="D45" s="50">
        <v>24</v>
      </c>
      <c r="E45" s="50">
        <v>7</v>
      </c>
      <c r="F45" s="50">
        <v>24</v>
      </c>
      <c r="G45" s="50">
        <v>0</v>
      </c>
      <c r="H45" s="50">
        <v>0</v>
      </c>
      <c r="I45" s="50">
        <v>9</v>
      </c>
      <c r="J45" s="50">
        <v>11</v>
      </c>
      <c r="K45" s="50">
        <v>6</v>
      </c>
      <c r="L45" s="50">
        <v>12</v>
      </c>
      <c r="M45" s="50">
        <v>60</v>
      </c>
      <c r="N45" s="50">
        <v>0</v>
      </c>
      <c r="O45" s="15">
        <f t="shared" si="0"/>
        <v>149</v>
      </c>
      <c r="P45" s="15">
        <f t="shared" si="1"/>
        <v>209</v>
      </c>
    </row>
    <row r="46" spans="2:20" ht="23.1" customHeight="1" x14ac:dyDescent="0.25">
      <c r="B46" s="24" t="s">
        <v>73</v>
      </c>
      <c r="C46" s="50">
        <v>56</v>
      </c>
      <c r="D46" s="50">
        <v>9</v>
      </c>
      <c r="E46" s="50">
        <v>10</v>
      </c>
      <c r="F46" s="50">
        <v>23</v>
      </c>
      <c r="G46" s="50">
        <v>0</v>
      </c>
      <c r="H46" s="50">
        <v>1</v>
      </c>
      <c r="I46" s="50">
        <v>10</v>
      </c>
      <c r="J46" s="50">
        <v>10</v>
      </c>
      <c r="K46" s="50">
        <v>6</v>
      </c>
      <c r="L46" s="50">
        <v>7</v>
      </c>
      <c r="M46" s="50">
        <v>96</v>
      </c>
      <c r="N46" s="50">
        <v>0</v>
      </c>
      <c r="O46" s="15">
        <f t="shared" si="0"/>
        <v>132</v>
      </c>
      <c r="P46" s="15">
        <f t="shared" si="1"/>
        <v>228</v>
      </c>
      <c r="R46" s="8"/>
      <c r="T46"/>
    </row>
    <row r="47" spans="2:20" ht="23.1" customHeight="1" x14ac:dyDescent="0.25">
      <c r="B47" s="24" t="s">
        <v>74</v>
      </c>
      <c r="C47" s="50">
        <v>59</v>
      </c>
      <c r="D47" s="50">
        <v>16</v>
      </c>
      <c r="E47" s="50">
        <v>5</v>
      </c>
      <c r="F47" s="50">
        <v>26</v>
      </c>
      <c r="G47" s="50">
        <v>0</v>
      </c>
      <c r="H47" s="50">
        <v>0</v>
      </c>
      <c r="I47" s="50">
        <v>5</v>
      </c>
      <c r="J47" s="50">
        <v>16</v>
      </c>
      <c r="K47" s="50">
        <v>4</v>
      </c>
      <c r="L47" s="50">
        <v>7</v>
      </c>
      <c r="M47" s="50">
        <v>60</v>
      </c>
      <c r="N47" s="50">
        <v>0</v>
      </c>
      <c r="O47" s="15">
        <f t="shared" si="0"/>
        <v>138</v>
      </c>
      <c r="P47" s="15">
        <f t="shared" si="1"/>
        <v>198</v>
      </c>
      <c r="R47" s="8"/>
      <c r="T47"/>
    </row>
    <row r="48" spans="2:20" ht="23.1" customHeight="1" x14ac:dyDescent="0.25">
      <c r="B48" s="24" t="s">
        <v>75</v>
      </c>
      <c r="C48" s="50">
        <v>60</v>
      </c>
      <c r="D48" s="50">
        <v>19</v>
      </c>
      <c r="E48" s="50">
        <v>11</v>
      </c>
      <c r="F48" s="50">
        <v>30</v>
      </c>
      <c r="G48" s="50">
        <v>3</v>
      </c>
      <c r="H48" s="50">
        <v>1</v>
      </c>
      <c r="I48" s="50">
        <v>7</v>
      </c>
      <c r="J48" s="50">
        <v>16</v>
      </c>
      <c r="K48" s="50">
        <v>2</v>
      </c>
      <c r="L48" s="50">
        <v>6</v>
      </c>
      <c r="M48" s="50">
        <v>78</v>
      </c>
      <c r="N48" s="50">
        <v>0</v>
      </c>
      <c r="O48" s="15">
        <f t="shared" si="0"/>
        <v>155</v>
      </c>
      <c r="P48" s="15">
        <f t="shared" si="1"/>
        <v>233</v>
      </c>
      <c r="R48" s="8"/>
      <c r="T48"/>
    </row>
    <row r="49" spans="2:20" ht="23.1" customHeight="1" x14ac:dyDescent="0.25">
      <c r="B49" s="23" t="s">
        <v>76</v>
      </c>
      <c r="C49" s="50">
        <v>43</v>
      </c>
      <c r="D49" s="50">
        <v>7</v>
      </c>
      <c r="E49" s="50">
        <v>10</v>
      </c>
      <c r="F49" s="50">
        <v>34</v>
      </c>
      <c r="G49" s="50">
        <v>3</v>
      </c>
      <c r="H49" s="50">
        <v>0</v>
      </c>
      <c r="I49" s="50">
        <v>11</v>
      </c>
      <c r="J49" s="50">
        <v>12</v>
      </c>
      <c r="K49" s="50">
        <v>6</v>
      </c>
      <c r="L49" s="50">
        <v>51</v>
      </c>
      <c r="M49" s="50">
        <v>76</v>
      </c>
      <c r="N49" s="50">
        <v>0</v>
      </c>
      <c r="O49" s="15">
        <f t="shared" si="0"/>
        <v>177</v>
      </c>
      <c r="P49" s="15">
        <f t="shared" si="1"/>
        <v>253</v>
      </c>
      <c r="R49" s="8"/>
      <c r="T49"/>
    </row>
    <row r="50" spans="2:20" ht="23.1" customHeight="1" x14ac:dyDescent="0.25">
      <c r="B50" s="24" t="s">
        <v>77</v>
      </c>
      <c r="C50" s="50">
        <v>66</v>
      </c>
      <c r="D50" s="50">
        <v>8</v>
      </c>
      <c r="E50" s="50">
        <v>12</v>
      </c>
      <c r="F50" s="50">
        <v>19</v>
      </c>
      <c r="G50" s="50">
        <v>3</v>
      </c>
      <c r="H50" s="50">
        <v>2</v>
      </c>
      <c r="I50" s="50">
        <v>14</v>
      </c>
      <c r="J50" s="50">
        <v>10</v>
      </c>
      <c r="K50" s="50">
        <v>6</v>
      </c>
      <c r="L50" s="50">
        <v>9</v>
      </c>
      <c r="M50" s="50">
        <v>114</v>
      </c>
      <c r="N50" s="50">
        <v>0</v>
      </c>
      <c r="O50" s="15">
        <f t="shared" si="0"/>
        <v>149</v>
      </c>
      <c r="P50" s="15">
        <f t="shared" si="1"/>
        <v>263</v>
      </c>
      <c r="R50" s="8"/>
      <c r="T50"/>
    </row>
    <row r="51" spans="2:20" ht="23.1" customHeight="1" x14ac:dyDescent="0.25">
      <c r="B51" s="24" t="s">
        <v>78</v>
      </c>
      <c r="C51" s="50">
        <v>69</v>
      </c>
      <c r="D51" s="50">
        <v>13</v>
      </c>
      <c r="E51" s="50">
        <v>12</v>
      </c>
      <c r="F51" s="50">
        <v>33</v>
      </c>
      <c r="G51" s="50">
        <v>1</v>
      </c>
      <c r="H51" s="50">
        <v>0</v>
      </c>
      <c r="I51" s="50">
        <v>7</v>
      </c>
      <c r="J51" s="50">
        <v>16</v>
      </c>
      <c r="K51" s="50">
        <v>21</v>
      </c>
      <c r="L51" s="50">
        <v>4</v>
      </c>
      <c r="M51" s="50">
        <v>81</v>
      </c>
      <c r="N51" s="50">
        <v>0</v>
      </c>
      <c r="O51" s="15">
        <f t="shared" si="0"/>
        <v>176</v>
      </c>
      <c r="P51" s="15">
        <f t="shared" si="1"/>
        <v>257</v>
      </c>
      <c r="R51" s="8"/>
      <c r="T51"/>
    </row>
    <row r="52" spans="2:20" ht="23.1" customHeight="1" x14ac:dyDescent="0.25">
      <c r="B52" s="24" t="s">
        <v>79</v>
      </c>
      <c r="C52" s="50">
        <v>90</v>
      </c>
      <c r="D52" s="50">
        <v>22</v>
      </c>
      <c r="E52" s="50">
        <v>17</v>
      </c>
      <c r="F52" s="50">
        <v>37</v>
      </c>
      <c r="G52" s="50">
        <v>2</v>
      </c>
      <c r="H52" s="50">
        <v>0</v>
      </c>
      <c r="I52" s="50">
        <v>6</v>
      </c>
      <c r="J52" s="50">
        <v>8</v>
      </c>
      <c r="K52" s="50">
        <v>3</v>
      </c>
      <c r="L52" s="50">
        <v>6</v>
      </c>
      <c r="M52" s="50">
        <v>93</v>
      </c>
      <c r="N52" s="50">
        <v>0</v>
      </c>
      <c r="O52" s="15">
        <f t="shared" si="0"/>
        <v>191</v>
      </c>
      <c r="P52" s="15">
        <f t="shared" si="1"/>
        <v>284</v>
      </c>
      <c r="R52" s="8"/>
      <c r="T52"/>
    </row>
    <row r="53" spans="2:20" ht="23.1" customHeight="1" x14ac:dyDescent="0.25">
      <c r="B53" s="23" t="s">
        <v>80</v>
      </c>
      <c r="C53" s="50">
        <v>67</v>
      </c>
      <c r="D53" s="50">
        <v>24</v>
      </c>
      <c r="E53" s="50">
        <v>14</v>
      </c>
      <c r="F53" s="50">
        <v>39</v>
      </c>
      <c r="G53" s="50">
        <v>3</v>
      </c>
      <c r="H53" s="50">
        <v>2</v>
      </c>
      <c r="I53" s="50">
        <v>21</v>
      </c>
      <c r="J53" s="50">
        <v>5</v>
      </c>
      <c r="K53" s="50">
        <v>8</v>
      </c>
      <c r="L53" s="50">
        <v>6</v>
      </c>
      <c r="M53" s="50">
        <v>97</v>
      </c>
      <c r="N53" s="50">
        <v>0</v>
      </c>
      <c r="O53" s="15">
        <f t="shared" si="0"/>
        <v>189</v>
      </c>
      <c r="P53" s="15">
        <f t="shared" si="1"/>
        <v>286</v>
      </c>
      <c r="R53" s="8"/>
      <c r="T53"/>
    </row>
    <row r="54" spans="2:20" ht="23.1" customHeight="1" x14ac:dyDescent="0.25">
      <c r="B54" s="23" t="s">
        <v>81</v>
      </c>
      <c r="C54" s="50">
        <v>70</v>
      </c>
      <c r="D54" s="50">
        <v>12</v>
      </c>
      <c r="E54" s="50">
        <v>13</v>
      </c>
      <c r="F54" s="50">
        <v>38</v>
      </c>
      <c r="G54" s="50">
        <v>10</v>
      </c>
      <c r="H54" s="50">
        <v>0</v>
      </c>
      <c r="I54" s="50">
        <v>19</v>
      </c>
      <c r="J54" s="50">
        <v>11</v>
      </c>
      <c r="K54" s="50">
        <v>1</v>
      </c>
      <c r="L54" s="50">
        <v>5</v>
      </c>
      <c r="M54" s="50">
        <v>103</v>
      </c>
      <c r="N54" s="50">
        <v>0</v>
      </c>
      <c r="O54" s="15">
        <f t="shared" si="0"/>
        <v>179</v>
      </c>
      <c r="P54" s="15">
        <f t="shared" si="1"/>
        <v>282</v>
      </c>
      <c r="R54" s="8"/>
      <c r="T54"/>
    </row>
    <row r="55" spans="2:20" ht="23.1" customHeight="1" x14ac:dyDescent="0.25">
      <c r="B55" s="23" t="s">
        <v>82</v>
      </c>
      <c r="C55" s="50">
        <v>50</v>
      </c>
      <c r="D55" s="50">
        <v>9</v>
      </c>
      <c r="E55" s="50">
        <v>7</v>
      </c>
      <c r="F55" s="50">
        <v>37</v>
      </c>
      <c r="G55" s="50">
        <v>2</v>
      </c>
      <c r="H55" s="50">
        <v>0</v>
      </c>
      <c r="I55" s="50">
        <v>5</v>
      </c>
      <c r="J55" s="50">
        <v>10</v>
      </c>
      <c r="K55" s="50">
        <v>6</v>
      </c>
      <c r="L55" s="50">
        <v>6</v>
      </c>
      <c r="M55" s="50">
        <v>90</v>
      </c>
      <c r="N55" s="50">
        <v>0</v>
      </c>
      <c r="O55" s="15">
        <f t="shared" si="0"/>
        <v>132</v>
      </c>
      <c r="P55" s="15">
        <f t="shared" si="1"/>
        <v>222</v>
      </c>
      <c r="R55" s="8"/>
      <c r="T55"/>
    </row>
    <row r="56" spans="2:20" ht="23.1" customHeight="1" x14ac:dyDescent="0.25">
      <c r="B56" s="23" t="s">
        <v>83</v>
      </c>
      <c r="C56" s="50">
        <v>62</v>
      </c>
      <c r="D56" s="50">
        <v>10</v>
      </c>
      <c r="E56" s="50">
        <v>12</v>
      </c>
      <c r="F56" s="50">
        <v>29</v>
      </c>
      <c r="G56" s="50">
        <v>2</v>
      </c>
      <c r="H56" s="50">
        <v>0</v>
      </c>
      <c r="I56" s="50">
        <v>11</v>
      </c>
      <c r="J56" s="50">
        <v>5</v>
      </c>
      <c r="K56" s="50">
        <v>3</v>
      </c>
      <c r="L56" s="50">
        <v>5</v>
      </c>
      <c r="M56" s="50">
        <v>90</v>
      </c>
      <c r="N56" s="50">
        <v>0</v>
      </c>
      <c r="O56" s="15">
        <f t="shared" si="0"/>
        <v>139</v>
      </c>
      <c r="P56" s="15">
        <f t="shared" si="1"/>
        <v>229</v>
      </c>
      <c r="R56" s="8"/>
      <c r="T56"/>
    </row>
    <row r="57" spans="2:20" ht="23.1" customHeight="1" x14ac:dyDescent="0.25">
      <c r="B57" s="23" t="s">
        <v>84</v>
      </c>
      <c r="C57" s="50">
        <v>75</v>
      </c>
      <c r="D57" s="50">
        <v>20</v>
      </c>
      <c r="E57" s="50">
        <v>16</v>
      </c>
      <c r="F57" s="50">
        <v>31</v>
      </c>
      <c r="G57" s="50">
        <v>0</v>
      </c>
      <c r="H57" s="50">
        <v>0</v>
      </c>
      <c r="I57" s="50">
        <v>11</v>
      </c>
      <c r="J57" s="50">
        <v>11</v>
      </c>
      <c r="K57" s="50">
        <v>1</v>
      </c>
      <c r="L57" s="50">
        <v>4</v>
      </c>
      <c r="M57" s="50">
        <v>103</v>
      </c>
      <c r="N57" s="50">
        <v>0</v>
      </c>
      <c r="O57" s="15">
        <f t="shared" si="0"/>
        <v>169</v>
      </c>
      <c r="P57" s="15">
        <f t="shared" si="1"/>
        <v>272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2881</v>
      </c>
      <c r="D58" s="16">
        <f t="shared" si="21"/>
        <v>677</v>
      </c>
      <c r="E58" s="16">
        <f t="shared" si="21"/>
        <v>458</v>
      </c>
      <c r="F58" s="16">
        <f t="shared" si="21"/>
        <v>1247</v>
      </c>
      <c r="G58" s="16">
        <f t="shared" si="21"/>
        <v>88</v>
      </c>
      <c r="H58" s="16">
        <f t="shared" si="21"/>
        <v>30</v>
      </c>
      <c r="I58" s="16">
        <f t="shared" si="21"/>
        <v>582</v>
      </c>
      <c r="J58" s="16">
        <f t="shared" si="21"/>
        <v>500</v>
      </c>
      <c r="K58" s="16">
        <f t="shared" si="21"/>
        <v>231</v>
      </c>
      <c r="L58" s="16">
        <f t="shared" si="21"/>
        <v>272</v>
      </c>
      <c r="M58" s="16">
        <f t="shared" si="21"/>
        <v>5301</v>
      </c>
      <c r="N58" s="16">
        <f t="shared" si="21"/>
        <v>0</v>
      </c>
      <c r="O58" s="16">
        <f t="shared" si="21"/>
        <v>6966</v>
      </c>
      <c r="P58" s="16">
        <f t="shared" si="21"/>
        <v>12267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0.23485774843074916</v>
      </c>
      <c r="D59" s="43">
        <f t="shared" si="22"/>
        <v>5.5188717697888641E-2</v>
      </c>
      <c r="E59" s="43">
        <f t="shared" si="22"/>
        <v>3.7335941958098966E-2</v>
      </c>
      <c r="F59" s="43">
        <f t="shared" si="22"/>
        <v>0.10165484633569739</v>
      </c>
      <c r="G59" s="43">
        <f t="shared" si="22"/>
        <v>7.1737181054862638E-3</v>
      </c>
      <c r="H59" s="43">
        <f t="shared" si="22"/>
        <v>2.4455857177794081E-3</v>
      </c>
      <c r="I59" s="43">
        <f t="shared" si="22"/>
        <v>4.7444362924920519E-2</v>
      </c>
      <c r="J59" s="43">
        <f t="shared" si="22"/>
        <v>4.0759761962990138E-2</v>
      </c>
      <c r="K59" s="43">
        <f t="shared" si="22"/>
        <v>1.8831010026901442E-2</v>
      </c>
      <c r="L59" s="43">
        <f t="shared" si="22"/>
        <v>2.2173310507866632E-2</v>
      </c>
      <c r="M59" s="43">
        <f t="shared" si="22"/>
        <v>0.43213499633162145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0.41358024691358025</v>
      </c>
      <c r="D60" s="44">
        <f t="shared" ref="D60:N60" si="23">D58/$O$58</f>
        <v>9.7186333620442142E-2</v>
      </c>
      <c r="E60" s="44">
        <f t="shared" si="23"/>
        <v>6.574791846109676E-2</v>
      </c>
      <c r="F60" s="44">
        <f t="shared" si="23"/>
        <v>0.17901234567901234</v>
      </c>
      <c r="G60" s="44">
        <f t="shared" si="23"/>
        <v>1.2632787826586276E-2</v>
      </c>
      <c r="H60" s="44">
        <f t="shared" si="23"/>
        <v>4.3066322136089581E-3</v>
      </c>
      <c r="I60" s="44">
        <f t="shared" si="23"/>
        <v>8.3548664944013779E-2</v>
      </c>
      <c r="J60" s="44">
        <f t="shared" si="23"/>
        <v>7.17772035601493E-2</v>
      </c>
      <c r="K60" s="44">
        <f t="shared" si="23"/>
        <v>3.3161068044788973E-2</v>
      </c>
      <c r="L60" s="44">
        <f t="shared" si="23"/>
        <v>3.9046798736721219E-2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7" zoomScale="40" zoomScaleSheetLayoutView="4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'22.07 Masanafu-Busega'!C3:G3</f>
        <v>MCC - C1 - STN13 - NORTHERN BYPASS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'23.07 Busega-Masanafu'!D5</f>
        <v>23.07.19</v>
      </c>
      <c r="E5" s="3"/>
      <c r="F5" s="41" t="s">
        <v>1</v>
      </c>
      <c r="G5" s="64" t="str">
        <f>'22.07 Busega-Masanafu'!G5:H5</f>
        <v>NORTHERN BYPASS</v>
      </c>
      <c r="H5" s="65"/>
      <c r="I5" s="14"/>
      <c r="J5" s="2" t="s">
        <v>5</v>
      </c>
      <c r="K5" s="64" t="str">
        <f>'22.07 Busega-Masanafu'!K5:L5</f>
        <v>SSEMUKO SAMUEL JUNIOR W/MUTEBI CHRISTOPHER/SSEMWOGERERE FREDRICK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'22.07 Masanafu-Busega'!D6:E6</f>
        <v>MASANAFU</v>
      </c>
      <c r="E6" s="65"/>
      <c r="F6" s="2" t="s">
        <v>2</v>
      </c>
      <c r="G6" s="64" t="str">
        <f>'22.07 Masanafu-Busega'!G6:H6</f>
        <v>BUSEGA</v>
      </c>
      <c r="H6" s="65"/>
      <c r="J6" s="2" t="s">
        <v>21</v>
      </c>
      <c r="K6" s="64" t="str">
        <f>'22.07 Busega-Masanafu'!K6:L6</f>
        <v>ANDY/ANDREW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59</v>
      </c>
      <c r="D10" s="50">
        <v>6</v>
      </c>
      <c r="E10" s="50">
        <v>9</v>
      </c>
      <c r="F10" s="50">
        <v>33</v>
      </c>
      <c r="G10" s="50">
        <v>2</v>
      </c>
      <c r="H10" s="50">
        <v>0</v>
      </c>
      <c r="I10" s="50">
        <v>11</v>
      </c>
      <c r="J10" s="50">
        <v>2</v>
      </c>
      <c r="K10" s="50">
        <v>1</v>
      </c>
      <c r="L10" s="50">
        <v>1</v>
      </c>
      <c r="M10" s="50">
        <v>98</v>
      </c>
      <c r="N10" s="50">
        <v>0</v>
      </c>
      <c r="O10" s="15">
        <f t="shared" ref="O10:O57" si="0">SUM(C10:L10,N10)</f>
        <v>124</v>
      </c>
      <c r="P10" s="15">
        <f t="shared" ref="P10:P57" si="1">SUM(C10:N10)</f>
        <v>222</v>
      </c>
      <c r="R10" s="1" t="s">
        <v>6</v>
      </c>
      <c r="S10" s="17">
        <f t="shared" ref="S10:AF10" si="2">SUM(C10:C13)</f>
        <v>283</v>
      </c>
      <c r="T10" s="17">
        <f t="shared" si="2"/>
        <v>35</v>
      </c>
      <c r="U10" s="17">
        <f t="shared" si="2"/>
        <v>41</v>
      </c>
      <c r="V10" s="17">
        <f t="shared" si="2"/>
        <v>123</v>
      </c>
      <c r="W10" s="17">
        <f t="shared" si="2"/>
        <v>11</v>
      </c>
      <c r="X10" s="17">
        <f t="shared" si="2"/>
        <v>1</v>
      </c>
      <c r="Y10" s="17">
        <f t="shared" si="2"/>
        <v>38</v>
      </c>
      <c r="Z10" s="17">
        <f t="shared" si="2"/>
        <v>18</v>
      </c>
      <c r="AA10" s="17">
        <f t="shared" si="2"/>
        <v>4</v>
      </c>
      <c r="AB10" s="17">
        <f t="shared" si="2"/>
        <v>12</v>
      </c>
      <c r="AC10" s="17">
        <f t="shared" si="2"/>
        <v>407</v>
      </c>
      <c r="AD10" s="17">
        <f t="shared" si="2"/>
        <v>0</v>
      </c>
      <c r="AE10" s="31">
        <f t="shared" si="2"/>
        <v>566</v>
      </c>
      <c r="AF10" s="31">
        <f t="shared" si="2"/>
        <v>973</v>
      </c>
    </row>
    <row r="11" spans="2:32" s="6" customFormat="1" ht="23.1" customHeight="1" x14ac:dyDescent="0.25">
      <c r="B11" s="23" t="s">
        <v>38</v>
      </c>
      <c r="C11" s="50">
        <v>65</v>
      </c>
      <c r="D11" s="50">
        <v>10</v>
      </c>
      <c r="E11" s="50">
        <v>7</v>
      </c>
      <c r="F11" s="50">
        <v>31</v>
      </c>
      <c r="G11" s="50">
        <v>2</v>
      </c>
      <c r="H11" s="50">
        <v>1</v>
      </c>
      <c r="I11" s="50">
        <v>6</v>
      </c>
      <c r="J11" s="50">
        <v>6</v>
      </c>
      <c r="K11" s="50">
        <v>1</v>
      </c>
      <c r="L11" s="50">
        <v>3</v>
      </c>
      <c r="M11" s="50">
        <v>95</v>
      </c>
      <c r="N11" s="50">
        <v>0</v>
      </c>
      <c r="O11" s="15">
        <f t="shared" si="0"/>
        <v>132</v>
      </c>
      <c r="P11" s="15">
        <f t="shared" si="1"/>
        <v>227</v>
      </c>
      <c r="R11" s="1" t="s">
        <v>7</v>
      </c>
      <c r="S11" s="17">
        <f t="shared" ref="S11:AF11" si="3">SUM(C14:C17)</f>
        <v>275</v>
      </c>
      <c r="T11" s="17">
        <f t="shared" si="3"/>
        <v>32</v>
      </c>
      <c r="U11" s="17">
        <f t="shared" si="3"/>
        <v>43</v>
      </c>
      <c r="V11" s="17">
        <f t="shared" si="3"/>
        <v>158</v>
      </c>
      <c r="W11" s="17">
        <f t="shared" si="3"/>
        <v>3</v>
      </c>
      <c r="X11" s="17">
        <f t="shared" si="3"/>
        <v>1</v>
      </c>
      <c r="Y11" s="17">
        <f t="shared" si="3"/>
        <v>41</v>
      </c>
      <c r="Z11" s="17">
        <f t="shared" si="3"/>
        <v>12</v>
      </c>
      <c r="AA11" s="17">
        <f t="shared" si="3"/>
        <v>11</v>
      </c>
      <c r="AB11" s="17">
        <f t="shared" si="3"/>
        <v>19</v>
      </c>
      <c r="AC11" s="17">
        <f t="shared" si="3"/>
        <v>476</v>
      </c>
      <c r="AD11" s="17">
        <f t="shared" si="3"/>
        <v>0</v>
      </c>
      <c r="AE11" s="31">
        <f t="shared" si="3"/>
        <v>595</v>
      </c>
      <c r="AF11" s="31">
        <f t="shared" si="3"/>
        <v>1071</v>
      </c>
    </row>
    <row r="12" spans="2:32" ht="23.1" customHeight="1" x14ac:dyDescent="0.25">
      <c r="B12" s="23" t="s">
        <v>39</v>
      </c>
      <c r="C12" s="50">
        <v>75</v>
      </c>
      <c r="D12" s="50">
        <v>11</v>
      </c>
      <c r="E12" s="50">
        <v>12</v>
      </c>
      <c r="F12" s="50">
        <v>30</v>
      </c>
      <c r="G12" s="50">
        <v>1</v>
      </c>
      <c r="H12" s="50">
        <v>0</v>
      </c>
      <c r="I12" s="50">
        <v>11</v>
      </c>
      <c r="J12" s="50">
        <v>5</v>
      </c>
      <c r="K12" s="50">
        <v>1</v>
      </c>
      <c r="L12" s="50">
        <v>5</v>
      </c>
      <c r="M12" s="50">
        <v>102</v>
      </c>
      <c r="N12" s="50">
        <v>0</v>
      </c>
      <c r="O12" s="15">
        <f t="shared" si="0"/>
        <v>151</v>
      </c>
      <c r="P12" s="15">
        <f t="shared" si="1"/>
        <v>253</v>
      </c>
      <c r="R12" s="1" t="s">
        <v>8</v>
      </c>
      <c r="S12" s="17">
        <f t="shared" ref="S12:AF12" si="4">SUM(C18:C21)</f>
        <v>252</v>
      </c>
      <c r="T12" s="17">
        <f t="shared" si="4"/>
        <v>21</v>
      </c>
      <c r="U12" s="17">
        <f t="shared" si="4"/>
        <v>37</v>
      </c>
      <c r="V12" s="17">
        <f t="shared" si="4"/>
        <v>155</v>
      </c>
      <c r="W12" s="17">
        <f t="shared" si="4"/>
        <v>6</v>
      </c>
      <c r="X12" s="17">
        <f t="shared" si="4"/>
        <v>2</v>
      </c>
      <c r="Y12" s="17">
        <f t="shared" si="4"/>
        <v>69</v>
      </c>
      <c r="Z12" s="17">
        <f t="shared" si="4"/>
        <v>20</v>
      </c>
      <c r="AA12" s="17">
        <f t="shared" si="4"/>
        <v>6</v>
      </c>
      <c r="AB12" s="17">
        <f t="shared" si="4"/>
        <v>13</v>
      </c>
      <c r="AC12" s="17">
        <f t="shared" si="4"/>
        <v>517</v>
      </c>
      <c r="AD12" s="17">
        <f t="shared" si="4"/>
        <v>0</v>
      </c>
      <c r="AE12" s="31">
        <f t="shared" si="4"/>
        <v>581</v>
      </c>
      <c r="AF12" s="31">
        <f t="shared" si="4"/>
        <v>1098</v>
      </c>
    </row>
    <row r="13" spans="2:32" ht="23.1" customHeight="1" x14ac:dyDescent="0.25">
      <c r="B13" s="23" t="s">
        <v>40</v>
      </c>
      <c r="C13" s="50">
        <v>84</v>
      </c>
      <c r="D13" s="50">
        <v>8</v>
      </c>
      <c r="E13" s="50">
        <v>13</v>
      </c>
      <c r="F13" s="50">
        <v>29</v>
      </c>
      <c r="G13" s="50">
        <v>6</v>
      </c>
      <c r="H13" s="50">
        <v>0</v>
      </c>
      <c r="I13" s="50">
        <v>10</v>
      </c>
      <c r="J13" s="50">
        <v>5</v>
      </c>
      <c r="K13" s="50">
        <v>1</v>
      </c>
      <c r="L13" s="50">
        <v>3</v>
      </c>
      <c r="M13" s="50">
        <v>112</v>
      </c>
      <c r="N13" s="50">
        <v>0</v>
      </c>
      <c r="O13" s="15">
        <f t="shared" si="0"/>
        <v>159</v>
      </c>
      <c r="P13" s="15">
        <f t="shared" si="1"/>
        <v>271</v>
      </c>
      <c r="R13" s="1" t="s">
        <v>9</v>
      </c>
      <c r="S13" s="17">
        <f t="shared" ref="S13:AF13" si="5">SUM(C22:C25)</f>
        <v>249</v>
      </c>
      <c r="T13" s="17">
        <f t="shared" si="5"/>
        <v>44</v>
      </c>
      <c r="U13" s="17">
        <f t="shared" si="5"/>
        <v>32</v>
      </c>
      <c r="V13" s="17">
        <f t="shared" si="5"/>
        <v>163</v>
      </c>
      <c r="W13" s="17">
        <f t="shared" si="5"/>
        <v>8</v>
      </c>
      <c r="X13" s="17">
        <f t="shared" si="5"/>
        <v>3</v>
      </c>
      <c r="Y13" s="17">
        <f t="shared" si="5"/>
        <v>63</v>
      </c>
      <c r="Z13" s="17">
        <f t="shared" si="5"/>
        <v>32</v>
      </c>
      <c r="AA13" s="17">
        <f t="shared" si="5"/>
        <v>8</v>
      </c>
      <c r="AB13" s="17">
        <f t="shared" si="5"/>
        <v>19</v>
      </c>
      <c r="AC13" s="17">
        <f t="shared" si="5"/>
        <v>458</v>
      </c>
      <c r="AD13" s="17">
        <f t="shared" si="5"/>
        <v>0</v>
      </c>
      <c r="AE13" s="31">
        <f t="shared" si="5"/>
        <v>621</v>
      </c>
      <c r="AF13" s="31">
        <f t="shared" si="5"/>
        <v>1079</v>
      </c>
    </row>
    <row r="14" spans="2:32" ht="23.1" customHeight="1" x14ac:dyDescent="0.25">
      <c r="B14" s="23" t="s">
        <v>41</v>
      </c>
      <c r="C14" s="50">
        <v>74</v>
      </c>
      <c r="D14" s="50">
        <v>3</v>
      </c>
      <c r="E14" s="50">
        <v>9</v>
      </c>
      <c r="F14" s="50">
        <v>36</v>
      </c>
      <c r="G14" s="50">
        <v>0</v>
      </c>
      <c r="H14" s="50">
        <v>0</v>
      </c>
      <c r="I14" s="50">
        <v>6</v>
      </c>
      <c r="J14" s="50">
        <v>2</v>
      </c>
      <c r="K14" s="50">
        <v>2</v>
      </c>
      <c r="L14" s="50">
        <v>1</v>
      </c>
      <c r="M14" s="50">
        <v>123</v>
      </c>
      <c r="N14" s="50">
        <v>0</v>
      </c>
      <c r="O14" s="15">
        <f t="shared" si="0"/>
        <v>133</v>
      </c>
      <c r="P14" s="15">
        <f t="shared" si="1"/>
        <v>256</v>
      </c>
      <c r="R14" s="1" t="s">
        <v>10</v>
      </c>
      <c r="S14" s="17">
        <f t="shared" ref="S14:AF14" si="6">SUM(C26:C29)</f>
        <v>311</v>
      </c>
      <c r="T14" s="17">
        <f t="shared" si="6"/>
        <v>45</v>
      </c>
      <c r="U14" s="17">
        <f t="shared" si="6"/>
        <v>37</v>
      </c>
      <c r="V14" s="17">
        <f t="shared" si="6"/>
        <v>143</v>
      </c>
      <c r="W14" s="17">
        <f t="shared" si="6"/>
        <v>13</v>
      </c>
      <c r="X14" s="17">
        <f t="shared" si="6"/>
        <v>3</v>
      </c>
      <c r="Y14" s="17">
        <f t="shared" si="6"/>
        <v>82</v>
      </c>
      <c r="Z14" s="17">
        <f t="shared" si="6"/>
        <v>23</v>
      </c>
      <c r="AA14" s="17">
        <f t="shared" si="6"/>
        <v>17</v>
      </c>
      <c r="AB14" s="17">
        <f t="shared" si="6"/>
        <v>20</v>
      </c>
      <c r="AC14" s="17">
        <f t="shared" si="6"/>
        <v>458</v>
      </c>
      <c r="AD14" s="17">
        <f t="shared" si="6"/>
        <v>0</v>
      </c>
      <c r="AE14" s="31">
        <f t="shared" si="6"/>
        <v>694</v>
      </c>
      <c r="AF14" s="31">
        <f t="shared" si="6"/>
        <v>1152</v>
      </c>
    </row>
    <row r="15" spans="2:32" ht="23.1" customHeight="1" x14ac:dyDescent="0.25">
      <c r="B15" s="23" t="s">
        <v>42</v>
      </c>
      <c r="C15" s="50">
        <v>76</v>
      </c>
      <c r="D15" s="50">
        <v>8</v>
      </c>
      <c r="E15" s="50">
        <v>10</v>
      </c>
      <c r="F15" s="50">
        <v>38</v>
      </c>
      <c r="G15" s="50">
        <v>1</v>
      </c>
      <c r="H15" s="50">
        <v>0</v>
      </c>
      <c r="I15" s="50">
        <v>12</v>
      </c>
      <c r="J15" s="50">
        <v>2</v>
      </c>
      <c r="K15" s="50">
        <v>1</v>
      </c>
      <c r="L15" s="50">
        <v>6</v>
      </c>
      <c r="M15" s="50">
        <v>120</v>
      </c>
      <c r="N15" s="50">
        <v>0</v>
      </c>
      <c r="O15" s="15">
        <f t="shared" si="0"/>
        <v>154</v>
      </c>
      <c r="P15" s="15">
        <f t="shared" si="1"/>
        <v>274</v>
      </c>
      <c r="R15" s="1" t="s">
        <v>11</v>
      </c>
      <c r="S15" s="17">
        <f t="shared" ref="S15:AF15" si="7">SUM(C30:C33)</f>
        <v>279</v>
      </c>
      <c r="T15" s="17">
        <f t="shared" si="7"/>
        <v>36</v>
      </c>
      <c r="U15" s="17">
        <f t="shared" si="7"/>
        <v>40</v>
      </c>
      <c r="V15" s="17">
        <f t="shared" si="7"/>
        <v>139</v>
      </c>
      <c r="W15" s="17">
        <f t="shared" si="7"/>
        <v>7</v>
      </c>
      <c r="X15" s="17">
        <f t="shared" si="7"/>
        <v>1</v>
      </c>
      <c r="Y15" s="17">
        <f t="shared" si="7"/>
        <v>71</v>
      </c>
      <c r="Z15" s="17">
        <f t="shared" si="7"/>
        <v>31</v>
      </c>
      <c r="AA15" s="17">
        <f t="shared" si="7"/>
        <v>18</v>
      </c>
      <c r="AB15" s="17">
        <f t="shared" si="7"/>
        <v>24</v>
      </c>
      <c r="AC15" s="17">
        <f t="shared" si="7"/>
        <v>371</v>
      </c>
      <c r="AD15" s="17">
        <f t="shared" si="7"/>
        <v>0</v>
      </c>
      <c r="AE15" s="31">
        <f t="shared" si="7"/>
        <v>646</v>
      </c>
      <c r="AF15" s="31">
        <f t="shared" si="7"/>
        <v>1017</v>
      </c>
    </row>
    <row r="16" spans="2:32" ht="23.1" customHeight="1" x14ac:dyDescent="0.25">
      <c r="B16" s="23" t="s">
        <v>43</v>
      </c>
      <c r="C16" s="50">
        <v>58</v>
      </c>
      <c r="D16" s="50">
        <v>10</v>
      </c>
      <c r="E16" s="50">
        <v>7</v>
      </c>
      <c r="F16" s="50">
        <v>36</v>
      </c>
      <c r="G16" s="50">
        <v>1</v>
      </c>
      <c r="H16" s="50">
        <v>1</v>
      </c>
      <c r="I16" s="50">
        <v>7</v>
      </c>
      <c r="J16" s="50">
        <v>5</v>
      </c>
      <c r="K16" s="50">
        <v>6</v>
      </c>
      <c r="L16" s="50">
        <v>9</v>
      </c>
      <c r="M16" s="50">
        <v>117</v>
      </c>
      <c r="N16" s="50">
        <v>0</v>
      </c>
      <c r="O16" s="15">
        <f t="shared" si="0"/>
        <v>140</v>
      </c>
      <c r="P16" s="15">
        <f t="shared" si="1"/>
        <v>257</v>
      </c>
      <c r="R16" s="1" t="s">
        <v>12</v>
      </c>
      <c r="S16" s="17">
        <f t="shared" ref="S16:AF16" si="8">SUM(C34:C37)</f>
        <v>319</v>
      </c>
      <c r="T16" s="17">
        <f t="shared" si="8"/>
        <v>38</v>
      </c>
      <c r="U16" s="17">
        <f t="shared" si="8"/>
        <v>47</v>
      </c>
      <c r="V16" s="17">
        <f t="shared" si="8"/>
        <v>161</v>
      </c>
      <c r="W16" s="17">
        <f t="shared" si="8"/>
        <v>8</v>
      </c>
      <c r="X16" s="17">
        <f t="shared" si="8"/>
        <v>0</v>
      </c>
      <c r="Y16" s="17">
        <f t="shared" si="8"/>
        <v>55</v>
      </c>
      <c r="Z16" s="17">
        <f t="shared" si="8"/>
        <v>51</v>
      </c>
      <c r="AA16" s="17">
        <f t="shared" si="8"/>
        <v>20</v>
      </c>
      <c r="AB16" s="17">
        <f t="shared" si="8"/>
        <v>26</v>
      </c>
      <c r="AC16" s="17">
        <f t="shared" si="8"/>
        <v>396</v>
      </c>
      <c r="AD16" s="17">
        <f t="shared" si="8"/>
        <v>0</v>
      </c>
      <c r="AE16" s="31">
        <f t="shared" si="8"/>
        <v>725</v>
      </c>
      <c r="AF16" s="31">
        <f t="shared" si="8"/>
        <v>1121</v>
      </c>
    </row>
    <row r="17" spans="2:32" ht="23.1" customHeight="1" x14ac:dyDescent="0.25">
      <c r="B17" s="23" t="s">
        <v>44</v>
      </c>
      <c r="C17" s="50">
        <v>67</v>
      </c>
      <c r="D17" s="50">
        <v>11</v>
      </c>
      <c r="E17" s="50">
        <v>17</v>
      </c>
      <c r="F17" s="50">
        <v>48</v>
      </c>
      <c r="G17" s="50">
        <v>1</v>
      </c>
      <c r="H17" s="50">
        <v>0</v>
      </c>
      <c r="I17" s="50">
        <v>16</v>
      </c>
      <c r="J17" s="50">
        <v>3</v>
      </c>
      <c r="K17" s="50">
        <v>2</v>
      </c>
      <c r="L17" s="50">
        <v>3</v>
      </c>
      <c r="M17" s="50">
        <v>116</v>
      </c>
      <c r="N17" s="50">
        <v>0</v>
      </c>
      <c r="O17" s="15">
        <f t="shared" si="0"/>
        <v>168</v>
      </c>
      <c r="P17" s="15">
        <f t="shared" si="1"/>
        <v>284</v>
      </c>
      <c r="R17" s="1" t="s">
        <v>13</v>
      </c>
      <c r="S17" s="17">
        <f t="shared" ref="S17:AF17" si="9">SUM(C38:C41)</f>
        <v>275</v>
      </c>
      <c r="T17" s="17">
        <f t="shared" si="9"/>
        <v>26</v>
      </c>
      <c r="U17" s="17">
        <f t="shared" si="9"/>
        <v>48</v>
      </c>
      <c r="V17" s="17">
        <f t="shared" si="9"/>
        <v>123</v>
      </c>
      <c r="W17" s="17">
        <f t="shared" si="9"/>
        <v>3</v>
      </c>
      <c r="X17" s="17">
        <f t="shared" si="9"/>
        <v>3</v>
      </c>
      <c r="Y17" s="17">
        <f t="shared" si="9"/>
        <v>69</v>
      </c>
      <c r="Z17" s="17">
        <f t="shared" si="9"/>
        <v>27</v>
      </c>
      <c r="AA17" s="17">
        <f t="shared" si="9"/>
        <v>19</v>
      </c>
      <c r="AB17" s="17">
        <f t="shared" si="9"/>
        <v>27</v>
      </c>
      <c r="AC17" s="17">
        <f t="shared" si="9"/>
        <v>322</v>
      </c>
      <c r="AD17" s="17">
        <f t="shared" si="9"/>
        <v>0</v>
      </c>
      <c r="AE17" s="31">
        <f t="shared" si="9"/>
        <v>620</v>
      </c>
      <c r="AF17" s="31">
        <f t="shared" si="9"/>
        <v>942</v>
      </c>
    </row>
    <row r="18" spans="2:32" ht="23.1" customHeight="1" x14ac:dyDescent="0.25">
      <c r="B18" s="23" t="s">
        <v>45</v>
      </c>
      <c r="C18" s="50">
        <v>48</v>
      </c>
      <c r="D18" s="50">
        <v>5</v>
      </c>
      <c r="E18" s="50">
        <v>8</v>
      </c>
      <c r="F18" s="50">
        <v>26</v>
      </c>
      <c r="G18" s="50">
        <v>2</v>
      </c>
      <c r="H18" s="50">
        <v>0</v>
      </c>
      <c r="I18" s="50">
        <v>12</v>
      </c>
      <c r="J18" s="50">
        <v>8</v>
      </c>
      <c r="K18" s="50">
        <v>3</v>
      </c>
      <c r="L18" s="50">
        <v>3</v>
      </c>
      <c r="M18" s="50">
        <v>123</v>
      </c>
      <c r="N18" s="50">
        <v>0</v>
      </c>
      <c r="O18" s="15">
        <f t="shared" si="0"/>
        <v>115</v>
      </c>
      <c r="P18" s="15">
        <f t="shared" si="1"/>
        <v>238</v>
      </c>
      <c r="R18" s="1" t="s">
        <v>14</v>
      </c>
      <c r="S18" s="17">
        <f t="shared" ref="S18:AF18" si="10">SUM(C42:C45)</f>
        <v>264</v>
      </c>
      <c r="T18" s="17">
        <f t="shared" si="10"/>
        <v>43</v>
      </c>
      <c r="U18" s="17">
        <f t="shared" si="10"/>
        <v>35</v>
      </c>
      <c r="V18" s="17">
        <f t="shared" si="10"/>
        <v>123</v>
      </c>
      <c r="W18" s="17">
        <f t="shared" si="10"/>
        <v>4</v>
      </c>
      <c r="X18" s="17">
        <f t="shared" si="10"/>
        <v>6</v>
      </c>
      <c r="Y18" s="17">
        <f t="shared" si="10"/>
        <v>67</v>
      </c>
      <c r="Z18" s="17">
        <f t="shared" si="10"/>
        <v>38</v>
      </c>
      <c r="AA18" s="17">
        <f t="shared" si="10"/>
        <v>24</v>
      </c>
      <c r="AB18" s="17">
        <f t="shared" si="10"/>
        <v>26</v>
      </c>
      <c r="AC18" s="17">
        <f t="shared" si="10"/>
        <v>295</v>
      </c>
      <c r="AD18" s="17">
        <f t="shared" si="10"/>
        <v>0</v>
      </c>
      <c r="AE18" s="31">
        <f t="shared" si="10"/>
        <v>630</v>
      </c>
      <c r="AF18" s="31">
        <f t="shared" si="10"/>
        <v>925</v>
      </c>
    </row>
    <row r="19" spans="2:32" ht="23.1" customHeight="1" x14ac:dyDescent="0.25">
      <c r="B19" s="23" t="s">
        <v>46</v>
      </c>
      <c r="C19" s="50">
        <v>66</v>
      </c>
      <c r="D19" s="50">
        <v>7</v>
      </c>
      <c r="E19" s="50">
        <v>15</v>
      </c>
      <c r="F19" s="50">
        <v>33</v>
      </c>
      <c r="G19" s="50">
        <v>4</v>
      </c>
      <c r="H19" s="50">
        <v>0</v>
      </c>
      <c r="I19" s="50">
        <v>11</v>
      </c>
      <c r="J19" s="50">
        <v>4</v>
      </c>
      <c r="K19" s="50">
        <v>1</v>
      </c>
      <c r="L19" s="50">
        <v>2</v>
      </c>
      <c r="M19" s="50">
        <v>134</v>
      </c>
      <c r="N19" s="50">
        <v>0</v>
      </c>
      <c r="O19" s="15">
        <f t="shared" si="0"/>
        <v>143</v>
      </c>
      <c r="P19" s="15">
        <f t="shared" si="1"/>
        <v>277</v>
      </c>
      <c r="R19" s="1" t="s">
        <v>15</v>
      </c>
      <c r="S19" s="17">
        <f t="shared" ref="S19:AF19" si="11">SUM(C46:C49)</f>
        <v>362</v>
      </c>
      <c r="T19" s="17">
        <f t="shared" si="11"/>
        <v>44</v>
      </c>
      <c r="U19" s="17">
        <f t="shared" si="11"/>
        <v>54</v>
      </c>
      <c r="V19" s="17">
        <f t="shared" si="11"/>
        <v>122</v>
      </c>
      <c r="W19" s="17">
        <f t="shared" si="11"/>
        <v>8</v>
      </c>
      <c r="X19" s="17">
        <f t="shared" si="11"/>
        <v>1</v>
      </c>
      <c r="Y19" s="17">
        <f t="shared" si="11"/>
        <v>82</v>
      </c>
      <c r="Z19" s="17">
        <f t="shared" si="11"/>
        <v>36</v>
      </c>
      <c r="AA19" s="17">
        <f t="shared" si="11"/>
        <v>21</v>
      </c>
      <c r="AB19" s="17">
        <f t="shared" si="11"/>
        <v>19</v>
      </c>
      <c r="AC19" s="17">
        <f t="shared" si="11"/>
        <v>275</v>
      </c>
      <c r="AD19" s="17">
        <f t="shared" si="11"/>
        <v>0</v>
      </c>
      <c r="AE19" s="31">
        <f t="shared" si="11"/>
        <v>749</v>
      </c>
      <c r="AF19" s="31">
        <f t="shared" si="11"/>
        <v>1024</v>
      </c>
    </row>
    <row r="20" spans="2:32" ht="23.1" customHeight="1" x14ac:dyDescent="0.25">
      <c r="B20" s="23" t="s">
        <v>47</v>
      </c>
      <c r="C20" s="50">
        <v>65</v>
      </c>
      <c r="D20" s="50">
        <v>7</v>
      </c>
      <c r="E20" s="50">
        <v>7</v>
      </c>
      <c r="F20" s="50">
        <v>58</v>
      </c>
      <c r="G20" s="50">
        <v>0</v>
      </c>
      <c r="H20" s="50">
        <v>1</v>
      </c>
      <c r="I20" s="50">
        <v>23</v>
      </c>
      <c r="J20" s="50">
        <v>4</v>
      </c>
      <c r="K20" s="50">
        <v>1</v>
      </c>
      <c r="L20" s="50">
        <v>7</v>
      </c>
      <c r="M20" s="50">
        <v>122</v>
      </c>
      <c r="N20" s="50">
        <v>0</v>
      </c>
      <c r="O20" s="15">
        <f t="shared" si="0"/>
        <v>173</v>
      </c>
      <c r="P20" s="15">
        <f t="shared" si="1"/>
        <v>295</v>
      </c>
      <c r="R20" s="1" t="s">
        <v>16</v>
      </c>
      <c r="S20" s="17">
        <f t="shared" ref="S20:AF20" si="12">SUM(C50:C53)</f>
        <v>475</v>
      </c>
      <c r="T20" s="17">
        <f t="shared" si="12"/>
        <v>47</v>
      </c>
      <c r="U20" s="17">
        <f t="shared" si="12"/>
        <v>44</v>
      </c>
      <c r="V20" s="17">
        <f t="shared" si="12"/>
        <v>164</v>
      </c>
      <c r="W20" s="17">
        <f t="shared" si="12"/>
        <v>6</v>
      </c>
      <c r="X20" s="17">
        <f t="shared" si="12"/>
        <v>3</v>
      </c>
      <c r="Y20" s="17">
        <f t="shared" si="12"/>
        <v>58</v>
      </c>
      <c r="Z20" s="17">
        <f t="shared" si="12"/>
        <v>35</v>
      </c>
      <c r="AA20" s="17">
        <f t="shared" si="12"/>
        <v>11</v>
      </c>
      <c r="AB20" s="17">
        <f t="shared" si="12"/>
        <v>18</v>
      </c>
      <c r="AC20" s="17">
        <f t="shared" si="12"/>
        <v>324</v>
      </c>
      <c r="AD20" s="17">
        <f t="shared" si="12"/>
        <v>0</v>
      </c>
      <c r="AE20" s="31">
        <f t="shared" si="12"/>
        <v>861</v>
      </c>
      <c r="AF20" s="31">
        <f t="shared" si="12"/>
        <v>1185</v>
      </c>
    </row>
    <row r="21" spans="2:32" ht="23.1" customHeight="1" x14ac:dyDescent="0.25">
      <c r="B21" s="23" t="s">
        <v>48</v>
      </c>
      <c r="C21" s="50">
        <v>73</v>
      </c>
      <c r="D21" s="50">
        <v>2</v>
      </c>
      <c r="E21" s="50">
        <v>7</v>
      </c>
      <c r="F21" s="50">
        <v>38</v>
      </c>
      <c r="G21" s="50">
        <v>0</v>
      </c>
      <c r="H21" s="50">
        <v>1</v>
      </c>
      <c r="I21" s="50">
        <v>23</v>
      </c>
      <c r="J21" s="50">
        <v>4</v>
      </c>
      <c r="K21" s="50">
        <v>1</v>
      </c>
      <c r="L21" s="50">
        <v>1</v>
      </c>
      <c r="M21" s="50">
        <v>138</v>
      </c>
      <c r="N21" s="50">
        <v>0</v>
      </c>
      <c r="O21" s="15">
        <f t="shared" si="0"/>
        <v>150</v>
      </c>
      <c r="P21" s="15">
        <f t="shared" si="1"/>
        <v>288</v>
      </c>
      <c r="R21" s="36" t="s">
        <v>20</v>
      </c>
      <c r="S21" s="34">
        <f t="shared" ref="S21:AF21" si="13">SUM(C54:C57)</f>
        <v>461</v>
      </c>
      <c r="T21" s="17">
        <f t="shared" si="13"/>
        <v>32</v>
      </c>
      <c r="U21" s="17">
        <f t="shared" si="13"/>
        <v>44</v>
      </c>
      <c r="V21" s="17">
        <f t="shared" si="13"/>
        <v>150</v>
      </c>
      <c r="W21" s="17">
        <f t="shared" si="13"/>
        <v>8</v>
      </c>
      <c r="X21" s="17">
        <f t="shared" si="13"/>
        <v>3</v>
      </c>
      <c r="Y21" s="17">
        <f t="shared" si="13"/>
        <v>57</v>
      </c>
      <c r="Z21" s="17">
        <f t="shared" si="13"/>
        <v>40</v>
      </c>
      <c r="AA21" s="17">
        <f t="shared" si="13"/>
        <v>14</v>
      </c>
      <c r="AB21" s="17">
        <f t="shared" si="13"/>
        <v>19</v>
      </c>
      <c r="AC21" s="17">
        <f t="shared" si="13"/>
        <v>459</v>
      </c>
      <c r="AD21" s="17">
        <f t="shared" si="13"/>
        <v>0</v>
      </c>
      <c r="AE21" s="31">
        <f t="shared" si="13"/>
        <v>828</v>
      </c>
      <c r="AF21" s="31">
        <f t="shared" si="13"/>
        <v>1287</v>
      </c>
    </row>
    <row r="22" spans="2:32" ht="23.1" customHeight="1" x14ac:dyDescent="0.25">
      <c r="B22" s="23" t="s">
        <v>49</v>
      </c>
      <c r="C22" s="50">
        <v>53</v>
      </c>
      <c r="D22" s="50">
        <v>7</v>
      </c>
      <c r="E22" s="50">
        <v>8</v>
      </c>
      <c r="F22" s="50">
        <v>37</v>
      </c>
      <c r="G22" s="50">
        <v>2</v>
      </c>
      <c r="H22" s="50">
        <v>0</v>
      </c>
      <c r="I22" s="50">
        <v>17</v>
      </c>
      <c r="J22" s="50">
        <v>9</v>
      </c>
      <c r="K22" s="50">
        <v>3</v>
      </c>
      <c r="L22" s="50">
        <v>3</v>
      </c>
      <c r="M22" s="50">
        <v>113</v>
      </c>
      <c r="N22" s="50">
        <v>0</v>
      </c>
      <c r="O22" s="15">
        <f t="shared" si="0"/>
        <v>139</v>
      </c>
      <c r="P22" s="15">
        <f t="shared" si="1"/>
        <v>252</v>
      </c>
      <c r="R22" s="38" t="s">
        <v>90</v>
      </c>
      <c r="S22" s="39">
        <f>MAX(S10:S12)</f>
        <v>283</v>
      </c>
      <c r="T22" s="39">
        <f t="shared" ref="T22:AF22" si="14">MAX(T10:T12)</f>
        <v>35</v>
      </c>
      <c r="U22" s="39">
        <f t="shared" si="14"/>
        <v>43</v>
      </c>
      <c r="V22" s="39">
        <f t="shared" si="14"/>
        <v>158</v>
      </c>
      <c r="W22" s="39">
        <f t="shared" si="14"/>
        <v>11</v>
      </c>
      <c r="X22" s="39">
        <f t="shared" si="14"/>
        <v>2</v>
      </c>
      <c r="Y22" s="39">
        <f t="shared" si="14"/>
        <v>69</v>
      </c>
      <c r="Z22" s="39">
        <f t="shared" si="14"/>
        <v>20</v>
      </c>
      <c r="AA22" s="39">
        <f t="shared" si="14"/>
        <v>11</v>
      </c>
      <c r="AB22" s="39">
        <f t="shared" si="14"/>
        <v>19</v>
      </c>
      <c r="AC22" s="39">
        <f t="shared" si="14"/>
        <v>517</v>
      </c>
      <c r="AD22" s="39">
        <f t="shared" si="14"/>
        <v>0</v>
      </c>
      <c r="AE22" s="40">
        <f t="shared" si="14"/>
        <v>595</v>
      </c>
      <c r="AF22" s="40">
        <f t="shared" si="14"/>
        <v>1098</v>
      </c>
    </row>
    <row r="23" spans="2:32" ht="23.1" customHeight="1" x14ac:dyDescent="0.25">
      <c r="B23" s="23" t="s">
        <v>50</v>
      </c>
      <c r="C23" s="50">
        <v>61</v>
      </c>
      <c r="D23" s="50">
        <v>12</v>
      </c>
      <c r="E23" s="50">
        <v>7</v>
      </c>
      <c r="F23" s="50">
        <v>37</v>
      </c>
      <c r="G23" s="50">
        <v>3</v>
      </c>
      <c r="H23" s="50">
        <v>1</v>
      </c>
      <c r="I23" s="50">
        <v>14</v>
      </c>
      <c r="J23" s="50">
        <v>8</v>
      </c>
      <c r="K23" s="50">
        <v>2</v>
      </c>
      <c r="L23" s="50">
        <v>5</v>
      </c>
      <c r="M23" s="50">
        <v>106</v>
      </c>
      <c r="N23" s="50">
        <v>0</v>
      </c>
      <c r="O23" s="15">
        <f t="shared" si="0"/>
        <v>150</v>
      </c>
      <c r="P23" s="15">
        <f t="shared" si="1"/>
        <v>256</v>
      </c>
      <c r="R23" s="38" t="s">
        <v>91</v>
      </c>
      <c r="S23" s="39">
        <f>MAX(S13:S18)</f>
        <v>319</v>
      </c>
      <c r="T23" s="39">
        <f t="shared" ref="T23:AF23" si="15">MAX(T13:T18)</f>
        <v>45</v>
      </c>
      <c r="U23" s="39">
        <f t="shared" si="15"/>
        <v>48</v>
      </c>
      <c r="V23" s="39">
        <f t="shared" si="15"/>
        <v>163</v>
      </c>
      <c r="W23" s="39">
        <f t="shared" si="15"/>
        <v>13</v>
      </c>
      <c r="X23" s="39">
        <f t="shared" si="15"/>
        <v>6</v>
      </c>
      <c r="Y23" s="39">
        <f t="shared" si="15"/>
        <v>82</v>
      </c>
      <c r="Z23" s="39">
        <f t="shared" si="15"/>
        <v>51</v>
      </c>
      <c r="AA23" s="39">
        <f t="shared" si="15"/>
        <v>24</v>
      </c>
      <c r="AB23" s="39">
        <f t="shared" si="15"/>
        <v>27</v>
      </c>
      <c r="AC23" s="39">
        <f t="shared" si="15"/>
        <v>458</v>
      </c>
      <c r="AD23" s="39">
        <f t="shared" si="15"/>
        <v>0</v>
      </c>
      <c r="AE23" s="40">
        <f t="shared" si="15"/>
        <v>725</v>
      </c>
      <c r="AF23" s="40">
        <f t="shared" si="15"/>
        <v>1152</v>
      </c>
    </row>
    <row r="24" spans="2:32" ht="23.1" customHeight="1" x14ac:dyDescent="0.25">
      <c r="B24" s="23" t="s">
        <v>51</v>
      </c>
      <c r="C24" s="50">
        <v>71</v>
      </c>
      <c r="D24" s="50">
        <v>12</v>
      </c>
      <c r="E24" s="50">
        <v>15</v>
      </c>
      <c r="F24" s="50">
        <v>49</v>
      </c>
      <c r="G24" s="50">
        <v>2</v>
      </c>
      <c r="H24" s="50">
        <v>0</v>
      </c>
      <c r="I24" s="50">
        <v>16</v>
      </c>
      <c r="J24" s="50">
        <v>8</v>
      </c>
      <c r="K24" s="50">
        <v>2</v>
      </c>
      <c r="L24" s="50">
        <v>3</v>
      </c>
      <c r="M24" s="50">
        <v>103</v>
      </c>
      <c r="N24" s="50">
        <v>0</v>
      </c>
      <c r="O24" s="15">
        <f t="shared" si="0"/>
        <v>178</v>
      </c>
      <c r="P24" s="15">
        <f t="shared" si="1"/>
        <v>281</v>
      </c>
      <c r="R24" s="38" t="s">
        <v>92</v>
      </c>
      <c r="S24" s="39">
        <f>MAX(S19:S21)</f>
        <v>475</v>
      </c>
      <c r="T24" s="39">
        <f t="shared" ref="T24:AF24" si="16">MAX(T19:T21)</f>
        <v>47</v>
      </c>
      <c r="U24" s="39">
        <f t="shared" si="16"/>
        <v>54</v>
      </c>
      <c r="V24" s="39">
        <f t="shared" si="16"/>
        <v>164</v>
      </c>
      <c r="W24" s="39">
        <f t="shared" si="16"/>
        <v>8</v>
      </c>
      <c r="X24" s="39">
        <f t="shared" si="16"/>
        <v>3</v>
      </c>
      <c r="Y24" s="39">
        <f t="shared" si="16"/>
        <v>82</v>
      </c>
      <c r="Z24" s="39">
        <f t="shared" si="16"/>
        <v>40</v>
      </c>
      <c r="AA24" s="39">
        <f t="shared" si="16"/>
        <v>21</v>
      </c>
      <c r="AB24" s="39">
        <f t="shared" si="16"/>
        <v>19</v>
      </c>
      <c r="AC24" s="39">
        <f t="shared" si="16"/>
        <v>459</v>
      </c>
      <c r="AD24" s="39">
        <f t="shared" si="16"/>
        <v>0</v>
      </c>
      <c r="AE24" s="40">
        <f t="shared" si="16"/>
        <v>861</v>
      </c>
      <c r="AF24" s="40">
        <f t="shared" si="16"/>
        <v>1287</v>
      </c>
    </row>
    <row r="25" spans="2:32" ht="23.1" customHeight="1" x14ac:dyDescent="0.25">
      <c r="B25" s="23" t="s">
        <v>52</v>
      </c>
      <c r="C25" s="50">
        <v>64</v>
      </c>
      <c r="D25" s="50">
        <v>13</v>
      </c>
      <c r="E25" s="50">
        <v>2</v>
      </c>
      <c r="F25" s="50">
        <v>40</v>
      </c>
      <c r="G25" s="50">
        <v>1</v>
      </c>
      <c r="H25" s="50">
        <v>2</v>
      </c>
      <c r="I25" s="50">
        <v>16</v>
      </c>
      <c r="J25" s="50">
        <v>7</v>
      </c>
      <c r="K25" s="50">
        <v>1</v>
      </c>
      <c r="L25" s="50">
        <v>8</v>
      </c>
      <c r="M25" s="50">
        <v>136</v>
      </c>
      <c r="N25" s="50">
        <v>0</v>
      </c>
      <c r="O25" s="15">
        <f t="shared" si="0"/>
        <v>154</v>
      </c>
      <c r="P25" s="15">
        <f t="shared" si="1"/>
        <v>290</v>
      </c>
      <c r="R25" s="37" t="s">
        <v>85</v>
      </c>
      <c r="S25" s="35">
        <f t="shared" ref="S25:AF25" si="17">SUM(S10:S12)</f>
        <v>810</v>
      </c>
      <c r="T25" s="16">
        <f t="shared" si="17"/>
        <v>88</v>
      </c>
      <c r="U25" s="16">
        <f t="shared" si="17"/>
        <v>121</v>
      </c>
      <c r="V25" s="16">
        <f t="shared" si="17"/>
        <v>436</v>
      </c>
      <c r="W25" s="16">
        <f t="shared" si="17"/>
        <v>20</v>
      </c>
      <c r="X25" s="16">
        <f t="shared" si="17"/>
        <v>4</v>
      </c>
      <c r="Y25" s="16">
        <f t="shared" si="17"/>
        <v>148</v>
      </c>
      <c r="Z25" s="16">
        <f t="shared" si="17"/>
        <v>50</v>
      </c>
      <c r="AA25" s="16">
        <f t="shared" si="17"/>
        <v>21</v>
      </c>
      <c r="AB25" s="16">
        <f t="shared" si="17"/>
        <v>44</v>
      </c>
      <c r="AC25" s="16">
        <f t="shared" si="17"/>
        <v>1400</v>
      </c>
      <c r="AD25" s="16">
        <f t="shared" si="17"/>
        <v>0</v>
      </c>
      <c r="AE25" s="32">
        <f t="shared" si="17"/>
        <v>1742</v>
      </c>
      <c r="AF25" s="32">
        <f t="shared" si="17"/>
        <v>3142</v>
      </c>
    </row>
    <row r="26" spans="2:32" ht="23.1" customHeight="1" x14ac:dyDescent="0.25">
      <c r="B26" s="23" t="s">
        <v>53</v>
      </c>
      <c r="C26" s="50">
        <v>73</v>
      </c>
      <c r="D26" s="50">
        <v>8</v>
      </c>
      <c r="E26" s="50">
        <v>13</v>
      </c>
      <c r="F26" s="50">
        <v>37</v>
      </c>
      <c r="G26" s="50">
        <v>2</v>
      </c>
      <c r="H26" s="50">
        <v>0</v>
      </c>
      <c r="I26" s="50">
        <v>13</v>
      </c>
      <c r="J26" s="50">
        <v>6</v>
      </c>
      <c r="K26" s="50">
        <v>2</v>
      </c>
      <c r="L26" s="50">
        <v>2</v>
      </c>
      <c r="M26" s="50">
        <v>140</v>
      </c>
      <c r="N26" s="50">
        <v>0</v>
      </c>
      <c r="O26" s="15">
        <f t="shared" si="0"/>
        <v>156</v>
      </c>
      <c r="P26" s="15">
        <f t="shared" si="1"/>
        <v>296</v>
      </c>
      <c r="R26" s="28" t="s">
        <v>86</v>
      </c>
      <c r="S26" s="16">
        <f t="shared" ref="S26:AF26" si="18">SUM(S13:S18)</f>
        <v>1697</v>
      </c>
      <c r="T26" s="16">
        <f t="shared" si="18"/>
        <v>232</v>
      </c>
      <c r="U26" s="16">
        <f t="shared" si="18"/>
        <v>239</v>
      </c>
      <c r="V26" s="16">
        <f t="shared" si="18"/>
        <v>852</v>
      </c>
      <c r="W26" s="16">
        <f t="shared" si="18"/>
        <v>43</v>
      </c>
      <c r="X26" s="16">
        <f t="shared" si="18"/>
        <v>16</v>
      </c>
      <c r="Y26" s="16">
        <f t="shared" si="18"/>
        <v>407</v>
      </c>
      <c r="Z26" s="16">
        <f t="shared" si="18"/>
        <v>202</v>
      </c>
      <c r="AA26" s="16">
        <f t="shared" si="18"/>
        <v>106</v>
      </c>
      <c r="AB26" s="16">
        <f t="shared" si="18"/>
        <v>142</v>
      </c>
      <c r="AC26" s="16">
        <f t="shared" si="18"/>
        <v>2300</v>
      </c>
      <c r="AD26" s="16">
        <f t="shared" si="18"/>
        <v>0</v>
      </c>
      <c r="AE26" s="32">
        <f t="shared" si="18"/>
        <v>3936</v>
      </c>
      <c r="AF26" s="32">
        <f t="shared" si="18"/>
        <v>6236</v>
      </c>
    </row>
    <row r="27" spans="2:32" ht="23.1" customHeight="1" x14ac:dyDescent="0.25">
      <c r="B27" s="23" t="s">
        <v>54</v>
      </c>
      <c r="C27" s="50">
        <v>74</v>
      </c>
      <c r="D27" s="50">
        <v>13</v>
      </c>
      <c r="E27" s="50">
        <v>9</v>
      </c>
      <c r="F27" s="50">
        <v>40</v>
      </c>
      <c r="G27" s="50">
        <v>2</v>
      </c>
      <c r="H27" s="50">
        <v>1</v>
      </c>
      <c r="I27" s="50">
        <v>14</v>
      </c>
      <c r="J27" s="50">
        <v>7</v>
      </c>
      <c r="K27" s="50">
        <v>3</v>
      </c>
      <c r="L27" s="50">
        <v>5</v>
      </c>
      <c r="M27" s="50">
        <v>103</v>
      </c>
      <c r="N27" s="50">
        <v>0</v>
      </c>
      <c r="O27" s="15">
        <f t="shared" si="0"/>
        <v>168</v>
      </c>
      <c r="P27" s="15">
        <f t="shared" si="1"/>
        <v>271</v>
      </c>
      <c r="R27" s="29" t="s">
        <v>87</v>
      </c>
      <c r="S27" s="16">
        <f t="shared" ref="S27:AF27" si="19">SUM(S19:S21)</f>
        <v>1298</v>
      </c>
      <c r="T27" s="16">
        <f t="shared" si="19"/>
        <v>123</v>
      </c>
      <c r="U27" s="16">
        <f t="shared" si="19"/>
        <v>142</v>
      </c>
      <c r="V27" s="16">
        <f t="shared" si="19"/>
        <v>436</v>
      </c>
      <c r="W27" s="16">
        <f t="shared" si="19"/>
        <v>22</v>
      </c>
      <c r="X27" s="16">
        <f t="shared" si="19"/>
        <v>7</v>
      </c>
      <c r="Y27" s="16">
        <f t="shared" si="19"/>
        <v>197</v>
      </c>
      <c r="Z27" s="16">
        <f t="shared" si="19"/>
        <v>111</v>
      </c>
      <c r="AA27" s="16">
        <f t="shared" si="19"/>
        <v>46</v>
      </c>
      <c r="AB27" s="16">
        <f t="shared" si="19"/>
        <v>56</v>
      </c>
      <c r="AC27" s="16">
        <f t="shared" si="19"/>
        <v>1058</v>
      </c>
      <c r="AD27" s="16">
        <f t="shared" si="19"/>
        <v>0</v>
      </c>
      <c r="AE27" s="32">
        <f t="shared" si="19"/>
        <v>2438</v>
      </c>
      <c r="AF27" s="32">
        <f t="shared" si="19"/>
        <v>3496</v>
      </c>
    </row>
    <row r="28" spans="2:32" ht="23.1" customHeight="1" x14ac:dyDescent="0.25">
      <c r="B28" s="23" t="s">
        <v>55</v>
      </c>
      <c r="C28" s="50">
        <v>81</v>
      </c>
      <c r="D28" s="50">
        <v>11</v>
      </c>
      <c r="E28" s="50">
        <v>8</v>
      </c>
      <c r="F28" s="50">
        <v>36</v>
      </c>
      <c r="G28" s="50">
        <v>6</v>
      </c>
      <c r="H28" s="50">
        <v>1</v>
      </c>
      <c r="I28" s="50">
        <v>23</v>
      </c>
      <c r="J28" s="50">
        <v>6</v>
      </c>
      <c r="K28" s="50">
        <v>7</v>
      </c>
      <c r="L28" s="50">
        <v>7</v>
      </c>
      <c r="M28" s="50">
        <v>119</v>
      </c>
      <c r="N28" s="50">
        <v>0</v>
      </c>
      <c r="O28" s="15">
        <f t="shared" si="0"/>
        <v>186</v>
      </c>
      <c r="P28" s="15">
        <f t="shared" si="1"/>
        <v>305</v>
      </c>
      <c r="R28" s="5" t="s">
        <v>17</v>
      </c>
      <c r="S28" s="16">
        <f t="shared" ref="S28:AF28" si="20">SUM(S10:S21)</f>
        <v>3805</v>
      </c>
      <c r="T28" s="16">
        <f t="shared" si="20"/>
        <v>443</v>
      </c>
      <c r="U28" s="16">
        <f t="shared" si="20"/>
        <v>502</v>
      </c>
      <c r="V28" s="16">
        <f t="shared" si="20"/>
        <v>1724</v>
      </c>
      <c r="W28" s="16">
        <f t="shared" si="20"/>
        <v>85</v>
      </c>
      <c r="X28" s="16">
        <f t="shared" si="20"/>
        <v>27</v>
      </c>
      <c r="Y28" s="16">
        <f t="shared" si="20"/>
        <v>752</v>
      </c>
      <c r="Z28" s="16">
        <f t="shared" si="20"/>
        <v>363</v>
      </c>
      <c r="AA28" s="16">
        <f t="shared" si="20"/>
        <v>173</v>
      </c>
      <c r="AB28" s="16">
        <f t="shared" si="20"/>
        <v>242</v>
      </c>
      <c r="AC28" s="16">
        <f t="shared" si="20"/>
        <v>4758</v>
      </c>
      <c r="AD28" s="16">
        <f t="shared" si="20"/>
        <v>0</v>
      </c>
      <c r="AE28" s="32">
        <f t="shared" si="20"/>
        <v>8116</v>
      </c>
      <c r="AF28" s="32">
        <f t="shared" si="20"/>
        <v>12874</v>
      </c>
    </row>
    <row r="29" spans="2:32" ht="23.1" customHeight="1" x14ac:dyDescent="0.25">
      <c r="B29" s="23" t="s">
        <v>56</v>
      </c>
      <c r="C29" s="50">
        <v>83</v>
      </c>
      <c r="D29" s="50">
        <v>13</v>
      </c>
      <c r="E29" s="50">
        <v>7</v>
      </c>
      <c r="F29" s="50">
        <v>30</v>
      </c>
      <c r="G29" s="50">
        <v>3</v>
      </c>
      <c r="H29" s="50">
        <v>1</v>
      </c>
      <c r="I29" s="50">
        <v>32</v>
      </c>
      <c r="J29" s="50">
        <v>4</v>
      </c>
      <c r="K29" s="50">
        <v>5</v>
      </c>
      <c r="L29" s="50">
        <v>6</v>
      </c>
      <c r="M29" s="50">
        <v>96</v>
      </c>
      <c r="N29" s="50">
        <v>0</v>
      </c>
      <c r="O29" s="15">
        <f t="shared" si="0"/>
        <v>184</v>
      </c>
      <c r="P29" s="15">
        <f t="shared" si="1"/>
        <v>280</v>
      </c>
      <c r="R29"/>
      <c r="S29" s="20"/>
      <c r="T29" s="19"/>
    </row>
    <row r="30" spans="2:32" ht="23.1" customHeight="1" x14ac:dyDescent="0.25">
      <c r="B30" s="23" t="s">
        <v>57</v>
      </c>
      <c r="C30" s="50">
        <v>67</v>
      </c>
      <c r="D30" s="50">
        <v>9</v>
      </c>
      <c r="E30" s="50">
        <v>17</v>
      </c>
      <c r="F30" s="50">
        <v>30</v>
      </c>
      <c r="G30" s="50">
        <v>1</v>
      </c>
      <c r="H30" s="50">
        <v>1</v>
      </c>
      <c r="I30" s="50">
        <v>20</v>
      </c>
      <c r="J30" s="50">
        <v>9</v>
      </c>
      <c r="K30" s="50">
        <v>6</v>
      </c>
      <c r="L30" s="50">
        <v>2</v>
      </c>
      <c r="M30" s="50">
        <v>95</v>
      </c>
      <c r="N30" s="50">
        <v>0</v>
      </c>
      <c r="O30" s="15">
        <f t="shared" si="0"/>
        <v>162</v>
      </c>
      <c r="P30" s="15">
        <f t="shared" si="1"/>
        <v>257</v>
      </c>
    </row>
    <row r="31" spans="2:32" ht="23.1" customHeight="1" x14ac:dyDescent="0.25">
      <c r="B31" s="24" t="s">
        <v>58</v>
      </c>
      <c r="C31" s="50">
        <v>71</v>
      </c>
      <c r="D31" s="50">
        <v>13</v>
      </c>
      <c r="E31" s="50">
        <v>3</v>
      </c>
      <c r="F31" s="50">
        <v>33</v>
      </c>
      <c r="G31" s="50">
        <v>2</v>
      </c>
      <c r="H31" s="50">
        <v>0</v>
      </c>
      <c r="I31" s="50">
        <v>13</v>
      </c>
      <c r="J31" s="50">
        <v>7</v>
      </c>
      <c r="K31" s="50">
        <v>6</v>
      </c>
      <c r="L31" s="50">
        <v>3</v>
      </c>
      <c r="M31" s="50">
        <v>67</v>
      </c>
      <c r="N31" s="50">
        <v>0</v>
      </c>
      <c r="O31" s="15">
        <f t="shared" si="0"/>
        <v>151</v>
      </c>
      <c r="P31" s="15">
        <f t="shared" si="1"/>
        <v>218</v>
      </c>
    </row>
    <row r="32" spans="2:32" ht="23.1" customHeight="1" x14ac:dyDescent="0.25">
      <c r="B32" s="24" t="s">
        <v>59</v>
      </c>
      <c r="C32" s="50">
        <v>71</v>
      </c>
      <c r="D32" s="50">
        <v>7</v>
      </c>
      <c r="E32" s="50">
        <v>9</v>
      </c>
      <c r="F32" s="50">
        <v>38</v>
      </c>
      <c r="G32" s="50">
        <v>1</v>
      </c>
      <c r="H32" s="50">
        <v>0</v>
      </c>
      <c r="I32" s="50">
        <v>23</v>
      </c>
      <c r="J32" s="50">
        <v>10</v>
      </c>
      <c r="K32" s="50">
        <v>2</v>
      </c>
      <c r="L32" s="50">
        <v>11</v>
      </c>
      <c r="M32" s="50">
        <v>110</v>
      </c>
      <c r="N32" s="50">
        <v>0</v>
      </c>
      <c r="O32" s="15">
        <f t="shared" si="0"/>
        <v>172</v>
      </c>
      <c r="P32" s="15">
        <f t="shared" si="1"/>
        <v>282</v>
      </c>
    </row>
    <row r="33" spans="2:20" ht="23.1" customHeight="1" x14ac:dyDescent="0.25">
      <c r="B33" s="23" t="s">
        <v>60</v>
      </c>
      <c r="C33" s="50">
        <v>70</v>
      </c>
      <c r="D33" s="50">
        <v>7</v>
      </c>
      <c r="E33" s="50">
        <v>11</v>
      </c>
      <c r="F33" s="50">
        <v>38</v>
      </c>
      <c r="G33" s="50">
        <v>3</v>
      </c>
      <c r="H33" s="50">
        <v>0</v>
      </c>
      <c r="I33" s="50">
        <v>15</v>
      </c>
      <c r="J33" s="50">
        <v>5</v>
      </c>
      <c r="K33" s="50">
        <v>4</v>
      </c>
      <c r="L33" s="50">
        <v>8</v>
      </c>
      <c r="M33" s="50">
        <v>99</v>
      </c>
      <c r="N33" s="50">
        <v>0</v>
      </c>
      <c r="O33" s="15">
        <f t="shared" si="0"/>
        <v>161</v>
      </c>
      <c r="P33" s="15">
        <f t="shared" si="1"/>
        <v>260</v>
      </c>
    </row>
    <row r="34" spans="2:20" ht="23.1" customHeight="1" x14ac:dyDescent="0.25">
      <c r="B34" s="24" t="s">
        <v>61</v>
      </c>
      <c r="C34" s="50">
        <v>83</v>
      </c>
      <c r="D34" s="50">
        <v>7</v>
      </c>
      <c r="E34" s="50">
        <v>13</v>
      </c>
      <c r="F34" s="50">
        <v>36</v>
      </c>
      <c r="G34" s="50">
        <v>5</v>
      </c>
      <c r="H34" s="50">
        <v>0</v>
      </c>
      <c r="I34" s="50">
        <v>14</v>
      </c>
      <c r="J34" s="50">
        <v>15</v>
      </c>
      <c r="K34" s="50">
        <v>4</v>
      </c>
      <c r="L34" s="50">
        <v>4</v>
      </c>
      <c r="M34" s="50">
        <v>101</v>
      </c>
      <c r="N34" s="50">
        <v>0</v>
      </c>
      <c r="O34" s="15">
        <f t="shared" si="0"/>
        <v>181</v>
      </c>
      <c r="P34" s="15">
        <f t="shared" si="1"/>
        <v>282</v>
      </c>
    </row>
    <row r="35" spans="2:20" ht="23.1" customHeight="1" x14ac:dyDescent="0.25">
      <c r="B35" s="24" t="s">
        <v>62</v>
      </c>
      <c r="C35" s="50">
        <v>72</v>
      </c>
      <c r="D35" s="50">
        <v>5</v>
      </c>
      <c r="E35" s="50">
        <v>11</v>
      </c>
      <c r="F35" s="50">
        <v>49</v>
      </c>
      <c r="G35" s="50">
        <v>0</v>
      </c>
      <c r="H35" s="50">
        <v>0</v>
      </c>
      <c r="I35" s="50">
        <v>12</v>
      </c>
      <c r="J35" s="50">
        <v>8</v>
      </c>
      <c r="K35" s="50">
        <v>2</v>
      </c>
      <c r="L35" s="50">
        <v>8</v>
      </c>
      <c r="M35" s="50">
        <v>111</v>
      </c>
      <c r="N35" s="50">
        <v>0</v>
      </c>
      <c r="O35" s="15">
        <f t="shared" si="0"/>
        <v>167</v>
      </c>
      <c r="P35" s="15">
        <f t="shared" si="1"/>
        <v>278</v>
      </c>
    </row>
    <row r="36" spans="2:20" ht="23.1" customHeight="1" x14ac:dyDescent="0.25">
      <c r="B36" s="24" t="s">
        <v>63</v>
      </c>
      <c r="C36" s="50">
        <v>80</v>
      </c>
      <c r="D36" s="50">
        <v>12</v>
      </c>
      <c r="E36" s="50">
        <v>12</v>
      </c>
      <c r="F36" s="50">
        <v>36</v>
      </c>
      <c r="G36" s="50">
        <v>3</v>
      </c>
      <c r="H36" s="50">
        <v>0</v>
      </c>
      <c r="I36" s="50">
        <v>12</v>
      </c>
      <c r="J36" s="50">
        <v>19</v>
      </c>
      <c r="K36" s="50">
        <v>6</v>
      </c>
      <c r="L36" s="50">
        <v>4</v>
      </c>
      <c r="M36" s="50">
        <v>90</v>
      </c>
      <c r="N36" s="50">
        <v>0</v>
      </c>
      <c r="O36" s="15">
        <f t="shared" si="0"/>
        <v>184</v>
      </c>
      <c r="P36" s="15">
        <f t="shared" si="1"/>
        <v>274</v>
      </c>
    </row>
    <row r="37" spans="2:20" ht="23.1" customHeight="1" x14ac:dyDescent="0.25">
      <c r="B37" s="23" t="s">
        <v>64</v>
      </c>
      <c r="C37" s="50">
        <v>84</v>
      </c>
      <c r="D37" s="50">
        <v>14</v>
      </c>
      <c r="E37" s="50">
        <v>11</v>
      </c>
      <c r="F37" s="50">
        <v>40</v>
      </c>
      <c r="G37" s="50">
        <v>0</v>
      </c>
      <c r="H37" s="50">
        <v>0</v>
      </c>
      <c r="I37" s="50">
        <v>17</v>
      </c>
      <c r="J37" s="50">
        <v>9</v>
      </c>
      <c r="K37" s="50">
        <v>8</v>
      </c>
      <c r="L37" s="50">
        <v>10</v>
      </c>
      <c r="M37" s="50">
        <v>94</v>
      </c>
      <c r="N37" s="50">
        <v>0</v>
      </c>
      <c r="O37" s="15">
        <f t="shared" si="0"/>
        <v>193</v>
      </c>
      <c r="P37" s="15">
        <f t="shared" si="1"/>
        <v>287</v>
      </c>
    </row>
    <row r="38" spans="2:20" ht="23.1" customHeight="1" x14ac:dyDescent="0.25">
      <c r="B38" s="24" t="s">
        <v>65</v>
      </c>
      <c r="C38" s="50">
        <v>69</v>
      </c>
      <c r="D38" s="50">
        <v>6</v>
      </c>
      <c r="E38" s="50">
        <v>10</v>
      </c>
      <c r="F38" s="50">
        <v>32</v>
      </c>
      <c r="G38" s="50">
        <v>0</v>
      </c>
      <c r="H38" s="50">
        <v>1</v>
      </c>
      <c r="I38" s="50">
        <v>15</v>
      </c>
      <c r="J38" s="50">
        <v>5</v>
      </c>
      <c r="K38" s="50">
        <v>4</v>
      </c>
      <c r="L38" s="50">
        <v>4</v>
      </c>
      <c r="M38" s="50">
        <v>79</v>
      </c>
      <c r="N38" s="50">
        <v>0</v>
      </c>
      <c r="O38" s="15">
        <f t="shared" si="0"/>
        <v>146</v>
      </c>
      <c r="P38" s="15">
        <f t="shared" si="1"/>
        <v>225</v>
      </c>
    </row>
    <row r="39" spans="2:20" ht="23.1" customHeight="1" x14ac:dyDescent="0.25">
      <c r="B39" s="24" t="s">
        <v>66</v>
      </c>
      <c r="C39" s="50">
        <v>89</v>
      </c>
      <c r="D39" s="50">
        <v>7</v>
      </c>
      <c r="E39" s="50">
        <v>17</v>
      </c>
      <c r="F39" s="50">
        <v>34</v>
      </c>
      <c r="G39" s="50">
        <v>0</v>
      </c>
      <c r="H39" s="50">
        <v>1</v>
      </c>
      <c r="I39" s="50">
        <v>21</v>
      </c>
      <c r="J39" s="50">
        <v>5</v>
      </c>
      <c r="K39" s="50">
        <v>8</v>
      </c>
      <c r="L39" s="50">
        <v>3</v>
      </c>
      <c r="M39" s="50">
        <v>81</v>
      </c>
      <c r="N39" s="50">
        <v>0</v>
      </c>
      <c r="O39" s="15">
        <f t="shared" si="0"/>
        <v>185</v>
      </c>
      <c r="P39" s="15">
        <f t="shared" si="1"/>
        <v>266</v>
      </c>
    </row>
    <row r="40" spans="2:20" ht="23.1" customHeight="1" x14ac:dyDescent="0.25">
      <c r="B40" s="24" t="s">
        <v>67</v>
      </c>
      <c r="C40" s="50">
        <v>53</v>
      </c>
      <c r="D40" s="50">
        <v>7</v>
      </c>
      <c r="E40" s="50">
        <v>11</v>
      </c>
      <c r="F40" s="50">
        <v>34</v>
      </c>
      <c r="G40" s="50">
        <v>2</v>
      </c>
      <c r="H40" s="50">
        <v>1</v>
      </c>
      <c r="I40" s="50">
        <v>9</v>
      </c>
      <c r="J40" s="50">
        <v>10</v>
      </c>
      <c r="K40" s="50">
        <v>3</v>
      </c>
      <c r="L40" s="50">
        <v>8</v>
      </c>
      <c r="M40" s="50">
        <v>73</v>
      </c>
      <c r="N40" s="50">
        <v>0</v>
      </c>
      <c r="O40" s="15">
        <f t="shared" si="0"/>
        <v>138</v>
      </c>
      <c r="P40" s="15">
        <f t="shared" si="1"/>
        <v>211</v>
      </c>
    </row>
    <row r="41" spans="2:20" ht="23.1" customHeight="1" x14ac:dyDescent="0.25">
      <c r="B41" s="23" t="s">
        <v>68</v>
      </c>
      <c r="C41" s="50">
        <v>64</v>
      </c>
      <c r="D41" s="50">
        <v>6</v>
      </c>
      <c r="E41" s="50">
        <v>10</v>
      </c>
      <c r="F41" s="50">
        <v>23</v>
      </c>
      <c r="G41" s="50">
        <v>1</v>
      </c>
      <c r="H41" s="50">
        <v>0</v>
      </c>
      <c r="I41" s="50">
        <v>24</v>
      </c>
      <c r="J41" s="50">
        <v>7</v>
      </c>
      <c r="K41" s="50">
        <v>4</v>
      </c>
      <c r="L41" s="50">
        <v>12</v>
      </c>
      <c r="M41" s="50">
        <v>89</v>
      </c>
      <c r="N41" s="50">
        <v>0</v>
      </c>
      <c r="O41" s="15">
        <f t="shared" si="0"/>
        <v>151</v>
      </c>
      <c r="P41" s="15">
        <f t="shared" si="1"/>
        <v>240</v>
      </c>
    </row>
    <row r="42" spans="2:20" ht="23.1" customHeight="1" x14ac:dyDescent="0.25">
      <c r="B42" s="24" t="s">
        <v>69</v>
      </c>
      <c r="C42" s="50">
        <v>56</v>
      </c>
      <c r="D42" s="50">
        <v>7</v>
      </c>
      <c r="E42" s="50">
        <v>10</v>
      </c>
      <c r="F42" s="50">
        <v>33</v>
      </c>
      <c r="G42" s="50">
        <v>2</v>
      </c>
      <c r="H42" s="50">
        <v>2</v>
      </c>
      <c r="I42" s="50">
        <v>15</v>
      </c>
      <c r="J42" s="50">
        <v>10</v>
      </c>
      <c r="K42" s="50">
        <v>2</v>
      </c>
      <c r="L42" s="50">
        <v>8</v>
      </c>
      <c r="M42" s="50">
        <v>70</v>
      </c>
      <c r="N42" s="50">
        <v>0</v>
      </c>
      <c r="O42" s="15">
        <f t="shared" si="0"/>
        <v>145</v>
      </c>
      <c r="P42" s="15">
        <f t="shared" si="1"/>
        <v>215</v>
      </c>
    </row>
    <row r="43" spans="2:20" ht="23.1" customHeight="1" x14ac:dyDescent="0.25">
      <c r="B43" s="23" t="s">
        <v>70</v>
      </c>
      <c r="C43" s="50">
        <v>72</v>
      </c>
      <c r="D43" s="50">
        <v>12</v>
      </c>
      <c r="E43" s="50">
        <v>13</v>
      </c>
      <c r="F43" s="50">
        <v>34</v>
      </c>
      <c r="G43" s="50">
        <v>0</v>
      </c>
      <c r="H43" s="50">
        <v>1</v>
      </c>
      <c r="I43" s="50">
        <v>22</v>
      </c>
      <c r="J43" s="50">
        <v>16</v>
      </c>
      <c r="K43" s="50">
        <v>3</v>
      </c>
      <c r="L43" s="50">
        <v>7</v>
      </c>
      <c r="M43" s="50">
        <v>63</v>
      </c>
      <c r="N43" s="50">
        <v>0</v>
      </c>
      <c r="O43" s="15">
        <f t="shared" si="0"/>
        <v>180</v>
      </c>
      <c r="P43" s="15">
        <f t="shared" si="1"/>
        <v>243</v>
      </c>
    </row>
    <row r="44" spans="2:20" ht="23.1" customHeight="1" x14ac:dyDescent="0.25">
      <c r="B44" s="25" t="s">
        <v>71</v>
      </c>
      <c r="C44" s="50">
        <v>85</v>
      </c>
      <c r="D44" s="50">
        <v>15</v>
      </c>
      <c r="E44" s="50">
        <v>8</v>
      </c>
      <c r="F44" s="50">
        <v>35</v>
      </c>
      <c r="G44" s="50">
        <v>2</v>
      </c>
      <c r="H44" s="50">
        <v>0</v>
      </c>
      <c r="I44" s="50">
        <v>20</v>
      </c>
      <c r="J44" s="50">
        <v>4</v>
      </c>
      <c r="K44" s="50">
        <v>9</v>
      </c>
      <c r="L44" s="50">
        <v>4</v>
      </c>
      <c r="M44" s="50">
        <v>102</v>
      </c>
      <c r="N44" s="50">
        <v>0</v>
      </c>
      <c r="O44" s="15">
        <f t="shared" si="0"/>
        <v>182</v>
      </c>
      <c r="P44" s="15">
        <f t="shared" si="1"/>
        <v>284</v>
      </c>
    </row>
    <row r="45" spans="2:20" ht="23.1" customHeight="1" x14ac:dyDescent="0.25">
      <c r="B45" s="23" t="s">
        <v>72</v>
      </c>
      <c r="C45" s="50">
        <v>51</v>
      </c>
      <c r="D45" s="50">
        <v>9</v>
      </c>
      <c r="E45" s="50">
        <v>4</v>
      </c>
      <c r="F45" s="50">
        <v>21</v>
      </c>
      <c r="G45" s="50">
        <v>0</v>
      </c>
      <c r="H45" s="50">
        <v>3</v>
      </c>
      <c r="I45" s="50">
        <v>10</v>
      </c>
      <c r="J45" s="50">
        <v>8</v>
      </c>
      <c r="K45" s="50">
        <v>10</v>
      </c>
      <c r="L45" s="50">
        <v>7</v>
      </c>
      <c r="M45" s="50">
        <v>60</v>
      </c>
      <c r="N45" s="50">
        <v>0</v>
      </c>
      <c r="O45" s="15">
        <f t="shared" si="0"/>
        <v>123</v>
      </c>
      <c r="P45" s="15">
        <f t="shared" si="1"/>
        <v>183</v>
      </c>
    </row>
    <row r="46" spans="2:20" ht="23.1" customHeight="1" x14ac:dyDescent="0.25">
      <c r="B46" s="24" t="s">
        <v>73</v>
      </c>
      <c r="C46" s="50">
        <v>82</v>
      </c>
      <c r="D46" s="50">
        <v>8</v>
      </c>
      <c r="E46" s="50">
        <v>8</v>
      </c>
      <c r="F46" s="50">
        <v>31</v>
      </c>
      <c r="G46" s="50">
        <v>0</v>
      </c>
      <c r="H46" s="50">
        <v>0</v>
      </c>
      <c r="I46" s="50">
        <v>19</v>
      </c>
      <c r="J46" s="50">
        <v>8</v>
      </c>
      <c r="K46" s="50">
        <v>9</v>
      </c>
      <c r="L46" s="50">
        <v>6</v>
      </c>
      <c r="M46" s="50">
        <v>75</v>
      </c>
      <c r="N46" s="50">
        <v>0</v>
      </c>
      <c r="O46" s="15">
        <f t="shared" si="0"/>
        <v>171</v>
      </c>
      <c r="P46" s="15">
        <f t="shared" si="1"/>
        <v>246</v>
      </c>
      <c r="R46" s="8"/>
      <c r="T46"/>
    </row>
    <row r="47" spans="2:20" ht="23.1" customHeight="1" x14ac:dyDescent="0.25">
      <c r="B47" s="24" t="s">
        <v>74</v>
      </c>
      <c r="C47" s="50">
        <v>61</v>
      </c>
      <c r="D47" s="50">
        <v>8</v>
      </c>
      <c r="E47" s="50">
        <v>10</v>
      </c>
      <c r="F47" s="50">
        <v>26</v>
      </c>
      <c r="G47" s="50">
        <v>3</v>
      </c>
      <c r="H47" s="50">
        <v>0</v>
      </c>
      <c r="I47" s="50">
        <v>16</v>
      </c>
      <c r="J47" s="50">
        <v>5</v>
      </c>
      <c r="K47" s="50">
        <v>3</v>
      </c>
      <c r="L47" s="50">
        <v>9</v>
      </c>
      <c r="M47" s="50">
        <v>65</v>
      </c>
      <c r="N47" s="50">
        <v>0</v>
      </c>
      <c r="O47" s="15">
        <f t="shared" si="0"/>
        <v>141</v>
      </c>
      <c r="P47" s="15">
        <f t="shared" si="1"/>
        <v>206</v>
      </c>
      <c r="R47" s="8"/>
      <c r="T47"/>
    </row>
    <row r="48" spans="2:20" ht="23.1" customHeight="1" x14ac:dyDescent="0.25">
      <c r="B48" s="24" t="s">
        <v>75</v>
      </c>
      <c r="C48" s="50">
        <v>90</v>
      </c>
      <c r="D48" s="50">
        <v>12</v>
      </c>
      <c r="E48" s="50">
        <v>9</v>
      </c>
      <c r="F48" s="50">
        <v>20</v>
      </c>
      <c r="G48" s="50">
        <v>2</v>
      </c>
      <c r="H48" s="50">
        <v>1</v>
      </c>
      <c r="I48" s="50">
        <v>19</v>
      </c>
      <c r="J48" s="50">
        <v>8</v>
      </c>
      <c r="K48" s="50">
        <v>3</v>
      </c>
      <c r="L48" s="50">
        <v>1</v>
      </c>
      <c r="M48" s="50">
        <v>53</v>
      </c>
      <c r="N48" s="50">
        <v>0</v>
      </c>
      <c r="O48" s="15">
        <f t="shared" si="0"/>
        <v>165</v>
      </c>
      <c r="P48" s="15">
        <f t="shared" si="1"/>
        <v>218</v>
      </c>
      <c r="R48" s="8"/>
      <c r="T48"/>
    </row>
    <row r="49" spans="2:20" ht="23.1" customHeight="1" x14ac:dyDescent="0.25">
      <c r="B49" s="23" t="s">
        <v>76</v>
      </c>
      <c r="C49" s="50">
        <v>129</v>
      </c>
      <c r="D49" s="50">
        <v>16</v>
      </c>
      <c r="E49" s="50">
        <v>27</v>
      </c>
      <c r="F49" s="50">
        <v>45</v>
      </c>
      <c r="G49" s="50">
        <v>3</v>
      </c>
      <c r="H49" s="50">
        <v>0</v>
      </c>
      <c r="I49" s="50">
        <v>28</v>
      </c>
      <c r="J49" s="50">
        <v>15</v>
      </c>
      <c r="K49" s="50">
        <v>6</v>
      </c>
      <c r="L49" s="50">
        <v>3</v>
      </c>
      <c r="M49" s="50">
        <v>82</v>
      </c>
      <c r="N49" s="50">
        <v>0</v>
      </c>
      <c r="O49" s="15">
        <f t="shared" si="0"/>
        <v>272</v>
      </c>
      <c r="P49" s="15">
        <f t="shared" si="1"/>
        <v>354</v>
      </c>
      <c r="R49" s="8"/>
      <c r="T49"/>
    </row>
    <row r="50" spans="2:20" ht="23.1" customHeight="1" x14ac:dyDescent="0.25">
      <c r="B50" s="24" t="s">
        <v>77</v>
      </c>
      <c r="C50" s="50">
        <v>105</v>
      </c>
      <c r="D50" s="50">
        <v>13</v>
      </c>
      <c r="E50" s="50">
        <v>8</v>
      </c>
      <c r="F50" s="50">
        <v>38</v>
      </c>
      <c r="G50" s="50">
        <v>1</v>
      </c>
      <c r="H50" s="50">
        <v>0</v>
      </c>
      <c r="I50" s="50">
        <v>12</v>
      </c>
      <c r="J50" s="50">
        <v>9</v>
      </c>
      <c r="K50" s="50">
        <v>3</v>
      </c>
      <c r="L50" s="50">
        <v>8</v>
      </c>
      <c r="M50" s="50">
        <v>75</v>
      </c>
      <c r="N50" s="50">
        <v>0</v>
      </c>
      <c r="O50" s="15">
        <f t="shared" si="0"/>
        <v>197</v>
      </c>
      <c r="P50" s="15">
        <f t="shared" si="1"/>
        <v>272</v>
      </c>
      <c r="R50" s="8"/>
      <c r="T50"/>
    </row>
    <row r="51" spans="2:20" ht="23.1" customHeight="1" x14ac:dyDescent="0.25">
      <c r="B51" s="24" t="s">
        <v>78</v>
      </c>
      <c r="C51" s="50">
        <v>117</v>
      </c>
      <c r="D51" s="50">
        <v>12</v>
      </c>
      <c r="E51" s="50">
        <v>8</v>
      </c>
      <c r="F51" s="50">
        <v>33</v>
      </c>
      <c r="G51" s="50">
        <v>0</v>
      </c>
      <c r="H51" s="50">
        <v>0</v>
      </c>
      <c r="I51" s="50">
        <v>12</v>
      </c>
      <c r="J51" s="50">
        <v>8</v>
      </c>
      <c r="K51" s="50">
        <v>3</v>
      </c>
      <c r="L51" s="50">
        <v>2</v>
      </c>
      <c r="M51" s="50">
        <v>86</v>
      </c>
      <c r="N51" s="50">
        <v>0</v>
      </c>
      <c r="O51" s="15">
        <f t="shared" si="0"/>
        <v>195</v>
      </c>
      <c r="P51" s="15">
        <f t="shared" si="1"/>
        <v>281</v>
      </c>
      <c r="R51" s="8"/>
      <c r="T51"/>
    </row>
    <row r="52" spans="2:20" ht="23.1" customHeight="1" x14ac:dyDescent="0.25">
      <c r="B52" s="24" t="s">
        <v>79</v>
      </c>
      <c r="C52" s="50">
        <v>115</v>
      </c>
      <c r="D52" s="50">
        <v>14</v>
      </c>
      <c r="E52" s="50">
        <v>10</v>
      </c>
      <c r="F52" s="50">
        <v>50</v>
      </c>
      <c r="G52" s="50">
        <v>5</v>
      </c>
      <c r="H52" s="50">
        <v>3</v>
      </c>
      <c r="I52" s="50">
        <v>16</v>
      </c>
      <c r="J52" s="50">
        <v>7</v>
      </c>
      <c r="K52" s="50">
        <v>3</v>
      </c>
      <c r="L52" s="50">
        <v>1</v>
      </c>
      <c r="M52" s="50">
        <v>88</v>
      </c>
      <c r="N52" s="50">
        <v>0</v>
      </c>
      <c r="O52" s="15">
        <f t="shared" si="0"/>
        <v>224</v>
      </c>
      <c r="P52" s="15">
        <f t="shared" si="1"/>
        <v>312</v>
      </c>
      <c r="R52" s="8"/>
      <c r="T52"/>
    </row>
    <row r="53" spans="2:20" ht="23.1" customHeight="1" x14ac:dyDescent="0.25">
      <c r="B53" s="23" t="s">
        <v>80</v>
      </c>
      <c r="C53" s="50">
        <v>138</v>
      </c>
      <c r="D53" s="50">
        <v>8</v>
      </c>
      <c r="E53" s="50">
        <v>18</v>
      </c>
      <c r="F53" s="50">
        <v>43</v>
      </c>
      <c r="G53" s="50">
        <v>0</v>
      </c>
      <c r="H53" s="50">
        <v>0</v>
      </c>
      <c r="I53" s="50">
        <v>18</v>
      </c>
      <c r="J53" s="50">
        <v>11</v>
      </c>
      <c r="K53" s="50">
        <v>2</v>
      </c>
      <c r="L53" s="50">
        <v>7</v>
      </c>
      <c r="M53" s="50">
        <v>75</v>
      </c>
      <c r="N53" s="50">
        <v>0</v>
      </c>
      <c r="O53" s="15">
        <f t="shared" si="0"/>
        <v>245</v>
      </c>
      <c r="P53" s="15">
        <f t="shared" si="1"/>
        <v>320</v>
      </c>
      <c r="R53" s="8"/>
      <c r="T53"/>
    </row>
    <row r="54" spans="2:20" ht="23.1" customHeight="1" x14ac:dyDescent="0.25">
      <c r="B54" s="23" t="s">
        <v>81</v>
      </c>
      <c r="C54" s="50">
        <v>134</v>
      </c>
      <c r="D54" s="50">
        <v>5</v>
      </c>
      <c r="E54" s="50">
        <v>17</v>
      </c>
      <c r="F54" s="50">
        <v>41</v>
      </c>
      <c r="G54" s="50">
        <v>3</v>
      </c>
      <c r="H54" s="50">
        <v>0</v>
      </c>
      <c r="I54" s="50">
        <v>19</v>
      </c>
      <c r="J54" s="50">
        <v>13</v>
      </c>
      <c r="K54" s="50">
        <v>8</v>
      </c>
      <c r="L54" s="50">
        <v>1</v>
      </c>
      <c r="M54" s="50">
        <v>147</v>
      </c>
      <c r="N54" s="50">
        <v>0</v>
      </c>
      <c r="O54" s="15">
        <f t="shared" si="0"/>
        <v>241</v>
      </c>
      <c r="P54" s="15">
        <f t="shared" si="1"/>
        <v>388</v>
      </c>
      <c r="R54" s="8"/>
      <c r="T54"/>
    </row>
    <row r="55" spans="2:20" ht="23.1" customHeight="1" x14ac:dyDescent="0.25">
      <c r="B55" s="23" t="s">
        <v>82</v>
      </c>
      <c r="C55" s="50">
        <v>158</v>
      </c>
      <c r="D55" s="50">
        <v>8</v>
      </c>
      <c r="E55" s="50">
        <v>6</v>
      </c>
      <c r="F55" s="50">
        <v>33</v>
      </c>
      <c r="G55" s="50">
        <v>3</v>
      </c>
      <c r="H55" s="50">
        <v>1</v>
      </c>
      <c r="I55" s="50">
        <v>6</v>
      </c>
      <c r="J55" s="50">
        <v>6</v>
      </c>
      <c r="K55" s="50">
        <v>2</v>
      </c>
      <c r="L55" s="50">
        <v>9</v>
      </c>
      <c r="M55" s="50">
        <v>125</v>
      </c>
      <c r="N55" s="50">
        <v>0</v>
      </c>
      <c r="O55" s="15">
        <f t="shared" si="0"/>
        <v>232</v>
      </c>
      <c r="P55" s="15">
        <f t="shared" si="1"/>
        <v>357</v>
      </c>
      <c r="R55" s="8"/>
      <c r="T55"/>
    </row>
    <row r="56" spans="2:20" ht="23.1" customHeight="1" x14ac:dyDescent="0.25">
      <c r="B56" s="23" t="s">
        <v>83</v>
      </c>
      <c r="C56" s="50">
        <v>98</v>
      </c>
      <c r="D56" s="50">
        <v>7</v>
      </c>
      <c r="E56" s="50">
        <v>8</v>
      </c>
      <c r="F56" s="50">
        <v>39</v>
      </c>
      <c r="G56" s="50">
        <v>0</v>
      </c>
      <c r="H56" s="50">
        <v>1</v>
      </c>
      <c r="I56" s="50">
        <v>18</v>
      </c>
      <c r="J56" s="50">
        <v>9</v>
      </c>
      <c r="K56" s="50">
        <v>2</v>
      </c>
      <c r="L56" s="50">
        <v>7</v>
      </c>
      <c r="M56" s="50">
        <v>83</v>
      </c>
      <c r="N56" s="50">
        <v>0</v>
      </c>
      <c r="O56" s="15">
        <f t="shared" si="0"/>
        <v>189</v>
      </c>
      <c r="P56" s="15">
        <f t="shared" si="1"/>
        <v>272</v>
      </c>
      <c r="R56" s="8"/>
      <c r="T56"/>
    </row>
    <row r="57" spans="2:20" ht="23.1" customHeight="1" x14ac:dyDescent="0.25">
      <c r="B57" s="23" t="s">
        <v>84</v>
      </c>
      <c r="C57" s="50">
        <v>71</v>
      </c>
      <c r="D57" s="50">
        <v>12</v>
      </c>
      <c r="E57" s="50">
        <v>13</v>
      </c>
      <c r="F57" s="50">
        <v>37</v>
      </c>
      <c r="G57" s="50">
        <v>2</v>
      </c>
      <c r="H57" s="50">
        <v>1</v>
      </c>
      <c r="I57" s="50">
        <v>14</v>
      </c>
      <c r="J57" s="50">
        <v>12</v>
      </c>
      <c r="K57" s="50">
        <v>2</v>
      </c>
      <c r="L57" s="50">
        <v>2</v>
      </c>
      <c r="M57" s="50">
        <v>104</v>
      </c>
      <c r="N57" s="50">
        <v>0</v>
      </c>
      <c r="O57" s="15">
        <f t="shared" si="0"/>
        <v>166</v>
      </c>
      <c r="P57" s="15">
        <f t="shared" si="1"/>
        <v>270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3805</v>
      </c>
      <c r="D58" s="16">
        <f t="shared" si="21"/>
        <v>443</v>
      </c>
      <c r="E58" s="16">
        <f t="shared" si="21"/>
        <v>502</v>
      </c>
      <c r="F58" s="16">
        <f t="shared" si="21"/>
        <v>1724</v>
      </c>
      <c r="G58" s="16">
        <f t="shared" si="21"/>
        <v>85</v>
      </c>
      <c r="H58" s="16">
        <f t="shared" si="21"/>
        <v>27</v>
      </c>
      <c r="I58" s="16">
        <f t="shared" si="21"/>
        <v>752</v>
      </c>
      <c r="J58" s="16">
        <f t="shared" si="21"/>
        <v>363</v>
      </c>
      <c r="K58" s="16">
        <f t="shared" si="21"/>
        <v>173</v>
      </c>
      <c r="L58" s="16">
        <f t="shared" si="21"/>
        <v>242</v>
      </c>
      <c r="M58" s="16">
        <f t="shared" si="21"/>
        <v>4758</v>
      </c>
      <c r="N58" s="16">
        <f t="shared" si="21"/>
        <v>0</v>
      </c>
      <c r="O58" s="16">
        <f t="shared" si="21"/>
        <v>8116</v>
      </c>
      <c r="P58" s="16">
        <f t="shared" si="21"/>
        <v>12874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0.29555693646108433</v>
      </c>
      <c r="D59" s="43">
        <f t="shared" si="22"/>
        <v>3.4410439645797729E-2</v>
      </c>
      <c r="E59" s="43">
        <f t="shared" si="22"/>
        <v>3.8993319869504425E-2</v>
      </c>
      <c r="F59" s="43">
        <f t="shared" si="22"/>
        <v>0.13391331365542955</v>
      </c>
      <c r="G59" s="43">
        <f t="shared" si="22"/>
        <v>6.6024545595774432E-3</v>
      </c>
      <c r="H59" s="43">
        <f t="shared" si="22"/>
        <v>2.0972502718657761E-3</v>
      </c>
      <c r="I59" s="43">
        <f t="shared" si="22"/>
        <v>5.8412303868261614E-2</v>
      </c>
      <c r="J59" s="43">
        <f t="shared" si="22"/>
        <v>2.8196364766195432E-2</v>
      </c>
      <c r="K59" s="43">
        <f t="shared" si="22"/>
        <v>1.3437936927139972E-2</v>
      </c>
      <c r="L59" s="43">
        <f t="shared" si="22"/>
        <v>1.8797576510796957E-2</v>
      </c>
      <c r="M59" s="43">
        <f t="shared" si="22"/>
        <v>0.36958210346434672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0.4688270083785116</v>
      </c>
      <c r="D60" s="44">
        <f t="shared" ref="D60:N60" si="23">D58/$O$58</f>
        <v>5.4583538689009364E-2</v>
      </c>
      <c r="E60" s="44">
        <f t="shared" si="23"/>
        <v>6.1853129620502711E-2</v>
      </c>
      <c r="F60" s="44">
        <f t="shared" si="23"/>
        <v>0.21241991128634796</v>
      </c>
      <c r="G60" s="44">
        <f t="shared" si="23"/>
        <v>1.0473139477575159E-2</v>
      </c>
      <c r="H60" s="44">
        <f t="shared" si="23"/>
        <v>3.326761951700345E-3</v>
      </c>
      <c r="I60" s="44">
        <f t="shared" si="23"/>
        <v>9.2656481025135531E-2</v>
      </c>
      <c r="J60" s="44">
        <f t="shared" si="23"/>
        <v>4.4726466239526863E-2</v>
      </c>
      <c r="K60" s="44">
        <f t="shared" si="23"/>
        <v>2.1315919172005916E-2</v>
      </c>
      <c r="L60" s="44">
        <f t="shared" si="23"/>
        <v>2.9817644159684575E-2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40" zoomScaleSheetLayoutView="40" workbookViewId="0">
      <selection activeCell="M54" sqref="M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'22.07 Busega-Masanafu'!C3:G3</f>
        <v>MCC - C1 - STN13 - NORTHERN BYPASS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64" t="str">
        <f>'22.07 Busega-Masanafu'!G5:H5</f>
        <v>NORTHERN BYPASS</v>
      </c>
      <c r="H5" s="65"/>
      <c r="I5" s="14"/>
      <c r="J5" s="2" t="s">
        <v>5</v>
      </c>
      <c r="K5" s="64" t="str">
        <f>'22.07 Busega-Masanafu'!K5:L5</f>
        <v>SSEMUKO SAMUEL JUNIOR W/MUTEBI CHRISTOPHER/SSEMWOGERERE FREDRICK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'22.07 Busega-Masanafu'!D6:E6</f>
        <v>BUSEGA</v>
      </c>
      <c r="E6" s="65"/>
      <c r="F6" s="2" t="s">
        <v>2</v>
      </c>
      <c r="G6" s="64" t="str">
        <f>'22.07 Busega-Masanafu'!G6:H6</f>
        <v>MASANAFU</v>
      </c>
      <c r="H6" s="65"/>
      <c r="J6" s="2" t="s">
        <v>21</v>
      </c>
      <c r="K6" s="64" t="str">
        <f>'22.07 Busega-Masanafu'!K6:L6</f>
        <v>ANDY/ANDREW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85</v>
      </c>
      <c r="D10" s="50">
        <v>6</v>
      </c>
      <c r="E10" s="50">
        <v>6</v>
      </c>
      <c r="F10" s="50">
        <v>21</v>
      </c>
      <c r="G10" s="50">
        <v>3</v>
      </c>
      <c r="H10" s="50">
        <v>0</v>
      </c>
      <c r="I10" s="50">
        <v>9</v>
      </c>
      <c r="J10" s="50">
        <v>13</v>
      </c>
      <c r="K10" s="50">
        <v>3</v>
      </c>
      <c r="L10" s="50">
        <v>2</v>
      </c>
      <c r="M10" s="50">
        <v>117</v>
      </c>
      <c r="N10" s="50">
        <v>0</v>
      </c>
      <c r="O10" s="15">
        <f t="shared" ref="O10:O57" si="0">SUM(C10:L10,N10)</f>
        <v>148</v>
      </c>
      <c r="P10" s="15">
        <f t="shared" ref="P10:P57" si="1">SUM(C10:N10)</f>
        <v>265</v>
      </c>
      <c r="R10" s="1" t="s">
        <v>6</v>
      </c>
      <c r="S10" s="17">
        <f t="shared" ref="S10:AF10" si="2">SUM(C10:C13)</f>
        <v>276</v>
      </c>
      <c r="T10" s="17">
        <f t="shared" si="2"/>
        <v>28</v>
      </c>
      <c r="U10" s="17">
        <f t="shared" si="2"/>
        <v>22</v>
      </c>
      <c r="V10" s="17">
        <f t="shared" si="2"/>
        <v>76</v>
      </c>
      <c r="W10" s="17">
        <f t="shared" si="2"/>
        <v>5</v>
      </c>
      <c r="X10" s="17">
        <f t="shared" si="2"/>
        <v>0</v>
      </c>
      <c r="Y10" s="17">
        <f t="shared" si="2"/>
        <v>37</v>
      </c>
      <c r="Z10" s="17">
        <f t="shared" si="2"/>
        <v>44</v>
      </c>
      <c r="AA10" s="17">
        <f t="shared" si="2"/>
        <v>13</v>
      </c>
      <c r="AB10" s="17">
        <f t="shared" si="2"/>
        <v>15</v>
      </c>
      <c r="AC10" s="17">
        <f t="shared" si="2"/>
        <v>615</v>
      </c>
      <c r="AD10" s="17">
        <f t="shared" si="2"/>
        <v>0</v>
      </c>
      <c r="AE10" s="31">
        <f t="shared" si="2"/>
        <v>516</v>
      </c>
      <c r="AF10" s="31">
        <f t="shared" si="2"/>
        <v>1131</v>
      </c>
    </row>
    <row r="11" spans="2:32" s="6" customFormat="1" ht="23.1" customHeight="1" x14ac:dyDescent="0.25">
      <c r="B11" s="23" t="s">
        <v>38</v>
      </c>
      <c r="C11" s="50">
        <v>69</v>
      </c>
      <c r="D11" s="50">
        <v>3</v>
      </c>
      <c r="E11" s="50">
        <v>9</v>
      </c>
      <c r="F11" s="50">
        <v>19</v>
      </c>
      <c r="G11" s="50">
        <v>0</v>
      </c>
      <c r="H11" s="50">
        <v>0</v>
      </c>
      <c r="I11" s="50">
        <v>11</v>
      </c>
      <c r="J11" s="50">
        <v>14</v>
      </c>
      <c r="K11" s="50">
        <v>6</v>
      </c>
      <c r="L11" s="50">
        <v>3</v>
      </c>
      <c r="M11" s="50">
        <v>146</v>
      </c>
      <c r="N11" s="50">
        <v>0</v>
      </c>
      <c r="O11" s="15">
        <f t="shared" si="0"/>
        <v>134</v>
      </c>
      <c r="P11" s="15">
        <f t="shared" si="1"/>
        <v>280</v>
      </c>
      <c r="R11" s="1" t="s">
        <v>7</v>
      </c>
      <c r="S11" s="17">
        <f t="shared" ref="S11:AF11" si="3">SUM(C14:C17)</f>
        <v>265</v>
      </c>
      <c r="T11" s="17">
        <f t="shared" si="3"/>
        <v>44</v>
      </c>
      <c r="U11" s="17">
        <f t="shared" si="3"/>
        <v>28</v>
      </c>
      <c r="V11" s="17">
        <f t="shared" si="3"/>
        <v>79</v>
      </c>
      <c r="W11" s="17">
        <f t="shared" si="3"/>
        <v>1</v>
      </c>
      <c r="X11" s="17">
        <f t="shared" si="3"/>
        <v>7</v>
      </c>
      <c r="Y11" s="17">
        <f t="shared" si="3"/>
        <v>28</v>
      </c>
      <c r="Z11" s="17">
        <f t="shared" si="3"/>
        <v>47</v>
      </c>
      <c r="AA11" s="17">
        <f t="shared" si="3"/>
        <v>14</v>
      </c>
      <c r="AB11" s="17">
        <f t="shared" si="3"/>
        <v>12</v>
      </c>
      <c r="AC11" s="17">
        <f t="shared" si="3"/>
        <v>632</v>
      </c>
      <c r="AD11" s="17">
        <f t="shared" si="3"/>
        <v>0</v>
      </c>
      <c r="AE11" s="31">
        <f t="shared" si="3"/>
        <v>525</v>
      </c>
      <c r="AF11" s="31">
        <f t="shared" si="3"/>
        <v>1157</v>
      </c>
    </row>
    <row r="12" spans="2:32" ht="23.1" customHeight="1" x14ac:dyDescent="0.25">
      <c r="B12" s="23" t="s">
        <v>39</v>
      </c>
      <c r="C12" s="50">
        <v>55</v>
      </c>
      <c r="D12" s="50">
        <v>13</v>
      </c>
      <c r="E12" s="50">
        <v>4</v>
      </c>
      <c r="F12" s="50">
        <v>24</v>
      </c>
      <c r="G12" s="50">
        <v>2</v>
      </c>
      <c r="H12" s="50">
        <v>0</v>
      </c>
      <c r="I12" s="50">
        <v>10</v>
      </c>
      <c r="J12" s="50">
        <v>10</v>
      </c>
      <c r="K12" s="50">
        <v>3</v>
      </c>
      <c r="L12" s="50">
        <v>7</v>
      </c>
      <c r="M12" s="50">
        <v>175</v>
      </c>
      <c r="N12" s="50">
        <v>0</v>
      </c>
      <c r="O12" s="15">
        <f t="shared" si="0"/>
        <v>128</v>
      </c>
      <c r="P12" s="15">
        <f t="shared" si="1"/>
        <v>303</v>
      </c>
      <c r="R12" s="1" t="s">
        <v>8</v>
      </c>
      <c r="S12" s="17">
        <f t="shared" ref="S12:AF12" si="4">SUM(C18:C21)</f>
        <v>244</v>
      </c>
      <c r="T12" s="17">
        <f t="shared" si="4"/>
        <v>54</v>
      </c>
      <c r="U12" s="17">
        <f t="shared" si="4"/>
        <v>36</v>
      </c>
      <c r="V12" s="17">
        <f t="shared" si="4"/>
        <v>94</v>
      </c>
      <c r="W12" s="17">
        <f t="shared" si="4"/>
        <v>8</v>
      </c>
      <c r="X12" s="17">
        <f t="shared" si="4"/>
        <v>3</v>
      </c>
      <c r="Y12" s="17">
        <f t="shared" si="4"/>
        <v>38</v>
      </c>
      <c r="Z12" s="17">
        <f t="shared" si="4"/>
        <v>27</v>
      </c>
      <c r="AA12" s="17">
        <f t="shared" si="4"/>
        <v>18</v>
      </c>
      <c r="AB12" s="17">
        <f t="shared" si="4"/>
        <v>13</v>
      </c>
      <c r="AC12" s="17">
        <f t="shared" si="4"/>
        <v>544</v>
      </c>
      <c r="AD12" s="17">
        <f t="shared" si="4"/>
        <v>0</v>
      </c>
      <c r="AE12" s="31">
        <f t="shared" si="4"/>
        <v>535</v>
      </c>
      <c r="AF12" s="31">
        <f t="shared" si="4"/>
        <v>1079</v>
      </c>
    </row>
    <row r="13" spans="2:32" ht="23.1" customHeight="1" x14ac:dyDescent="0.25">
      <c r="B13" s="23" t="s">
        <v>40</v>
      </c>
      <c r="C13" s="50">
        <v>67</v>
      </c>
      <c r="D13" s="50">
        <v>6</v>
      </c>
      <c r="E13" s="50">
        <v>3</v>
      </c>
      <c r="F13" s="50">
        <v>12</v>
      </c>
      <c r="G13" s="50">
        <v>0</v>
      </c>
      <c r="H13" s="50">
        <v>0</v>
      </c>
      <c r="I13" s="50">
        <v>7</v>
      </c>
      <c r="J13" s="50">
        <v>7</v>
      </c>
      <c r="K13" s="50">
        <v>1</v>
      </c>
      <c r="L13" s="50">
        <v>3</v>
      </c>
      <c r="M13" s="50">
        <v>177</v>
      </c>
      <c r="N13" s="50">
        <v>0</v>
      </c>
      <c r="O13" s="15">
        <f t="shared" si="0"/>
        <v>106</v>
      </c>
      <c r="P13" s="15">
        <f t="shared" si="1"/>
        <v>283</v>
      </c>
      <c r="R13" s="1" t="s">
        <v>9</v>
      </c>
      <c r="S13" s="17">
        <f t="shared" ref="S13:AF13" si="5">SUM(C22:C25)</f>
        <v>227</v>
      </c>
      <c r="T13" s="17">
        <f t="shared" si="5"/>
        <v>51</v>
      </c>
      <c r="U13" s="17">
        <f t="shared" si="5"/>
        <v>46</v>
      </c>
      <c r="V13" s="17">
        <f t="shared" si="5"/>
        <v>105</v>
      </c>
      <c r="W13" s="17">
        <f t="shared" si="5"/>
        <v>2</v>
      </c>
      <c r="X13" s="17">
        <f t="shared" si="5"/>
        <v>0</v>
      </c>
      <c r="Y13" s="17">
        <f t="shared" si="5"/>
        <v>40</v>
      </c>
      <c r="Z13" s="17">
        <f t="shared" si="5"/>
        <v>35</v>
      </c>
      <c r="AA13" s="17">
        <f t="shared" si="5"/>
        <v>21</v>
      </c>
      <c r="AB13" s="17">
        <f t="shared" si="5"/>
        <v>21</v>
      </c>
      <c r="AC13" s="17">
        <f t="shared" si="5"/>
        <v>497</v>
      </c>
      <c r="AD13" s="17">
        <f t="shared" si="5"/>
        <v>0</v>
      </c>
      <c r="AE13" s="31">
        <f t="shared" si="5"/>
        <v>548</v>
      </c>
      <c r="AF13" s="31">
        <f t="shared" si="5"/>
        <v>1045</v>
      </c>
    </row>
    <row r="14" spans="2:32" ht="23.1" customHeight="1" x14ac:dyDescent="0.25">
      <c r="B14" s="23" t="s">
        <v>41</v>
      </c>
      <c r="C14" s="50">
        <v>64</v>
      </c>
      <c r="D14" s="50">
        <v>9</v>
      </c>
      <c r="E14" s="50">
        <v>6</v>
      </c>
      <c r="F14" s="50">
        <v>23</v>
      </c>
      <c r="G14" s="50">
        <v>1</v>
      </c>
      <c r="H14" s="50">
        <v>1</v>
      </c>
      <c r="I14" s="50">
        <v>8</v>
      </c>
      <c r="J14" s="50">
        <v>7</v>
      </c>
      <c r="K14" s="50">
        <v>5</v>
      </c>
      <c r="L14" s="50">
        <v>2</v>
      </c>
      <c r="M14" s="50">
        <v>164</v>
      </c>
      <c r="N14" s="50">
        <v>0</v>
      </c>
      <c r="O14" s="15">
        <f t="shared" si="0"/>
        <v>126</v>
      </c>
      <c r="P14" s="15">
        <f t="shared" si="1"/>
        <v>290</v>
      </c>
      <c r="R14" s="1" t="s">
        <v>10</v>
      </c>
      <c r="S14" s="17">
        <f t="shared" ref="S14:AF14" si="6">SUM(C26:C29)</f>
        <v>229</v>
      </c>
      <c r="T14" s="17">
        <f t="shared" si="6"/>
        <v>48</v>
      </c>
      <c r="U14" s="17">
        <f t="shared" si="6"/>
        <v>42</v>
      </c>
      <c r="V14" s="17">
        <f t="shared" si="6"/>
        <v>119</v>
      </c>
      <c r="W14" s="17">
        <f t="shared" si="6"/>
        <v>2</v>
      </c>
      <c r="X14" s="17">
        <f t="shared" si="6"/>
        <v>1</v>
      </c>
      <c r="Y14" s="17">
        <f t="shared" si="6"/>
        <v>40</v>
      </c>
      <c r="Z14" s="17">
        <f t="shared" si="6"/>
        <v>43</v>
      </c>
      <c r="AA14" s="17">
        <f t="shared" si="6"/>
        <v>19</v>
      </c>
      <c r="AB14" s="17">
        <f t="shared" si="6"/>
        <v>17</v>
      </c>
      <c r="AC14" s="17">
        <f t="shared" si="6"/>
        <v>493</v>
      </c>
      <c r="AD14" s="17">
        <f t="shared" si="6"/>
        <v>0</v>
      </c>
      <c r="AE14" s="31">
        <f t="shared" si="6"/>
        <v>560</v>
      </c>
      <c r="AF14" s="31">
        <f t="shared" si="6"/>
        <v>1053</v>
      </c>
    </row>
    <row r="15" spans="2:32" ht="23.1" customHeight="1" x14ac:dyDescent="0.25">
      <c r="B15" s="23" t="s">
        <v>42</v>
      </c>
      <c r="C15" s="50">
        <v>65</v>
      </c>
      <c r="D15" s="50">
        <v>12</v>
      </c>
      <c r="E15" s="50">
        <v>6</v>
      </c>
      <c r="F15" s="50">
        <v>19</v>
      </c>
      <c r="G15" s="50">
        <v>0</v>
      </c>
      <c r="H15" s="50">
        <v>1</v>
      </c>
      <c r="I15" s="50">
        <v>2</v>
      </c>
      <c r="J15" s="50">
        <v>9</v>
      </c>
      <c r="K15" s="50">
        <v>4</v>
      </c>
      <c r="L15" s="50">
        <v>4</v>
      </c>
      <c r="M15" s="50">
        <v>172</v>
      </c>
      <c r="N15" s="50">
        <v>0</v>
      </c>
      <c r="O15" s="15">
        <f t="shared" si="0"/>
        <v>122</v>
      </c>
      <c r="P15" s="15">
        <f t="shared" si="1"/>
        <v>294</v>
      </c>
      <c r="R15" s="1" t="s">
        <v>11</v>
      </c>
      <c r="S15" s="17">
        <f t="shared" ref="S15:AF15" si="7">SUM(C30:C33)</f>
        <v>188</v>
      </c>
      <c r="T15" s="17">
        <f t="shared" si="7"/>
        <v>45</v>
      </c>
      <c r="U15" s="17">
        <f t="shared" si="7"/>
        <v>37</v>
      </c>
      <c r="V15" s="17">
        <f t="shared" si="7"/>
        <v>117</v>
      </c>
      <c r="W15" s="17">
        <f t="shared" si="7"/>
        <v>3</v>
      </c>
      <c r="X15" s="17">
        <f t="shared" si="7"/>
        <v>0</v>
      </c>
      <c r="Y15" s="17">
        <f t="shared" si="7"/>
        <v>48</v>
      </c>
      <c r="Z15" s="17">
        <f t="shared" si="7"/>
        <v>45</v>
      </c>
      <c r="AA15" s="17">
        <f t="shared" si="7"/>
        <v>8</v>
      </c>
      <c r="AB15" s="17">
        <f t="shared" si="7"/>
        <v>12</v>
      </c>
      <c r="AC15" s="17">
        <f t="shared" si="7"/>
        <v>547</v>
      </c>
      <c r="AD15" s="17">
        <f t="shared" si="7"/>
        <v>0</v>
      </c>
      <c r="AE15" s="31">
        <f t="shared" si="7"/>
        <v>503</v>
      </c>
      <c r="AF15" s="31">
        <f t="shared" si="7"/>
        <v>1050</v>
      </c>
    </row>
    <row r="16" spans="2:32" ht="23.1" customHeight="1" x14ac:dyDescent="0.25">
      <c r="B16" s="23" t="s">
        <v>43</v>
      </c>
      <c r="C16" s="50">
        <v>67</v>
      </c>
      <c r="D16" s="50">
        <v>12</v>
      </c>
      <c r="E16" s="50">
        <v>8</v>
      </c>
      <c r="F16" s="50">
        <v>19</v>
      </c>
      <c r="G16" s="50">
        <v>0</v>
      </c>
      <c r="H16" s="50">
        <v>0</v>
      </c>
      <c r="I16" s="50">
        <v>9</v>
      </c>
      <c r="J16" s="50">
        <v>12</v>
      </c>
      <c r="K16" s="50">
        <v>4</v>
      </c>
      <c r="L16" s="50">
        <v>4</v>
      </c>
      <c r="M16" s="50">
        <v>156</v>
      </c>
      <c r="N16" s="50">
        <v>0</v>
      </c>
      <c r="O16" s="15">
        <f t="shared" si="0"/>
        <v>135</v>
      </c>
      <c r="P16" s="15">
        <f t="shared" si="1"/>
        <v>291</v>
      </c>
      <c r="R16" s="1" t="s">
        <v>12</v>
      </c>
      <c r="S16" s="17">
        <f t="shared" ref="S16:AF16" si="8">SUM(C34:C37)</f>
        <v>209</v>
      </c>
      <c r="T16" s="17">
        <f t="shared" si="8"/>
        <v>68</v>
      </c>
      <c r="U16" s="17">
        <f t="shared" si="8"/>
        <v>37</v>
      </c>
      <c r="V16" s="17">
        <f t="shared" si="8"/>
        <v>121</v>
      </c>
      <c r="W16" s="17">
        <f t="shared" si="8"/>
        <v>4</v>
      </c>
      <c r="X16" s="17">
        <f t="shared" si="8"/>
        <v>0</v>
      </c>
      <c r="Y16" s="17">
        <f t="shared" si="8"/>
        <v>42</v>
      </c>
      <c r="Z16" s="17">
        <f t="shared" si="8"/>
        <v>47</v>
      </c>
      <c r="AA16" s="17">
        <f t="shared" si="8"/>
        <v>25</v>
      </c>
      <c r="AB16" s="17">
        <f t="shared" si="8"/>
        <v>24</v>
      </c>
      <c r="AC16" s="17">
        <f t="shared" si="8"/>
        <v>347</v>
      </c>
      <c r="AD16" s="17">
        <f t="shared" si="8"/>
        <v>0</v>
      </c>
      <c r="AE16" s="31">
        <f t="shared" si="8"/>
        <v>577</v>
      </c>
      <c r="AF16" s="31">
        <f t="shared" si="8"/>
        <v>924</v>
      </c>
    </row>
    <row r="17" spans="2:32" ht="23.1" customHeight="1" x14ac:dyDescent="0.25">
      <c r="B17" s="23" t="s">
        <v>44</v>
      </c>
      <c r="C17" s="50">
        <v>69</v>
      </c>
      <c r="D17" s="50">
        <v>11</v>
      </c>
      <c r="E17" s="50">
        <v>8</v>
      </c>
      <c r="F17" s="50">
        <v>18</v>
      </c>
      <c r="G17" s="50">
        <v>0</v>
      </c>
      <c r="H17" s="50">
        <v>5</v>
      </c>
      <c r="I17" s="50">
        <v>9</v>
      </c>
      <c r="J17" s="50">
        <v>19</v>
      </c>
      <c r="K17" s="50">
        <v>1</v>
      </c>
      <c r="L17" s="50">
        <v>2</v>
      </c>
      <c r="M17" s="50">
        <v>140</v>
      </c>
      <c r="N17" s="50">
        <v>0</v>
      </c>
      <c r="O17" s="15">
        <f t="shared" si="0"/>
        <v>142</v>
      </c>
      <c r="P17" s="15">
        <f t="shared" si="1"/>
        <v>282</v>
      </c>
      <c r="R17" s="1" t="s">
        <v>13</v>
      </c>
      <c r="S17" s="17">
        <f t="shared" ref="S17:AF17" si="9">SUM(C38:C41)</f>
        <v>241</v>
      </c>
      <c r="T17" s="17">
        <f t="shared" si="9"/>
        <v>58</v>
      </c>
      <c r="U17" s="17">
        <f t="shared" si="9"/>
        <v>51</v>
      </c>
      <c r="V17" s="17">
        <f t="shared" si="9"/>
        <v>100</v>
      </c>
      <c r="W17" s="17">
        <f t="shared" si="9"/>
        <v>1</v>
      </c>
      <c r="X17" s="17">
        <f t="shared" si="9"/>
        <v>0</v>
      </c>
      <c r="Y17" s="17">
        <f t="shared" si="9"/>
        <v>44</v>
      </c>
      <c r="Z17" s="17">
        <f t="shared" si="9"/>
        <v>45</v>
      </c>
      <c r="AA17" s="17">
        <f t="shared" si="9"/>
        <v>15</v>
      </c>
      <c r="AB17" s="17">
        <f t="shared" si="9"/>
        <v>22</v>
      </c>
      <c r="AC17" s="17">
        <f t="shared" si="9"/>
        <v>397</v>
      </c>
      <c r="AD17" s="17">
        <f t="shared" si="9"/>
        <v>0</v>
      </c>
      <c r="AE17" s="31">
        <f t="shared" si="9"/>
        <v>577</v>
      </c>
      <c r="AF17" s="31">
        <f t="shared" si="9"/>
        <v>974</v>
      </c>
    </row>
    <row r="18" spans="2:32" ht="23.1" customHeight="1" x14ac:dyDescent="0.25">
      <c r="B18" s="23" t="s">
        <v>45</v>
      </c>
      <c r="C18" s="50">
        <v>59</v>
      </c>
      <c r="D18" s="50">
        <v>7</v>
      </c>
      <c r="E18" s="50">
        <v>7</v>
      </c>
      <c r="F18" s="50">
        <v>23</v>
      </c>
      <c r="G18" s="50">
        <v>0</v>
      </c>
      <c r="H18" s="50">
        <v>0</v>
      </c>
      <c r="I18" s="50">
        <v>9</v>
      </c>
      <c r="J18" s="50">
        <v>2</v>
      </c>
      <c r="K18" s="50">
        <v>1</v>
      </c>
      <c r="L18" s="50">
        <v>3</v>
      </c>
      <c r="M18" s="50">
        <v>117</v>
      </c>
      <c r="N18" s="50">
        <v>0</v>
      </c>
      <c r="O18" s="15">
        <f t="shared" si="0"/>
        <v>111</v>
      </c>
      <c r="P18" s="15">
        <f t="shared" si="1"/>
        <v>228</v>
      </c>
      <c r="R18" s="1" t="s">
        <v>14</v>
      </c>
      <c r="S18" s="17">
        <f t="shared" ref="S18:AF18" si="10">SUM(C42:C45)</f>
        <v>261</v>
      </c>
      <c r="T18" s="17">
        <f t="shared" si="10"/>
        <v>68</v>
      </c>
      <c r="U18" s="17">
        <f t="shared" si="10"/>
        <v>53</v>
      </c>
      <c r="V18" s="17">
        <f t="shared" si="10"/>
        <v>107</v>
      </c>
      <c r="W18" s="17">
        <f t="shared" si="10"/>
        <v>12</v>
      </c>
      <c r="X18" s="17">
        <f t="shared" si="10"/>
        <v>4</v>
      </c>
      <c r="Y18" s="17">
        <f t="shared" si="10"/>
        <v>57</v>
      </c>
      <c r="Z18" s="17">
        <f t="shared" si="10"/>
        <v>50</v>
      </c>
      <c r="AA18" s="17">
        <f t="shared" si="10"/>
        <v>21</v>
      </c>
      <c r="AB18" s="17">
        <f t="shared" si="10"/>
        <v>19</v>
      </c>
      <c r="AC18" s="17">
        <f t="shared" si="10"/>
        <v>378</v>
      </c>
      <c r="AD18" s="17">
        <f t="shared" si="10"/>
        <v>0</v>
      </c>
      <c r="AE18" s="31">
        <f t="shared" si="10"/>
        <v>652</v>
      </c>
      <c r="AF18" s="31">
        <f t="shared" si="10"/>
        <v>1030</v>
      </c>
    </row>
    <row r="19" spans="2:32" ht="23.1" customHeight="1" x14ac:dyDescent="0.25">
      <c r="B19" s="23" t="s">
        <v>46</v>
      </c>
      <c r="C19" s="50">
        <v>51</v>
      </c>
      <c r="D19" s="50">
        <v>17</v>
      </c>
      <c r="E19" s="50">
        <v>7</v>
      </c>
      <c r="F19" s="50">
        <v>26</v>
      </c>
      <c r="G19" s="50">
        <v>0</v>
      </c>
      <c r="H19" s="50">
        <v>1</v>
      </c>
      <c r="I19" s="50">
        <v>9</v>
      </c>
      <c r="J19" s="50">
        <v>7</v>
      </c>
      <c r="K19" s="50">
        <v>2</v>
      </c>
      <c r="L19" s="50">
        <v>1</v>
      </c>
      <c r="M19" s="50">
        <v>138</v>
      </c>
      <c r="N19" s="50">
        <v>0</v>
      </c>
      <c r="O19" s="15">
        <f t="shared" si="0"/>
        <v>121</v>
      </c>
      <c r="P19" s="15">
        <f t="shared" si="1"/>
        <v>259</v>
      </c>
      <c r="R19" s="1" t="s">
        <v>15</v>
      </c>
      <c r="S19" s="17">
        <f t="shared" ref="S19:AF19" si="11">SUM(C46:C49)</f>
        <v>278</v>
      </c>
      <c r="T19" s="17">
        <f t="shared" si="11"/>
        <v>68</v>
      </c>
      <c r="U19" s="17">
        <f t="shared" si="11"/>
        <v>44</v>
      </c>
      <c r="V19" s="17">
        <f t="shared" si="11"/>
        <v>115</v>
      </c>
      <c r="W19" s="17">
        <f t="shared" si="11"/>
        <v>5</v>
      </c>
      <c r="X19" s="17">
        <f t="shared" si="11"/>
        <v>3</v>
      </c>
      <c r="Y19" s="17">
        <f t="shared" si="11"/>
        <v>51</v>
      </c>
      <c r="Z19" s="17">
        <f t="shared" si="11"/>
        <v>40</v>
      </c>
      <c r="AA19" s="17">
        <f t="shared" si="11"/>
        <v>22</v>
      </c>
      <c r="AB19" s="17">
        <f t="shared" si="11"/>
        <v>31</v>
      </c>
      <c r="AC19" s="17">
        <f t="shared" si="11"/>
        <v>423</v>
      </c>
      <c r="AD19" s="17">
        <f t="shared" si="11"/>
        <v>0</v>
      </c>
      <c r="AE19" s="31">
        <f t="shared" si="11"/>
        <v>657</v>
      </c>
      <c r="AF19" s="31">
        <f t="shared" si="11"/>
        <v>1080</v>
      </c>
    </row>
    <row r="20" spans="2:32" ht="23.1" customHeight="1" x14ac:dyDescent="0.25">
      <c r="B20" s="23" t="s">
        <v>47</v>
      </c>
      <c r="C20" s="50">
        <v>61</v>
      </c>
      <c r="D20" s="50">
        <v>18</v>
      </c>
      <c r="E20" s="50">
        <v>10</v>
      </c>
      <c r="F20" s="50">
        <v>19</v>
      </c>
      <c r="G20" s="50">
        <v>5</v>
      </c>
      <c r="H20" s="50">
        <v>2</v>
      </c>
      <c r="I20" s="50">
        <v>8</v>
      </c>
      <c r="J20" s="50">
        <v>6</v>
      </c>
      <c r="K20" s="50">
        <v>8</v>
      </c>
      <c r="L20" s="50">
        <v>5</v>
      </c>
      <c r="M20" s="50">
        <v>148</v>
      </c>
      <c r="N20" s="50">
        <v>0</v>
      </c>
      <c r="O20" s="15">
        <f t="shared" si="0"/>
        <v>142</v>
      </c>
      <c r="P20" s="15">
        <f t="shared" si="1"/>
        <v>290</v>
      </c>
      <c r="R20" s="1" t="s">
        <v>16</v>
      </c>
      <c r="S20" s="17">
        <f t="shared" ref="S20:AF20" si="12">SUM(C50:C53)</f>
        <v>268</v>
      </c>
      <c r="T20" s="17">
        <f t="shared" si="12"/>
        <v>62</v>
      </c>
      <c r="U20" s="17">
        <f t="shared" si="12"/>
        <v>51</v>
      </c>
      <c r="V20" s="17">
        <f t="shared" si="12"/>
        <v>111</v>
      </c>
      <c r="W20" s="17">
        <f t="shared" si="12"/>
        <v>18</v>
      </c>
      <c r="X20" s="17">
        <f t="shared" si="12"/>
        <v>3</v>
      </c>
      <c r="Y20" s="17">
        <f t="shared" si="12"/>
        <v>46</v>
      </c>
      <c r="Z20" s="17">
        <f t="shared" si="12"/>
        <v>41</v>
      </c>
      <c r="AA20" s="17">
        <f t="shared" si="12"/>
        <v>15</v>
      </c>
      <c r="AB20" s="17">
        <f t="shared" si="12"/>
        <v>23</v>
      </c>
      <c r="AC20" s="17">
        <f t="shared" si="12"/>
        <v>407</v>
      </c>
      <c r="AD20" s="17">
        <f t="shared" si="12"/>
        <v>2</v>
      </c>
      <c r="AE20" s="31">
        <f t="shared" si="12"/>
        <v>640</v>
      </c>
      <c r="AF20" s="31">
        <f t="shared" si="12"/>
        <v>1047</v>
      </c>
    </row>
    <row r="21" spans="2:32" ht="23.1" customHeight="1" x14ac:dyDescent="0.25">
      <c r="B21" s="23" t="s">
        <v>48</v>
      </c>
      <c r="C21" s="50">
        <v>73</v>
      </c>
      <c r="D21" s="50">
        <v>12</v>
      </c>
      <c r="E21" s="50">
        <v>12</v>
      </c>
      <c r="F21" s="50">
        <v>26</v>
      </c>
      <c r="G21" s="50">
        <v>3</v>
      </c>
      <c r="H21" s="50">
        <v>0</v>
      </c>
      <c r="I21" s="50">
        <v>12</v>
      </c>
      <c r="J21" s="50">
        <v>12</v>
      </c>
      <c r="K21" s="50">
        <v>7</v>
      </c>
      <c r="L21" s="50">
        <v>4</v>
      </c>
      <c r="M21" s="50">
        <v>141</v>
      </c>
      <c r="N21" s="50">
        <v>0</v>
      </c>
      <c r="O21" s="15">
        <f t="shared" si="0"/>
        <v>161</v>
      </c>
      <c r="P21" s="15">
        <f t="shared" si="1"/>
        <v>302</v>
      </c>
      <c r="R21" s="36" t="s">
        <v>20</v>
      </c>
      <c r="S21" s="34">
        <f t="shared" ref="S21:AF21" si="13">SUM(C54:C57)</f>
        <v>294</v>
      </c>
      <c r="T21" s="17">
        <f t="shared" si="13"/>
        <v>68</v>
      </c>
      <c r="U21" s="17">
        <f t="shared" si="13"/>
        <v>55</v>
      </c>
      <c r="V21" s="17">
        <f t="shared" si="13"/>
        <v>117</v>
      </c>
      <c r="W21" s="17">
        <f t="shared" si="13"/>
        <v>10</v>
      </c>
      <c r="X21" s="17">
        <f t="shared" si="13"/>
        <v>2</v>
      </c>
      <c r="Y21" s="17">
        <f t="shared" si="13"/>
        <v>23</v>
      </c>
      <c r="Z21" s="17">
        <f t="shared" si="13"/>
        <v>53</v>
      </c>
      <c r="AA21" s="17">
        <f t="shared" si="13"/>
        <v>13</v>
      </c>
      <c r="AB21" s="17">
        <f t="shared" si="13"/>
        <v>26</v>
      </c>
      <c r="AC21" s="17">
        <f t="shared" si="13"/>
        <v>539</v>
      </c>
      <c r="AD21" s="17">
        <f t="shared" si="13"/>
        <v>0</v>
      </c>
      <c r="AE21" s="31">
        <f t="shared" si="13"/>
        <v>661</v>
      </c>
      <c r="AF21" s="31">
        <f t="shared" si="13"/>
        <v>1200</v>
      </c>
    </row>
    <row r="22" spans="2:32" ht="23.1" customHeight="1" x14ac:dyDescent="0.25">
      <c r="B22" s="23" t="s">
        <v>49</v>
      </c>
      <c r="C22" s="50">
        <v>51</v>
      </c>
      <c r="D22" s="50">
        <v>13</v>
      </c>
      <c r="E22" s="50">
        <v>13</v>
      </c>
      <c r="F22" s="50">
        <v>25</v>
      </c>
      <c r="G22" s="50">
        <v>1</v>
      </c>
      <c r="H22" s="50">
        <v>0</v>
      </c>
      <c r="I22" s="50">
        <v>11</v>
      </c>
      <c r="J22" s="50">
        <v>7</v>
      </c>
      <c r="K22" s="50">
        <v>5</v>
      </c>
      <c r="L22" s="50">
        <v>6</v>
      </c>
      <c r="M22" s="50">
        <v>150</v>
      </c>
      <c r="N22" s="50">
        <v>0</v>
      </c>
      <c r="O22" s="15">
        <f t="shared" si="0"/>
        <v>132</v>
      </c>
      <c r="P22" s="15">
        <f t="shared" si="1"/>
        <v>282</v>
      </c>
      <c r="R22" s="38" t="s">
        <v>90</v>
      </c>
      <c r="S22" s="39">
        <f>MAX(S10:S12)</f>
        <v>276</v>
      </c>
      <c r="T22" s="39">
        <f t="shared" ref="T22:AF22" si="14">MAX(T10:T12)</f>
        <v>54</v>
      </c>
      <c r="U22" s="39">
        <f t="shared" si="14"/>
        <v>36</v>
      </c>
      <c r="V22" s="39">
        <f t="shared" si="14"/>
        <v>94</v>
      </c>
      <c r="W22" s="39">
        <f t="shared" si="14"/>
        <v>8</v>
      </c>
      <c r="X22" s="39">
        <f t="shared" si="14"/>
        <v>7</v>
      </c>
      <c r="Y22" s="39">
        <f t="shared" si="14"/>
        <v>38</v>
      </c>
      <c r="Z22" s="39">
        <f t="shared" si="14"/>
        <v>47</v>
      </c>
      <c r="AA22" s="39">
        <f t="shared" si="14"/>
        <v>18</v>
      </c>
      <c r="AB22" s="39">
        <f t="shared" si="14"/>
        <v>15</v>
      </c>
      <c r="AC22" s="39">
        <f t="shared" si="14"/>
        <v>632</v>
      </c>
      <c r="AD22" s="39">
        <f t="shared" si="14"/>
        <v>0</v>
      </c>
      <c r="AE22" s="40">
        <f t="shared" si="14"/>
        <v>535</v>
      </c>
      <c r="AF22" s="40">
        <f t="shared" si="14"/>
        <v>1157</v>
      </c>
    </row>
    <row r="23" spans="2:32" ht="23.1" customHeight="1" x14ac:dyDescent="0.25">
      <c r="B23" s="23" t="s">
        <v>50</v>
      </c>
      <c r="C23" s="50">
        <v>53</v>
      </c>
      <c r="D23" s="50">
        <v>10</v>
      </c>
      <c r="E23" s="50">
        <v>12</v>
      </c>
      <c r="F23" s="50">
        <v>22</v>
      </c>
      <c r="G23" s="50">
        <v>0</v>
      </c>
      <c r="H23" s="50">
        <v>0</v>
      </c>
      <c r="I23" s="50">
        <v>10</v>
      </c>
      <c r="J23" s="50">
        <v>11</v>
      </c>
      <c r="K23" s="50">
        <v>4</v>
      </c>
      <c r="L23" s="50">
        <v>2</v>
      </c>
      <c r="M23" s="50">
        <v>130</v>
      </c>
      <c r="N23" s="50">
        <v>0</v>
      </c>
      <c r="O23" s="15">
        <f t="shared" si="0"/>
        <v>124</v>
      </c>
      <c r="P23" s="15">
        <f t="shared" si="1"/>
        <v>254</v>
      </c>
      <c r="R23" s="38" t="s">
        <v>91</v>
      </c>
      <c r="S23" s="39">
        <f>MAX(S13:S18)</f>
        <v>261</v>
      </c>
      <c r="T23" s="39">
        <f t="shared" ref="T23:AF23" si="15">MAX(T13:T18)</f>
        <v>68</v>
      </c>
      <c r="U23" s="39">
        <f t="shared" si="15"/>
        <v>53</v>
      </c>
      <c r="V23" s="39">
        <f t="shared" si="15"/>
        <v>121</v>
      </c>
      <c r="W23" s="39">
        <f t="shared" si="15"/>
        <v>12</v>
      </c>
      <c r="X23" s="39">
        <f t="shared" si="15"/>
        <v>4</v>
      </c>
      <c r="Y23" s="39">
        <f t="shared" si="15"/>
        <v>57</v>
      </c>
      <c r="Z23" s="39">
        <f t="shared" si="15"/>
        <v>50</v>
      </c>
      <c r="AA23" s="39">
        <f t="shared" si="15"/>
        <v>25</v>
      </c>
      <c r="AB23" s="39">
        <f t="shared" si="15"/>
        <v>24</v>
      </c>
      <c r="AC23" s="39">
        <f t="shared" si="15"/>
        <v>547</v>
      </c>
      <c r="AD23" s="39">
        <f t="shared" si="15"/>
        <v>0</v>
      </c>
      <c r="AE23" s="40">
        <f t="shared" si="15"/>
        <v>652</v>
      </c>
      <c r="AF23" s="40">
        <f t="shared" si="15"/>
        <v>1053</v>
      </c>
    </row>
    <row r="24" spans="2:32" ht="23.1" customHeight="1" x14ac:dyDescent="0.25">
      <c r="B24" s="23" t="s">
        <v>51</v>
      </c>
      <c r="C24" s="50">
        <v>62</v>
      </c>
      <c r="D24" s="50">
        <v>11</v>
      </c>
      <c r="E24" s="50">
        <v>12</v>
      </c>
      <c r="F24" s="50">
        <v>31</v>
      </c>
      <c r="G24" s="50">
        <v>1</v>
      </c>
      <c r="H24" s="50">
        <v>0</v>
      </c>
      <c r="I24" s="50">
        <v>8</v>
      </c>
      <c r="J24" s="50">
        <v>6</v>
      </c>
      <c r="K24" s="50">
        <v>6</v>
      </c>
      <c r="L24" s="50">
        <v>6</v>
      </c>
      <c r="M24" s="50">
        <v>99</v>
      </c>
      <c r="N24" s="50">
        <v>0</v>
      </c>
      <c r="O24" s="15">
        <f t="shared" si="0"/>
        <v>143</v>
      </c>
      <c r="P24" s="15">
        <f t="shared" si="1"/>
        <v>242</v>
      </c>
      <c r="R24" s="38" t="s">
        <v>92</v>
      </c>
      <c r="S24" s="39">
        <f>MAX(S19:S21)</f>
        <v>294</v>
      </c>
      <c r="T24" s="39">
        <f t="shared" ref="T24:AF24" si="16">MAX(T19:T21)</f>
        <v>68</v>
      </c>
      <c r="U24" s="39">
        <f t="shared" si="16"/>
        <v>55</v>
      </c>
      <c r="V24" s="39">
        <f t="shared" si="16"/>
        <v>117</v>
      </c>
      <c r="W24" s="39">
        <f t="shared" si="16"/>
        <v>18</v>
      </c>
      <c r="X24" s="39">
        <f t="shared" si="16"/>
        <v>3</v>
      </c>
      <c r="Y24" s="39">
        <f t="shared" si="16"/>
        <v>51</v>
      </c>
      <c r="Z24" s="39">
        <f t="shared" si="16"/>
        <v>53</v>
      </c>
      <c r="AA24" s="39">
        <f t="shared" si="16"/>
        <v>22</v>
      </c>
      <c r="AB24" s="39">
        <f t="shared" si="16"/>
        <v>31</v>
      </c>
      <c r="AC24" s="39">
        <f t="shared" si="16"/>
        <v>539</v>
      </c>
      <c r="AD24" s="39">
        <f t="shared" si="16"/>
        <v>2</v>
      </c>
      <c r="AE24" s="40">
        <f t="shared" si="16"/>
        <v>661</v>
      </c>
      <c r="AF24" s="40">
        <f t="shared" si="16"/>
        <v>1200</v>
      </c>
    </row>
    <row r="25" spans="2:32" ht="23.1" customHeight="1" x14ac:dyDescent="0.25">
      <c r="B25" s="23" t="s">
        <v>52</v>
      </c>
      <c r="C25" s="50">
        <v>61</v>
      </c>
      <c r="D25" s="50">
        <v>17</v>
      </c>
      <c r="E25" s="50">
        <v>9</v>
      </c>
      <c r="F25" s="50">
        <v>27</v>
      </c>
      <c r="G25" s="50">
        <v>0</v>
      </c>
      <c r="H25" s="50">
        <v>0</v>
      </c>
      <c r="I25" s="50">
        <v>11</v>
      </c>
      <c r="J25" s="50">
        <v>11</v>
      </c>
      <c r="K25" s="50">
        <v>6</v>
      </c>
      <c r="L25" s="50">
        <v>7</v>
      </c>
      <c r="M25" s="50">
        <v>118</v>
      </c>
      <c r="N25" s="50">
        <v>0</v>
      </c>
      <c r="O25" s="15">
        <f t="shared" si="0"/>
        <v>149</v>
      </c>
      <c r="P25" s="15">
        <f t="shared" si="1"/>
        <v>267</v>
      </c>
      <c r="R25" s="37" t="s">
        <v>85</v>
      </c>
      <c r="S25" s="35">
        <f t="shared" ref="S25:AF25" si="17">SUM(S10:S12)</f>
        <v>785</v>
      </c>
      <c r="T25" s="16">
        <f t="shared" si="17"/>
        <v>126</v>
      </c>
      <c r="U25" s="16">
        <f t="shared" si="17"/>
        <v>86</v>
      </c>
      <c r="V25" s="16">
        <f t="shared" si="17"/>
        <v>249</v>
      </c>
      <c r="W25" s="16">
        <f t="shared" si="17"/>
        <v>14</v>
      </c>
      <c r="X25" s="16">
        <f t="shared" si="17"/>
        <v>10</v>
      </c>
      <c r="Y25" s="16">
        <f t="shared" si="17"/>
        <v>103</v>
      </c>
      <c r="Z25" s="16">
        <f t="shared" si="17"/>
        <v>118</v>
      </c>
      <c r="AA25" s="16">
        <f t="shared" si="17"/>
        <v>45</v>
      </c>
      <c r="AB25" s="16">
        <f t="shared" si="17"/>
        <v>40</v>
      </c>
      <c r="AC25" s="16">
        <f t="shared" si="17"/>
        <v>1791</v>
      </c>
      <c r="AD25" s="16">
        <f t="shared" si="17"/>
        <v>0</v>
      </c>
      <c r="AE25" s="32">
        <f t="shared" si="17"/>
        <v>1576</v>
      </c>
      <c r="AF25" s="32">
        <f t="shared" si="17"/>
        <v>3367</v>
      </c>
    </row>
    <row r="26" spans="2:32" ht="23.1" customHeight="1" x14ac:dyDescent="0.25">
      <c r="B26" s="23" t="s">
        <v>53</v>
      </c>
      <c r="C26" s="50">
        <v>73</v>
      </c>
      <c r="D26" s="50">
        <v>13</v>
      </c>
      <c r="E26" s="50">
        <v>11</v>
      </c>
      <c r="F26" s="50">
        <v>31</v>
      </c>
      <c r="G26" s="50">
        <v>1</v>
      </c>
      <c r="H26" s="50">
        <v>0</v>
      </c>
      <c r="I26" s="50">
        <v>13</v>
      </c>
      <c r="J26" s="50">
        <v>11</v>
      </c>
      <c r="K26" s="50">
        <v>3</v>
      </c>
      <c r="L26" s="50">
        <v>3</v>
      </c>
      <c r="M26" s="50">
        <v>122</v>
      </c>
      <c r="N26" s="50">
        <v>0</v>
      </c>
      <c r="O26" s="15">
        <f t="shared" si="0"/>
        <v>159</v>
      </c>
      <c r="P26" s="15">
        <f t="shared" si="1"/>
        <v>281</v>
      </c>
      <c r="R26" s="28" t="s">
        <v>86</v>
      </c>
      <c r="S26" s="16">
        <f t="shared" ref="S26:AF26" si="18">SUM(S13:S18)</f>
        <v>1355</v>
      </c>
      <c r="T26" s="16">
        <f t="shared" si="18"/>
        <v>338</v>
      </c>
      <c r="U26" s="16">
        <f t="shared" si="18"/>
        <v>266</v>
      </c>
      <c r="V26" s="16">
        <f t="shared" si="18"/>
        <v>669</v>
      </c>
      <c r="W26" s="16">
        <f t="shared" si="18"/>
        <v>24</v>
      </c>
      <c r="X26" s="16">
        <f t="shared" si="18"/>
        <v>5</v>
      </c>
      <c r="Y26" s="16">
        <f t="shared" si="18"/>
        <v>271</v>
      </c>
      <c r="Z26" s="16">
        <f t="shared" si="18"/>
        <v>265</v>
      </c>
      <c r="AA26" s="16">
        <f t="shared" si="18"/>
        <v>109</v>
      </c>
      <c r="AB26" s="16">
        <f t="shared" si="18"/>
        <v>115</v>
      </c>
      <c r="AC26" s="16">
        <f t="shared" si="18"/>
        <v>2659</v>
      </c>
      <c r="AD26" s="16">
        <f t="shared" si="18"/>
        <v>0</v>
      </c>
      <c r="AE26" s="32">
        <f t="shared" si="18"/>
        <v>3417</v>
      </c>
      <c r="AF26" s="32">
        <f t="shared" si="18"/>
        <v>6076</v>
      </c>
    </row>
    <row r="27" spans="2:32" ht="23.1" customHeight="1" x14ac:dyDescent="0.25">
      <c r="B27" s="23" t="s">
        <v>54</v>
      </c>
      <c r="C27" s="50">
        <v>42</v>
      </c>
      <c r="D27" s="50">
        <v>14</v>
      </c>
      <c r="E27" s="50">
        <v>8</v>
      </c>
      <c r="F27" s="50">
        <v>32</v>
      </c>
      <c r="G27" s="50">
        <v>0</v>
      </c>
      <c r="H27" s="50">
        <v>1</v>
      </c>
      <c r="I27" s="50">
        <v>8</v>
      </c>
      <c r="J27" s="50">
        <v>10</v>
      </c>
      <c r="K27" s="50">
        <v>6</v>
      </c>
      <c r="L27" s="50">
        <v>4</v>
      </c>
      <c r="M27" s="50">
        <v>117</v>
      </c>
      <c r="N27" s="50">
        <v>0</v>
      </c>
      <c r="O27" s="15">
        <f t="shared" si="0"/>
        <v>125</v>
      </c>
      <c r="P27" s="15">
        <f t="shared" si="1"/>
        <v>242</v>
      </c>
      <c r="R27" s="29" t="s">
        <v>87</v>
      </c>
      <c r="S27" s="16">
        <f t="shared" ref="S27:AF27" si="19">SUM(S19:S21)</f>
        <v>840</v>
      </c>
      <c r="T27" s="16">
        <f t="shared" si="19"/>
        <v>198</v>
      </c>
      <c r="U27" s="16">
        <f t="shared" si="19"/>
        <v>150</v>
      </c>
      <c r="V27" s="16">
        <f t="shared" si="19"/>
        <v>343</v>
      </c>
      <c r="W27" s="16">
        <f t="shared" si="19"/>
        <v>33</v>
      </c>
      <c r="X27" s="16">
        <f t="shared" si="19"/>
        <v>8</v>
      </c>
      <c r="Y27" s="16">
        <f t="shared" si="19"/>
        <v>120</v>
      </c>
      <c r="Z27" s="16">
        <f t="shared" si="19"/>
        <v>134</v>
      </c>
      <c r="AA27" s="16">
        <f t="shared" si="19"/>
        <v>50</v>
      </c>
      <c r="AB27" s="16">
        <f t="shared" si="19"/>
        <v>80</v>
      </c>
      <c r="AC27" s="16">
        <f t="shared" si="19"/>
        <v>1369</v>
      </c>
      <c r="AD27" s="16">
        <f t="shared" si="19"/>
        <v>2</v>
      </c>
      <c r="AE27" s="32">
        <f t="shared" si="19"/>
        <v>1958</v>
      </c>
      <c r="AF27" s="32">
        <f t="shared" si="19"/>
        <v>3327</v>
      </c>
    </row>
    <row r="28" spans="2:32" ht="23.1" customHeight="1" x14ac:dyDescent="0.25">
      <c r="B28" s="23" t="s">
        <v>55</v>
      </c>
      <c r="C28" s="50">
        <v>62</v>
      </c>
      <c r="D28" s="50">
        <v>10</v>
      </c>
      <c r="E28" s="50">
        <v>14</v>
      </c>
      <c r="F28" s="50">
        <v>29</v>
      </c>
      <c r="G28" s="50">
        <v>0</v>
      </c>
      <c r="H28" s="50">
        <v>0</v>
      </c>
      <c r="I28" s="50">
        <v>9</v>
      </c>
      <c r="J28" s="50">
        <v>9</v>
      </c>
      <c r="K28" s="50">
        <v>4</v>
      </c>
      <c r="L28" s="50">
        <v>4</v>
      </c>
      <c r="M28" s="50">
        <v>127</v>
      </c>
      <c r="N28" s="50">
        <v>0</v>
      </c>
      <c r="O28" s="15">
        <f t="shared" si="0"/>
        <v>141</v>
      </c>
      <c r="P28" s="15">
        <f t="shared" si="1"/>
        <v>268</v>
      </c>
      <c r="R28" s="5" t="s">
        <v>17</v>
      </c>
      <c r="S28" s="16">
        <f t="shared" ref="S28:AF28" si="20">SUM(S10:S21)</f>
        <v>2980</v>
      </c>
      <c r="T28" s="16">
        <f t="shared" si="20"/>
        <v>662</v>
      </c>
      <c r="U28" s="16">
        <f t="shared" si="20"/>
        <v>502</v>
      </c>
      <c r="V28" s="16">
        <f t="shared" si="20"/>
        <v>1261</v>
      </c>
      <c r="W28" s="16">
        <f t="shared" si="20"/>
        <v>71</v>
      </c>
      <c r="X28" s="16">
        <f t="shared" si="20"/>
        <v>23</v>
      </c>
      <c r="Y28" s="16">
        <f t="shared" si="20"/>
        <v>494</v>
      </c>
      <c r="Z28" s="16">
        <f t="shared" si="20"/>
        <v>517</v>
      </c>
      <c r="AA28" s="16">
        <f t="shared" si="20"/>
        <v>204</v>
      </c>
      <c r="AB28" s="16">
        <f t="shared" si="20"/>
        <v>235</v>
      </c>
      <c r="AC28" s="16">
        <f t="shared" si="20"/>
        <v>5819</v>
      </c>
      <c r="AD28" s="16">
        <f t="shared" si="20"/>
        <v>2</v>
      </c>
      <c r="AE28" s="32">
        <f t="shared" si="20"/>
        <v>6951</v>
      </c>
      <c r="AF28" s="32">
        <f t="shared" si="20"/>
        <v>12770</v>
      </c>
    </row>
    <row r="29" spans="2:32" ht="23.1" customHeight="1" x14ac:dyDescent="0.25">
      <c r="B29" s="23" t="s">
        <v>56</v>
      </c>
      <c r="C29" s="50">
        <v>52</v>
      </c>
      <c r="D29" s="50">
        <v>11</v>
      </c>
      <c r="E29" s="50">
        <v>9</v>
      </c>
      <c r="F29" s="50">
        <v>27</v>
      </c>
      <c r="G29" s="50">
        <v>1</v>
      </c>
      <c r="H29" s="50">
        <v>0</v>
      </c>
      <c r="I29" s="50">
        <v>10</v>
      </c>
      <c r="J29" s="50">
        <v>13</v>
      </c>
      <c r="K29" s="50">
        <v>6</v>
      </c>
      <c r="L29" s="50">
        <v>6</v>
      </c>
      <c r="M29" s="50">
        <v>127</v>
      </c>
      <c r="N29" s="50">
        <v>0</v>
      </c>
      <c r="O29" s="15">
        <f t="shared" si="0"/>
        <v>135</v>
      </c>
      <c r="P29" s="15">
        <f t="shared" si="1"/>
        <v>262</v>
      </c>
      <c r="R29"/>
      <c r="S29" s="20"/>
      <c r="T29" s="19"/>
    </row>
    <row r="30" spans="2:32" ht="23.1" customHeight="1" x14ac:dyDescent="0.25">
      <c r="B30" s="23" t="s">
        <v>57</v>
      </c>
      <c r="C30" s="50">
        <v>43</v>
      </c>
      <c r="D30" s="50">
        <v>11</v>
      </c>
      <c r="E30" s="50">
        <v>9</v>
      </c>
      <c r="F30" s="50">
        <v>27</v>
      </c>
      <c r="G30" s="50">
        <v>1</v>
      </c>
      <c r="H30" s="50">
        <v>0</v>
      </c>
      <c r="I30" s="50">
        <v>9</v>
      </c>
      <c r="J30" s="50">
        <v>9</v>
      </c>
      <c r="K30" s="50">
        <v>2</v>
      </c>
      <c r="L30" s="50">
        <v>6</v>
      </c>
      <c r="M30" s="50">
        <v>148</v>
      </c>
      <c r="N30" s="50">
        <v>0</v>
      </c>
      <c r="O30" s="15">
        <f t="shared" si="0"/>
        <v>117</v>
      </c>
      <c r="P30" s="15">
        <f t="shared" si="1"/>
        <v>265</v>
      </c>
    </row>
    <row r="31" spans="2:32" ht="23.1" customHeight="1" x14ac:dyDescent="0.25">
      <c r="B31" s="24" t="s">
        <v>58</v>
      </c>
      <c r="C31" s="50">
        <v>56</v>
      </c>
      <c r="D31" s="50">
        <v>10</v>
      </c>
      <c r="E31" s="50">
        <v>11</v>
      </c>
      <c r="F31" s="50">
        <v>33</v>
      </c>
      <c r="G31" s="50">
        <v>0</v>
      </c>
      <c r="H31" s="50">
        <v>0</v>
      </c>
      <c r="I31" s="50">
        <v>3</v>
      </c>
      <c r="J31" s="50">
        <v>16</v>
      </c>
      <c r="K31" s="50">
        <v>1</v>
      </c>
      <c r="L31" s="50">
        <v>0</v>
      </c>
      <c r="M31" s="50">
        <v>149</v>
      </c>
      <c r="N31" s="50">
        <v>0</v>
      </c>
      <c r="O31" s="15">
        <f t="shared" si="0"/>
        <v>130</v>
      </c>
      <c r="P31" s="15">
        <f t="shared" si="1"/>
        <v>279</v>
      </c>
    </row>
    <row r="32" spans="2:32" ht="23.1" customHeight="1" x14ac:dyDescent="0.25">
      <c r="B32" s="24" t="s">
        <v>59</v>
      </c>
      <c r="C32" s="50">
        <v>43</v>
      </c>
      <c r="D32" s="50">
        <v>11</v>
      </c>
      <c r="E32" s="50">
        <v>7</v>
      </c>
      <c r="F32" s="50">
        <v>33</v>
      </c>
      <c r="G32" s="50">
        <v>2</v>
      </c>
      <c r="H32" s="50">
        <v>0</v>
      </c>
      <c r="I32" s="50">
        <v>19</v>
      </c>
      <c r="J32" s="50">
        <v>6</v>
      </c>
      <c r="K32" s="50">
        <v>2</v>
      </c>
      <c r="L32" s="50">
        <v>2</v>
      </c>
      <c r="M32" s="50">
        <v>139</v>
      </c>
      <c r="N32" s="50">
        <v>0</v>
      </c>
      <c r="O32" s="15">
        <f t="shared" si="0"/>
        <v>125</v>
      </c>
      <c r="P32" s="15">
        <f t="shared" si="1"/>
        <v>264</v>
      </c>
    </row>
    <row r="33" spans="2:20" ht="23.1" customHeight="1" x14ac:dyDescent="0.25">
      <c r="B33" s="23" t="s">
        <v>60</v>
      </c>
      <c r="C33" s="50">
        <v>46</v>
      </c>
      <c r="D33" s="50">
        <v>13</v>
      </c>
      <c r="E33" s="50">
        <v>10</v>
      </c>
      <c r="F33" s="50">
        <v>24</v>
      </c>
      <c r="G33" s="50">
        <v>0</v>
      </c>
      <c r="H33" s="50">
        <v>0</v>
      </c>
      <c r="I33" s="50">
        <v>17</v>
      </c>
      <c r="J33" s="50">
        <v>14</v>
      </c>
      <c r="K33" s="50">
        <v>3</v>
      </c>
      <c r="L33" s="50">
        <v>4</v>
      </c>
      <c r="M33" s="50">
        <v>111</v>
      </c>
      <c r="N33" s="50">
        <v>0</v>
      </c>
      <c r="O33" s="15">
        <f t="shared" si="0"/>
        <v>131</v>
      </c>
      <c r="P33" s="15">
        <f t="shared" si="1"/>
        <v>242</v>
      </c>
    </row>
    <row r="34" spans="2:20" ht="23.1" customHeight="1" x14ac:dyDescent="0.25">
      <c r="B34" s="24" t="s">
        <v>61</v>
      </c>
      <c r="C34" s="50">
        <v>46</v>
      </c>
      <c r="D34" s="50">
        <v>13</v>
      </c>
      <c r="E34" s="50">
        <v>5</v>
      </c>
      <c r="F34" s="50">
        <v>40</v>
      </c>
      <c r="G34" s="50">
        <v>1</v>
      </c>
      <c r="H34" s="50">
        <v>0</v>
      </c>
      <c r="I34" s="50">
        <v>9</v>
      </c>
      <c r="J34" s="50">
        <v>7</v>
      </c>
      <c r="K34" s="50">
        <v>8</v>
      </c>
      <c r="L34" s="50">
        <v>5</v>
      </c>
      <c r="M34" s="50">
        <v>24</v>
      </c>
      <c r="N34" s="50">
        <v>0</v>
      </c>
      <c r="O34" s="15">
        <f t="shared" si="0"/>
        <v>134</v>
      </c>
      <c r="P34" s="15">
        <f t="shared" si="1"/>
        <v>158</v>
      </c>
    </row>
    <row r="35" spans="2:20" ht="23.1" customHeight="1" x14ac:dyDescent="0.25">
      <c r="B35" s="24" t="s">
        <v>62</v>
      </c>
      <c r="C35" s="50">
        <v>54</v>
      </c>
      <c r="D35" s="50">
        <v>19</v>
      </c>
      <c r="E35" s="50">
        <v>6</v>
      </c>
      <c r="F35" s="50">
        <v>27</v>
      </c>
      <c r="G35" s="50">
        <v>3</v>
      </c>
      <c r="H35" s="50">
        <v>0</v>
      </c>
      <c r="I35" s="50">
        <v>8</v>
      </c>
      <c r="J35" s="50">
        <v>19</v>
      </c>
      <c r="K35" s="50">
        <v>5</v>
      </c>
      <c r="L35" s="50">
        <v>8</v>
      </c>
      <c r="M35" s="50">
        <v>118</v>
      </c>
      <c r="N35" s="50">
        <v>0</v>
      </c>
      <c r="O35" s="15">
        <f t="shared" si="0"/>
        <v>149</v>
      </c>
      <c r="P35" s="15">
        <f t="shared" si="1"/>
        <v>267</v>
      </c>
    </row>
    <row r="36" spans="2:20" ht="23.1" customHeight="1" x14ac:dyDescent="0.25">
      <c r="B36" s="24" t="s">
        <v>63</v>
      </c>
      <c r="C36" s="50">
        <v>41</v>
      </c>
      <c r="D36" s="50">
        <v>21</v>
      </c>
      <c r="E36" s="50">
        <v>8</v>
      </c>
      <c r="F36" s="50">
        <v>18</v>
      </c>
      <c r="G36" s="50">
        <v>0</v>
      </c>
      <c r="H36" s="50">
        <v>0</v>
      </c>
      <c r="I36" s="50">
        <v>13</v>
      </c>
      <c r="J36" s="50">
        <v>9</v>
      </c>
      <c r="K36" s="50">
        <v>5</v>
      </c>
      <c r="L36" s="50">
        <v>4</v>
      </c>
      <c r="M36" s="50">
        <v>114</v>
      </c>
      <c r="N36" s="50">
        <v>0</v>
      </c>
      <c r="O36" s="15">
        <f t="shared" si="0"/>
        <v>119</v>
      </c>
      <c r="P36" s="15">
        <f t="shared" si="1"/>
        <v>233</v>
      </c>
    </row>
    <row r="37" spans="2:20" ht="23.1" customHeight="1" x14ac:dyDescent="0.25">
      <c r="B37" s="23" t="s">
        <v>64</v>
      </c>
      <c r="C37" s="50">
        <v>68</v>
      </c>
      <c r="D37" s="50">
        <v>15</v>
      </c>
      <c r="E37" s="50">
        <v>18</v>
      </c>
      <c r="F37" s="50">
        <v>36</v>
      </c>
      <c r="G37" s="50">
        <v>0</v>
      </c>
      <c r="H37" s="50">
        <v>0</v>
      </c>
      <c r="I37" s="50">
        <v>12</v>
      </c>
      <c r="J37" s="50">
        <v>12</v>
      </c>
      <c r="K37" s="50">
        <v>7</v>
      </c>
      <c r="L37" s="50">
        <v>7</v>
      </c>
      <c r="M37" s="50">
        <v>91</v>
      </c>
      <c r="N37" s="50">
        <v>0</v>
      </c>
      <c r="O37" s="15">
        <f t="shared" si="0"/>
        <v>175</v>
      </c>
      <c r="P37" s="15">
        <f t="shared" si="1"/>
        <v>266</v>
      </c>
    </row>
    <row r="38" spans="2:20" ht="23.1" customHeight="1" x14ac:dyDescent="0.25">
      <c r="B38" s="24" t="s">
        <v>65</v>
      </c>
      <c r="C38" s="50">
        <v>57</v>
      </c>
      <c r="D38" s="50">
        <v>15</v>
      </c>
      <c r="E38" s="50">
        <v>10</v>
      </c>
      <c r="F38" s="50">
        <v>28</v>
      </c>
      <c r="G38" s="50">
        <v>0</v>
      </c>
      <c r="H38" s="50">
        <v>0</v>
      </c>
      <c r="I38" s="50">
        <v>14</v>
      </c>
      <c r="J38" s="50">
        <v>11</v>
      </c>
      <c r="K38" s="50">
        <v>7</v>
      </c>
      <c r="L38" s="50">
        <v>8</v>
      </c>
      <c r="M38" s="50">
        <v>96</v>
      </c>
      <c r="N38" s="50">
        <v>0</v>
      </c>
      <c r="O38" s="15">
        <f t="shared" si="0"/>
        <v>150</v>
      </c>
      <c r="P38" s="15">
        <f t="shared" si="1"/>
        <v>246</v>
      </c>
    </row>
    <row r="39" spans="2:20" ht="23.1" customHeight="1" x14ac:dyDescent="0.25">
      <c r="B39" s="24" t="s">
        <v>66</v>
      </c>
      <c r="C39" s="50">
        <v>64</v>
      </c>
      <c r="D39" s="50">
        <v>11</v>
      </c>
      <c r="E39" s="50">
        <v>11</v>
      </c>
      <c r="F39" s="50">
        <v>21</v>
      </c>
      <c r="G39" s="50">
        <v>0</v>
      </c>
      <c r="H39" s="50">
        <v>0</v>
      </c>
      <c r="I39" s="50">
        <v>13</v>
      </c>
      <c r="J39" s="50">
        <v>13</v>
      </c>
      <c r="K39" s="50">
        <v>3</v>
      </c>
      <c r="L39" s="50">
        <v>3</v>
      </c>
      <c r="M39" s="50">
        <v>102</v>
      </c>
      <c r="N39" s="50">
        <v>0</v>
      </c>
      <c r="O39" s="15">
        <f t="shared" si="0"/>
        <v>139</v>
      </c>
      <c r="P39" s="15">
        <f t="shared" si="1"/>
        <v>241</v>
      </c>
    </row>
    <row r="40" spans="2:20" ht="23.1" customHeight="1" x14ac:dyDescent="0.25">
      <c r="B40" s="24" t="s">
        <v>67</v>
      </c>
      <c r="C40" s="50">
        <v>68</v>
      </c>
      <c r="D40" s="50">
        <v>15</v>
      </c>
      <c r="E40" s="50">
        <v>13</v>
      </c>
      <c r="F40" s="50">
        <v>24</v>
      </c>
      <c r="G40" s="50">
        <v>0</v>
      </c>
      <c r="H40" s="50">
        <v>0</v>
      </c>
      <c r="I40" s="50">
        <v>7</v>
      </c>
      <c r="J40" s="50">
        <v>9</v>
      </c>
      <c r="K40" s="50">
        <v>3</v>
      </c>
      <c r="L40" s="50">
        <v>7</v>
      </c>
      <c r="M40" s="50">
        <v>94</v>
      </c>
      <c r="N40" s="50">
        <v>0</v>
      </c>
      <c r="O40" s="15">
        <f t="shared" si="0"/>
        <v>146</v>
      </c>
      <c r="P40" s="15">
        <f t="shared" si="1"/>
        <v>240</v>
      </c>
    </row>
    <row r="41" spans="2:20" ht="23.1" customHeight="1" x14ac:dyDescent="0.25">
      <c r="B41" s="23" t="s">
        <v>68</v>
      </c>
      <c r="C41" s="50">
        <v>52</v>
      </c>
      <c r="D41" s="50">
        <v>17</v>
      </c>
      <c r="E41" s="50">
        <v>17</v>
      </c>
      <c r="F41" s="50">
        <v>27</v>
      </c>
      <c r="G41" s="50">
        <v>1</v>
      </c>
      <c r="H41" s="50">
        <v>0</v>
      </c>
      <c r="I41" s="50">
        <v>10</v>
      </c>
      <c r="J41" s="50">
        <v>12</v>
      </c>
      <c r="K41" s="50">
        <v>2</v>
      </c>
      <c r="L41" s="50">
        <v>4</v>
      </c>
      <c r="M41" s="50">
        <v>105</v>
      </c>
      <c r="N41" s="50">
        <v>0</v>
      </c>
      <c r="O41" s="15">
        <f t="shared" si="0"/>
        <v>142</v>
      </c>
      <c r="P41" s="15">
        <f t="shared" si="1"/>
        <v>247</v>
      </c>
    </row>
    <row r="42" spans="2:20" ht="23.1" customHeight="1" x14ac:dyDescent="0.25">
      <c r="B42" s="24" t="s">
        <v>69</v>
      </c>
      <c r="C42" s="50">
        <v>63</v>
      </c>
      <c r="D42" s="50">
        <v>16</v>
      </c>
      <c r="E42" s="50">
        <v>10</v>
      </c>
      <c r="F42" s="50">
        <v>31</v>
      </c>
      <c r="G42" s="50">
        <v>1</v>
      </c>
      <c r="H42" s="50">
        <v>2</v>
      </c>
      <c r="I42" s="50">
        <v>15</v>
      </c>
      <c r="J42" s="50">
        <v>11</v>
      </c>
      <c r="K42" s="50">
        <v>4</v>
      </c>
      <c r="L42" s="50">
        <v>9</v>
      </c>
      <c r="M42" s="50">
        <v>91</v>
      </c>
      <c r="N42" s="50">
        <v>0</v>
      </c>
      <c r="O42" s="15">
        <f t="shared" si="0"/>
        <v>162</v>
      </c>
      <c r="P42" s="15">
        <f t="shared" si="1"/>
        <v>253</v>
      </c>
    </row>
    <row r="43" spans="2:20" ht="23.1" customHeight="1" x14ac:dyDescent="0.25">
      <c r="B43" s="23" t="s">
        <v>70</v>
      </c>
      <c r="C43" s="50">
        <v>64</v>
      </c>
      <c r="D43" s="50">
        <v>11</v>
      </c>
      <c r="E43" s="50">
        <v>13</v>
      </c>
      <c r="F43" s="50">
        <v>24</v>
      </c>
      <c r="G43" s="50">
        <v>1</v>
      </c>
      <c r="H43" s="50">
        <v>1</v>
      </c>
      <c r="I43" s="50">
        <v>11</v>
      </c>
      <c r="J43" s="50">
        <v>17</v>
      </c>
      <c r="K43" s="50">
        <v>3</v>
      </c>
      <c r="L43" s="50">
        <v>3</v>
      </c>
      <c r="M43" s="50">
        <v>103</v>
      </c>
      <c r="N43" s="50">
        <v>0</v>
      </c>
      <c r="O43" s="15">
        <f t="shared" si="0"/>
        <v>148</v>
      </c>
      <c r="P43" s="15">
        <f t="shared" si="1"/>
        <v>251</v>
      </c>
    </row>
    <row r="44" spans="2:20" ht="23.1" customHeight="1" x14ac:dyDescent="0.25">
      <c r="B44" s="25" t="s">
        <v>71</v>
      </c>
      <c r="C44" s="50">
        <v>69</v>
      </c>
      <c r="D44" s="50">
        <v>18</v>
      </c>
      <c r="E44" s="50">
        <v>14</v>
      </c>
      <c r="F44" s="50">
        <v>28</v>
      </c>
      <c r="G44" s="50">
        <v>10</v>
      </c>
      <c r="H44" s="50">
        <v>0</v>
      </c>
      <c r="I44" s="50">
        <v>16</v>
      </c>
      <c r="J44" s="50">
        <v>11</v>
      </c>
      <c r="K44" s="50">
        <v>5</v>
      </c>
      <c r="L44" s="50">
        <v>5</v>
      </c>
      <c r="M44" s="50">
        <v>98</v>
      </c>
      <c r="N44" s="50">
        <v>0</v>
      </c>
      <c r="O44" s="15">
        <f t="shared" si="0"/>
        <v>176</v>
      </c>
      <c r="P44" s="15">
        <f t="shared" si="1"/>
        <v>274</v>
      </c>
    </row>
    <row r="45" spans="2:20" ht="23.1" customHeight="1" x14ac:dyDescent="0.25">
      <c r="B45" s="23" t="s">
        <v>72</v>
      </c>
      <c r="C45" s="50">
        <v>65</v>
      </c>
      <c r="D45" s="50">
        <v>23</v>
      </c>
      <c r="E45" s="50">
        <v>16</v>
      </c>
      <c r="F45" s="50">
        <v>24</v>
      </c>
      <c r="G45" s="50">
        <v>0</v>
      </c>
      <c r="H45" s="50">
        <v>1</v>
      </c>
      <c r="I45" s="50">
        <v>15</v>
      </c>
      <c r="J45" s="50">
        <v>11</v>
      </c>
      <c r="K45" s="50">
        <v>9</v>
      </c>
      <c r="L45" s="50">
        <v>2</v>
      </c>
      <c r="M45" s="50">
        <v>86</v>
      </c>
      <c r="N45" s="50">
        <v>0</v>
      </c>
      <c r="O45" s="15">
        <f t="shared" si="0"/>
        <v>166</v>
      </c>
      <c r="P45" s="15">
        <f t="shared" si="1"/>
        <v>252</v>
      </c>
    </row>
    <row r="46" spans="2:20" ht="23.1" customHeight="1" x14ac:dyDescent="0.25">
      <c r="B46" s="24" t="s">
        <v>73</v>
      </c>
      <c r="C46" s="50">
        <v>68</v>
      </c>
      <c r="D46" s="50">
        <v>18</v>
      </c>
      <c r="E46" s="50">
        <v>10</v>
      </c>
      <c r="F46" s="50">
        <v>28</v>
      </c>
      <c r="G46" s="50">
        <v>2</v>
      </c>
      <c r="H46" s="50">
        <v>0</v>
      </c>
      <c r="I46" s="50">
        <v>10</v>
      </c>
      <c r="J46" s="50">
        <v>10</v>
      </c>
      <c r="K46" s="50">
        <v>3</v>
      </c>
      <c r="L46" s="50">
        <v>11</v>
      </c>
      <c r="M46" s="50">
        <v>125</v>
      </c>
      <c r="N46" s="50">
        <v>0</v>
      </c>
      <c r="O46" s="15">
        <f t="shared" si="0"/>
        <v>160</v>
      </c>
      <c r="P46" s="15">
        <f t="shared" si="1"/>
        <v>285</v>
      </c>
      <c r="R46" s="8"/>
      <c r="T46"/>
    </row>
    <row r="47" spans="2:20" ht="23.1" customHeight="1" x14ac:dyDescent="0.25">
      <c r="B47" s="24" t="s">
        <v>74</v>
      </c>
      <c r="C47" s="50">
        <v>67</v>
      </c>
      <c r="D47" s="50">
        <v>19</v>
      </c>
      <c r="E47" s="50">
        <v>13</v>
      </c>
      <c r="F47" s="50">
        <v>26</v>
      </c>
      <c r="G47" s="50">
        <v>1</v>
      </c>
      <c r="H47" s="50">
        <v>0</v>
      </c>
      <c r="I47" s="50">
        <v>10</v>
      </c>
      <c r="J47" s="50">
        <v>13</v>
      </c>
      <c r="K47" s="50">
        <v>8</v>
      </c>
      <c r="L47" s="50">
        <v>9</v>
      </c>
      <c r="M47" s="50">
        <v>100</v>
      </c>
      <c r="N47" s="50">
        <v>0</v>
      </c>
      <c r="O47" s="15">
        <f t="shared" si="0"/>
        <v>166</v>
      </c>
      <c r="P47" s="15">
        <f t="shared" si="1"/>
        <v>266</v>
      </c>
      <c r="R47" s="8"/>
      <c r="T47"/>
    </row>
    <row r="48" spans="2:20" ht="23.1" customHeight="1" x14ac:dyDescent="0.25">
      <c r="B48" s="24" t="s">
        <v>75</v>
      </c>
      <c r="C48" s="50">
        <v>56</v>
      </c>
      <c r="D48" s="50">
        <v>17</v>
      </c>
      <c r="E48" s="50">
        <v>11</v>
      </c>
      <c r="F48" s="50">
        <v>25</v>
      </c>
      <c r="G48" s="50">
        <v>0</v>
      </c>
      <c r="H48" s="50">
        <v>2</v>
      </c>
      <c r="I48" s="50">
        <v>20</v>
      </c>
      <c r="J48" s="50">
        <v>9</v>
      </c>
      <c r="K48" s="50">
        <v>4</v>
      </c>
      <c r="L48" s="50">
        <v>7</v>
      </c>
      <c r="M48" s="50">
        <v>80</v>
      </c>
      <c r="N48" s="50">
        <v>0</v>
      </c>
      <c r="O48" s="15">
        <f t="shared" si="0"/>
        <v>151</v>
      </c>
      <c r="P48" s="15">
        <f t="shared" si="1"/>
        <v>231</v>
      </c>
      <c r="R48" s="8"/>
      <c r="T48"/>
    </row>
    <row r="49" spans="2:20" ht="23.1" customHeight="1" x14ac:dyDescent="0.25">
      <c r="B49" s="23" t="s">
        <v>76</v>
      </c>
      <c r="C49" s="50">
        <v>87</v>
      </c>
      <c r="D49" s="50">
        <v>14</v>
      </c>
      <c r="E49" s="50">
        <v>10</v>
      </c>
      <c r="F49" s="50">
        <v>36</v>
      </c>
      <c r="G49" s="50">
        <v>2</v>
      </c>
      <c r="H49" s="50">
        <v>1</v>
      </c>
      <c r="I49" s="50">
        <v>11</v>
      </c>
      <c r="J49" s="50">
        <v>8</v>
      </c>
      <c r="K49" s="50">
        <v>7</v>
      </c>
      <c r="L49" s="50">
        <v>4</v>
      </c>
      <c r="M49" s="50">
        <v>118</v>
      </c>
      <c r="N49" s="50">
        <v>0</v>
      </c>
      <c r="O49" s="15">
        <f t="shared" si="0"/>
        <v>180</v>
      </c>
      <c r="P49" s="15">
        <f t="shared" si="1"/>
        <v>298</v>
      </c>
      <c r="R49" s="8"/>
      <c r="T49"/>
    </row>
    <row r="50" spans="2:20" ht="23.1" customHeight="1" x14ac:dyDescent="0.25">
      <c r="B50" s="24" t="s">
        <v>77</v>
      </c>
      <c r="C50" s="50">
        <v>76</v>
      </c>
      <c r="D50" s="50">
        <v>9</v>
      </c>
      <c r="E50" s="50">
        <v>9</v>
      </c>
      <c r="F50" s="50">
        <v>27</v>
      </c>
      <c r="G50" s="50">
        <v>7</v>
      </c>
      <c r="H50" s="50">
        <v>0</v>
      </c>
      <c r="I50" s="50">
        <v>14</v>
      </c>
      <c r="J50" s="50">
        <v>10</v>
      </c>
      <c r="K50" s="50">
        <v>3</v>
      </c>
      <c r="L50" s="50">
        <v>8</v>
      </c>
      <c r="M50" s="50">
        <v>112</v>
      </c>
      <c r="N50" s="50">
        <v>1</v>
      </c>
      <c r="O50" s="15">
        <f t="shared" si="0"/>
        <v>164</v>
      </c>
      <c r="P50" s="15">
        <f t="shared" si="1"/>
        <v>276</v>
      </c>
      <c r="R50" s="8"/>
      <c r="T50"/>
    </row>
    <row r="51" spans="2:20" ht="23.1" customHeight="1" x14ac:dyDescent="0.25">
      <c r="B51" s="24" t="s">
        <v>78</v>
      </c>
      <c r="C51" s="50">
        <v>76</v>
      </c>
      <c r="D51" s="50">
        <v>18</v>
      </c>
      <c r="E51" s="50">
        <v>13</v>
      </c>
      <c r="F51" s="50">
        <v>24</v>
      </c>
      <c r="G51" s="50">
        <v>9</v>
      </c>
      <c r="H51" s="50">
        <v>3</v>
      </c>
      <c r="I51" s="50">
        <v>11</v>
      </c>
      <c r="J51" s="50">
        <v>17</v>
      </c>
      <c r="K51" s="50">
        <v>6</v>
      </c>
      <c r="L51" s="50">
        <v>3</v>
      </c>
      <c r="M51" s="50">
        <v>99</v>
      </c>
      <c r="N51" s="50">
        <v>1</v>
      </c>
      <c r="O51" s="15">
        <f t="shared" si="0"/>
        <v>181</v>
      </c>
      <c r="P51" s="15">
        <f t="shared" si="1"/>
        <v>280</v>
      </c>
      <c r="R51" s="8"/>
      <c r="T51"/>
    </row>
    <row r="52" spans="2:20" ht="23.1" customHeight="1" x14ac:dyDescent="0.25">
      <c r="B52" s="24" t="s">
        <v>79</v>
      </c>
      <c r="C52" s="50">
        <v>68</v>
      </c>
      <c r="D52" s="50">
        <v>18</v>
      </c>
      <c r="E52" s="50">
        <v>16</v>
      </c>
      <c r="F52" s="50">
        <v>32</v>
      </c>
      <c r="G52" s="50">
        <v>1</v>
      </c>
      <c r="H52" s="50">
        <v>0</v>
      </c>
      <c r="I52" s="50">
        <v>12</v>
      </c>
      <c r="J52" s="50">
        <v>9</v>
      </c>
      <c r="K52" s="50">
        <v>5</v>
      </c>
      <c r="L52" s="50">
        <v>7</v>
      </c>
      <c r="M52" s="50">
        <v>119</v>
      </c>
      <c r="N52" s="50">
        <v>0</v>
      </c>
      <c r="O52" s="15">
        <f t="shared" si="0"/>
        <v>168</v>
      </c>
      <c r="P52" s="15">
        <f t="shared" si="1"/>
        <v>287</v>
      </c>
      <c r="R52" s="8"/>
      <c r="T52"/>
    </row>
    <row r="53" spans="2:20" ht="23.1" customHeight="1" x14ac:dyDescent="0.25">
      <c r="B53" s="23" t="s">
        <v>80</v>
      </c>
      <c r="C53" s="50">
        <v>48</v>
      </c>
      <c r="D53" s="50">
        <v>17</v>
      </c>
      <c r="E53" s="50">
        <v>13</v>
      </c>
      <c r="F53" s="50">
        <v>28</v>
      </c>
      <c r="G53" s="50">
        <v>1</v>
      </c>
      <c r="H53" s="50">
        <v>0</v>
      </c>
      <c r="I53" s="50">
        <v>9</v>
      </c>
      <c r="J53" s="50">
        <v>5</v>
      </c>
      <c r="K53" s="50">
        <v>1</v>
      </c>
      <c r="L53" s="50">
        <v>5</v>
      </c>
      <c r="M53" s="50">
        <v>77</v>
      </c>
      <c r="N53" s="50">
        <v>0</v>
      </c>
      <c r="O53" s="15">
        <f t="shared" si="0"/>
        <v>127</v>
      </c>
      <c r="P53" s="15">
        <f t="shared" si="1"/>
        <v>204</v>
      </c>
      <c r="R53" s="8"/>
      <c r="T53"/>
    </row>
    <row r="54" spans="2:20" ht="23.1" customHeight="1" x14ac:dyDescent="0.25">
      <c r="B54" s="23" t="s">
        <v>81</v>
      </c>
      <c r="C54" s="50">
        <v>73</v>
      </c>
      <c r="D54" s="50">
        <v>16</v>
      </c>
      <c r="E54" s="50">
        <v>19</v>
      </c>
      <c r="F54" s="50">
        <v>21</v>
      </c>
      <c r="G54" s="50">
        <v>6</v>
      </c>
      <c r="H54" s="50">
        <v>0</v>
      </c>
      <c r="I54" s="50">
        <v>9</v>
      </c>
      <c r="J54" s="50">
        <v>19</v>
      </c>
      <c r="K54" s="50">
        <v>2</v>
      </c>
      <c r="L54" s="50">
        <v>4</v>
      </c>
      <c r="M54" s="50">
        <v>125</v>
      </c>
      <c r="N54" s="50">
        <v>0</v>
      </c>
      <c r="O54" s="15">
        <f t="shared" si="0"/>
        <v>169</v>
      </c>
      <c r="P54" s="15">
        <f t="shared" si="1"/>
        <v>294</v>
      </c>
      <c r="R54" s="8"/>
      <c r="T54"/>
    </row>
    <row r="55" spans="2:20" ht="23.1" customHeight="1" x14ac:dyDescent="0.25">
      <c r="B55" s="23" t="s">
        <v>82</v>
      </c>
      <c r="C55" s="50">
        <v>80</v>
      </c>
      <c r="D55" s="50">
        <v>8</v>
      </c>
      <c r="E55" s="50">
        <v>12</v>
      </c>
      <c r="F55" s="50">
        <v>33</v>
      </c>
      <c r="G55" s="50">
        <v>2</v>
      </c>
      <c r="H55" s="50">
        <v>0</v>
      </c>
      <c r="I55" s="50">
        <v>4</v>
      </c>
      <c r="J55" s="50">
        <v>12</v>
      </c>
      <c r="K55" s="50">
        <v>5</v>
      </c>
      <c r="L55" s="50">
        <v>9</v>
      </c>
      <c r="M55" s="50">
        <v>157</v>
      </c>
      <c r="N55" s="50">
        <v>0</v>
      </c>
      <c r="O55" s="15">
        <f t="shared" si="0"/>
        <v>165</v>
      </c>
      <c r="P55" s="15">
        <f t="shared" si="1"/>
        <v>322</v>
      </c>
      <c r="R55" s="8"/>
      <c r="T55"/>
    </row>
    <row r="56" spans="2:20" ht="23.1" customHeight="1" x14ac:dyDescent="0.25">
      <c r="B56" s="23" t="s">
        <v>83</v>
      </c>
      <c r="C56" s="50">
        <v>58</v>
      </c>
      <c r="D56" s="50">
        <v>13</v>
      </c>
      <c r="E56" s="50">
        <v>10</v>
      </c>
      <c r="F56" s="50">
        <v>31</v>
      </c>
      <c r="G56" s="50">
        <v>2</v>
      </c>
      <c r="H56" s="50">
        <v>2</v>
      </c>
      <c r="I56" s="50">
        <v>7</v>
      </c>
      <c r="J56" s="50">
        <v>13</v>
      </c>
      <c r="K56" s="50">
        <v>2</v>
      </c>
      <c r="L56" s="50">
        <v>6</v>
      </c>
      <c r="M56" s="50">
        <v>114</v>
      </c>
      <c r="N56" s="50">
        <v>0</v>
      </c>
      <c r="O56" s="15">
        <f t="shared" si="0"/>
        <v>144</v>
      </c>
      <c r="P56" s="15">
        <f t="shared" si="1"/>
        <v>258</v>
      </c>
      <c r="R56" s="8"/>
      <c r="T56"/>
    </row>
    <row r="57" spans="2:20" ht="23.1" customHeight="1" x14ac:dyDescent="0.25">
      <c r="B57" s="23" t="s">
        <v>84</v>
      </c>
      <c r="C57" s="50">
        <v>83</v>
      </c>
      <c r="D57" s="50">
        <v>31</v>
      </c>
      <c r="E57" s="50">
        <v>14</v>
      </c>
      <c r="F57" s="50">
        <v>32</v>
      </c>
      <c r="G57" s="50">
        <v>0</v>
      </c>
      <c r="H57" s="50">
        <v>0</v>
      </c>
      <c r="I57" s="50">
        <v>3</v>
      </c>
      <c r="J57" s="50">
        <v>9</v>
      </c>
      <c r="K57" s="50">
        <v>4</v>
      </c>
      <c r="L57" s="50">
        <v>7</v>
      </c>
      <c r="M57" s="50">
        <v>143</v>
      </c>
      <c r="N57" s="50">
        <v>0</v>
      </c>
      <c r="O57" s="15">
        <f t="shared" si="0"/>
        <v>183</v>
      </c>
      <c r="P57" s="15">
        <f t="shared" si="1"/>
        <v>326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2980</v>
      </c>
      <c r="D58" s="16">
        <f t="shared" si="21"/>
        <v>662</v>
      </c>
      <c r="E58" s="16">
        <f t="shared" si="21"/>
        <v>502</v>
      </c>
      <c r="F58" s="16">
        <f t="shared" si="21"/>
        <v>1261</v>
      </c>
      <c r="G58" s="16">
        <f t="shared" si="21"/>
        <v>71</v>
      </c>
      <c r="H58" s="16">
        <f t="shared" si="21"/>
        <v>23</v>
      </c>
      <c r="I58" s="16">
        <f t="shared" si="21"/>
        <v>494</v>
      </c>
      <c r="J58" s="16">
        <f t="shared" si="21"/>
        <v>517</v>
      </c>
      <c r="K58" s="16">
        <f t="shared" si="21"/>
        <v>204</v>
      </c>
      <c r="L58" s="16">
        <f t="shared" si="21"/>
        <v>235</v>
      </c>
      <c r="M58" s="16">
        <f t="shared" si="21"/>
        <v>5819</v>
      </c>
      <c r="N58" s="16">
        <f t="shared" si="21"/>
        <v>2</v>
      </c>
      <c r="O58" s="16">
        <f t="shared" si="21"/>
        <v>6951</v>
      </c>
      <c r="P58" s="16">
        <f t="shared" si="21"/>
        <v>12770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0.23335943617854346</v>
      </c>
      <c r="D59" s="43">
        <f t="shared" si="22"/>
        <v>5.1840250587314014E-2</v>
      </c>
      <c r="E59" s="43">
        <f t="shared" si="22"/>
        <v>3.9310884886452624E-2</v>
      </c>
      <c r="F59" s="43">
        <f t="shared" si="22"/>
        <v>9.8747063429913864E-2</v>
      </c>
      <c r="G59" s="43">
        <f t="shared" si="22"/>
        <v>5.5599060297572434E-3</v>
      </c>
      <c r="H59" s="43">
        <f t="shared" si="22"/>
        <v>1.8010963194988255E-3</v>
      </c>
      <c r="I59" s="43">
        <f t="shared" si="22"/>
        <v>3.8684416601409553E-2</v>
      </c>
      <c r="J59" s="43">
        <f t="shared" si="22"/>
        <v>4.0485512920908379E-2</v>
      </c>
      <c r="K59" s="43">
        <f t="shared" si="22"/>
        <v>1.5974941268598278E-2</v>
      </c>
      <c r="L59" s="43">
        <f t="shared" si="22"/>
        <v>1.8402505873140171E-2</v>
      </c>
      <c r="M59" s="43">
        <f t="shared" si="22"/>
        <v>0.45567736883320281</v>
      </c>
      <c r="N59" s="43">
        <f t="shared" si="22"/>
        <v>1.5661707126076742E-4</v>
      </c>
      <c r="R59" s="8"/>
      <c r="T59"/>
    </row>
    <row r="60" spans="2:20" ht="23.1" customHeight="1" x14ac:dyDescent="0.25">
      <c r="B60" s="42" t="s">
        <v>94</v>
      </c>
      <c r="C60" s="44">
        <f>C58/$O$58</f>
        <v>0.42871529276363113</v>
      </c>
      <c r="D60" s="44">
        <f t="shared" ref="D60:N60" si="23">D58/$O$58</f>
        <v>9.5238095238095233E-2</v>
      </c>
      <c r="E60" s="44">
        <f t="shared" si="23"/>
        <v>7.2219824485685508E-2</v>
      </c>
      <c r="F60" s="44">
        <f t="shared" si="23"/>
        <v>0.18141274636742916</v>
      </c>
      <c r="G60" s="44">
        <f t="shared" si="23"/>
        <v>1.0214357646381816E-2</v>
      </c>
      <c r="H60" s="44">
        <f t="shared" si="23"/>
        <v>3.308876420658898E-3</v>
      </c>
      <c r="I60" s="44">
        <f t="shared" si="23"/>
        <v>7.1068910948065028E-2</v>
      </c>
      <c r="J60" s="44">
        <f t="shared" si="23"/>
        <v>7.4377787368723927E-2</v>
      </c>
      <c r="K60" s="44">
        <f t="shared" si="23"/>
        <v>2.93482952093224E-2</v>
      </c>
      <c r="L60" s="44">
        <f t="shared" si="23"/>
        <v>3.3808085167601781E-2</v>
      </c>
      <c r="M60" s="44"/>
      <c r="N60" s="44">
        <f t="shared" si="23"/>
        <v>2.8772838440512156E-4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9" zoomScale="40" zoomScaleSheetLayoutView="40" workbookViewId="0">
      <selection activeCell="C59" sqref="C5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'22.07 Masanafu-Busega'!C3:G3</f>
        <v>MCC - C1 - STN13 - NORTHERN BYPASS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'24.07 Busega-Masanafu'!D5</f>
        <v>24.07.19</v>
      </c>
      <c r="E5" s="3"/>
      <c r="F5" s="41" t="s">
        <v>1</v>
      </c>
      <c r="G5" s="64" t="str">
        <f>'22.07 Busega-Masanafu'!G5:H5</f>
        <v>NORTHERN BYPASS</v>
      </c>
      <c r="H5" s="65"/>
      <c r="I5" s="14"/>
      <c r="J5" s="2" t="s">
        <v>5</v>
      </c>
      <c r="K5" s="64" t="str">
        <f>'22.07 Busega-Masanafu'!K5:L5</f>
        <v>SSEMUKO SAMUEL JUNIOR W/MUTEBI CHRISTOPHER/SSEMWOGERERE FREDRICK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'22.07 Masanafu-Busega'!D6:E6</f>
        <v>MASANAFU</v>
      </c>
      <c r="E6" s="65"/>
      <c r="F6" s="2" t="s">
        <v>2</v>
      </c>
      <c r="G6" s="64" t="str">
        <f>'22.07 Masanafu-Busega'!G6:H6</f>
        <v>BUSEGA</v>
      </c>
      <c r="H6" s="65"/>
      <c r="J6" s="2" t="s">
        <v>21</v>
      </c>
      <c r="K6" s="64" t="str">
        <f>'22.07 Busega-Masanafu'!K6:L6</f>
        <v>ANDY/ANDREW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75</v>
      </c>
      <c r="D10" s="50">
        <v>6</v>
      </c>
      <c r="E10" s="50">
        <v>5</v>
      </c>
      <c r="F10" s="50">
        <v>28</v>
      </c>
      <c r="G10" s="50">
        <v>1</v>
      </c>
      <c r="H10" s="50">
        <v>0</v>
      </c>
      <c r="I10" s="50">
        <v>5</v>
      </c>
      <c r="J10" s="50">
        <v>5</v>
      </c>
      <c r="K10" s="50">
        <v>0</v>
      </c>
      <c r="L10" s="50">
        <v>1</v>
      </c>
      <c r="M10" s="50">
        <v>88</v>
      </c>
      <c r="N10" s="50">
        <v>0</v>
      </c>
      <c r="O10" s="15">
        <f t="shared" ref="O10:O57" si="0">SUM(C10:L10,N10)</f>
        <v>126</v>
      </c>
      <c r="P10" s="15">
        <f t="shared" ref="P10:P57" si="1">SUM(C10:N10)</f>
        <v>214</v>
      </c>
      <c r="R10" s="1" t="s">
        <v>6</v>
      </c>
      <c r="S10" s="17">
        <f t="shared" ref="S10:AF10" si="2">SUM(C10:C13)</f>
        <v>272</v>
      </c>
      <c r="T10" s="17">
        <f t="shared" si="2"/>
        <v>30</v>
      </c>
      <c r="U10" s="17">
        <f t="shared" si="2"/>
        <v>26</v>
      </c>
      <c r="V10" s="17">
        <f t="shared" si="2"/>
        <v>131</v>
      </c>
      <c r="W10" s="17">
        <f t="shared" si="2"/>
        <v>16</v>
      </c>
      <c r="X10" s="17">
        <f t="shared" si="2"/>
        <v>0</v>
      </c>
      <c r="Y10" s="17">
        <f t="shared" si="2"/>
        <v>29</v>
      </c>
      <c r="Z10" s="17">
        <f t="shared" si="2"/>
        <v>22</v>
      </c>
      <c r="AA10" s="17">
        <f t="shared" si="2"/>
        <v>5</v>
      </c>
      <c r="AB10" s="17">
        <f t="shared" si="2"/>
        <v>6</v>
      </c>
      <c r="AC10" s="17">
        <f t="shared" si="2"/>
        <v>411</v>
      </c>
      <c r="AD10" s="17">
        <f t="shared" si="2"/>
        <v>0</v>
      </c>
      <c r="AE10" s="31">
        <f t="shared" si="2"/>
        <v>537</v>
      </c>
      <c r="AF10" s="31">
        <f t="shared" si="2"/>
        <v>948</v>
      </c>
    </row>
    <row r="11" spans="2:32" s="6" customFormat="1" ht="23.1" customHeight="1" x14ac:dyDescent="0.25">
      <c r="B11" s="23" t="s">
        <v>38</v>
      </c>
      <c r="C11" s="50">
        <v>62</v>
      </c>
      <c r="D11" s="50">
        <v>5</v>
      </c>
      <c r="E11" s="50">
        <v>6</v>
      </c>
      <c r="F11" s="50">
        <v>32</v>
      </c>
      <c r="G11" s="50">
        <v>4</v>
      </c>
      <c r="H11" s="50">
        <v>0</v>
      </c>
      <c r="I11" s="50">
        <v>4</v>
      </c>
      <c r="J11" s="50">
        <v>3</v>
      </c>
      <c r="K11" s="50">
        <v>1</v>
      </c>
      <c r="L11" s="50">
        <v>1</v>
      </c>
      <c r="M11" s="50">
        <v>108</v>
      </c>
      <c r="N11" s="50">
        <v>0</v>
      </c>
      <c r="O11" s="15">
        <f t="shared" si="0"/>
        <v>118</v>
      </c>
      <c r="P11" s="15">
        <f t="shared" si="1"/>
        <v>226</v>
      </c>
      <c r="R11" s="1" t="s">
        <v>7</v>
      </c>
      <c r="S11" s="17">
        <f t="shared" ref="S11:AF11" si="3">SUM(C14:C17)</f>
        <v>266</v>
      </c>
      <c r="T11" s="17">
        <f t="shared" si="3"/>
        <v>35</v>
      </c>
      <c r="U11" s="17">
        <f t="shared" si="3"/>
        <v>48</v>
      </c>
      <c r="V11" s="17">
        <f t="shared" si="3"/>
        <v>149</v>
      </c>
      <c r="W11" s="17">
        <f t="shared" si="3"/>
        <v>4</v>
      </c>
      <c r="X11" s="17">
        <f t="shared" si="3"/>
        <v>3</v>
      </c>
      <c r="Y11" s="17">
        <f t="shared" si="3"/>
        <v>45</v>
      </c>
      <c r="Z11" s="17">
        <f t="shared" si="3"/>
        <v>24</v>
      </c>
      <c r="AA11" s="17">
        <f t="shared" si="3"/>
        <v>17</v>
      </c>
      <c r="AB11" s="17">
        <f t="shared" si="3"/>
        <v>9</v>
      </c>
      <c r="AC11" s="17">
        <f t="shared" si="3"/>
        <v>491</v>
      </c>
      <c r="AD11" s="17">
        <f t="shared" si="3"/>
        <v>0</v>
      </c>
      <c r="AE11" s="31">
        <f t="shared" si="3"/>
        <v>600</v>
      </c>
      <c r="AF11" s="31">
        <f t="shared" si="3"/>
        <v>1091</v>
      </c>
    </row>
    <row r="12" spans="2:32" ht="23.1" customHeight="1" x14ac:dyDescent="0.25">
      <c r="B12" s="23" t="s">
        <v>39</v>
      </c>
      <c r="C12" s="50">
        <v>64</v>
      </c>
      <c r="D12" s="50">
        <v>9</v>
      </c>
      <c r="E12" s="50">
        <v>9</v>
      </c>
      <c r="F12" s="50">
        <v>33</v>
      </c>
      <c r="G12" s="50">
        <v>5</v>
      </c>
      <c r="H12" s="50">
        <v>0</v>
      </c>
      <c r="I12" s="50">
        <v>11</v>
      </c>
      <c r="J12" s="50">
        <v>4</v>
      </c>
      <c r="K12" s="50">
        <v>2</v>
      </c>
      <c r="L12" s="50">
        <v>3</v>
      </c>
      <c r="M12" s="50">
        <v>107</v>
      </c>
      <c r="N12" s="50">
        <v>0</v>
      </c>
      <c r="O12" s="15">
        <f t="shared" si="0"/>
        <v>140</v>
      </c>
      <c r="P12" s="15">
        <f t="shared" si="1"/>
        <v>247</v>
      </c>
      <c r="R12" s="1" t="s">
        <v>8</v>
      </c>
      <c r="S12" s="17">
        <f t="shared" ref="S12:AF12" si="4">SUM(C18:C21)</f>
        <v>243</v>
      </c>
      <c r="T12" s="17">
        <f t="shared" si="4"/>
        <v>35</v>
      </c>
      <c r="U12" s="17">
        <f t="shared" si="4"/>
        <v>45</v>
      </c>
      <c r="V12" s="17">
        <f t="shared" si="4"/>
        <v>167</v>
      </c>
      <c r="W12" s="17">
        <f t="shared" si="4"/>
        <v>16</v>
      </c>
      <c r="X12" s="17">
        <f t="shared" si="4"/>
        <v>3</v>
      </c>
      <c r="Y12" s="17">
        <f t="shared" si="4"/>
        <v>73</v>
      </c>
      <c r="Z12" s="17">
        <f t="shared" si="4"/>
        <v>25</v>
      </c>
      <c r="AA12" s="17">
        <f t="shared" si="4"/>
        <v>9</v>
      </c>
      <c r="AB12" s="17">
        <f t="shared" si="4"/>
        <v>19</v>
      </c>
      <c r="AC12" s="17">
        <f t="shared" si="4"/>
        <v>472</v>
      </c>
      <c r="AD12" s="17">
        <f t="shared" si="4"/>
        <v>0</v>
      </c>
      <c r="AE12" s="31">
        <f t="shared" si="4"/>
        <v>635</v>
      </c>
      <c r="AF12" s="31">
        <f t="shared" si="4"/>
        <v>1107</v>
      </c>
    </row>
    <row r="13" spans="2:32" ht="23.1" customHeight="1" x14ac:dyDescent="0.25">
      <c r="B13" s="23" t="s">
        <v>40</v>
      </c>
      <c r="C13" s="50">
        <v>71</v>
      </c>
      <c r="D13" s="50">
        <v>10</v>
      </c>
      <c r="E13" s="50">
        <v>6</v>
      </c>
      <c r="F13" s="50">
        <v>38</v>
      </c>
      <c r="G13" s="50">
        <v>6</v>
      </c>
      <c r="H13" s="50">
        <v>0</v>
      </c>
      <c r="I13" s="50">
        <v>9</v>
      </c>
      <c r="J13" s="50">
        <v>10</v>
      </c>
      <c r="K13" s="50">
        <v>2</v>
      </c>
      <c r="L13" s="50">
        <v>1</v>
      </c>
      <c r="M13" s="50">
        <v>108</v>
      </c>
      <c r="N13" s="50">
        <v>0</v>
      </c>
      <c r="O13" s="15">
        <f t="shared" si="0"/>
        <v>153</v>
      </c>
      <c r="P13" s="15">
        <f t="shared" si="1"/>
        <v>261</v>
      </c>
      <c r="R13" s="1" t="s">
        <v>9</v>
      </c>
      <c r="S13" s="17">
        <f t="shared" ref="S13:AF13" si="5">SUM(C22:C25)</f>
        <v>273</v>
      </c>
      <c r="T13" s="17">
        <f t="shared" si="5"/>
        <v>32</v>
      </c>
      <c r="U13" s="17">
        <f t="shared" si="5"/>
        <v>48</v>
      </c>
      <c r="V13" s="17">
        <f t="shared" si="5"/>
        <v>146</v>
      </c>
      <c r="W13" s="17">
        <f t="shared" si="5"/>
        <v>16</v>
      </c>
      <c r="X13" s="17">
        <f t="shared" si="5"/>
        <v>1</v>
      </c>
      <c r="Y13" s="17">
        <f t="shared" si="5"/>
        <v>62</v>
      </c>
      <c r="Z13" s="17">
        <f t="shared" si="5"/>
        <v>36</v>
      </c>
      <c r="AA13" s="17">
        <f t="shared" si="5"/>
        <v>10</v>
      </c>
      <c r="AB13" s="17">
        <f t="shared" si="5"/>
        <v>27</v>
      </c>
      <c r="AC13" s="17">
        <f t="shared" si="5"/>
        <v>434</v>
      </c>
      <c r="AD13" s="17">
        <f t="shared" si="5"/>
        <v>0</v>
      </c>
      <c r="AE13" s="31">
        <f t="shared" si="5"/>
        <v>651</v>
      </c>
      <c r="AF13" s="31">
        <f t="shared" si="5"/>
        <v>1085</v>
      </c>
    </row>
    <row r="14" spans="2:32" ht="23.1" customHeight="1" x14ac:dyDescent="0.25">
      <c r="B14" s="23" t="s">
        <v>41</v>
      </c>
      <c r="C14" s="50">
        <v>65</v>
      </c>
      <c r="D14" s="50">
        <v>6</v>
      </c>
      <c r="E14" s="50">
        <v>10</v>
      </c>
      <c r="F14" s="50">
        <v>27</v>
      </c>
      <c r="G14" s="50">
        <v>2</v>
      </c>
      <c r="H14" s="50">
        <v>0</v>
      </c>
      <c r="I14" s="50">
        <v>11</v>
      </c>
      <c r="J14" s="50">
        <v>11</v>
      </c>
      <c r="K14" s="50">
        <v>5</v>
      </c>
      <c r="L14" s="50">
        <v>1</v>
      </c>
      <c r="M14" s="50">
        <v>137</v>
      </c>
      <c r="N14" s="50">
        <v>0</v>
      </c>
      <c r="O14" s="15">
        <f t="shared" si="0"/>
        <v>138</v>
      </c>
      <c r="P14" s="15">
        <f t="shared" si="1"/>
        <v>275</v>
      </c>
      <c r="R14" s="1" t="s">
        <v>10</v>
      </c>
      <c r="S14" s="17">
        <f t="shared" ref="S14:AF14" si="6">SUM(C26:C29)</f>
        <v>310</v>
      </c>
      <c r="T14" s="17">
        <f t="shared" si="6"/>
        <v>37</v>
      </c>
      <c r="U14" s="17">
        <f t="shared" si="6"/>
        <v>47</v>
      </c>
      <c r="V14" s="17">
        <f t="shared" si="6"/>
        <v>154</v>
      </c>
      <c r="W14" s="17">
        <f t="shared" si="6"/>
        <v>4</v>
      </c>
      <c r="X14" s="17">
        <f t="shared" si="6"/>
        <v>2</v>
      </c>
      <c r="Y14" s="17">
        <f t="shared" si="6"/>
        <v>70</v>
      </c>
      <c r="Z14" s="17">
        <f t="shared" si="6"/>
        <v>31</v>
      </c>
      <c r="AA14" s="17">
        <f t="shared" si="6"/>
        <v>20</v>
      </c>
      <c r="AB14" s="17">
        <f t="shared" si="6"/>
        <v>23</v>
      </c>
      <c r="AC14" s="17">
        <f t="shared" si="6"/>
        <v>380</v>
      </c>
      <c r="AD14" s="17">
        <f t="shared" si="6"/>
        <v>0</v>
      </c>
      <c r="AE14" s="31">
        <f t="shared" si="6"/>
        <v>698</v>
      </c>
      <c r="AF14" s="31">
        <f t="shared" si="6"/>
        <v>1078</v>
      </c>
    </row>
    <row r="15" spans="2:32" ht="23.1" customHeight="1" x14ac:dyDescent="0.25">
      <c r="B15" s="23" t="s">
        <v>42</v>
      </c>
      <c r="C15" s="50">
        <v>59</v>
      </c>
      <c r="D15" s="50">
        <v>12</v>
      </c>
      <c r="E15" s="50">
        <v>14</v>
      </c>
      <c r="F15" s="50">
        <v>42</v>
      </c>
      <c r="G15" s="50">
        <v>0</v>
      </c>
      <c r="H15" s="50">
        <v>1</v>
      </c>
      <c r="I15" s="50">
        <v>10</v>
      </c>
      <c r="J15" s="50">
        <v>7</v>
      </c>
      <c r="K15" s="50">
        <v>2</v>
      </c>
      <c r="L15" s="50">
        <v>1</v>
      </c>
      <c r="M15" s="50">
        <v>145</v>
      </c>
      <c r="N15" s="50">
        <v>0</v>
      </c>
      <c r="O15" s="15">
        <f t="shared" si="0"/>
        <v>148</v>
      </c>
      <c r="P15" s="15">
        <f t="shared" si="1"/>
        <v>293</v>
      </c>
      <c r="R15" s="1" t="s">
        <v>11</v>
      </c>
      <c r="S15" s="17">
        <f t="shared" ref="S15:AF15" si="7">SUM(C30:C33)</f>
        <v>293</v>
      </c>
      <c r="T15" s="17">
        <f t="shared" si="7"/>
        <v>50</v>
      </c>
      <c r="U15" s="17">
        <f t="shared" si="7"/>
        <v>48</v>
      </c>
      <c r="V15" s="17">
        <f t="shared" si="7"/>
        <v>164</v>
      </c>
      <c r="W15" s="17">
        <f t="shared" si="7"/>
        <v>9</v>
      </c>
      <c r="X15" s="17">
        <f t="shared" si="7"/>
        <v>3</v>
      </c>
      <c r="Y15" s="17">
        <f t="shared" si="7"/>
        <v>65</v>
      </c>
      <c r="Z15" s="17">
        <f t="shared" si="7"/>
        <v>41</v>
      </c>
      <c r="AA15" s="17">
        <f t="shared" si="7"/>
        <v>16</v>
      </c>
      <c r="AB15" s="17">
        <f t="shared" si="7"/>
        <v>25</v>
      </c>
      <c r="AC15" s="17">
        <f t="shared" si="7"/>
        <v>387</v>
      </c>
      <c r="AD15" s="17">
        <f t="shared" si="7"/>
        <v>0</v>
      </c>
      <c r="AE15" s="31">
        <f t="shared" si="7"/>
        <v>714</v>
      </c>
      <c r="AF15" s="31">
        <f t="shared" si="7"/>
        <v>1101</v>
      </c>
    </row>
    <row r="16" spans="2:32" ht="23.1" customHeight="1" x14ac:dyDescent="0.25">
      <c r="B16" s="23" t="s">
        <v>43</v>
      </c>
      <c r="C16" s="50">
        <v>67</v>
      </c>
      <c r="D16" s="50">
        <v>9</v>
      </c>
      <c r="E16" s="50">
        <v>8</v>
      </c>
      <c r="F16" s="50">
        <v>38</v>
      </c>
      <c r="G16" s="50">
        <v>2</v>
      </c>
      <c r="H16" s="50">
        <v>1</v>
      </c>
      <c r="I16" s="50">
        <v>16</v>
      </c>
      <c r="J16" s="50">
        <v>2</v>
      </c>
      <c r="K16" s="50">
        <v>4</v>
      </c>
      <c r="L16" s="50">
        <v>5</v>
      </c>
      <c r="M16" s="50">
        <v>101</v>
      </c>
      <c r="N16" s="50">
        <v>0</v>
      </c>
      <c r="O16" s="15">
        <f t="shared" si="0"/>
        <v>152</v>
      </c>
      <c r="P16" s="15">
        <f t="shared" si="1"/>
        <v>253</v>
      </c>
      <c r="R16" s="1" t="s">
        <v>12</v>
      </c>
      <c r="S16" s="17">
        <f t="shared" ref="S16:AF16" si="8">SUM(C34:C37)</f>
        <v>277</v>
      </c>
      <c r="T16" s="17">
        <f t="shared" si="8"/>
        <v>34</v>
      </c>
      <c r="U16" s="17">
        <f t="shared" si="8"/>
        <v>33</v>
      </c>
      <c r="V16" s="17">
        <f t="shared" si="8"/>
        <v>132</v>
      </c>
      <c r="W16" s="17">
        <f t="shared" si="8"/>
        <v>15</v>
      </c>
      <c r="X16" s="17">
        <f t="shared" si="8"/>
        <v>4</v>
      </c>
      <c r="Y16" s="17">
        <f t="shared" si="8"/>
        <v>72</v>
      </c>
      <c r="Z16" s="17">
        <f t="shared" si="8"/>
        <v>27</v>
      </c>
      <c r="AA16" s="17">
        <f t="shared" si="8"/>
        <v>22</v>
      </c>
      <c r="AB16" s="17">
        <f t="shared" si="8"/>
        <v>26</v>
      </c>
      <c r="AC16" s="17">
        <f t="shared" si="8"/>
        <v>318</v>
      </c>
      <c r="AD16" s="17">
        <f t="shared" si="8"/>
        <v>0</v>
      </c>
      <c r="AE16" s="31">
        <f t="shared" si="8"/>
        <v>642</v>
      </c>
      <c r="AF16" s="31">
        <f t="shared" si="8"/>
        <v>960</v>
      </c>
    </row>
    <row r="17" spans="2:32" ht="23.1" customHeight="1" x14ac:dyDescent="0.25">
      <c r="B17" s="23" t="s">
        <v>44</v>
      </c>
      <c r="C17" s="50">
        <v>75</v>
      </c>
      <c r="D17" s="50">
        <v>8</v>
      </c>
      <c r="E17" s="50">
        <v>16</v>
      </c>
      <c r="F17" s="50">
        <v>42</v>
      </c>
      <c r="G17" s="50">
        <v>0</v>
      </c>
      <c r="H17" s="50">
        <v>1</v>
      </c>
      <c r="I17" s="50">
        <v>8</v>
      </c>
      <c r="J17" s="50">
        <v>4</v>
      </c>
      <c r="K17" s="50">
        <v>6</v>
      </c>
      <c r="L17" s="50">
        <v>2</v>
      </c>
      <c r="M17" s="50">
        <v>108</v>
      </c>
      <c r="N17" s="50">
        <v>0</v>
      </c>
      <c r="O17" s="15">
        <f t="shared" si="0"/>
        <v>162</v>
      </c>
      <c r="P17" s="15">
        <f t="shared" si="1"/>
        <v>270</v>
      </c>
      <c r="R17" s="1" t="s">
        <v>13</v>
      </c>
      <c r="S17" s="17">
        <f t="shared" ref="S17:AF17" si="9">SUM(C38:C41)</f>
        <v>278</v>
      </c>
      <c r="T17" s="17">
        <f t="shared" si="9"/>
        <v>24</v>
      </c>
      <c r="U17" s="17">
        <f t="shared" si="9"/>
        <v>33</v>
      </c>
      <c r="V17" s="17">
        <f t="shared" si="9"/>
        <v>139</v>
      </c>
      <c r="W17" s="17">
        <f t="shared" si="9"/>
        <v>5</v>
      </c>
      <c r="X17" s="17">
        <f t="shared" si="9"/>
        <v>4</v>
      </c>
      <c r="Y17" s="17">
        <f t="shared" si="9"/>
        <v>81</v>
      </c>
      <c r="Z17" s="17">
        <f t="shared" si="9"/>
        <v>30</v>
      </c>
      <c r="AA17" s="17">
        <f t="shared" si="9"/>
        <v>15</v>
      </c>
      <c r="AB17" s="17">
        <f t="shared" si="9"/>
        <v>34</v>
      </c>
      <c r="AC17" s="17">
        <f t="shared" si="9"/>
        <v>354</v>
      </c>
      <c r="AD17" s="17">
        <f t="shared" si="9"/>
        <v>0</v>
      </c>
      <c r="AE17" s="31">
        <f t="shared" si="9"/>
        <v>643</v>
      </c>
      <c r="AF17" s="31">
        <f t="shared" si="9"/>
        <v>997</v>
      </c>
    </row>
    <row r="18" spans="2:32" ht="23.1" customHeight="1" x14ac:dyDescent="0.25">
      <c r="B18" s="23" t="s">
        <v>45</v>
      </c>
      <c r="C18" s="50">
        <v>75</v>
      </c>
      <c r="D18" s="50">
        <v>9</v>
      </c>
      <c r="E18" s="50">
        <v>9</v>
      </c>
      <c r="F18" s="50">
        <v>44</v>
      </c>
      <c r="G18" s="50">
        <v>0</v>
      </c>
      <c r="H18" s="50">
        <v>0</v>
      </c>
      <c r="I18" s="50">
        <v>23</v>
      </c>
      <c r="J18" s="50">
        <v>5</v>
      </c>
      <c r="K18" s="50">
        <v>2</v>
      </c>
      <c r="L18" s="50">
        <v>2</v>
      </c>
      <c r="M18" s="50">
        <v>137</v>
      </c>
      <c r="N18" s="50">
        <v>0</v>
      </c>
      <c r="O18" s="15">
        <f t="shared" si="0"/>
        <v>169</v>
      </c>
      <c r="P18" s="15">
        <f t="shared" si="1"/>
        <v>306</v>
      </c>
      <c r="R18" s="1" t="s">
        <v>14</v>
      </c>
      <c r="S18" s="17">
        <f t="shared" ref="S18:AF18" si="10">SUM(C42:C45)</f>
        <v>293</v>
      </c>
      <c r="T18" s="17">
        <f t="shared" si="10"/>
        <v>42</v>
      </c>
      <c r="U18" s="17">
        <f t="shared" si="10"/>
        <v>50</v>
      </c>
      <c r="V18" s="17">
        <f t="shared" si="10"/>
        <v>114</v>
      </c>
      <c r="W18" s="17">
        <f t="shared" si="10"/>
        <v>1</v>
      </c>
      <c r="X18" s="17">
        <f t="shared" si="10"/>
        <v>3</v>
      </c>
      <c r="Y18" s="17">
        <f t="shared" si="10"/>
        <v>60</v>
      </c>
      <c r="Z18" s="17">
        <f t="shared" si="10"/>
        <v>43</v>
      </c>
      <c r="AA18" s="17">
        <f t="shared" si="10"/>
        <v>13</v>
      </c>
      <c r="AB18" s="17">
        <f t="shared" si="10"/>
        <v>20</v>
      </c>
      <c r="AC18" s="17">
        <f t="shared" si="10"/>
        <v>382</v>
      </c>
      <c r="AD18" s="17">
        <f t="shared" si="10"/>
        <v>0</v>
      </c>
      <c r="AE18" s="31">
        <f t="shared" si="10"/>
        <v>639</v>
      </c>
      <c r="AF18" s="31">
        <f t="shared" si="10"/>
        <v>1021</v>
      </c>
    </row>
    <row r="19" spans="2:32" ht="23.1" customHeight="1" x14ac:dyDescent="0.25">
      <c r="B19" s="23" t="s">
        <v>46</v>
      </c>
      <c r="C19" s="50">
        <v>46</v>
      </c>
      <c r="D19" s="50">
        <v>11</v>
      </c>
      <c r="E19" s="50">
        <v>11</v>
      </c>
      <c r="F19" s="50">
        <v>44</v>
      </c>
      <c r="G19" s="50">
        <v>3</v>
      </c>
      <c r="H19" s="50">
        <v>1</v>
      </c>
      <c r="I19" s="50">
        <v>17</v>
      </c>
      <c r="J19" s="50">
        <v>4</v>
      </c>
      <c r="K19" s="50">
        <v>2</v>
      </c>
      <c r="L19" s="50">
        <v>6</v>
      </c>
      <c r="M19" s="50">
        <v>103</v>
      </c>
      <c r="N19" s="50">
        <v>0</v>
      </c>
      <c r="O19" s="15">
        <f t="shared" si="0"/>
        <v>145</v>
      </c>
      <c r="P19" s="15">
        <f t="shared" si="1"/>
        <v>248</v>
      </c>
      <c r="R19" s="1" t="s">
        <v>15</v>
      </c>
      <c r="S19" s="17">
        <f t="shared" ref="S19:AF19" si="11">SUM(C46:C49)</f>
        <v>394</v>
      </c>
      <c r="T19" s="17">
        <f t="shared" si="11"/>
        <v>51</v>
      </c>
      <c r="U19" s="17">
        <f t="shared" si="11"/>
        <v>48</v>
      </c>
      <c r="V19" s="17">
        <f t="shared" si="11"/>
        <v>141</v>
      </c>
      <c r="W19" s="17">
        <f t="shared" si="11"/>
        <v>4</v>
      </c>
      <c r="X19" s="17">
        <f t="shared" si="11"/>
        <v>0</v>
      </c>
      <c r="Y19" s="17">
        <f t="shared" si="11"/>
        <v>78</v>
      </c>
      <c r="Z19" s="17">
        <f t="shared" si="11"/>
        <v>40</v>
      </c>
      <c r="AA19" s="17">
        <f t="shared" si="11"/>
        <v>28</v>
      </c>
      <c r="AB19" s="17">
        <f t="shared" si="11"/>
        <v>18</v>
      </c>
      <c r="AC19" s="17">
        <f t="shared" si="11"/>
        <v>421</v>
      </c>
      <c r="AD19" s="17">
        <f t="shared" si="11"/>
        <v>0</v>
      </c>
      <c r="AE19" s="31">
        <f t="shared" si="11"/>
        <v>802</v>
      </c>
      <c r="AF19" s="31">
        <f t="shared" si="11"/>
        <v>1223</v>
      </c>
    </row>
    <row r="20" spans="2:32" ht="23.1" customHeight="1" x14ac:dyDescent="0.25">
      <c r="B20" s="23" t="s">
        <v>47</v>
      </c>
      <c r="C20" s="50">
        <v>51</v>
      </c>
      <c r="D20" s="50">
        <v>5</v>
      </c>
      <c r="E20" s="50">
        <v>10</v>
      </c>
      <c r="F20" s="50">
        <v>46</v>
      </c>
      <c r="G20" s="50">
        <v>3</v>
      </c>
      <c r="H20" s="50">
        <v>2</v>
      </c>
      <c r="I20" s="50">
        <v>15</v>
      </c>
      <c r="J20" s="50">
        <v>8</v>
      </c>
      <c r="K20" s="50">
        <v>2</v>
      </c>
      <c r="L20" s="50">
        <v>5</v>
      </c>
      <c r="M20" s="50">
        <v>90</v>
      </c>
      <c r="N20" s="50">
        <v>0</v>
      </c>
      <c r="O20" s="15">
        <f t="shared" si="0"/>
        <v>147</v>
      </c>
      <c r="P20" s="15">
        <f t="shared" si="1"/>
        <v>237</v>
      </c>
      <c r="R20" s="1" t="s">
        <v>16</v>
      </c>
      <c r="S20" s="17">
        <f t="shared" ref="S20:AF20" si="12">SUM(C50:C53)</f>
        <v>420</v>
      </c>
      <c r="T20" s="17">
        <f t="shared" si="12"/>
        <v>49</v>
      </c>
      <c r="U20" s="17">
        <f t="shared" si="12"/>
        <v>40</v>
      </c>
      <c r="V20" s="17">
        <f t="shared" si="12"/>
        <v>119</v>
      </c>
      <c r="W20" s="17">
        <f t="shared" si="12"/>
        <v>9</v>
      </c>
      <c r="X20" s="17">
        <f t="shared" si="12"/>
        <v>2</v>
      </c>
      <c r="Y20" s="17">
        <f t="shared" si="12"/>
        <v>70</v>
      </c>
      <c r="Z20" s="17">
        <f t="shared" si="12"/>
        <v>32</v>
      </c>
      <c r="AA20" s="17">
        <f t="shared" si="12"/>
        <v>27</v>
      </c>
      <c r="AB20" s="17">
        <f t="shared" si="12"/>
        <v>35</v>
      </c>
      <c r="AC20" s="17">
        <f t="shared" si="12"/>
        <v>476</v>
      </c>
      <c r="AD20" s="17">
        <f t="shared" si="12"/>
        <v>0</v>
      </c>
      <c r="AE20" s="31">
        <f t="shared" si="12"/>
        <v>803</v>
      </c>
      <c r="AF20" s="31">
        <f t="shared" si="12"/>
        <v>1279</v>
      </c>
    </row>
    <row r="21" spans="2:32" ht="23.1" customHeight="1" x14ac:dyDescent="0.25">
      <c r="B21" s="23" t="s">
        <v>48</v>
      </c>
      <c r="C21" s="50">
        <v>71</v>
      </c>
      <c r="D21" s="50">
        <v>10</v>
      </c>
      <c r="E21" s="50">
        <v>15</v>
      </c>
      <c r="F21" s="50">
        <v>33</v>
      </c>
      <c r="G21" s="50">
        <v>10</v>
      </c>
      <c r="H21" s="50">
        <v>0</v>
      </c>
      <c r="I21" s="50">
        <v>18</v>
      </c>
      <c r="J21" s="50">
        <v>8</v>
      </c>
      <c r="K21" s="50">
        <v>3</v>
      </c>
      <c r="L21" s="50">
        <v>6</v>
      </c>
      <c r="M21" s="50">
        <v>142</v>
      </c>
      <c r="N21" s="50">
        <v>0</v>
      </c>
      <c r="O21" s="15">
        <f t="shared" si="0"/>
        <v>174</v>
      </c>
      <c r="P21" s="15">
        <f t="shared" si="1"/>
        <v>316</v>
      </c>
      <c r="R21" s="36" t="s">
        <v>20</v>
      </c>
      <c r="S21" s="34">
        <f t="shared" ref="S21:AF21" si="13">SUM(C54:C57)</f>
        <v>490</v>
      </c>
      <c r="T21" s="17">
        <f t="shared" si="13"/>
        <v>44</v>
      </c>
      <c r="U21" s="17">
        <f t="shared" si="13"/>
        <v>43</v>
      </c>
      <c r="V21" s="17">
        <f t="shared" si="13"/>
        <v>168</v>
      </c>
      <c r="W21" s="17">
        <f t="shared" si="13"/>
        <v>5</v>
      </c>
      <c r="X21" s="17">
        <f t="shared" si="13"/>
        <v>0</v>
      </c>
      <c r="Y21" s="17">
        <f t="shared" si="13"/>
        <v>49</v>
      </c>
      <c r="Z21" s="17">
        <f t="shared" si="13"/>
        <v>40</v>
      </c>
      <c r="AA21" s="17">
        <f t="shared" si="13"/>
        <v>12</v>
      </c>
      <c r="AB21" s="17">
        <f t="shared" si="13"/>
        <v>23</v>
      </c>
      <c r="AC21" s="17">
        <f t="shared" si="13"/>
        <v>525</v>
      </c>
      <c r="AD21" s="17">
        <f t="shared" si="13"/>
        <v>0</v>
      </c>
      <c r="AE21" s="31">
        <f t="shared" si="13"/>
        <v>874</v>
      </c>
      <c r="AF21" s="31">
        <f t="shared" si="13"/>
        <v>1399</v>
      </c>
    </row>
    <row r="22" spans="2:32" ht="23.1" customHeight="1" x14ac:dyDescent="0.25">
      <c r="B22" s="23" t="s">
        <v>49</v>
      </c>
      <c r="C22" s="50">
        <v>55</v>
      </c>
      <c r="D22" s="50">
        <v>8</v>
      </c>
      <c r="E22" s="50">
        <v>7</v>
      </c>
      <c r="F22" s="50">
        <v>34</v>
      </c>
      <c r="G22" s="50">
        <v>3</v>
      </c>
      <c r="H22" s="50">
        <v>0</v>
      </c>
      <c r="I22" s="50">
        <v>9</v>
      </c>
      <c r="J22" s="50">
        <v>9</v>
      </c>
      <c r="K22" s="50">
        <v>3</v>
      </c>
      <c r="L22" s="50">
        <v>8</v>
      </c>
      <c r="M22" s="50">
        <v>105</v>
      </c>
      <c r="N22" s="50">
        <v>0</v>
      </c>
      <c r="O22" s="15">
        <f t="shared" si="0"/>
        <v>136</v>
      </c>
      <c r="P22" s="15">
        <f t="shared" si="1"/>
        <v>241</v>
      </c>
      <c r="R22" s="38" t="s">
        <v>90</v>
      </c>
      <c r="S22" s="39">
        <f>MAX(S10:S12)</f>
        <v>272</v>
      </c>
      <c r="T22" s="39">
        <f t="shared" ref="T22:AF22" si="14">MAX(T10:T12)</f>
        <v>35</v>
      </c>
      <c r="U22" s="39">
        <f t="shared" si="14"/>
        <v>48</v>
      </c>
      <c r="V22" s="39">
        <f t="shared" si="14"/>
        <v>167</v>
      </c>
      <c r="W22" s="39">
        <f t="shared" si="14"/>
        <v>16</v>
      </c>
      <c r="X22" s="39">
        <f t="shared" si="14"/>
        <v>3</v>
      </c>
      <c r="Y22" s="39">
        <f t="shared" si="14"/>
        <v>73</v>
      </c>
      <c r="Z22" s="39">
        <f t="shared" si="14"/>
        <v>25</v>
      </c>
      <c r="AA22" s="39">
        <f t="shared" si="14"/>
        <v>17</v>
      </c>
      <c r="AB22" s="39">
        <f t="shared" si="14"/>
        <v>19</v>
      </c>
      <c r="AC22" s="39">
        <f t="shared" si="14"/>
        <v>491</v>
      </c>
      <c r="AD22" s="39">
        <f t="shared" si="14"/>
        <v>0</v>
      </c>
      <c r="AE22" s="40">
        <f t="shared" si="14"/>
        <v>635</v>
      </c>
      <c r="AF22" s="40">
        <f t="shared" si="14"/>
        <v>1107</v>
      </c>
    </row>
    <row r="23" spans="2:32" ht="23.1" customHeight="1" x14ac:dyDescent="0.25">
      <c r="B23" s="23" t="s">
        <v>50</v>
      </c>
      <c r="C23" s="50">
        <v>82</v>
      </c>
      <c r="D23" s="50">
        <v>8</v>
      </c>
      <c r="E23" s="50">
        <v>15</v>
      </c>
      <c r="F23" s="50">
        <v>40</v>
      </c>
      <c r="G23" s="50">
        <v>5</v>
      </c>
      <c r="H23" s="50">
        <v>0</v>
      </c>
      <c r="I23" s="50">
        <v>18</v>
      </c>
      <c r="J23" s="50">
        <v>15</v>
      </c>
      <c r="K23" s="50">
        <v>2</v>
      </c>
      <c r="L23" s="50">
        <v>8</v>
      </c>
      <c r="M23" s="50">
        <v>104</v>
      </c>
      <c r="N23" s="50">
        <v>0</v>
      </c>
      <c r="O23" s="15">
        <f t="shared" si="0"/>
        <v>193</v>
      </c>
      <c r="P23" s="15">
        <f t="shared" si="1"/>
        <v>297</v>
      </c>
      <c r="R23" s="38" t="s">
        <v>91</v>
      </c>
      <c r="S23" s="39">
        <f>MAX(S13:S18)</f>
        <v>310</v>
      </c>
      <c r="T23" s="39">
        <f t="shared" ref="T23:AF23" si="15">MAX(T13:T18)</f>
        <v>50</v>
      </c>
      <c r="U23" s="39">
        <f t="shared" si="15"/>
        <v>50</v>
      </c>
      <c r="V23" s="39">
        <f t="shared" si="15"/>
        <v>164</v>
      </c>
      <c r="W23" s="39">
        <f t="shared" si="15"/>
        <v>16</v>
      </c>
      <c r="X23" s="39">
        <f t="shared" si="15"/>
        <v>4</v>
      </c>
      <c r="Y23" s="39">
        <f t="shared" si="15"/>
        <v>81</v>
      </c>
      <c r="Z23" s="39">
        <f t="shared" si="15"/>
        <v>43</v>
      </c>
      <c r="AA23" s="39">
        <f t="shared" si="15"/>
        <v>22</v>
      </c>
      <c r="AB23" s="39">
        <f t="shared" si="15"/>
        <v>34</v>
      </c>
      <c r="AC23" s="39">
        <f t="shared" si="15"/>
        <v>434</v>
      </c>
      <c r="AD23" s="39">
        <f t="shared" si="15"/>
        <v>0</v>
      </c>
      <c r="AE23" s="40">
        <f t="shared" si="15"/>
        <v>714</v>
      </c>
      <c r="AF23" s="40">
        <f t="shared" si="15"/>
        <v>1101</v>
      </c>
    </row>
    <row r="24" spans="2:32" ht="23.1" customHeight="1" x14ac:dyDescent="0.25">
      <c r="B24" s="23" t="s">
        <v>51</v>
      </c>
      <c r="C24" s="50">
        <v>65</v>
      </c>
      <c r="D24" s="50">
        <v>10</v>
      </c>
      <c r="E24" s="50">
        <v>12</v>
      </c>
      <c r="F24" s="50">
        <v>36</v>
      </c>
      <c r="G24" s="50">
        <v>3</v>
      </c>
      <c r="H24" s="50">
        <v>1</v>
      </c>
      <c r="I24" s="50">
        <v>17</v>
      </c>
      <c r="J24" s="50">
        <v>6</v>
      </c>
      <c r="K24" s="50">
        <v>3</v>
      </c>
      <c r="L24" s="50">
        <v>5</v>
      </c>
      <c r="M24" s="50">
        <v>113</v>
      </c>
      <c r="N24" s="50">
        <v>0</v>
      </c>
      <c r="O24" s="15">
        <f t="shared" si="0"/>
        <v>158</v>
      </c>
      <c r="P24" s="15">
        <f t="shared" si="1"/>
        <v>271</v>
      </c>
      <c r="R24" s="38" t="s">
        <v>92</v>
      </c>
      <c r="S24" s="39">
        <f>MAX(S19:S21)</f>
        <v>490</v>
      </c>
      <c r="T24" s="39">
        <f t="shared" ref="T24:AF24" si="16">MAX(T19:T21)</f>
        <v>51</v>
      </c>
      <c r="U24" s="39">
        <f t="shared" si="16"/>
        <v>48</v>
      </c>
      <c r="V24" s="39">
        <f t="shared" si="16"/>
        <v>168</v>
      </c>
      <c r="W24" s="39">
        <f t="shared" si="16"/>
        <v>9</v>
      </c>
      <c r="X24" s="39">
        <f t="shared" si="16"/>
        <v>2</v>
      </c>
      <c r="Y24" s="39">
        <f t="shared" si="16"/>
        <v>78</v>
      </c>
      <c r="Z24" s="39">
        <f t="shared" si="16"/>
        <v>40</v>
      </c>
      <c r="AA24" s="39">
        <f t="shared" si="16"/>
        <v>28</v>
      </c>
      <c r="AB24" s="39">
        <f t="shared" si="16"/>
        <v>35</v>
      </c>
      <c r="AC24" s="39">
        <f t="shared" si="16"/>
        <v>525</v>
      </c>
      <c r="AD24" s="39">
        <f t="shared" si="16"/>
        <v>0</v>
      </c>
      <c r="AE24" s="40">
        <f t="shared" si="16"/>
        <v>874</v>
      </c>
      <c r="AF24" s="40">
        <f t="shared" si="16"/>
        <v>1399</v>
      </c>
    </row>
    <row r="25" spans="2:32" ht="23.1" customHeight="1" x14ac:dyDescent="0.25">
      <c r="B25" s="23" t="s">
        <v>52</v>
      </c>
      <c r="C25" s="50">
        <v>71</v>
      </c>
      <c r="D25" s="50">
        <v>6</v>
      </c>
      <c r="E25" s="50">
        <v>14</v>
      </c>
      <c r="F25" s="50">
        <v>36</v>
      </c>
      <c r="G25" s="50">
        <v>5</v>
      </c>
      <c r="H25" s="50">
        <v>0</v>
      </c>
      <c r="I25" s="50">
        <v>18</v>
      </c>
      <c r="J25" s="50">
        <v>6</v>
      </c>
      <c r="K25" s="50">
        <v>2</v>
      </c>
      <c r="L25" s="50">
        <v>6</v>
      </c>
      <c r="M25" s="50">
        <v>112</v>
      </c>
      <c r="N25" s="50">
        <v>0</v>
      </c>
      <c r="O25" s="15">
        <f t="shared" si="0"/>
        <v>164</v>
      </c>
      <c r="P25" s="15">
        <f t="shared" si="1"/>
        <v>276</v>
      </c>
      <c r="R25" s="37" t="s">
        <v>85</v>
      </c>
      <c r="S25" s="35">
        <f t="shared" ref="S25:AF25" si="17">SUM(S10:S12)</f>
        <v>781</v>
      </c>
      <c r="T25" s="16">
        <f t="shared" si="17"/>
        <v>100</v>
      </c>
      <c r="U25" s="16">
        <f t="shared" si="17"/>
        <v>119</v>
      </c>
      <c r="V25" s="16">
        <f t="shared" si="17"/>
        <v>447</v>
      </c>
      <c r="W25" s="16">
        <f t="shared" si="17"/>
        <v>36</v>
      </c>
      <c r="X25" s="16">
        <f t="shared" si="17"/>
        <v>6</v>
      </c>
      <c r="Y25" s="16">
        <f t="shared" si="17"/>
        <v>147</v>
      </c>
      <c r="Z25" s="16">
        <f t="shared" si="17"/>
        <v>71</v>
      </c>
      <c r="AA25" s="16">
        <f t="shared" si="17"/>
        <v>31</v>
      </c>
      <c r="AB25" s="16">
        <f t="shared" si="17"/>
        <v>34</v>
      </c>
      <c r="AC25" s="16">
        <f t="shared" si="17"/>
        <v>1374</v>
      </c>
      <c r="AD25" s="16">
        <f t="shared" si="17"/>
        <v>0</v>
      </c>
      <c r="AE25" s="32">
        <f t="shared" si="17"/>
        <v>1772</v>
      </c>
      <c r="AF25" s="32">
        <f t="shared" si="17"/>
        <v>3146</v>
      </c>
    </row>
    <row r="26" spans="2:32" ht="23.1" customHeight="1" x14ac:dyDescent="0.25">
      <c r="B26" s="23" t="s">
        <v>53</v>
      </c>
      <c r="C26" s="50">
        <v>85</v>
      </c>
      <c r="D26" s="50">
        <v>7</v>
      </c>
      <c r="E26" s="50">
        <v>11</v>
      </c>
      <c r="F26" s="50">
        <v>41</v>
      </c>
      <c r="G26" s="50">
        <v>0</v>
      </c>
      <c r="H26" s="50">
        <v>1</v>
      </c>
      <c r="I26" s="50">
        <v>21</v>
      </c>
      <c r="J26" s="50">
        <v>6</v>
      </c>
      <c r="K26" s="50">
        <v>5</v>
      </c>
      <c r="L26" s="50">
        <v>5</v>
      </c>
      <c r="M26" s="50">
        <v>75</v>
      </c>
      <c r="N26" s="50">
        <v>0</v>
      </c>
      <c r="O26" s="15">
        <f t="shared" si="0"/>
        <v>182</v>
      </c>
      <c r="P26" s="15">
        <f t="shared" si="1"/>
        <v>257</v>
      </c>
      <c r="R26" s="28" t="s">
        <v>86</v>
      </c>
      <c r="S26" s="16">
        <f t="shared" ref="S26:AF26" si="18">SUM(S13:S18)</f>
        <v>1724</v>
      </c>
      <c r="T26" s="16">
        <f t="shared" si="18"/>
        <v>219</v>
      </c>
      <c r="U26" s="16">
        <f t="shared" si="18"/>
        <v>259</v>
      </c>
      <c r="V26" s="16">
        <f t="shared" si="18"/>
        <v>849</v>
      </c>
      <c r="W26" s="16">
        <f t="shared" si="18"/>
        <v>50</v>
      </c>
      <c r="X26" s="16">
        <f t="shared" si="18"/>
        <v>17</v>
      </c>
      <c r="Y26" s="16">
        <f t="shared" si="18"/>
        <v>410</v>
      </c>
      <c r="Z26" s="16">
        <f t="shared" si="18"/>
        <v>208</v>
      </c>
      <c r="AA26" s="16">
        <f t="shared" si="18"/>
        <v>96</v>
      </c>
      <c r="AB26" s="16">
        <f t="shared" si="18"/>
        <v>155</v>
      </c>
      <c r="AC26" s="16">
        <f t="shared" si="18"/>
        <v>2255</v>
      </c>
      <c r="AD26" s="16">
        <f t="shared" si="18"/>
        <v>0</v>
      </c>
      <c r="AE26" s="32">
        <f t="shared" si="18"/>
        <v>3987</v>
      </c>
      <c r="AF26" s="32">
        <f t="shared" si="18"/>
        <v>6242</v>
      </c>
    </row>
    <row r="27" spans="2:32" ht="23.1" customHeight="1" x14ac:dyDescent="0.25">
      <c r="B27" s="23" t="s">
        <v>54</v>
      </c>
      <c r="C27" s="50">
        <v>75</v>
      </c>
      <c r="D27" s="50">
        <v>5</v>
      </c>
      <c r="E27" s="50">
        <v>9</v>
      </c>
      <c r="F27" s="50">
        <v>40</v>
      </c>
      <c r="G27" s="50">
        <v>1</v>
      </c>
      <c r="H27" s="50">
        <v>0</v>
      </c>
      <c r="I27" s="50">
        <v>14</v>
      </c>
      <c r="J27" s="50">
        <v>8</v>
      </c>
      <c r="K27" s="50">
        <v>5</v>
      </c>
      <c r="L27" s="50">
        <v>5</v>
      </c>
      <c r="M27" s="50">
        <v>108</v>
      </c>
      <c r="N27" s="50">
        <v>0</v>
      </c>
      <c r="O27" s="15">
        <f t="shared" si="0"/>
        <v>162</v>
      </c>
      <c r="P27" s="15">
        <f t="shared" si="1"/>
        <v>270</v>
      </c>
      <c r="R27" s="29" t="s">
        <v>87</v>
      </c>
      <c r="S27" s="16">
        <f t="shared" ref="S27:AF27" si="19">SUM(S19:S21)</f>
        <v>1304</v>
      </c>
      <c r="T27" s="16">
        <f t="shared" si="19"/>
        <v>144</v>
      </c>
      <c r="U27" s="16">
        <f t="shared" si="19"/>
        <v>131</v>
      </c>
      <c r="V27" s="16">
        <f t="shared" si="19"/>
        <v>428</v>
      </c>
      <c r="W27" s="16">
        <f t="shared" si="19"/>
        <v>18</v>
      </c>
      <c r="X27" s="16">
        <f t="shared" si="19"/>
        <v>2</v>
      </c>
      <c r="Y27" s="16">
        <f t="shared" si="19"/>
        <v>197</v>
      </c>
      <c r="Z27" s="16">
        <f t="shared" si="19"/>
        <v>112</v>
      </c>
      <c r="AA27" s="16">
        <f t="shared" si="19"/>
        <v>67</v>
      </c>
      <c r="AB27" s="16">
        <f t="shared" si="19"/>
        <v>76</v>
      </c>
      <c r="AC27" s="16">
        <f t="shared" si="19"/>
        <v>1422</v>
      </c>
      <c r="AD27" s="16">
        <f t="shared" si="19"/>
        <v>0</v>
      </c>
      <c r="AE27" s="32">
        <f t="shared" si="19"/>
        <v>2479</v>
      </c>
      <c r="AF27" s="32">
        <f t="shared" si="19"/>
        <v>3901</v>
      </c>
    </row>
    <row r="28" spans="2:32" ht="23.1" customHeight="1" x14ac:dyDescent="0.25">
      <c r="B28" s="23" t="s">
        <v>55</v>
      </c>
      <c r="C28" s="50">
        <v>87</v>
      </c>
      <c r="D28" s="50">
        <v>11</v>
      </c>
      <c r="E28" s="50">
        <v>11</v>
      </c>
      <c r="F28" s="50">
        <v>36</v>
      </c>
      <c r="G28" s="50">
        <v>1</v>
      </c>
      <c r="H28" s="50">
        <v>0</v>
      </c>
      <c r="I28" s="50">
        <v>18</v>
      </c>
      <c r="J28" s="50">
        <v>8</v>
      </c>
      <c r="K28" s="50">
        <v>4</v>
      </c>
      <c r="L28" s="50">
        <v>10</v>
      </c>
      <c r="M28" s="50">
        <v>102</v>
      </c>
      <c r="N28" s="50">
        <v>0</v>
      </c>
      <c r="O28" s="15">
        <f t="shared" si="0"/>
        <v>186</v>
      </c>
      <c r="P28" s="15">
        <f t="shared" si="1"/>
        <v>288</v>
      </c>
      <c r="R28" s="5" t="s">
        <v>17</v>
      </c>
      <c r="S28" s="16">
        <f t="shared" ref="S28:AF28" si="20">SUM(S10:S21)</f>
        <v>3809</v>
      </c>
      <c r="T28" s="16">
        <f t="shared" si="20"/>
        <v>463</v>
      </c>
      <c r="U28" s="16">
        <f t="shared" si="20"/>
        <v>509</v>
      </c>
      <c r="V28" s="16">
        <f t="shared" si="20"/>
        <v>1724</v>
      </c>
      <c r="W28" s="16">
        <f t="shared" si="20"/>
        <v>104</v>
      </c>
      <c r="X28" s="16">
        <f t="shared" si="20"/>
        <v>25</v>
      </c>
      <c r="Y28" s="16">
        <f t="shared" si="20"/>
        <v>754</v>
      </c>
      <c r="Z28" s="16">
        <f t="shared" si="20"/>
        <v>391</v>
      </c>
      <c r="AA28" s="16">
        <f t="shared" si="20"/>
        <v>194</v>
      </c>
      <c r="AB28" s="16">
        <f t="shared" si="20"/>
        <v>265</v>
      </c>
      <c r="AC28" s="16">
        <f t="shared" si="20"/>
        <v>5051</v>
      </c>
      <c r="AD28" s="16">
        <f t="shared" si="20"/>
        <v>0</v>
      </c>
      <c r="AE28" s="32">
        <f t="shared" si="20"/>
        <v>8238</v>
      </c>
      <c r="AF28" s="32">
        <f t="shared" si="20"/>
        <v>13289</v>
      </c>
    </row>
    <row r="29" spans="2:32" ht="23.1" customHeight="1" x14ac:dyDescent="0.25">
      <c r="B29" s="23" t="s">
        <v>56</v>
      </c>
      <c r="C29" s="50">
        <v>63</v>
      </c>
      <c r="D29" s="50">
        <v>14</v>
      </c>
      <c r="E29" s="50">
        <v>16</v>
      </c>
      <c r="F29" s="50">
        <v>37</v>
      </c>
      <c r="G29" s="50">
        <v>2</v>
      </c>
      <c r="H29" s="50">
        <v>1</v>
      </c>
      <c r="I29" s="50">
        <v>17</v>
      </c>
      <c r="J29" s="50">
        <v>9</v>
      </c>
      <c r="K29" s="50">
        <v>6</v>
      </c>
      <c r="L29" s="50">
        <v>3</v>
      </c>
      <c r="M29" s="50">
        <v>95</v>
      </c>
      <c r="N29" s="50">
        <v>0</v>
      </c>
      <c r="O29" s="15">
        <f t="shared" si="0"/>
        <v>168</v>
      </c>
      <c r="P29" s="15">
        <f t="shared" si="1"/>
        <v>263</v>
      </c>
      <c r="R29"/>
      <c r="S29" s="20"/>
      <c r="T29" s="19"/>
    </row>
    <row r="30" spans="2:32" ht="23.1" customHeight="1" x14ac:dyDescent="0.25">
      <c r="B30" s="23" t="s">
        <v>57</v>
      </c>
      <c r="C30" s="50">
        <v>62</v>
      </c>
      <c r="D30" s="50">
        <v>8</v>
      </c>
      <c r="E30" s="50">
        <v>17</v>
      </c>
      <c r="F30" s="50">
        <v>33</v>
      </c>
      <c r="G30" s="50">
        <v>3</v>
      </c>
      <c r="H30" s="50">
        <v>2</v>
      </c>
      <c r="I30" s="50">
        <v>24</v>
      </c>
      <c r="J30" s="50">
        <v>12</v>
      </c>
      <c r="K30" s="50">
        <v>3</v>
      </c>
      <c r="L30" s="50">
        <v>8</v>
      </c>
      <c r="M30" s="50">
        <v>107</v>
      </c>
      <c r="N30" s="50">
        <v>0</v>
      </c>
      <c r="O30" s="15">
        <f t="shared" si="0"/>
        <v>172</v>
      </c>
      <c r="P30" s="15">
        <f t="shared" si="1"/>
        <v>279</v>
      </c>
    </row>
    <row r="31" spans="2:32" ht="23.1" customHeight="1" x14ac:dyDescent="0.25">
      <c r="B31" s="24" t="s">
        <v>58</v>
      </c>
      <c r="C31" s="50">
        <v>59</v>
      </c>
      <c r="D31" s="50">
        <v>12</v>
      </c>
      <c r="E31" s="50">
        <v>8</v>
      </c>
      <c r="F31" s="50">
        <v>32</v>
      </c>
      <c r="G31" s="50">
        <v>2</v>
      </c>
      <c r="H31" s="50">
        <v>0</v>
      </c>
      <c r="I31" s="50">
        <v>10</v>
      </c>
      <c r="J31" s="50">
        <v>5</v>
      </c>
      <c r="K31" s="50">
        <v>5</v>
      </c>
      <c r="L31" s="50">
        <v>6</v>
      </c>
      <c r="M31" s="50">
        <v>76</v>
      </c>
      <c r="N31" s="50">
        <v>0</v>
      </c>
      <c r="O31" s="15">
        <f t="shared" si="0"/>
        <v>139</v>
      </c>
      <c r="P31" s="15">
        <f t="shared" si="1"/>
        <v>215</v>
      </c>
    </row>
    <row r="32" spans="2:32" ht="23.1" customHeight="1" x14ac:dyDescent="0.25">
      <c r="B32" s="24" t="s">
        <v>59</v>
      </c>
      <c r="C32" s="50">
        <v>95</v>
      </c>
      <c r="D32" s="50">
        <v>13</v>
      </c>
      <c r="E32" s="50">
        <v>13</v>
      </c>
      <c r="F32" s="50">
        <v>39</v>
      </c>
      <c r="G32" s="50">
        <v>3</v>
      </c>
      <c r="H32" s="50">
        <v>0</v>
      </c>
      <c r="I32" s="50">
        <v>15</v>
      </c>
      <c r="J32" s="50">
        <v>6</v>
      </c>
      <c r="K32" s="50">
        <v>4</v>
      </c>
      <c r="L32" s="50">
        <v>8</v>
      </c>
      <c r="M32" s="50">
        <v>93</v>
      </c>
      <c r="N32" s="50">
        <v>0</v>
      </c>
      <c r="O32" s="15">
        <f t="shared" si="0"/>
        <v>196</v>
      </c>
      <c r="P32" s="15">
        <f t="shared" si="1"/>
        <v>289</v>
      </c>
    </row>
    <row r="33" spans="2:20" ht="23.1" customHeight="1" x14ac:dyDescent="0.25">
      <c r="B33" s="23" t="s">
        <v>60</v>
      </c>
      <c r="C33" s="50">
        <v>77</v>
      </c>
      <c r="D33" s="50">
        <v>17</v>
      </c>
      <c r="E33" s="50">
        <v>10</v>
      </c>
      <c r="F33" s="50">
        <v>60</v>
      </c>
      <c r="G33" s="50">
        <v>1</v>
      </c>
      <c r="H33" s="50">
        <v>1</v>
      </c>
      <c r="I33" s="50">
        <v>16</v>
      </c>
      <c r="J33" s="50">
        <v>18</v>
      </c>
      <c r="K33" s="50">
        <v>4</v>
      </c>
      <c r="L33" s="50">
        <v>3</v>
      </c>
      <c r="M33" s="50">
        <v>111</v>
      </c>
      <c r="N33" s="50">
        <v>0</v>
      </c>
      <c r="O33" s="15">
        <f t="shared" si="0"/>
        <v>207</v>
      </c>
      <c r="P33" s="15">
        <f t="shared" si="1"/>
        <v>318</v>
      </c>
    </row>
    <row r="34" spans="2:20" ht="23.1" customHeight="1" x14ac:dyDescent="0.25">
      <c r="B34" s="24" t="s">
        <v>61</v>
      </c>
      <c r="C34" s="50">
        <v>75</v>
      </c>
      <c r="D34" s="50">
        <v>10</v>
      </c>
      <c r="E34" s="50">
        <v>8</v>
      </c>
      <c r="F34" s="50">
        <v>29</v>
      </c>
      <c r="G34" s="50">
        <v>3</v>
      </c>
      <c r="H34" s="50">
        <v>1</v>
      </c>
      <c r="I34" s="50">
        <v>10</v>
      </c>
      <c r="J34" s="50">
        <v>12</v>
      </c>
      <c r="K34" s="50">
        <v>0</v>
      </c>
      <c r="L34" s="50">
        <v>5</v>
      </c>
      <c r="M34" s="50">
        <v>83</v>
      </c>
      <c r="N34" s="50">
        <v>0</v>
      </c>
      <c r="O34" s="15">
        <f t="shared" si="0"/>
        <v>153</v>
      </c>
      <c r="P34" s="15">
        <f t="shared" si="1"/>
        <v>236</v>
      </c>
    </row>
    <row r="35" spans="2:20" ht="23.1" customHeight="1" x14ac:dyDescent="0.25">
      <c r="B35" s="24" t="s">
        <v>62</v>
      </c>
      <c r="C35" s="50">
        <v>69</v>
      </c>
      <c r="D35" s="50">
        <v>10</v>
      </c>
      <c r="E35" s="50">
        <v>14</v>
      </c>
      <c r="F35" s="50">
        <v>35</v>
      </c>
      <c r="G35" s="50">
        <v>6</v>
      </c>
      <c r="H35" s="50">
        <v>2</v>
      </c>
      <c r="I35" s="50">
        <v>20</v>
      </c>
      <c r="J35" s="50">
        <v>6</v>
      </c>
      <c r="K35" s="50">
        <v>8</v>
      </c>
      <c r="L35" s="50">
        <v>4</v>
      </c>
      <c r="M35" s="50">
        <v>82</v>
      </c>
      <c r="N35" s="50">
        <v>0</v>
      </c>
      <c r="O35" s="15">
        <f t="shared" si="0"/>
        <v>174</v>
      </c>
      <c r="P35" s="15">
        <f t="shared" si="1"/>
        <v>256</v>
      </c>
    </row>
    <row r="36" spans="2:20" ht="23.1" customHeight="1" x14ac:dyDescent="0.25">
      <c r="B36" s="24" t="s">
        <v>63</v>
      </c>
      <c r="C36" s="50">
        <v>74</v>
      </c>
      <c r="D36" s="50">
        <v>9</v>
      </c>
      <c r="E36" s="50">
        <v>6</v>
      </c>
      <c r="F36" s="50">
        <v>30</v>
      </c>
      <c r="G36" s="50">
        <v>3</v>
      </c>
      <c r="H36" s="50">
        <v>0</v>
      </c>
      <c r="I36" s="50">
        <v>23</v>
      </c>
      <c r="J36" s="50">
        <v>5</v>
      </c>
      <c r="K36" s="50">
        <v>9</v>
      </c>
      <c r="L36" s="50">
        <v>11</v>
      </c>
      <c r="M36" s="50">
        <v>84</v>
      </c>
      <c r="N36" s="50">
        <v>0</v>
      </c>
      <c r="O36" s="15">
        <f t="shared" si="0"/>
        <v>170</v>
      </c>
      <c r="P36" s="15">
        <f t="shared" si="1"/>
        <v>254</v>
      </c>
    </row>
    <row r="37" spans="2:20" ht="23.1" customHeight="1" x14ac:dyDescent="0.25">
      <c r="B37" s="23" t="s">
        <v>64</v>
      </c>
      <c r="C37" s="50">
        <v>59</v>
      </c>
      <c r="D37" s="50">
        <v>5</v>
      </c>
      <c r="E37" s="50">
        <v>5</v>
      </c>
      <c r="F37" s="50">
        <v>38</v>
      </c>
      <c r="G37" s="50">
        <v>3</v>
      </c>
      <c r="H37" s="50">
        <v>1</v>
      </c>
      <c r="I37" s="50">
        <v>19</v>
      </c>
      <c r="J37" s="50">
        <v>4</v>
      </c>
      <c r="K37" s="50">
        <v>5</v>
      </c>
      <c r="L37" s="50">
        <v>6</v>
      </c>
      <c r="M37" s="50">
        <v>69</v>
      </c>
      <c r="N37" s="50">
        <v>0</v>
      </c>
      <c r="O37" s="15">
        <f t="shared" si="0"/>
        <v>145</v>
      </c>
      <c r="P37" s="15">
        <f t="shared" si="1"/>
        <v>214</v>
      </c>
    </row>
    <row r="38" spans="2:20" ht="23.1" customHeight="1" x14ac:dyDescent="0.25">
      <c r="B38" s="24" t="s">
        <v>65</v>
      </c>
      <c r="C38" s="50">
        <v>75</v>
      </c>
      <c r="D38" s="50">
        <v>8</v>
      </c>
      <c r="E38" s="50">
        <v>6</v>
      </c>
      <c r="F38" s="50">
        <v>38</v>
      </c>
      <c r="G38" s="50">
        <v>3</v>
      </c>
      <c r="H38" s="50">
        <v>0</v>
      </c>
      <c r="I38" s="50">
        <v>19</v>
      </c>
      <c r="J38" s="50">
        <v>8</v>
      </c>
      <c r="K38" s="50">
        <v>4</v>
      </c>
      <c r="L38" s="50">
        <v>10</v>
      </c>
      <c r="M38" s="50">
        <v>104</v>
      </c>
      <c r="N38" s="50">
        <v>0</v>
      </c>
      <c r="O38" s="15">
        <f t="shared" si="0"/>
        <v>171</v>
      </c>
      <c r="P38" s="15">
        <f t="shared" si="1"/>
        <v>275</v>
      </c>
    </row>
    <row r="39" spans="2:20" ht="23.1" customHeight="1" x14ac:dyDescent="0.25">
      <c r="B39" s="24" t="s">
        <v>66</v>
      </c>
      <c r="C39" s="50">
        <v>73</v>
      </c>
      <c r="D39" s="50">
        <v>4</v>
      </c>
      <c r="E39" s="50">
        <v>10</v>
      </c>
      <c r="F39" s="50">
        <v>35</v>
      </c>
      <c r="G39" s="50">
        <v>1</v>
      </c>
      <c r="H39" s="50">
        <v>2</v>
      </c>
      <c r="I39" s="50">
        <v>19</v>
      </c>
      <c r="J39" s="50">
        <v>7</v>
      </c>
      <c r="K39" s="50">
        <v>6</v>
      </c>
      <c r="L39" s="50">
        <v>4</v>
      </c>
      <c r="M39" s="50">
        <v>95</v>
      </c>
      <c r="N39" s="50">
        <v>0</v>
      </c>
      <c r="O39" s="15">
        <f t="shared" si="0"/>
        <v>161</v>
      </c>
      <c r="P39" s="15">
        <f t="shared" si="1"/>
        <v>256</v>
      </c>
    </row>
    <row r="40" spans="2:20" ht="23.1" customHeight="1" x14ac:dyDescent="0.25">
      <c r="B40" s="24" t="s">
        <v>67</v>
      </c>
      <c r="C40" s="50">
        <v>62</v>
      </c>
      <c r="D40" s="50">
        <v>8</v>
      </c>
      <c r="E40" s="50">
        <v>9</v>
      </c>
      <c r="F40" s="50">
        <v>30</v>
      </c>
      <c r="G40" s="50">
        <v>0</v>
      </c>
      <c r="H40" s="50">
        <v>0</v>
      </c>
      <c r="I40" s="50">
        <v>20</v>
      </c>
      <c r="J40" s="50">
        <v>7</v>
      </c>
      <c r="K40" s="50">
        <v>3</v>
      </c>
      <c r="L40" s="50">
        <v>10</v>
      </c>
      <c r="M40" s="50">
        <v>63</v>
      </c>
      <c r="N40" s="50">
        <v>0</v>
      </c>
      <c r="O40" s="15">
        <f t="shared" si="0"/>
        <v>149</v>
      </c>
      <c r="P40" s="15">
        <f t="shared" si="1"/>
        <v>212</v>
      </c>
    </row>
    <row r="41" spans="2:20" ht="23.1" customHeight="1" x14ac:dyDescent="0.25">
      <c r="B41" s="23" t="s">
        <v>68</v>
      </c>
      <c r="C41" s="50">
        <v>68</v>
      </c>
      <c r="D41" s="50">
        <v>4</v>
      </c>
      <c r="E41" s="50">
        <v>8</v>
      </c>
      <c r="F41" s="50">
        <v>36</v>
      </c>
      <c r="G41" s="50">
        <v>1</v>
      </c>
      <c r="H41" s="50">
        <v>2</v>
      </c>
      <c r="I41" s="50">
        <v>23</v>
      </c>
      <c r="J41" s="50">
        <v>8</v>
      </c>
      <c r="K41" s="50">
        <v>2</v>
      </c>
      <c r="L41" s="50">
        <v>10</v>
      </c>
      <c r="M41" s="50">
        <v>92</v>
      </c>
      <c r="N41" s="50">
        <v>0</v>
      </c>
      <c r="O41" s="15">
        <f t="shared" si="0"/>
        <v>162</v>
      </c>
      <c r="P41" s="15">
        <f t="shared" si="1"/>
        <v>254</v>
      </c>
    </row>
    <row r="42" spans="2:20" ht="23.1" customHeight="1" x14ac:dyDescent="0.25">
      <c r="B42" s="24" t="s">
        <v>69</v>
      </c>
      <c r="C42" s="50">
        <v>61</v>
      </c>
      <c r="D42" s="50">
        <v>9</v>
      </c>
      <c r="E42" s="50">
        <v>11</v>
      </c>
      <c r="F42" s="50">
        <v>25</v>
      </c>
      <c r="G42" s="50">
        <v>0</v>
      </c>
      <c r="H42" s="50">
        <v>0</v>
      </c>
      <c r="I42" s="50">
        <v>13</v>
      </c>
      <c r="J42" s="50">
        <v>13</v>
      </c>
      <c r="K42" s="50">
        <v>1</v>
      </c>
      <c r="L42" s="50">
        <v>5</v>
      </c>
      <c r="M42" s="50">
        <v>99</v>
      </c>
      <c r="N42" s="50">
        <v>0</v>
      </c>
      <c r="O42" s="15">
        <f t="shared" si="0"/>
        <v>138</v>
      </c>
      <c r="P42" s="15">
        <f t="shared" si="1"/>
        <v>237</v>
      </c>
    </row>
    <row r="43" spans="2:20" ht="23.1" customHeight="1" x14ac:dyDescent="0.25">
      <c r="B43" s="23" t="s">
        <v>70</v>
      </c>
      <c r="C43" s="50">
        <v>62</v>
      </c>
      <c r="D43" s="50">
        <v>8</v>
      </c>
      <c r="E43" s="50">
        <v>14</v>
      </c>
      <c r="F43" s="50">
        <v>23</v>
      </c>
      <c r="G43" s="50">
        <v>0</v>
      </c>
      <c r="H43" s="50">
        <v>1</v>
      </c>
      <c r="I43" s="50">
        <v>15</v>
      </c>
      <c r="J43" s="50">
        <v>7</v>
      </c>
      <c r="K43" s="50">
        <v>4</v>
      </c>
      <c r="L43" s="50">
        <v>1</v>
      </c>
      <c r="M43" s="50">
        <v>103</v>
      </c>
      <c r="N43" s="50">
        <v>0</v>
      </c>
      <c r="O43" s="15">
        <f t="shared" si="0"/>
        <v>135</v>
      </c>
      <c r="P43" s="15">
        <f t="shared" si="1"/>
        <v>238</v>
      </c>
    </row>
    <row r="44" spans="2:20" ht="23.1" customHeight="1" x14ac:dyDescent="0.25">
      <c r="B44" s="25" t="s">
        <v>71</v>
      </c>
      <c r="C44" s="50">
        <v>109</v>
      </c>
      <c r="D44" s="50">
        <v>19</v>
      </c>
      <c r="E44" s="50">
        <v>15</v>
      </c>
      <c r="F44" s="50">
        <v>44</v>
      </c>
      <c r="G44" s="50">
        <v>0</v>
      </c>
      <c r="H44" s="50">
        <v>1</v>
      </c>
      <c r="I44" s="50">
        <v>24</v>
      </c>
      <c r="J44" s="50">
        <v>17</v>
      </c>
      <c r="K44" s="50">
        <v>5</v>
      </c>
      <c r="L44" s="50">
        <v>9</v>
      </c>
      <c r="M44" s="50">
        <v>100</v>
      </c>
      <c r="N44" s="50">
        <v>0</v>
      </c>
      <c r="O44" s="15">
        <f t="shared" si="0"/>
        <v>243</v>
      </c>
      <c r="P44" s="15">
        <f t="shared" si="1"/>
        <v>343</v>
      </c>
    </row>
    <row r="45" spans="2:20" ht="23.1" customHeight="1" x14ac:dyDescent="0.25">
      <c r="B45" s="23" t="s">
        <v>72</v>
      </c>
      <c r="C45" s="50">
        <v>61</v>
      </c>
      <c r="D45" s="50">
        <v>6</v>
      </c>
      <c r="E45" s="50">
        <v>10</v>
      </c>
      <c r="F45" s="50">
        <v>22</v>
      </c>
      <c r="G45" s="50">
        <v>1</v>
      </c>
      <c r="H45" s="50">
        <v>1</v>
      </c>
      <c r="I45" s="50">
        <v>8</v>
      </c>
      <c r="J45" s="50">
        <v>6</v>
      </c>
      <c r="K45" s="50">
        <v>3</v>
      </c>
      <c r="L45" s="50">
        <v>5</v>
      </c>
      <c r="M45" s="50">
        <v>80</v>
      </c>
      <c r="N45" s="50">
        <v>0</v>
      </c>
      <c r="O45" s="15">
        <f t="shared" si="0"/>
        <v>123</v>
      </c>
      <c r="P45" s="15">
        <f t="shared" si="1"/>
        <v>203</v>
      </c>
    </row>
    <row r="46" spans="2:20" ht="23.1" customHeight="1" x14ac:dyDescent="0.25">
      <c r="B46" s="24" t="s">
        <v>73</v>
      </c>
      <c r="C46" s="50">
        <v>87</v>
      </c>
      <c r="D46" s="50">
        <v>12</v>
      </c>
      <c r="E46" s="50">
        <v>11</v>
      </c>
      <c r="F46" s="50">
        <v>28</v>
      </c>
      <c r="G46" s="50">
        <v>0</v>
      </c>
      <c r="H46" s="50">
        <v>0</v>
      </c>
      <c r="I46" s="50">
        <v>26</v>
      </c>
      <c r="J46" s="50">
        <v>9</v>
      </c>
      <c r="K46" s="50">
        <v>10</v>
      </c>
      <c r="L46" s="50">
        <v>4</v>
      </c>
      <c r="M46" s="50">
        <v>103</v>
      </c>
      <c r="N46" s="50">
        <v>0</v>
      </c>
      <c r="O46" s="15">
        <f t="shared" si="0"/>
        <v>187</v>
      </c>
      <c r="P46" s="15">
        <f t="shared" si="1"/>
        <v>290</v>
      </c>
      <c r="R46" s="8"/>
      <c r="T46"/>
    </row>
    <row r="47" spans="2:20" ht="23.1" customHeight="1" x14ac:dyDescent="0.25">
      <c r="B47" s="24" t="s">
        <v>74</v>
      </c>
      <c r="C47" s="50">
        <v>97</v>
      </c>
      <c r="D47" s="50">
        <v>11</v>
      </c>
      <c r="E47" s="50">
        <v>10</v>
      </c>
      <c r="F47" s="50">
        <v>36</v>
      </c>
      <c r="G47" s="50">
        <v>0</v>
      </c>
      <c r="H47" s="50">
        <v>0</v>
      </c>
      <c r="I47" s="50">
        <v>15</v>
      </c>
      <c r="J47" s="50">
        <v>9</v>
      </c>
      <c r="K47" s="50">
        <v>3</v>
      </c>
      <c r="L47" s="50">
        <v>5</v>
      </c>
      <c r="M47" s="50">
        <v>90</v>
      </c>
      <c r="N47" s="50">
        <v>0</v>
      </c>
      <c r="O47" s="15">
        <f t="shared" si="0"/>
        <v>186</v>
      </c>
      <c r="P47" s="15">
        <f t="shared" si="1"/>
        <v>276</v>
      </c>
      <c r="R47" s="8"/>
      <c r="T47"/>
    </row>
    <row r="48" spans="2:20" ht="23.1" customHeight="1" x14ac:dyDescent="0.25">
      <c r="B48" s="24" t="s">
        <v>75</v>
      </c>
      <c r="C48" s="50">
        <v>100</v>
      </c>
      <c r="D48" s="50">
        <v>15</v>
      </c>
      <c r="E48" s="50">
        <v>14</v>
      </c>
      <c r="F48" s="50">
        <v>27</v>
      </c>
      <c r="G48" s="50">
        <v>2</v>
      </c>
      <c r="H48" s="50">
        <v>0</v>
      </c>
      <c r="I48" s="50">
        <v>21</v>
      </c>
      <c r="J48" s="50">
        <v>8</v>
      </c>
      <c r="K48" s="50">
        <v>4</v>
      </c>
      <c r="L48" s="50">
        <v>5</v>
      </c>
      <c r="M48" s="50">
        <v>98</v>
      </c>
      <c r="N48" s="50">
        <v>0</v>
      </c>
      <c r="O48" s="15">
        <f t="shared" si="0"/>
        <v>196</v>
      </c>
      <c r="P48" s="15">
        <f t="shared" si="1"/>
        <v>294</v>
      </c>
      <c r="R48" s="8"/>
      <c r="T48"/>
    </row>
    <row r="49" spans="2:20" ht="23.1" customHeight="1" x14ac:dyDescent="0.25">
      <c r="B49" s="23" t="s">
        <v>76</v>
      </c>
      <c r="C49" s="50">
        <v>110</v>
      </c>
      <c r="D49" s="50">
        <v>13</v>
      </c>
      <c r="E49" s="50">
        <v>13</v>
      </c>
      <c r="F49" s="50">
        <v>50</v>
      </c>
      <c r="G49" s="50">
        <v>2</v>
      </c>
      <c r="H49" s="50">
        <v>0</v>
      </c>
      <c r="I49" s="50">
        <v>16</v>
      </c>
      <c r="J49" s="50">
        <v>14</v>
      </c>
      <c r="K49" s="50">
        <v>11</v>
      </c>
      <c r="L49" s="50">
        <v>4</v>
      </c>
      <c r="M49" s="50">
        <v>130</v>
      </c>
      <c r="N49" s="50">
        <v>0</v>
      </c>
      <c r="O49" s="15">
        <f t="shared" si="0"/>
        <v>233</v>
      </c>
      <c r="P49" s="15">
        <f t="shared" si="1"/>
        <v>363</v>
      </c>
      <c r="R49" s="8"/>
      <c r="T49"/>
    </row>
    <row r="50" spans="2:20" ht="23.1" customHeight="1" x14ac:dyDescent="0.25">
      <c r="B50" s="24" t="s">
        <v>77</v>
      </c>
      <c r="C50" s="50">
        <v>78</v>
      </c>
      <c r="D50" s="50">
        <v>10</v>
      </c>
      <c r="E50" s="50">
        <v>14</v>
      </c>
      <c r="F50" s="50">
        <v>28</v>
      </c>
      <c r="G50" s="50">
        <v>1</v>
      </c>
      <c r="H50" s="50">
        <v>0</v>
      </c>
      <c r="I50" s="50">
        <v>17</v>
      </c>
      <c r="J50" s="50">
        <v>1</v>
      </c>
      <c r="K50" s="50">
        <v>7</v>
      </c>
      <c r="L50" s="50">
        <v>10</v>
      </c>
      <c r="M50" s="50">
        <v>115</v>
      </c>
      <c r="N50" s="50">
        <v>0</v>
      </c>
      <c r="O50" s="15">
        <f t="shared" si="0"/>
        <v>166</v>
      </c>
      <c r="P50" s="15">
        <f t="shared" si="1"/>
        <v>281</v>
      </c>
      <c r="R50" s="8"/>
      <c r="T50"/>
    </row>
    <row r="51" spans="2:20" ht="23.1" customHeight="1" x14ac:dyDescent="0.25">
      <c r="B51" s="24" t="s">
        <v>78</v>
      </c>
      <c r="C51" s="50">
        <v>87</v>
      </c>
      <c r="D51" s="50">
        <v>14</v>
      </c>
      <c r="E51" s="50">
        <v>5</v>
      </c>
      <c r="F51" s="50">
        <v>29</v>
      </c>
      <c r="G51" s="50">
        <v>1</v>
      </c>
      <c r="H51" s="50">
        <v>1</v>
      </c>
      <c r="I51" s="50">
        <v>21</v>
      </c>
      <c r="J51" s="50">
        <v>9</v>
      </c>
      <c r="K51" s="50">
        <v>5</v>
      </c>
      <c r="L51" s="50">
        <v>8</v>
      </c>
      <c r="M51" s="50">
        <v>104</v>
      </c>
      <c r="N51" s="50">
        <v>0</v>
      </c>
      <c r="O51" s="15">
        <f t="shared" si="0"/>
        <v>180</v>
      </c>
      <c r="P51" s="15">
        <f t="shared" si="1"/>
        <v>284</v>
      </c>
      <c r="R51" s="8"/>
      <c r="T51"/>
    </row>
    <row r="52" spans="2:20" ht="23.1" customHeight="1" x14ac:dyDescent="0.25">
      <c r="B52" s="24" t="s">
        <v>79</v>
      </c>
      <c r="C52" s="50">
        <v>138</v>
      </c>
      <c r="D52" s="50">
        <v>14</v>
      </c>
      <c r="E52" s="50">
        <v>7</v>
      </c>
      <c r="F52" s="50">
        <v>24</v>
      </c>
      <c r="G52" s="50">
        <v>4</v>
      </c>
      <c r="H52" s="50">
        <v>0</v>
      </c>
      <c r="I52" s="50">
        <v>14</v>
      </c>
      <c r="J52" s="50">
        <v>10</v>
      </c>
      <c r="K52" s="50">
        <v>9</v>
      </c>
      <c r="L52" s="50">
        <v>10</v>
      </c>
      <c r="M52" s="50">
        <v>124</v>
      </c>
      <c r="N52" s="50">
        <v>0</v>
      </c>
      <c r="O52" s="15">
        <f t="shared" si="0"/>
        <v>230</v>
      </c>
      <c r="P52" s="15">
        <f t="shared" si="1"/>
        <v>354</v>
      </c>
      <c r="R52" s="8"/>
      <c r="T52"/>
    </row>
    <row r="53" spans="2:20" ht="23.1" customHeight="1" x14ac:dyDescent="0.25">
      <c r="B53" s="23" t="s">
        <v>80</v>
      </c>
      <c r="C53" s="50">
        <v>117</v>
      </c>
      <c r="D53" s="50">
        <v>11</v>
      </c>
      <c r="E53" s="50">
        <v>14</v>
      </c>
      <c r="F53" s="50">
        <v>38</v>
      </c>
      <c r="G53" s="50">
        <v>3</v>
      </c>
      <c r="H53" s="50">
        <v>1</v>
      </c>
      <c r="I53" s="50">
        <v>18</v>
      </c>
      <c r="J53" s="50">
        <v>12</v>
      </c>
      <c r="K53" s="50">
        <v>6</v>
      </c>
      <c r="L53" s="50">
        <v>7</v>
      </c>
      <c r="M53" s="50">
        <v>133</v>
      </c>
      <c r="N53" s="50">
        <v>0</v>
      </c>
      <c r="O53" s="15">
        <f t="shared" si="0"/>
        <v>227</v>
      </c>
      <c r="P53" s="15">
        <f t="shared" si="1"/>
        <v>360</v>
      </c>
      <c r="R53" s="8"/>
      <c r="T53"/>
    </row>
    <row r="54" spans="2:20" ht="23.1" customHeight="1" x14ac:dyDescent="0.25">
      <c r="B54" s="23" t="s">
        <v>81</v>
      </c>
      <c r="C54" s="50">
        <v>124</v>
      </c>
      <c r="D54" s="50">
        <v>7</v>
      </c>
      <c r="E54" s="50">
        <v>13</v>
      </c>
      <c r="F54" s="50">
        <v>50</v>
      </c>
      <c r="G54" s="50">
        <v>0</v>
      </c>
      <c r="H54" s="50">
        <v>0</v>
      </c>
      <c r="I54" s="50">
        <v>21</v>
      </c>
      <c r="J54" s="50">
        <v>11</v>
      </c>
      <c r="K54" s="50">
        <v>3</v>
      </c>
      <c r="L54" s="50">
        <v>9</v>
      </c>
      <c r="M54" s="50">
        <v>170</v>
      </c>
      <c r="N54" s="50">
        <v>0</v>
      </c>
      <c r="O54" s="15">
        <f t="shared" si="0"/>
        <v>238</v>
      </c>
      <c r="P54" s="15">
        <f t="shared" si="1"/>
        <v>408</v>
      </c>
      <c r="R54" s="8"/>
      <c r="T54"/>
    </row>
    <row r="55" spans="2:20" ht="23.1" customHeight="1" x14ac:dyDescent="0.25">
      <c r="B55" s="23" t="s">
        <v>82</v>
      </c>
      <c r="C55" s="50">
        <v>145</v>
      </c>
      <c r="D55" s="50">
        <v>19</v>
      </c>
      <c r="E55" s="50">
        <v>13</v>
      </c>
      <c r="F55" s="50">
        <v>45</v>
      </c>
      <c r="G55" s="50">
        <v>1</v>
      </c>
      <c r="H55" s="50">
        <v>0</v>
      </c>
      <c r="I55" s="50">
        <v>8</v>
      </c>
      <c r="J55" s="50">
        <v>10</v>
      </c>
      <c r="K55" s="50">
        <v>2</v>
      </c>
      <c r="L55" s="50">
        <v>7</v>
      </c>
      <c r="M55" s="50">
        <v>165</v>
      </c>
      <c r="N55" s="50">
        <v>0</v>
      </c>
      <c r="O55" s="15">
        <f t="shared" si="0"/>
        <v>250</v>
      </c>
      <c r="P55" s="15">
        <f t="shared" si="1"/>
        <v>415</v>
      </c>
      <c r="R55" s="8"/>
      <c r="T55"/>
    </row>
    <row r="56" spans="2:20" ht="23.1" customHeight="1" x14ac:dyDescent="0.25">
      <c r="B56" s="23" t="s">
        <v>83</v>
      </c>
      <c r="C56" s="50">
        <v>129</v>
      </c>
      <c r="D56" s="50">
        <v>11</v>
      </c>
      <c r="E56" s="50">
        <v>10</v>
      </c>
      <c r="F56" s="50">
        <v>35</v>
      </c>
      <c r="G56" s="50">
        <v>4</v>
      </c>
      <c r="H56" s="50">
        <v>0</v>
      </c>
      <c r="I56" s="50">
        <v>10</v>
      </c>
      <c r="J56" s="50">
        <v>9</v>
      </c>
      <c r="K56" s="50">
        <v>6</v>
      </c>
      <c r="L56" s="50">
        <v>4</v>
      </c>
      <c r="M56" s="50">
        <v>110</v>
      </c>
      <c r="N56" s="50">
        <v>0</v>
      </c>
      <c r="O56" s="15">
        <f t="shared" si="0"/>
        <v>218</v>
      </c>
      <c r="P56" s="15">
        <f t="shared" si="1"/>
        <v>328</v>
      </c>
      <c r="R56" s="8"/>
      <c r="T56"/>
    </row>
    <row r="57" spans="2:20" ht="23.1" customHeight="1" x14ac:dyDescent="0.25">
      <c r="B57" s="23" t="s">
        <v>84</v>
      </c>
      <c r="C57" s="50">
        <v>92</v>
      </c>
      <c r="D57" s="50">
        <v>7</v>
      </c>
      <c r="E57" s="50">
        <v>7</v>
      </c>
      <c r="F57" s="50">
        <v>38</v>
      </c>
      <c r="G57" s="50">
        <v>0</v>
      </c>
      <c r="H57" s="50">
        <v>0</v>
      </c>
      <c r="I57" s="50">
        <v>10</v>
      </c>
      <c r="J57" s="50">
        <v>10</v>
      </c>
      <c r="K57" s="50">
        <v>1</v>
      </c>
      <c r="L57" s="50">
        <v>3</v>
      </c>
      <c r="M57" s="50">
        <v>80</v>
      </c>
      <c r="N57" s="50">
        <v>0</v>
      </c>
      <c r="O57" s="15">
        <f t="shared" si="0"/>
        <v>168</v>
      </c>
      <c r="P57" s="15">
        <f t="shared" si="1"/>
        <v>248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3809</v>
      </c>
      <c r="D58" s="16">
        <f t="shared" si="21"/>
        <v>463</v>
      </c>
      <c r="E58" s="16">
        <f t="shared" si="21"/>
        <v>509</v>
      </c>
      <c r="F58" s="16">
        <f t="shared" si="21"/>
        <v>1724</v>
      </c>
      <c r="G58" s="16">
        <f t="shared" si="21"/>
        <v>104</v>
      </c>
      <c r="H58" s="16">
        <f t="shared" si="21"/>
        <v>25</v>
      </c>
      <c r="I58" s="16">
        <f t="shared" si="21"/>
        <v>754</v>
      </c>
      <c r="J58" s="16">
        <f t="shared" si="21"/>
        <v>391</v>
      </c>
      <c r="K58" s="16">
        <f t="shared" si="21"/>
        <v>194</v>
      </c>
      <c r="L58" s="16">
        <f t="shared" si="21"/>
        <v>265</v>
      </c>
      <c r="M58" s="16">
        <f t="shared" si="21"/>
        <v>5051</v>
      </c>
      <c r="N58" s="16">
        <f t="shared" si="21"/>
        <v>0</v>
      </c>
      <c r="O58" s="16">
        <f t="shared" si="21"/>
        <v>8238</v>
      </c>
      <c r="P58" s="16">
        <f t="shared" si="21"/>
        <v>13289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0.28662803822710514</v>
      </c>
      <c r="D59" s="43">
        <f t="shared" si="22"/>
        <v>3.4840845812325986E-2</v>
      </c>
      <c r="E59" s="43">
        <f t="shared" si="22"/>
        <v>3.8302355331477161E-2</v>
      </c>
      <c r="F59" s="43">
        <f t="shared" si="22"/>
        <v>0.1297313567612311</v>
      </c>
      <c r="G59" s="43">
        <f t="shared" si="22"/>
        <v>7.8260215215591837E-3</v>
      </c>
      <c r="H59" s="43">
        <f t="shared" si="22"/>
        <v>1.881255173451727E-3</v>
      </c>
      <c r="I59" s="43">
        <f t="shared" si="22"/>
        <v>5.6738656031304083E-2</v>
      </c>
      <c r="J59" s="43">
        <f t="shared" si="22"/>
        <v>2.9422830912785011E-2</v>
      </c>
      <c r="K59" s="43">
        <f t="shared" si="22"/>
        <v>1.4598540145985401E-2</v>
      </c>
      <c r="L59" s="43">
        <f t="shared" si="22"/>
        <v>1.9941304838588306E-2</v>
      </c>
      <c r="M59" s="43">
        <f t="shared" si="22"/>
        <v>0.38008879524418693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0.46236950716193248</v>
      </c>
      <c r="D60" s="44">
        <f t="shared" ref="D60:N60" si="23">D58/$O$58</f>
        <v>5.6202961883952414E-2</v>
      </c>
      <c r="E60" s="44">
        <f t="shared" si="23"/>
        <v>6.1786841466375336E-2</v>
      </c>
      <c r="F60" s="44">
        <f t="shared" si="23"/>
        <v>0.20927409565428501</v>
      </c>
      <c r="G60" s="44">
        <f t="shared" si="23"/>
        <v>1.2624423403738771E-2</v>
      </c>
      <c r="H60" s="44">
        <f t="shared" si="23"/>
        <v>3.0347171643602816E-3</v>
      </c>
      <c r="I60" s="44">
        <f t="shared" si="23"/>
        <v>9.1527069677106096E-2</v>
      </c>
      <c r="J60" s="44">
        <f t="shared" si="23"/>
        <v>4.7462976450594802E-2</v>
      </c>
      <c r="K60" s="44">
        <f t="shared" si="23"/>
        <v>2.3549405195435785E-2</v>
      </c>
      <c r="L60" s="44">
        <f t="shared" si="23"/>
        <v>3.2168001942218985E-2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H1" zoomScale="68" zoomScaleSheetLayoutView="68" workbookViewId="0">
      <selection activeCell="Y6" sqref="Y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'22.07 Busega-Masanafu'!C3:G3</f>
        <v>MCC - C1 - STN13 - NORTHERN BYPASS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64" t="str">
        <f>'24.07 Masanafu-Busega'!G5:H5</f>
        <v>NORTHERN BYPASS</v>
      </c>
      <c r="H5" s="65"/>
      <c r="I5" s="14"/>
      <c r="J5" s="2" t="s">
        <v>5</v>
      </c>
      <c r="K5" s="64" t="str">
        <f>'24.07 Masanafu-Busega'!K5:L5</f>
        <v>SSEMUKO SAMUEL JUNIOR W/MUTEBI CHRISTOPHER/SSEMWOGERERE FREDRICK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'22.07 Busega-Masanafu'!D6:E6</f>
        <v>BUSEGA</v>
      </c>
      <c r="E6" s="65"/>
      <c r="F6" s="2" t="s">
        <v>2</v>
      </c>
      <c r="G6" s="64" t="str">
        <f>'22.07 Busega-Masanafu'!G6:H6</f>
        <v>MASANAFU</v>
      </c>
      <c r="H6" s="65"/>
      <c r="J6" s="2" t="s">
        <v>21</v>
      </c>
      <c r="K6" s="64" t="str">
        <f>'24.07 Masanafu-Busega'!K6:L6</f>
        <v>ANDY/ANDREW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72</v>
      </c>
      <c r="D10" s="50">
        <v>5</v>
      </c>
      <c r="E10" s="50">
        <v>4</v>
      </c>
      <c r="F10" s="50">
        <v>20</v>
      </c>
      <c r="G10" s="50">
        <v>3</v>
      </c>
      <c r="H10" s="50">
        <v>0</v>
      </c>
      <c r="I10" s="50">
        <v>12</v>
      </c>
      <c r="J10" s="50">
        <v>3</v>
      </c>
      <c r="K10" s="50">
        <v>1</v>
      </c>
      <c r="L10" s="50">
        <v>4</v>
      </c>
      <c r="M10" s="50">
        <v>125</v>
      </c>
      <c r="N10" s="50">
        <v>0</v>
      </c>
      <c r="O10" s="15">
        <f t="shared" ref="O10:O57" si="0">SUM(C10:L10,N10)</f>
        <v>124</v>
      </c>
      <c r="P10" s="15">
        <f t="shared" ref="P10:P57" si="1">SUM(C10:N10)</f>
        <v>249</v>
      </c>
      <c r="R10" s="1" t="s">
        <v>6</v>
      </c>
      <c r="S10" s="17">
        <f t="shared" ref="S10:AF10" si="2">SUM(C10:C13)</f>
        <v>277</v>
      </c>
      <c r="T10" s="17">
        <f t="shared" si="2"/>
        <v>25</v>
      </c>
      <c r="U10" s="17">
        <f t="shared" si="2"/>
        <v>29</v>
      </c>
      <c r="V10" s="17">
        <f t="shared" si="2"/>
        <v>69</v>
      </c>
      <c r="W10" s="17">
        <f t="shared" si="2"/>
        <v>4</v>
      </c>
      <c r="X10" s="17">
        <f t="shared" si="2"/>
        <v>2</v>
      </c>
      <c r="Y10" s="17">
        <f t="shared" si="2"/>
        <v>33</v>
      </c>
      <c r="Z10" s="17">
        <f t="shared" si="2"/>
        <v>32</v>
      </c>
      <c r="AA10" s="17">
        <f t="shared" si="2"/>
        <v>7</v>
      </c>
      <c r="AB10" s="17">
        <f t="shared" si="2"/>
        <v>14</v>
      </c>
      <c r="AC10" s="17">
        <f t="shared" si="2"/>
        <v>688</v>
      </c>
      <c r="AD10" s="17">
        <f t="shared" si="2"/>
        <v>0</v>
      </c>
      <c r="AE10" s="31">
        <f t="shared" si="2"/>
        <v>492</v>
      </c>
      <c r="AF10" s="31">
        <f t="shared" si="2"/>
        <v>1180</v>
      </c>
    </row>
    <row r="11" spans="2:32" s="6" customFormat="1" ht="23.1" customHeight="1" x14ac:dyDescent="0.25">
      <c r="B11" s="23" t="s">
        <v>38</v>
      </c>
      <c r="C11" s="50">
        <v>87</v>
      </c>
      <c r="D11" s="50">
        <v>8</v>
      </c>
      <c r="E11" s="50">
        <v>12</v>
      </c>
      <c r="F11" s="50">
        <v>15</v>
      </c>
      <c r="G11" s="50">
        <v>0</v>
      </c>
      <c r="H11" s="50">
        <v>1</v>
      </c>
      <c r="I11" s="50">
        <v>10</v>
      </c>
      <c r="J11" s="50">
        <v>9</v>
      </c>
      <c r="K11" s="50">
        <v>3</v>
      </c>
      <c r="L11" s="50">
        <v>2</v>
      </c>
      <c r="M11" s="50">
        <v>167</v>
      </c>
      <c r="N11" s="50">
        <v>0</v>
      </c>
      <c r="O11" s="15">
        <f t="shared" si="0"/>
        <v>147</v>
      </c>
      <c r="P11" s="15">
        <f t="shared" si="1"/>
        <v>314</v>
      </c>
      <c r="R11" s="1" t="s">
        <v>7</v>
      </c>
      <c r="S11" s="17">
        <f t="shared" ref="S11:AF11" si="3">SUM(C14:C17)</f>
        <v>274</v>
      </c>
      <c r="T11" s="17">
        <f t="shared" si="3"/>
        <v>38</v>
      </c>
      <c r="U11" s="17">
        <f t="shared" si="3"/>
        <v>35</v>
      </c>
      <c r="V11" s="17">
        <f t="shared" si="3"/>
        <v>75</v>
      </c>
      <c r="W11" s="17">
        <f t="shared" si="3"/>
        <v>8</v>
      </c>
      <c r="X11" s="17">
        <f t="shared" si="3"/>
        <v>4</v>
      </c>
      <c r="Y11" s="17">
        <f t="shared" si="3"/>
        <v>40</v>
      </c>
      <c r="Z11" s="17">
        <f t="shared" si="3"/>
        <v>48</v>
      </c>
      <c r="AA11" s="17">
        <f t="shared" si="3"/>
        <v>15</v>
      </c>
      <c r="AB11" s="17">
        <f t="shared" si="3"/>
        <v>15</v>
      </c>
      <c r="AC11" s="17">
        <f t="shared" si="3"/>
        <v>701</v>
      </c>
      <c r="AD11" s="17">
        <f t="shared" si="3"/>
        <v>0</v>
      </c>
      <c r="AE11" s="31">
        <f t="shared" si="3"/>
        <v>552</v>
      </c>
      <c r="AF11" s="31">
        <f t="shared" si="3"/>
        <v>1253</v>
      </c>
    </row>
    <row r="12" spans="2:32" ht="23.1" customHeight="1" x14ac:dyDescent="0.25">
      <c r="B12" s="23" t="s">
        <v>39</v>
      </c>
      <c r="C12" s="50">
        <v>47</v>
      </c>
      <c r="D12" s="50">
        <v>6</v>
      </c>
      <c r="E12" s="50">
        <v>6</v>
      </c>
      <c r="F12" s="50">
        <v>16</v>
      </c>
      <c r="G12" s="50">
        <v>0</v>
      </c>
      <c r="H12" s="50">
        <v>0</v>
      </c>
      <c r="I12" s="50">
        <v>3</v>
      </c>
      <c r="J12" s="50">
        <v>10</v>
      </c>
      <c r="K12" s="50">
        <v>1</v>
      </c>
      <c r="L12" s="50">
        <v>1</v>
      </c>
      <c r="M12" s="50">
        <v>173</v>
      </c>
      <c r="N12" s="50">
        <v>0</v>
      </c>
      <c r="O12" s="15">
        <f t="shared" si="0"/>
        <v>90</v>
      </c>
      <c r="P12" s="15">
        <f t="shared" si="1"/>
        <v>263</v>
      </c>
      <c r="R12" s="1" t="s">
        <v>8</v>
      </c>
      <c r="S12" s="17">
        <f t="shared" ref="S12:AF12" si="4">SUM(C18:C21)</f>
        <v>239</v>
      </c>
      <c r="T12" s="17">
        <f t="shared" si="4"/>
        <v>53</v>
      </c>
      <c r="U12" s="17">
        <f t="shared" si="4"/>
        <v>31</v>
      </c>
      <c r="V12" s="17">
        <f t="shared" si="4"/>
        <v>80</v>
      </c>
      <c r="W12" s="17">
        <f t="shared" si="4"/>
        <v>7</v>
      </c>
      <c r="X12" s="17">
        <f t="shared" si="4"/>
        <v>2</v>
      </c>
      <c r="Y12" s="17">
        <f t="shared" si="4"/>
        <v>22</v>
      </c>
      <c r="Z12" s="17">
        <f t="shared" si="4"/>
        <v>40</v>
      </c>
      <c r="AA12" s="17">
        <f t="shared" si="4"/>
        <v>20</v>
      </c>
      <c r="AB12" s="17">
        <f t="shared" si="4"/>
        <v>13</v>
      </c>
      <c r="AC12" s="17">
        <f t="shared" si="4"/>
        <v>625</v>
      </c>
      <c r="AD12" s="17">
        <f t="shared" si="4"/>
        <v>0</v>
      </c>
      <c r="AE12" s="31">
        <f t="shared" si="4"/>
        <v>507</v>
      </c>
      <c r="AF12" s="31">
        <f t="shared" si="4"/>
        <v>1132</v>
      </c>
    </row>
    <row r="13" spans="2:32" ht="23.1" customHeight="1" x14ac:dyDescent="0.25">
      <c r="B13" s="23" t="s">
        <v>40</v>
      </c>
      <c r="C13" s="50">
        <v>71</v>
      </c>
      <c r="D13" s="50">
        <v>6</v>
      </c>
      <c r="E13" s="50">
        <v>7</v>
      </c>
      <c r="F13" s="50">
        <v>18</v>
      </c>
      <c r="G13" s="50">
        <v>1</v>
      </c>
      <c r="H13" s="50">
        <v>1</v>
      </c>
      <c r="I13" s="50">
        <v>8</v>
      </c>
      <c r="J13" s="50">
        <v>10</v>
      </c>
      <c r="K13" s="50">
        <v>2</v>
      </c>
      <c r="L13" s="50">
        <v>7</v>
      </c>
      <c r="M13" s="50">
        <v>223</v>
      </c>
      <c r="N13" s="50">
        <v>0</v>
      </c>
      <c r="O13" s="15">
        <f t="shared" si="0"/>
        <v>131</v>
      </c>
      <c r="P13" s="15">
        <f t="shared" si="1"/>
        <v>354</v>
      </c>
      <c r="R13" s="1" t="s">
        <v>9</v>
      </c>
      <c r="S13" s="17">
        <f t="shared" ref="S13:AF13" si="5">SUM(C22:C25)</f>
        <v>216</v>
      </c>
      <c r="T13" s="17">
        <f t="shared" si="5"/>
        <v>49</v>
      </c>
      <c r="U13" s="17">
        <f t="shared" si="5"/>
        <v>32</v>
      </c>
      <c r="V13" s="17">
        <f t="shared" si="5"/>
        <v>125</v>
      </c>
      <c r="W13" s="17">
        <f t="shared" si="5"/>
        <v>7</v>
      </c>
      <c r="X13" s="17">
        <f t="shared" si="5"/>
        <v>2</v>
      </c>
      <c r="Y13" s="17">
        <f t="shared" si="5"/>
        <v>35</v>
      </c>
      <c r="Z13" s="17">
        <f t="shared" si="5"/>
        <v>34</v>
      </c>
      <c r="AA13" s="17">
        <f t="shared" si="5"/>
        <v>19</v>
      </c>
      <c r="AB13" s="17">
        <f t="shared" si="5"/>
        <v>10</v>
      </c>
      <c r="AC13" s="17">
        <f t="shared" si="5"/>
        <v>530</v>
      </c>
      <c r="AD13" s="17">
        <f t="shared" si="5"/>
        <v>0</v>
      </c>
      <c r="AE13" s="31">
        <f t="shared" si="5"/>
        <v>529</v>
      </c>
      <c r="AF13" s="31">
        <f t="shared" si="5"/>
        <v>1059</v>
      </c>
    </row>
    <row r="14" spans="2:32" ht="23.1" customHeight="1" x14ac:dyDescent="0.25">
      <c r="B14" s="23" t="s">
        <v>41</v>
      </c>
      <c r="C14" s="50">
        <v>63</v>
      </c>
      <c r="D14" s="50">
        <v>10</v>
      </c>
      <c r="E14" s="50">
        <v>8</v>
      </c>
      <c r="F14" s="50">
        <v>18</v>
      </c>
      <c r="G14" s="50">
        <v>2</v>
      </c>
      <c r="H14" s="50">
        <v>2</v>
      </c>
      <c r="I14" s="50">
        <v>7</v>
      </c>
      <c r="J14" s="50">
        <v>12</v>
      </c>
      <c r="K14" s="50">
        <v>5</v>
      </c>
      <c r="L14" s="50">
        <v>5</v>
      </c>
      <c r="M14" s="50">
        <v>176</v>
      </c>
      <c r="N14" s="50">
        <v>0</v>
      </c>
      <c r="O14" s="15">
        <f t="shared" si="0"/>
        <v>132</v>
      </c>
      <c r="P14" s="15">
        <f t="shared" si="1"/>
        <v>308</v>
      </c>
      <c r="R14" s="1" t="s">
        <v>10</v>
      </c>
      <c r="S14" s="17">
        <f t="shared" ref="S14:AF14" si="6">SUM(C26:C29)</f>
        <v>248</v>
      </c>
      <c r="T14" s="17">
        <f t="shared" si="6"/>
        <v>55</v>
      </c>
      <c r="U14" s="17">
        <f t="shared" si="6"/>
        <v>32</v>
      </c>
      <c r="V14" s="17">
        <f t="shared" si="6"/>
        <v>120</v>
      </c>
      <c r="W14" s="17">
        <f t="shared" si="6"/>
        <v>2</v>
      </c>
      <c r="X14" s="17">
        <f t="shared" si="6"/>
        <v>1</v>
      </c>
      <c r="Y14" s="17">
        <f t="shared" si="6"/>
        <v>25</v>
      </c>
      <c r="Z14" s="17">
        <f t="shared" si="6"/>
        <v>35</v>
      </c>
      <c r="AA14" s="17">
        <f t="shared" si="6"/>
        <v>8</v>
      </c>
      <c r="AB14" s="17">
        <f t="shared" si="6"/>
        <v>23</v>
      </c>
      <c r="AC14" s="17">
        <f t="shared" si="6"/>
        <v>525</v>
      </c>
      <c r="AD14" s="17">
        <f t="shared" si="6"/>
        <v>0</v>
      </c>
      <c r="AE14" s="31">
        <f t="shared" si="6"/>
        <v>549</v>
      </c>
      <c r="AF14" s="31">
        <f t="shared" si="6"/>
        <v>1074</v>
      </c>
    </row>
    <row r="15" spans="2:32" ht="23.1" customHeight="1" x14ac:dyDescent="0.25">
      <c r="B15" s="23" t="s">
        <v>42</v>
      </c>
      <c r="C15" s="50">
        <v>68</v>
      </c>
      <c r="D15" s="50">
        <v>13</v>
      </c>
      <c r="E15" s="50">
        <v>12</v>
      </c>
      <c r="F15" s="50">
        <v>14</v>
      </c>
      <c r="G15" s="50">
        <v>2</v>
      </c>
      <c r="H15" s="50">
        <v>1</v>
      </c>
      <c r="I15" s="50">
        <v>12</v>
      </c>
      <c r="J15" s="50">
        <v>15</v>
      </c>
      <c r="K15" s="50">
        <v>4</v>
      </c>
      <c r="L15" s="50">
        <v>4</v>
      </c>
      <c r="M15" s="50">
        <v>215</v>
      </c>
      <c r="N15" s="50">
        <v>0</v>
      </c>
      <c r="O15" s="15">
        <f t="shared" si="0"/>
        <v>145</v>
      </c>
      <c r="P15" s="15">
        <f t="shared" si="1"/>
        <v>360</v>
      </c>
      <c r="R15" s="1" t="s">
        <v>11</v>
      </c>
      <c r="S15" s="17">
        <f t="shared" ref="S15:AF15" si="7">SUM(C30:C33)</f>
        <v>255</v>
      </c>
      <c r="T15" s="17">
        <f t="shared" si="7"/>
        <v>47</v>
      </c>
      <c r="U15" s="17">
        <f t="shared" si="7"/>
        <v>38</v>
      </c>
      <c r="V15" s="17">
        <f t="shared" si="7"/>
        <v>113</v>
      </c>
      <c r="W15" s="17">
        <f t="shared" si="7"/>
        <v>1</v>
      </c>
      <c r="X15" s="17">
        <f t="shared" si="7"/>
        <v>1</v>
      </c>
      <c r="Y15" s="17">
        <f t="shared" si="7"/>
        <v>35</v>
      </c>
      <c r="Z15" s="17">
        <f t="shared" si="7"/>
        <v>36</v>
      </c>
      <c r="AA15" s="17">
        <f t="shared" si="7"/>
        <v>13</v>
      </c>
      <c r="AB15" s="17">
        <f t="shared" si="7"/>
        <v>24</v>
      </c>
      <c r="AC15" s="17">
        <f t="shared" si="7"/>
        <v>509</v>
      </c>
      <c r="AD15" s="17">
        <f t="shared" si="7"/>
        <v>0</v>
      </c>
      <c r="AE15" s="31">
        <f t="shared" si="7"/>
        <v>563</v>
      </c>
      <c r="AF15" s="31">
        <f t="shared" si="7"/>
        <v>1072</v>
      </c>
    </row>
    <row r="16" spans="2:32" ht="23.1" customHeight="1" x14ac:dyDescent="0.25">
      <c r="B16" s="23" t="s">
        <v>43</v>
      </c>
      <c r="C16" s="50">
        <v>79</v>
      </c>
      <c r="D16" s="50">
        <v>7</v>
      </c>
      <c r="E16" s="50">
        <v>8</v>
      </c>
      <c r="F16" s="50">
        <v>19</v>
      </c>
      <c r="G16" s="50">
        <v>0</v>
      </c>
      <c r="H16" s="50">
        <v>1</v>
      </c>
      <c r="I16" s="50">
        <v>11</v>
      </c>
      <c r="J16" s="50">
        <v>11</v>
      </c>
      <c r="K16" s="50">
        <v>2</v>
      </c>
      <c r="L16" s="50">
        <v>1</v>
      </c>
      <c r="M16" s="50">
        <v>159</v>
      </c>
      <c r="N16" s="50">
        <v>0</v>
      </c>
      <c r="O16" s="15">
        <f t="shared" si="0"/>
        <v>139</v>
      </c>
      <c r="P16" s="15">
        <f t="shared" si="1"/>
        <v>298</v>
      </c>
      <c r="R16" s="1" t="s">
        <v>12</v>
      </c>
      <c r="S16" s="17">
        <f t="shared" ref="S16:AF16" si="8">SUM(C34:C37)</f>
        <v>219</v>
      </c>
      <c r="T16" s="17">
        <f t="shared" si="8"/>
        <v>46</v>
      </c>
      <c r="U16" s="17">
        <f t="shared" si="8"/>
        <v>32</v>
      </c>
      <c r="V16" s="17">
        <f t="shared" si="8"/>
        <v>108</v>
      </c>
      <c r="W16" s="17">
        <f t="shared" si="8"/>
        <v>3</v>
      </c>
      <c r="X16" s="17">
        <f t="shared" si="8"/>
        <v>0</v>
      </c>
      <c r="Y16" s="17">
        <f t="shared" si="8"/>
        <v>54</v>
      </c>
      <c r="Z16" s="17">
        <f t="shared" si="8"/>
        <v>54</v>
      </c>
      <c r="AA16" s="17">
        <f t="shared" si="8"/>
        <v>14</v>
      </c>
      <c r="AB16" s="17">
        <f t="shared" si="8"/>
        <v>36</v>
      </c>
      <c r="AC16" s="17">
        <f t="shared" si="8"/>
        <v>465</v>
      </c>
      <c r="AD16" s="17">
        <f t="shared" si="8"/>
        <v>0</v>
      </c>
      <c r="AE16" s="31">
        <f t="shared" si="8"/>
        <v>566</v>
      </c>
      <c r="AF16" s="31">
        <f t="shared" si="8"/>
        <v>1031</v>
      </c>
    </row>
    <row r="17" spans="2:32" ht="23.1" customHeight="1" x14ac:dyDescent="0.25">
      <c r="B17" s="23" t="s">
        <v>44</v>
      </c>
      <c r="C17" s="50">
        <v>64</v>
      </c>
      <c r="D17" s="50">
        <v>8</v>
      </c>
      <c r="E17" s="50">
        <v>7</v>
      </c>
      <c r="F17" s="50">
        <v>24</v>
      </c>
      <c r="G17" s="50">
        <v>4</v>
      </c>
      <c r="H17" s="50">
        <v>0</v>
      </c>
      <c r="I17" s="50">
        <v>10</v>
      </c>
      <c r="J17" s="50">
        <v>10</v>
      </c>
      <c r="K17" s="50">
        <v>4</v>
      </c>
      <c r="L17" s="50">
        <v>5</v>
      </c>
      <c r="M17" s="50">
        <v>151</v>
      </c>
      <c r="N17" s="50">
        <v>0</v>
      </c>
      <c r="O17" s="15">
        <f t="shared" si="0"/>
        <v>136</v>
      </c>
      <c r="P17" s="15">
        <f t="shared" si="1"/>
        <v>287</v>
      </c>
      <c r="R17" s="1" t="s">
        <v>13</v>
      </c>
      <c r="S17" s="17">
        <f t="shared" ref="S17:AF17" si="9">SUM(C38:C41)</f>
        <v>925</v>
      </c>
      <c r="T17" s="17">
        <f t="shared" si="9"/>
        <v>44</v>
      </c>
      <c r="U17" s="17">
        <f t="shared" si="9"/>
        <v>29</v>
      </c>
      <c r="V17" s="17">
        <f t="shared" si="9"/>
        <v>98</v>
      </c>
      <c r="W17" s="17">
        <f t="shared" si="9"/>
        <v>4</v>
      </c>
      <c r="X17" s="17">
        <f t="shared" si="9"/>
        <v>1</v>
      </c>
      <c r="Y17" s="17">
        <f t="shared" si="9"/>
        <v>45</v>
      </c>
      <c r="Z17" s="17">
        <f t="shared" si="9"/>
        <v>41</v>
      </c>
      <c r="AA17" s="17">
        <f t="shared" si="9"/>
        <v>14</v>
      </c>
      <c r="AB17" s="17">
        <f t="shared" si="9"/>
        <v>26</v>
      </c>
      <c r="AC17" s="17">
        <f t="shared" si="9"/>
        <v>411</v>
      </c>
      <c r="AD17" s="17">
        <f t="shared" si="9"/>
        <v>0</v>
      </c>
      <c r="AE17" s="31">
        <f t="shared" si="9"/>
        <v>1227</v>
      </c>
      <c r="AF17" s="31">
        <f t="shared" si="9"/>
        <v>1638</v>
      </c>
    </row>
    <row r="18" spans="2:32" ht="23.1" customHeight="1" x14ac:dyDescent="0.25">
      <c r="B18" s="23" t="s">
        <v>45</v>
      </c>
      <c r="C18" s="50">
        <v>79</v>
      </c>
      <c r="D18" s="50">
        <v>15</v>
      </c>
      <c r="E18" s="50">
        <v>12</v>
      </c>
      <c r="F18" s="50">
        <v>30</v>
      </c>
      <c r="G18" s="50">
        <v>2</v>
      </c>
      <c r="H18" s="50">
        <v>1</v>
      </c>
      <c r="I18" s="50">
        <v>2</v>
      </c>
      <c r="J18" s="50">
        <v>14</v>
      </c>
      <c r="K18" s="50">
        <v>6</v>
      </c>
      <c r="L18" s="50">
        <v>2</v>
      </c>
      <c r="M18" s="50">
        <v>194</v>
      </c>
      <c r="N18" s="50">
        <v>0</v>
      </c>
      <c r="O18" s="15">
        <f t="shared" si="0"/>
        <v>163</v>
      </c>
      <c r="P18" s="15">
        <f t="shared" si="1"/>
        <v>357</v>
      </c>
      <c r="R18" s="1" t="s">
        <v>14</v>
      </c>
      <c r="S18" s="17">
        <f t="shared" ref="S18:AF18" si="10">SUM(C42:C45)</f>
        <v>308</v>
      </c>
      <c r="T18" s="17">
        <f t="shared" si="10"/>
        <v>71</v>
      </c>
      <c r="U18" s="17">
        <f t="shared" si="10"/>
        <v>45</v>
      </c>
      <c r="V18" s="17">
        <f t="shared" si="10"/>
        <v>105</v>
      </c>
      <c r="W18" s="17">
        <f t="shared" si="10"/>
        <v>1</v>
      </c>
      <c r="X18" s="17">
        <f t="shared" si="10"/>
        <v>0</v>
      </c>
      <c r="Y18" s="17">
        <f t="shared" si="10"/>
        <v>39</v>
      </c>
      <c r="Z18" s="17">
        <f t="shared" si="10"/>
        <v>29</v>
      </c>
      <c r="AA18" s="17">
        <f t="shared" si="10"/>
        <v>15</v>
      </c>
      <c r="AB18" s="17">
        <f t="shared" si="10"/>
        <v>23</v>
      </c>
      <c r="AC18" s="17">
        <f t="shared" si="10"/>
        <v>398</v>
      </c>
      <c r="AD18" s="17">
        <f t="shared" si="10"/>
        <v>0</v>
      </c>
      <c r="AE18" s="31">
        <f t="shared" si="10"/>
        <v>636</v>
      </c>
      <c r="AF18" s="31">
        <f t="shared" si="10"/>
        <v>1034</v>
      </c>
    </row>
    <row r="19" spans="2:32" ht="23.1" customHeight="1" x14ac:dyDescent="0.25">
      <c r="B19" s="23" t="s">
        <v>46</v>
      </c>
      <c r="C19" s="50">
        <v>43</v>
      </c>
      <c r="D19" s="50">
        <v>10</v>
      </c>
      <c r="E19" s="50">
        <v>9</v>
      </c>
      <c r="F19" s="50">
        <v>20</v>
      </c>
      <c r="G19" s="50">
        <v>0</v>
      </c>
      <c r="H19" s="50">
        <v>0</v>
      </c>
      <c r="I19" s="50">
        <v>8</v>
      </c>
      <c r="J19" s="50">
        <v>6</v>
      </c>
      <c r="K19" s="50">
        <v>3</v>
      </c>
      <c r="L19" s="50">
        <v>8</v>
      </c>
      <c r="M19" s="50">
        <v>121</v>
      </c>
      <c r="N19" s="50">
        <v>0</v>
      </c>
      <c r="O19" s="15">
        <f t="shared" si="0"/>
        <v>107</v>
      </c>
      <c r="P19" s="15">
        <f t="shared" si="1"/>
        <v>228</v>
      </c>
      <c r="R19" s="1" t="s">
        <v>15</v>
      </c>
      <c r="S19" s="17">
        <f t="shared" ref="S19:AF19" si="11">SUM(C46:C49)</f>
        <v>324</v>
      </c>
      <c r="T19" s="17">
        <f t="shared" si="11"/>
        <v>71</v>
      </c>
      <c r="U19" s="17">
        <f t="shared" si="11"/>
        <v>41</v>
      </c>
      <c r="V19" s="17">
        <f t="shared" si="11"/>
        <v>102</v>
      </c>
      <c r="W19" s="17">
        <f t="shared" si="11"/>
        <v>15</v>
      </c>
      <c r="X19" s="17">
        <f t="shared" si="11"/>
        <v>1</v>
      </c>
      <c r="Y19" s="17">
        <f t="shared" si="11"/>
        <v>57</v>
      </c>
      <c r="Z19" s="17">
        <f t="shared" si="11"/>
        <v>46</v>
      </c>
      <c r="AA19" s="17">
        <f t="shared" si="11"/>
        <v>19</v>
      </c>
      <c r="AB19" s="17">
        <f t="shared" si="11"/>
        <v>37</v>
      </c>
      <c r="AC19" s="17">
        <f t="shared" si="11"/>
        <v>402</v>
      </c>
      <c r="AD19" s="17">
        <f t="shared" si="11"/>
        <v>0</v>
      </c>
      <c r="AE19" s="31">
        <f t="shared" si="11"/>
        <v>713</v>
      </c>
      <c r="AF19" s="31">
        <f t="shared" si="11"/>
        <v>1115</v>
      </c>
    </row>
    <row r="20" spans="2:32" ht="23.1" customHeight="1" x14ac:dyDescent="0.25">
      <c r="B20" s="23" t="s">
        <v>47</v>
      </c>
      <c r="C20" s="50">
        <v>50</v>
      </c>
      <c r="D20" s="50">
        <v>15</v>
      </c>
      <c r="E20" s="50">
        <v>2</v>
      </c>
      <c r="F20" s="50">
        <v>2</v>
      </c>
      <c r="G20" s="50">
        <v>3</v>
      </c>
      <c r="H20" s="50">
        <v>1</v>
      </c>
      <c r="I20" s="50">
        <v>4</v>
      </c>
      <c r="J20" s="50">
        <v>10</v>
      </c>
      <c r="K20" s="50">
        <v>6</v>
      </c>
      <c r="L20" s="50">
        <v>3</v>
      </c>
      <c r="M20" s="50">
        <v>147</v>
      </c>
      <c r="N20" s="50">
        <v>0</v>
      </c>
      <c r="O20" s="15">
        <f t="shared" si="0"/>
        <v>96</v>
      </c>
      <c r="P20" s="15">
        <f t="shared" si="1"/>
        <v>243</v>
      </c>
      <c r="R20" s="1" t="s">
        <v>16</v>
      </c>
      <c r="S20" s="17">
        <f t="shared" ref="S20:AF20" si="12">SUM(C50:C53)</f>
        <v>307</v>
      </c>
      <c r="T20" s="17">
        <f t="shared" si="12"/>
        <v>59</v>
      </c>
      <c r="U20" s="17">
        <f t="shared" si="12"/>
        <v>63</v>
      </c>
      <c r="V20" s="17">
        <f t="shared" si="12"/>
        <v>124</v>
      </c>
      <c r="W20" s="17">
        <f t="shared" si="12"/>
        <v>19</v>
      </c>
      <c r="X20" s="17">
        <f t="shared" si="12"/>
        <v>2</v>
      </c>
      <c r="Y20" s="17">
        <f t="shared" si="12"/>
        <v>32</v>
      </c>
      <c r="Z20" s="17">
        <f t="shared" si="12"/>
        <v>31</v>
      </c>
      <c r="AA20" s="17">
        <f t="shared" si="12"/>
        <v>16</v>
      </c>
      <c r="AB20" s="17">
        <f t="shared" si="12"/>
        <v>44</v>
      </c>
      <c r="AC20" s="17">
        <f t="shared" si="12"/>
        <v>423</v>
      </c>
      <c r="AD20" s="17">
        <f t="shared" si="12"/>
        <v>0</v>
      </c>
      <c r="AE20" s="31">
        <f t="shared" si="12"/>
        <v>697</v>
      </c>
      <c r="AF20" s="31">
        <f t="shared" si="12"/>
        <v>1120</v>
      </c>
    </row>
    <row r="21" spans="2:32" ht="23.1" customHeight="1" x14ac:dyDescent="0.25">
      <c r="B21" s="23" t="s">
        <v>48</v>
      </c>
      <c r="C21" s="50">
        <v>67</v>
      </c>
      <c r="D21" s="50">
        <v>13</v>
      </c>
      <c r="E21" s="50">
        <v>8</v>
      </c>
      <c r="F21" s="50">
        <v>28</v>
      </c>
      <c r="G21" s="50">
        <v>2</v>
      </c>
      <c r="H21" s="50">
        <v>0</v>
      </c>
      <c r="I21" s="50">
        <v>8</v>
      </c>
      <c r="J21" s="50">
        <v>10</v>
      </c>
      <c r="K21" s="50">
        <v>5</v>
      </c>
      <c r="L21" s="50">
        <v>0</v>
      </c>
      <c r="M21" s="50">
        <v>163</v>
      </c>
      <c r="N21" s="50">
        <v>0</v>
      </c>
      <c r="O21" s="15">
        <f t="shared" si="0"/>
        <v>141</v>
      </c>
      <c r="P21" s="15">
        <f t="shared" si="1"/>
        <v>304</v>
      </c>
      <c r="R21" s="36" t="s">
        <v>20</v>
      </c>
      <c r="S21" s="34">
        <f t="shared" ref="S21:AF21" si="13">SUM(C54:C57)</f>
        <v>321</v>
      </c>
      <c r="T21" s="17">
        <f t="shared" si="13"/>
        <v>72</v>
      </c>
      <c r="U21" s="17">
        <f t="shared" si="13"/>
        <v>40</v>
      </c>
      <c r="V21" s="17">
        <f t="shared" si="13"/>
        <v>140</v>
      </c>
      <c r="W21" s="17">
        <f t="shared" si="13"/>
        <v>20</v>
      </c>
      <c r="X21" s="17">
        <f t="shared" si="13"/>
        <v>4</v>
      </c>
      <c r="Y21" s="17">
        <f t="shared" si="13"/>
        <v>39</v>
      </c>
      <c r="Z21" s="17">
        <f t="shared" si="13"/>
        <v>42</v>
      </c>
      <c r="AA21" s="17">
        <f t="shared" si="13"/>
        <v>12</v>
      </c>
      <c r="AB21" s="17">
        <f t="shared" si="13"/>
        <v>19</v>
      </c>
      <c r="AC21" s="17">
        <f t="shared" si="13"/>
        <v>521</v>
      </c>
      <c r="AD21" s="17">
        <f t="shared" si="13"/>
        <v>0</v>
      </c>
      <c r="AE21" s="31">
        <f t="shared" si="13"/>
        <v>709</v>
      </c>
      <c r="AF21" s="31">
        <f t="shared" si="13"/>
        <v>1230</v>
      </c>
    </row>
    <row r="22" spans="2:32" ht="23.1" customHeight="1" x14ac:dyDescent="0.25">
      <c r="B22" s="23" t="s">
        <v>49</v>
      </c>
      <c r="C22" s="50">
        <v>56</v>
      </c>
      <c r="D22" s="50">
        <v>9</v>
      </c>
      <c r="E22" s="50">
        <v>8</v>
      </c>
      <c r="F22" s="50">
        <v>29</v>
      </c>
      <c r="G22" s="50">
        <v>3</v>
      </c>
      <c r="H22" s="50">
        <v>1</v>
      </c>
      <c r="I22" s="50">
        <v>12</v>
      </c>
      <c r="J22" s="50">
        <v>5</v>
      </c>
      <c r="K22" s="50">
        <v>7</v>
      </c>
      <c r="L22" s="50">
        <v>2</v>
      </c>
      <c r="M22" s="50">
        <v>143</v>
      </c>
      <c r="N22" s="50">
        <v>0</v>
      </c>
      <c r="O22" s="15">
        <f t="shared" si="0"/>
        <v>132</v>
      </c>
      <c r="P22" s="15">
        <f t="shared" si="1"/>
        <v>275</v>
      </c>
      <c r="R22" s="38" t="s">
        <v>90</v>
      </c>
      <c r="S22" s="39">
        <f>MAX(S10:S12)</f>
        <v>277</v>
      </c>
      <c r="T22" s="39">
        <f t="shared" ref="T22:AF22" si="14">MAX(T10:T12)</f>
        <v>53</v>
      </c>
      <c r="U22" s="39">
        <f t="shared" si="14"/>
        <v>35</v>
      </c>
      <c r="V22" s="39">
        <f t="shared" si="14"/>
        <v>80</v>
      </c>
      <c r="W22" s="39">
        <f t="shared" si="14"/>
        <v>8</v>
      </c>
      <c r="X22" s="39">
        <f t="shared" si="14"/>
        <v>4</v>
      </c>
      <c r="Y22" s="39">
        <f t="shared" si="14"/>
        <v>40</v>
      </c>
      <c r="Z22" s="39">
        <f t="shared" si="14"/>
        <v>48</v>
      </c>
      <c r="AA22" s="39">
        <f t="shared" si="14"/>
        <v>20</v>
      </c>
      <c r="AB22" s="39">
        <f t="shared" si="14"/>
        <v>15</v>
      </c>
      <c r="AC22" s="39">
        <f t="shared" si="14"/>
        <v>701</v>
      </c>
      <c r="AD22" s="39">
        <f t="shared" si="14"/>
        <v>0</v>
      </c>
      <c r="AE22" s="40">
        <f t="shared" si="14"/>
        <v>552</v>
      </c>
      <c r="AF22" s="40">
        <f t="shared" si="14"/>
        <v>1253</v>
      </c>
    </row>
    <row r="23" spans="2:32" ht="23.1" customHeight="1" x14ac:dyDescent="0.25">
      <c r="B23" s="23" t="s">
        <v>50</v>
      </c>
      <c r="C23" s="50">
        <v>62</v>
      </c>
      <c r="D23" s="50">
        <v>14</v>
      </c>
      <c r="E23" s="50">
        <v>8</v>
      </c>
      <c r="F23" s="50">
        <v>25</v>
      </c>
      <c r="G23" s="50">
        <v>2</v>
      </c>
      <c r="H23" s="50">
        <v>0</v>
      </c>
      <c r="I23" s="50">
        <v>6</v>
      </c>
      <c r="J23" s="50">
        <v>10</v>
      </c>
      <c r="K23" s="50">
        <v>3</v>
      </c>
      <c r="L23" s="50">
        <v>3</v>
      </c>
      <c r="M23" s="50">
        <v>148</v>
      </c>
      <c r="N23" s="50">
        <v>0</v>
      </c>
      <c r="O23" s="15">
        <f t="shared" si="0"/>
        <v>133</v>
      </c>
      <c r="P23" s="15">
        <f t="shared" si="1"/>
        <v>281</v>
      </c>
      <c r="R23" s="38" t="s">
        <v>91</v>
      </c>
      <c r="S23" s="39">
        <f>MAX(S13:S18)</f>
        <v>925</v>
      </c>
      <c r="T23" s="39">
        <f t="shared" ref="T23:AF23" si="15">MAX(T13:T18)</f>
        <v>71</v>
      </c>
      <c r="U23" s="39">
        <f t="shared" si="15"/>
        <v>45</v>
      </c>
      <c r="V23" s="39">
        <f t="shared" si="15"/>
        <v>125</v>
      </c>
      <c r="W23" s="39">
        <f t="shared" si="15"/>
        <v>7</v>
      </c>
      <c r="X23" s="39">
        <f t="shared" si="15"/>
        <v>2</v>
      </c>
      <c r="Y23" s="39">
        <f t="shared" si="15"/>
        <v>54</v>
      </c>
      <c r="Z23" s="39">
        <f t="shared" si="15"/>
        <v>54</v>
      </c>
      <c r="AA23" s="39">
        <f t="shared" si="15"/>
        <v>19</v>
      </c>
      <c r="AB23" s="39">
        <f t="shared" si="15"/>
        <v>36</v>
      </c>
      <c r="AC23" s="39">
        <f t="shared" si="15"/>
        <v>530</v>
      </c>
      <c r="AD23" s="39">
        <f t="shared" si="15"/>
        <v>0</v>
      </c>
      <c r="AE23" s="40">
        <f t="shared" si="15"/>
        <v>1227</v>
      </c>
      <c r="AF23" s="40">
        <f t="shared" si="15"/>
        <v>1638</v>
      </c>
    </row>
    <row r="24" spans="2:32" ht="23.1" customHeight="1" x14ac:dyDescent="0.25">
      <c r="B24" s="23" t="s">
        <v>51</v>
      </c>
      <c r="C24" s="50">
        <v>58</v>
      </c>
      <c r="D24" s="50">
        <v>14</v>
      </c>
      <c r="E24" s="50">
        <v>6</v>
      </c>
      <c r="F24" s="50">
        <v>28</v>
      </c>
      <c r="G24" s="50">
        <v>2</v>
      </c>
      <c r="H24" s="50">
        <v>0</v>
      </c>
      <c r="I24" s="50">
        <v>10</v>
      </c>
      <c r="J24" s="50">
        <v>6</v>
      </c>
      <c r="K24" s="50">
        <v>5</v>
      </c>
      <c r="L24" s="50">
        <v>3</v>
      </c>
      <c r="M24" s="50">
        <v>133</v>
      </c>
      <c r="N24" s="50">
        <v>0</v>
      </c>
      <c r="O24" s="15">
        <f t="shared" si="0"/>
        <v>132</v>
      </c>
      <c r="P24" s="15">
        <f t="shared" si="1"/>
        <v>265</v>
      </c>
      <c r="R24" s="38" t="s">
        <v>92</v>
      </c>
      <c r="S24" s="39">
        <f>MAX(S19:S21)</f>
        <v>324</v>
      </c>
      <c r="T24" s="39">
        <f t="shared" ref="T24:AF24" si="16">MAX(T19:T21)</f>
        <v>72</v>
      </c>
      <c r="U24" s="39">
        <f t="shared" si="16"/>
        <v>63</v>
      </c>
      <c r="V24" s="39">
        <f t="shared" si="16"/>
        <v>140</v>
      </c>
      <c r="W24" s="39">
        <f t="shared" si="16"/>
        <v>20</v>
      </c>
      <c r="X24" s="39">
        <f t="shared" si="16"/>
        <v>4</v>
      </c>
      <c r="Y24" s="39">
        <f t="shared" si="16"/>
        <v>57</v>
      </c>
      <c r="Z24" s="39">
        <f t="shared" si="16"/>
        <v>46</v>
      </c>
      <c r="AA24" s="39">
        <f t="shared" si="16"/>
        <v>19</v>
      </c>
      <c r="AB24" s="39">
        <f t="shared" si="16"/>
        <v>44</v>
      </c>
      <c r="AC24" s="39">
        <f t="shared" si="16"/>
        <v>521</v>
      </c>
      <c r="AD24" s="39">
        <f t="shared" si="16"/>
        <v>0</v>
      </c>
      <c r="AE24" s="40">
        <f t="shared" si="16"/>
        <v>713</v>
      </c>
      <c r="AF24" s="40">
        <f t="shared" si="16"/>
        <v>1230</v>
      </c>
    </row>
    <row r="25" spans="2:32" ht="23.1" customHeight="1" x14ac:dyDescent="0.25">
      <c r="B25" s="23" t="s">
        <v>52</v>
      </c>
      <c r="C25" s="50">
        <v>40</v>
      </c>
      <c r="D25" s="50">
        <v>12</v>
      </c>
      <c r="E25" s="50">
        <v>10</v>
      </c>
      <c r="F25" s="50">
        <v>43</v>
      </c>
      <c r="G25" s="50">
        <v>0</v>
      </c>
      <c r="H25" s="50">
        <v>1</v>
      </c>
      <c r="I25" s="50">
        <v>7</v>
      </c>
      <c r="J25" s="50">
        <v>13</v>
      </c>
      <c r="K25" s="50">
        <v>4</v>
      </c>
      <c r="L25" s="50">
        <v>2</v>
      </c>
      <c r="M25" s="50">
        <v>106</v>
      </c>
      <c r="N25" s="50">
        <v>0</v>
      </c>
      <c r="O25" s="15">
        <f t="shared" si="0"/>
        <v>132</v>
      </c>
      <c r="P25" s="15">
        <f t="shared" si="1"/>
        <v>238</v>
      </c>
      <c r="R25" s="37" t="s">
        <v>85</v>
      </c>
      <c r="S25" s="35">
        <f t="shared" ref="S25:AF25" si="17">SUM(S10:S12)</f>
        <v>790</v>
      </c>
      <c r="T25" s="16">
        <f t="shared" si="17"/>
        <v>116</v>
      </c>
      <c r="U25" s="16">
        <f t="shared" si="17"/>
        <v>95</v>
      </c>
      <c r="V25" s="16">
        <f t="shared" si="17"/>
        <v>224</v>
      </c>
      <c r="W25" s="16">
        <f t="shared" si="17"/>
        <v>19</v>
      </c>
      <c r="X25" s="16">
        <f t="shared" si="17"/>
        <v>8</v>
      </c>
      <c r="Y25" s="16">
        <f t="shared" si="17"/>
        <v>95</v>
      </c>
      <c r="Z25" s="16">
        <f t="shared" si="17"/>
        <v>120</v>
      </c>
      <c r="AA25" s="16">
        <f t="shared" si="17"/>
        <v>42</v>
      </c>
      <c r="AB25" s="16">
        <f t="shared" si="17"/>
        <v>42</v>
      </c>
      <c r="AC25" s="16">
        <f t="shared" si="17"/>
        <v>2014</v>
      </c>
      <c r="AD25" s="16">
        <f t="shared" si="17"/>
        <v>0</v>
      </c>
      <c r="AE25" s="32">
        <f t="shared" si="17"/>
        <v>1551</v>
      </c>
      <c r="AF25" s="32">
        <f t="shared" si="17"/>
        <v>3565</v>
      </c>
    </row>
    <row r="26" spans="2:32" ht="23.1" customHeight="1" x14ac:dyDescent="0.25">
      <c r="B26" s="23" t="s">
        <v>53</v>
      </c>
      <c r="C26" s="50">
        <v>53</v>
      </c>
      <c r="D26" s="50">
        <v>8</v>
      </c>
      <c r="E26" s="50">
        <v>8</v>
      </c>
      <c r="F26" s="50">
        <v>33</v>
      </c>
      <c r="G26" s="50">
        <v>1</v>
      </c>
      <c r="H26" s="50">
        <v>1</v>
      </c>
      <c r="I26" s="50">
        <v>10</v>
      </c>
      <c r="J26" s="50">
        <v>6</v>
      </c>
      <c r="K26" s="50">
        <v>3</v>
      </c>
      <c r="L26" s="50">
        <v>6</v>
      </c>
      <c r="M26" s="50">
        <v>142</v>
      </c>
      <c r="N26" s="50">
        <v>0</v>
      </c>
      <c r="O26" s="15">
        <f t="shared" si="0"/>
        <v>129</v>
      </c>
      <c r="P26" s="15">
        <f t="shared" si="1"/>
        <v>271</v>
      </c>
      <c r="R26" s="28" t="s">
        <v>86</v>
      </c>
      <c r="S26" s="16">
        <f t="shared" ref="S26:AF26" si="18">SUM(S13:S18)</f>
        <v>2171</v>
      </c>
      <c r="T26" s="16">
        <f t="shared" si="18"/>
        <v>312</v>
      </c>
      <c r="U26" s="16">
        <f t="shared" si="18"/>
        <v>208</v>
      </c>
      <c r="V26" s="16">
        <f t="shared" si="18"/>
        <v>669</v>
      </c>
      <c r="W26" s="16">
        <f t="shared" si="18"/>
        <v>18</v>
      </c>
      <c r="X26" s="16">
        <f t="shared" si="18"/>
        <v>5</v>
      </c>
      <c r="Y26" s="16">
        <f t="shared" si="18"/>
        <v>233</v>
      </c>
      <c r="Z26" s="16">
        <f t="shared" si="18"/>
        <v>229</v>
      </c>
      <c r="AA26" s="16">
        <f t="shared" si="18"/>
        <v>83</v>
      </c>
      <c r="AB26" s="16">
        <f t="shared" si="18"/>
        <v>142</v>
      </c>
      <c r="AC26" s="16">
        <f t="shared" si="18"/>
        <v>2838</v>
      </c>
      <c r="AD26" s="16">
        <f t="shared" si="18"/>
        <v>0</v>
      </c>
      <c r="AE26" s="32">
        <f t="shared" si="18"/>
        <v>4070</v>
      </c>
      <c r="AF26" s="32">
        <f t="shared" si="18"/>
        <v>6908</v>
      </c>
    </row>
    <row r="27" spans="2:32" ht="23.1" customHeight="1" x14ac:dyDescent="0.25">
      <c r="B27" s="23" t="s">
        <v>54</v>
      </c>
      <c r="C27" s="50">
        <v>70</v>
      </c>
      <c r="D27" s="50">
        <v>16</v>
      </c>
      <c r="E27" s="50">
        <v>11</v>
      </c>
      <c r="F27" s="50">
        <v>30</v>
      </c>
      <c r="G27" s="50">
        <v>1</v>
      </c>
      <c r="H27" s="50">
        <v>0</v>
      </c>
      <c r="I27" s="50">
        <v>5</v>
      </c>
      <c r="J27" s="50">
        <v>10</v>
      </c>
      <c r="K27" s="50">
        <v>4</v>
      </c>
      <c r="L27" s="50">
        <v>8</v>
      </c>
      <c r="M27" s="50">
        <v>151</v>
      </c>
      <c r="N27" s="50">
        <v>0</v>
      </c>
      <c r="O27" s="15">
        <f t="shared" si="0"/>
        <v>155</v>
      </c>
      <c r="P27" s="15">
        <f t="shared" si="1"/>
        <v>306</v>
      </c>
      <c r="R27" s="29" t="s">
        <v>87</v>
      </c>
      <c r="S27" s="16">
        <f t="shared" ref="S27:AF27" si="19">SUM(S19:S21)</f>
        <v>952</v>
      </c>
      <c r="T27" s="16">
        <f t="shared" si="19"/>
        <v>202</v>
      </c>
      <c r="U27" s="16">
        <f t="shared" si="19"/>
        <v>144</v>
      </c>
      <c r="V27" s="16">
        <f t="shared" si="19"/>
        <v>366</v>
      </c>
      <c r="W27" s="16">
        <f t="shared" si="19"/>
        <v>54</v>
      </c>
      <c r="X27" s="16">
        <f t="shared" si="19"/>
        <v>7</v>
      </c>
      <c r="Y27" s="16">
        <f t="shared" si="19"/>
        <v>128</v>
      </c>
      <c r="Z27" s="16">
        <f t="shared" si="19"/>
        <v>119</v>
      </c>
      <c r="AA27" s="16">
        <f t="shared" si="19"/>
        <v>47</v>
      </c>
      <c r="AB27" s="16">
        <f t="shared" si="19"/>
        <v>100</v>
      </c>
      <c r="AC27" s="16">
        <f t="shared" si="19"/>
        <v>1346</v>
      </c>
      <c r="AD27" s="16">
        <f t="shared" si="19"/>
        <v>0</v>
      </c>
      <c r="AE27" s="32">
        <f t="shared" si="19"/>
        <v>2119</v>
      </c>
      <c r="AF27" s="32">
        <f t="shared" si="19"/>
        <v>3465</v>
      </c>
    </row>
    <row r="28" spans="2:32" ht="23.1" customHeight="1" x14ac:dyDescent="0.25">
      <c r="B28" s="23" t="s">
        <v>55</v>
      </c>
      <c r="C28" s="50">
        <v>48</v>
      </c>
      <c r="D28" s="50">
        <v>18</v>
      </c>
      <c r="E28" s="50">
        <v>7</v>
      </c>
      <c r="F28" s="50">
        <v>30</v>
      </c>
      <c r="G28" s="50">
        <v>0</v>
      </c>
      <c r="H28" s="50">
        <v>0</v>
      </c>
      <c r="I28" s="50">
        <v>0</v>
      </c>
      <c r="J28" s="50">
        <v>7</v>
      </c>
      <c r="K28" s="50">
        <v>0</v>
      </c>
      <c r="L28" s="50">
        <v>4</v>
      </c>
      <c r="M28" s="50">
        <v>131</v>
      </c>
      <c r="N28" s="50">
        <v>0</v>
      </c>
      <c r="O28" s="15">
        <f t="shared" si="0"/>
        <v>114</v>
      </c>
      <c r="P28" s="15">
        <f t="shared" si="1"/>
        <v>245</v>
      </c>
      <c r="R28" s="5" t="s">
        <v>17</v>
      </c>
      <c r="S28" s="16">
        <f t="shared" ref="S28:AF28" si="20">SUM(S10:S21)</f>
        <v>3913</v>
      </c>
      <c r="T28" s="16">
        <f t="shared" si="20"/>
        <v>630</v>
      </c>
      <c r="U28" s="16">
        <f t="shared" si="20"/>
        <v>447</v>
      </c>
      <c r="V28" s="16">
        <f t="shared" si="20"/>
        <v>1259</v>
      </c>
      <c r="W28" s="16">
        <f t="shared" si="20"/>
        <v>91</v>
      </c>
      <c r="X28" s="16">
        <f t="shared" si="20"/>
        <v>20</v>
      </c>
      <c r="Y28" s="16">
        <f t="shared" si="20"/>
        <v>456</v>
      </c>
      <c r="Z28" s="16">
        <f t="shared" si="20"/>
        <v>468</v>
      </c>
      <c r="AA28" s="16">
        <f t="shared" si="20"/>
        <v>172</v>
      </c>
      <c r="AB28" s="16">
        <f t="shared" si="20"/>
        <v>284</v>
      </c>
      <c r="AC28" s="16">
        <f t="shared" si="20"/>
        <v>6198</v>
      </c>
      <c r="AD28" s="16">
        <f t="shared" si="20"/>
        <v>0</v>
      </c>
      <c r="AE28" s="32">
        <f t="shared" si="20"/>
        <v>7740</v>
      </c>
      <c r="AF28" s="32">
        <f t="shared" si="20"/>
        <v>13938</v>
      </c>
    </row>
    <row r="29" spans="2:32" ht="23.1" customHeight="1" x14ac:dyDescent="0.25">
      <c r="B29" s="23" t="s">
        <v>56</v>
      </c>
      <c r="C29" s="50">
        <v>77</v>
      </c>
      <c r="D29" s="50">
        <v>13</v>
      </c>
      <c r="E29" s="50">
        <v>6</v>
      </c>
      <c r="F29" s="50">
        <v>27</v>
      </c>
      <c r="G29" s="50">
        <v>0</v>
      </c>
      <c r="H29" s="50">
        <v>0</v>
      </c>
      <c r="I29" s="50">
        <v>10</v>
      </c>
      <c r="J29" s="50">
        <v>12</v>
      </c>
      <c r="K29" s="50">
        <v>1</v>
      </c>
      <c r="L29" s="50">
        <v>5</v>
      </c>
      <c r="M29" s="50">
        <v>101</v>
      </c>
      <c r="N29" s="50">
        <v>0</v>
      </c>
      <c r="O29" s="15">
        <f t="shared" si="0"/>
        <v>151</v>
      </c>
      <c r="P29" s="15">
        <f t="shared" si="1"/>
        <v>252</v>
      </c>
      <c r="R29"/>
      <c r="S29" s="20"/>
      <c r="T29" s="19"/>
    </row>
    <row r="30" spans="2:32" ht="23.1" customHeight="1" x14ac:dyDescent="0.25">
      <c r="B30" s="23" t="s">
        <v>57</v>
      </c>
      <c r="C30" s="50">
        <v>58</v>
      </c>
      <c r="D30" s="50">
        <v>11</v>
      </c>
      <c r="E30" s="50">
        <v>7</v>
      </c>
      <c r="F30" s="50">
        <v>24</v>
      </c>
      <c r="G30" s="50">
        <v>0</v>
      </c>
      <c r="H30" s="50">
        <v>0</v>
      </c>
      <c r="I30" s="50">
        <v>14</v>
      </c>
      <c r="J30" s="50">
        <v>8</v>
      </c>
      <c r="K30" s="50">
        <v>1</v>
      </c>
      <c r="L30" s="50">
        <v>3</v>
      </c>
      <c r="M30" s="50">
        <v>128</v>
      </c>
      <c r="N30" s="50">
        <v>0</v>
      </c>
      <c r="O30" s="15">
        <f t="shared" si="0"/>
        <v>126</v>
      </c>
      <c r="P30" s="15">
        <f t="shared" si="1"/>
        <v>254</v>
      </c>
    </row>
    <row r="31" spans="2:32" ht="23.1" customHeight="1" x14ac:dyDescent="0.25">
      <c r="B31" s="24" t="s">
        <v>58</v>
      </c>
      <c r="C31" s="50">
        <v>80</v>
      </c>
      <c r="D31" s="50">
        <v>13</v>
      </c>
      <c r="E31" s="50">
        <v>10</v>
      </c>
      <c r="F31" s="50">
        <v>22</v>
      </c>
      <c r="G31" s="50">
        <v>0</v>
      </c>
      <c r="H31" s="50">
        <v>0</v>
      </c>
      <c r="I31" s="50">
        <v>4</v>
      </c>
      <c r="J31" s="50">
        <v>10</v>
      </c>
      <c r="K31" s="50">
        <v>6</v>
      </c>
      <c r="L31" s="50">
        <v>3</v>
      </c>
      <c r="M31" s="50">
        <v>133</v>
      </c>
      <c r="N31" s="50">
        <v>0</v>
      </c>
      <c r="O31" s="15">
        <f t="shared" si="0"/>
        <v>148</v>
      </c>
      <c r="P31" s="15">
        <f t="shared" si="1"/>
        <v>281</v>
      </c>
    </row>
    <row r="32" spans="2:32" ht="23.1" customHeight="1" x14ac:dyDescent="0.25">
      <c r="B32" s="24" t="s">
        <v>59</v>
      </c>
      <c r="C32" s="50">
        <v>50</v>
      </c>
      <c r="D32" s="50">
        <v>15</v>
      </c>
      <c r="E32" s="50">
        <v>16</v>
      </c>
      <c r="F32" s="50">
        <v>39</v>
      </c>
      <c r="G32" s="50">
        <v>1</v>
      </c>
      <c r="H32" s="50">
        <v>0</v>
      </c>
      <c r="I32" s="50">
        <v>9</v>
      </c>
      <c r="J32" s="50">
        <v>7</v>
      </c>
      <c r="K32" s="50">
        <v>2</v>
      </c>
      <c r="L32" s="50">
        <v>9</v>
      </c>
      <c r="M32" s="50">
        <v>117</v>
      </c>
      <c r="N32" s="50">
        <v>0</v>
      </c>
      <c r="O32" s="15">
        <f t="shared" si="0"/>
        <v>148</v>
      </c>
      <c r="P32" s="15">
        <f t="shared" si="1"/>
        <v>265</v>
      </c>
    </row>
    <row r="33" spans="2:20" ht="23.1" customHeight="1" x14ac:dyDescent="0.25">
      <c r="B33" s="23" t="s">
        <v>60</v>
      </c>
      <c r="C33" s="50">
        <v>67</v>
      </c>
      <c r="D33" s="50">
        <v>8</v>
      </c>
      <c r="E33" s="50">
        <v>5</v>
      </c>
      <c r="F33" s="50">
        <v>28</v>
      </c>
      <c r="G33" s="50">
        <v>0</v>
      </c>
      <c r="H33" s="50">
        <v>1</v>
      </c>
      <c r="I33" s="50">
        <v>8</v>
      </c>
      <c r="J33" s="50">
        <v>11</v>
      </c>
      <c r="K33" s="50">
        <v>4</v>
      </c>
      <c r="L33" s="50">
        <v>9</v>
      </c>
      <c r="M33" s="50">
        <v>131</v>
      </c>
      <c r="N33" s="50">
        <v>0</v>
      </c>
      <c r="O33" s="15">
        <f t="shared" si="0"/>
        <v>141</v>
      </c>
      <c r="P33" s="15">
        <f t="shared" si="1"/>
        <v>272</v>
      </c>
    </row>
    <row r="34" spans="2:20" ht="23.1" customHeight="1" x14ac:dyDescent="0.25">
      <c r="B34" s="24" t="s">
        <v>61</v>
      </c>
      <c r="C34" s="50">
        <v>54</v>
      </c>
      <c r="D34" s="50">
        <v>12</v>
      </c>
      <c r="E34" s="50">
        <v>7</v>
      </c>
      <c r="F34" s="50">
        <v>23</v>
      </c>
      <c r="G34" s="50">
        <v>2</v>
      </c>
      <c r="H34" s="50">
        <v>0</v>
      </c>
      <c r="I34" s="50">
        <v>18</v>
      </c>
      <c r="J34" s="50">
        <v>15</v>
      </c>
      <c r="K34" s="50">
        <v>3</v>
      </c>
      <c r="L34" s="50">
        <v>11</v>
      </c>
      <c r="M34" s="50">
        <v>118</v>
      </c>
      <c r="N34" s="50">
        <v>0</v>
      </c>
      <c r="O34" s="15">
        <f t="shared" si="0"/>
        <v>145</v>
      </c>
      <c r="P34" s="15">
        <f t="shared" si="1"/>
        <v>263</v>
      </c>
    </row>
    <row r="35" spans="2:20" ht="23.1" customHeight="1" x14ac:dyDescent="0.25">
      <c r="B35" s="24" t="s">
        <v>62</v>
      </c>
      <c r="C35" s="50">
        <v>56</v>
      </c>
      <c r="D35" s="50">
        <v>14</v>
      </c>
      <c r="E35" s="50">
        <v>6</v>
      </c>
      <c r="F35" s="50">
        <v>34</v>
      </c>
      <c r="G35" s="50">
        <v>0</v>
      </c>
      <c r="H35" s="50">
        <v>0</v>
      </c>
      <c r="I35" s="50">
        <v>12</v>
      </c>
      <c r="J35" s="50">
        <v>10</v>
      </c>
      <c r="K35" s="50">
        <v>3</v>
      </c>
      <c r="L35" s="50">
        <v>8</v>
      </c>
      <c r="M35" s="50">
        <v>125</v>
      </c>
      <c r="N35" s="50">
        <v>0</v>
      </c>
      <c r="O35" s="15">
        <f t="shared" si="0"/>
        <v>143</v>
      </c>
      <c r="P35" s="15">
        <f t="shared" si="1"/>
        <v>268</v>
      </c>
    </row>
    <row r="36" spans="2:20" ht="23.1" customHeight="1" x14ac:dyDescent="0.25">
      <c r="B36" s="24" t="s">
        <v>63</v>
      </c>
      <c r="C36" s="50">
        <v>61</v>
      </c>
      <c r="D36" s="50">
        <v>11</v>
      </c>
      <c r="E36" s="50">
        <v>11</v>
      </c>
      <c r="F36" s="50">
        <v>25</v>
      </c>
      <c r="G36" s="50">
        <v>0</v>
      </c>
      <c r="H36" s="50">
        <v>0</v>
      </c>
      <c r="I36" s="50">
        <v>16</v>
      </c>
      <c r="J36" s="50">
        <v>17</v>
      </c>
      <c r="K36" s="50">
        <v>4</v>
      </c>
      <c r="L36" s="50">
        <v>8</v>
      </c>
      <c r="M36" s="50">
        <v>136</v>
      </c>
      <c r="N36" s="50">
        <v>0</v>
      </c>
      <c r="O36" s="15">
        <f t="shared" si="0"/>
        <v>153</v>
      </c>
      <c r="P36" s="15">
        <f t="shared" si="1"/>
        <v>289</v>
      </c>
    </row>
    <row r="37" spans="2:20" ht="23.1" customHeight="1" x14ac:dyDescent="0.25">
      <c r="B37" s="23" t="s">
        <v>64</v>
      </c>
      <c r="C37" s="50">
        <v>48</v>
      </c>
      <c r="D37" s="50">
        <v>9</v>
      </c>
      <c r="E37" s="50">
        <v>8</v>
      </c>
      <c r="F37" s="50">
        <v>26</v>
      </c>
      <c r="G37" s="50">
        <v>1</v>
      </c>
      <c r="H37" s="50">
        <v>0</v>
      </c>
      <c r="I37" s="50">
        <v>8</v>
      </c>
      <c r="J37" s="50">
        <v>12</v>
      </c>
      <c r="K37" s="50">
        <v>4</v>
      </c>
      <c r="L37" s="50">
        <v>9</v>
      </c>
      <c r="M37" s="50">
        <v>86</v>
      </c>
      <c r="N37" s="50">
        <v>0</v>
      </c>
      <c r="O37" s="15">
        <f t="shared" si="0"/>
        <v>125</v>
      </c>
      <c r="P37" s="15">
        <f t="shared" si="1"/>
        <v>211</v>
      </c>
    </row>
    <row r="38" spans="2:20" ht="23.1" customHeight="1" x14ac:dyDescent="0.25">
      <c r="B38" s="24" t="s">
        <v>65</v>
      </c>
      <c r="C38" s="50">
        <v>41</v>
      </c>
      <c r="D38" s="50">
        <v>15</v>
      </c>
      <c r="E38" s="50">
        <v>8</v>
      </c>
      <c r="F38" s="50">
        <v>30</v>
      </c>
      <c r="G38" s="50">
        <v>1</v>
      </c>
      <c r="H38" s="50">
        <v>0</v>
      </c>
      <c r="I38" s="50">
        <v>8</v>
      </c>
      <c r="J38" s="50">
        <v>13</v>
      </c>
      <c r="K38" s="50">
        <v>1</v>
      </c>
      <c r="L38" s="50">
        <v>10</v>
      </c>
      <c r="M38" s="50">
        <v>76</v>
      </c>
      <c r="N38" s="50">
        <v>0</v>
      </c>
      <c r="O38" s="15">
        <f t="shared" si="0"/>
        <v>127</v>
      </c>
      <c r="P38" s="15">
        <f t="shared" si="1"/>
        <v>203</v>
      </c>
    </row>
    <row r="39" spans="2:20" ht="23.1" customHeight="1" x14ac:dyDescent="0.25">
      <c r="B39" s="24" t="s">
        <v>66</v>
      </c>
      <c r="C39" s="50">
        <v>54</v>
      </c>
      <c r="D39" s="50">
        <v>12</v>
      </c>
      <c r="E39" s="50">
        <v>5</v>
      </c>
      <c r="F39" s="50">
        <v>17</v>
      </c>
      <c r="G39" s="50">
        <v>0</v>
      </c>
      <c r="H39" s="50">
        <v>1</v>
      </c>
      <c r="I39" s="50">
        <v>15</v>
      </c>
      <c r="J39" s="50">
        <v>9</v>
      </c>
      <c r="K39" s="50">
        <v>6</v>
      </c>
      <c r="L39" s="50">
        <v>5</v>
      </c>
      <c r="M39" s="50">
        <v>114</v>
      </c>
      <c r="N39" s="50">
        <v>0</v>
      </c>
      <c r="O39" s="15">
        <f t="shared" si="0"/>
        <v>124</v>
      </c>
      <c r="P39" s="15">
        <f t="shared" si="1"/>
        <v>238</v>
      </c>
    </row>
    <row r="40" spans="2:20" ht="23.1" customHeight="1" x14ac:dyDescent="0.25">
      <c r="B40" s="24" t="s">
        <v>67</v>
      </c>
      <c r="C40" s="50">
        <v>46</v>
      </c>
      <c r="D40" s="50">
        <v>13</v>
      </c>
      <c r="E40" s="50">
        <v>13</v>
      </c>
      <c r="F40" s="50">
        <v>26</v>
      </c>
      <c r="G40" s="50">
        <v>1</v>
      </c>
      <c r="H40" s="50">
        <v>0</v>
      </c>
      <c r="I40" s="50">
        <v>11</v>
      </c>
      <c r="J40" s="50">
        <v>11</v>
      </c>
      <c r="K40" s="50">
        <v>4</v>
      </c>
      <c r="L40" s="50">
        <v>5</v>
      </c>
      <c r="M40" s="50">
        <v>101</v>
      </c>
      <c r="N40" s="50">
        <v>0</v>
      </c>
      <c r="O40" s="15">
        <f t="shared" si="0"/>
        <v>130</v>
      </c>
      <c r="P40" s="15">
        <f t="shared" si="1"/>
        <v>231</v>
      </c>
    </row>
    <row r="41" spans="2:20" ht="23.1" customHeight="1" x14ac:dyDescent="0.25">
      <c r="B41" s="23" t="s">
        <v>68</v>
      </c>
      <c r="C41" s="50">
        <v>784</v>
      </c>
      <c r="D41" s="50">
        <v>4</v>
      </c>
      <c r="E41" s="50">
        <v>3</v>
      </c>
      <c r="F41" s="50">
        <v>25</v>
      </c>
      <c r="G41" s="50">
        <v>2</v>
      </c>
      <c r="H41" s="50">
        <v>0</v>
      </c>
      <c r="I41" s="50">
        <v>11</v>
      </c>
      <c r="J41" s="50">
        <v>8</v>
      </c>
      <c r="K41" s="50">
        <v>3</v>
      </c>
      <c r="L41" s="50">
        <v>6</v>
      </c>
      <c r="M41" s="50">
        <v>120</v>
      </c>
      <c r="N41" s="50">
        <v>0</v>
      </c>
      <c r="O41" s="15">
        <f t="shared" si="0"/>
        <v>846</v>
      </c>
      <c r="P41" s="15">
        <f t="shared" si="1"/>
        <v>966</v>
      </c>
    </row>
    <row r="42" spans="2:20" ht="23.1" customHeight="1" x14ac:dyDescent="0.25">
      <c r="B42" s="24" t="s">
        <v>69</v>
      </c>
      <c r="C42" s="50">
        <v>80</v>
      </c>
      <c r="D42" s="50">
        <v>22</v>
      </c>
      <c r="E42" s="50">
        <v>15</v>
      </c>
      <c r="F42" s="50">
        <v>29</v>
      </c>
      <c r="G42" s="50">
        <v>0</v>
      </c>
      <c r="H42" s="50">
        <v>0</v>
      </c>
      <c r="I42" s="50">
        <v>7</v>
      </c>
      <c r="J42" s="50">
        <v>9</v>
      </c>
      <c r="K42" s="50">
        <v>3</v>
      </c>
      <c r="L42" s="50">
        <v>4</v>
      </c>
      <c r="M42" s="50">
        <v>119</v>
      </c>
      <c r="N42" s="50">
        <v>0</v>
      </c>
      <c r="O42" s="15">
        <f t="shared" si="0"/>
        <v>169</v>
      </c>
      <c r="P42" s="15">
        <f t="shared" si="1"/>
        <v>288</v>
      </c>
    </row>
    <row r="43" spans="2:20" ht="23.1" customHeight="1" x14ac:dyDescent="0.25">
      <c r="B43" s="23" t="s">
        <v>70</v>
      </c>
      <c r="C43" s="50">
        <v>81</v>
      </c>
      <c r="D43" s="50">
        <v>21</v>
      </c>
      <c r="E43" s="50">
        <v>7</v>
      </c>
      <c r="F43" s="50">
        <v>19</v>
      </c>
      <c r="G43" s="50">
        <v>1</v>
      </c>
      <c r="H43" s="50">
        <v>0</v>
      </c>
      <c r="I43" s="50">
        <v>15</v>
      </c>
      <c r="J43" s="50">
        <v>9</v>
      </c>
      <c r="K43" s="50">
        <v>2</v>
      </c>
      <c r="L43" s="50">
        <v>5</v>
      </c>
      <c r="M43" s="50">
        <v>121</v>
      </c>
      <c r="N43" s="50">
        <v>0</v>
      </c>
      <c r="O43" s="15">
        <f t="shared" si="0"/>
        <v>160</v>
      </c>
      <c r="P43" s="15">
        <f t="shared" si="1"/>
        <v>281</v>
      </c>
    </row>
    <row r="44" spans="2:20" ht="23.1" customHeight="1" x14ac:dyDescent="0.25">
      <c r="B44" s="25" t="s">
        <v>71</v>
      </c>
      <c r="C44" s="50">
        <v>58</v>
      </c>
      <c r="D44" s="50">
        <v>7</v>
      </c>
      <c r="E44" s="50">
        <v>9</v>
      </c>
      <c r="F44" s="50">
        <v>22</v>
      </c>
      <c r="G44" s="50">
        <v>0</v>
      </c>
      <c r="H44" s="50">
        <v>0</v>
      </c>
      <c r="I44" s="50">
        <v>6</v>
      </c>
      <c r="J44" s="50">
        <v>7</v>
      </c>
      <c r="K44" s="50">
        <v>7</v>
      </c>
      <c r="L44" s="50">
        <v>6</v>
      </c>
      <c r="M44" s="50">
        <v>86</v>
      </c>
      <c r="N44" s="50">
        <v>0</v>
      </c>
      <c r="O44" s="15">
        <f t="shared" si="0"/>
        <v>122</v>
      </c>
      <c r="P44" s="15">
        <f t="shared" si="1"/>
        <v>208</v>
      </c>
    </row>
    <row r="45" spans="2:20" ht="23.1" customHeight="1" x14ac:dyDescent="0.25">
      <c r="B45" s="23" t="s">
        <v>72</v>
      </c>
      <c r="C45" s="50">
        <v>89</v>
      </c>
      <c r="D45" s="50">
        <v>21</v>
      </c>
      <c r="E45" s="50">
        <v>14</v>
      </c>
      <c r="F45" s="50">
        <v>35</v>
      </c>
      <c r="G45" s="50">
        <v>0</v>
      </c>
      <c r="H45" s="50">
        <v>0</v>
      </c>
      <c r="I45" s="50">
        <v>11</v>
      </c>
      <c r="J45" s="50">
        <v>4</v>
      </c>
      <c r="K45" s="50">
        <v>3</v>
      </c>
      <c r="L45" s="50">
        <v>8</v>
      </c>
      <c r="M45" s="50">
        <v>72</v>
      </c>
      <c r="N45" s="50">
        <v>0</v>
      </c>
      <c r="O45" s="15">
        <f t="shared" si="0"/>
        <v>185</v>
      </c>
      <c r="P45" s="15">
        <f t="shared" si="1"/>
        <v>257</v>
      </c>
    </row>
    <row r="46" spans="2:20" ht="23.1" customHeight="1" x14ac:dyDescent="0.25">
      <c r="B46" s="24" t="s">
        <v>73</v>
      </c>
      <c r="C46" s="50">
        <v>81</v>
      </c>
      <c r="D46" s="50">
        <v>9</v>
      </c>
      <c r="E46" s="50">
        <v>10</v>
      </c>
      <c r="F46" s="50">
        <v>27</v>
      </c>
      <c r="G46" s="50">
        <v>2</v>
      </c>
      <c r="H46" s="50">
        <v>0</v>
      </c>
      <c r="I46" s="50">
        <v>10</v>
      </c>
      <c r="J46" s="50">
        <v>17</v>
      </c>
      <c r="K46" s="50">
        <v>7</v>
      </c>
      <c r="L46" s="50">
        <v>9</v>
      </c>
      <c r="M46" s="50">
        <v>93</v>
      </c>
      <c r="N46" s="50">
        <v>0</v>
      </c>
      <c r="O46" s="15">
        <f t="shared" si="0"/>
        <v>172</v>
      </c>
      <c r="P46" s="15">
        <f t="shared" si="1"/>
        <v>265</v>
      </c>
      <c r="R46" s="8"/>
      <c r="T46"/>
    </row>
    <row r="47" spans="2:20" ht="23.1" customHeight="1" x14ac:dyDescent="0.25">
      <c r="B47" s="24" t="s">
        <v>74</v>
      </c>
      <c r="C47" s="50">
        <v>80</v>
      </c>
      <c r="D47" s="50">
        <v>23</v>
      </c>
      <c r="E47" s="50">
        <v>14</v>
      </c>
      <c r="F47" s="50">
        <v>25</v>
      </c>
      <c r="G47" s="50">
        <v>3</v>
      </c>
      <c r="H47" s="50">
        <v>0</v>
      </c>
      <c r="I47" s="50">
        <v>15</v>
      </c>
      <c r="J47" s="50">
        <v>9</v>
      </c>
      <c r="K47" s="50">
        <v>5</v>
      </c>
      <c r="L47" s="50">
        <v>7</v>
      </c>
      <c r="M47" s="50">
        <v>75</v>
      </c>
      <c r="N47" s="50">
        <v>0</v>
      </c>
      <c r="O47" s="15">
        <f t="shared" si="0"/>
        <v>181</v>
      </c>
      <c r="P47" s="15">
        <f t="shared" si="1"/>
        <v>256</v>
      </c>
      <c r="R47" s="8"/>
      <c r="T47"/>
    </row>
    <row r="48" spans="2:20" ht="23.1" customHeight="1" x14ac:dyDescent="0.25">
      <c r="B48" s="24" t="s">
        <v>75</v>
      </c>
      <c r="C48" s="50">
        <v>80</v>
      </c>
      <c r="D48" s="50">
        <v>15</v>
      </c>
      <c r="E48" s="50">
        <v>8</v>
      </c>
      <c r="F48" s="50">
        <v>26</v>
      </c>
      <c r="G48" s="50">
        <v>8</v>
      </c>
      <c r="H48" s="50">
        <v>0</v>
      </c>
      <c r="I48" s="50">
        <v>19</v>
      </c>
      <c r="J48" s="50">
        <v>7</v>
      </c>
      <c r="K48" s="50">
        <v>3</v>
      </c>
      <c r="L48" s="50">
        <v>12</v>
      </c>
      <c r="M48" s="50">
        <v>115</v>
      </c>
      <c r="N48" s="50">
        <v>0</v>
      </c>
      <c r="O48" s="15">
        <f t="shared" si="0"/>
        <v>178</v>
      </c>
      <c r="P48" s="15">
        <f t="shared" si="1"/>
        <v>293</v>
      </c>
      <c r="R48" s="8"/>
      <c r="T48"/>
    </row>
    <row r="49" spans="2:20" ht="23.1" customHeight="1" x14ac:dyDescent="0.25">
      <c r="B49" s="23" t="s">
        <v>76</v>
      </c>
      <c r="C49" s="50">
        <v>83</v>
      </c>
      <c r="D49" s="50">
        <v>24</v>
      </c>
      <c r="E49" s="50">
        <v>9</v>
      </c>
      <c r="F49" s="50">
        <v>24</v>
      </c>
      <c r="G49" s="50">
        <v>2</v>
      </c>
      <c r="H49" s="50">
        <v>1</v>
      </c>
      <c r="I49" s="50">
        <v>13</v>
      </c>
      <c r="J49" s="50">
        <v>13</v>
      </c>
      <c r="K49" s="50">
        <v>4</v>
      </c>
      <c r="L49" s="50">
        <v>9</v>
      </c>
      <c r="M49" s="50">
        <v>119</v>
      </c>
      <c r="N49" s="50">
        <v>0</v>
      </c>
      <c r="O49" s="15">
        <f t="shared" si="0"/>
        <v>182</v>
      </c>
      <c r="P49" s="15">
        <f t="shared" si="1"/>
        <v>301</v>
      </c>
      <c r="R49" s="8"/>
      <c r="T49"/>
    </row>
    <row r="50" spans="2:20" ht="23.1" customHeight="1" x14ac:dyDescent="0.25">
      <c r="B50" s="24" t="s">
        <v>77</v>
      </c>
      <c r="C50" s="50">
        <v>80</v>
      </c>
      <c r="D50" s="50">
        <v>16</v>
      </c>
      <c r="E50" s="50">
        <v>15</v>
      </c>
      <c r="F50" s="50">
        <v>28</v>
      </c>
      <c r="G50" s="50">
        <v>8</v>
      </c>
      <c r="H50" s="50">
        <v>0</v>
      </c>
      <c r="I50" s="50">
        <v>12</v>
      </c>
      <c r="J50" s="50">
        <v>11</v>
      </c>
      <c r="K50" s="50">
        <v>2</v>
      </c>
      <c r="L50" s="50">
        <v>11</v>
      </c>
      <c r="M50" s="50">
        <v>93</v>
      </c>
      <c r="N50" s="50">
        <v>0</v>
      </c>
      <c r="O50" s="15">
        <f t="shared" si="0"/>
        <v>183</v>
      </c>
      <c r="P50" s="15">
        <f t="shared" si="1"/>
        <v>276</v>
      </c>
      <c r="R50" s="8"/>
      <c r="T50"/>
    </row>
    <row r="51" spans="2:20" ht="23.1" customHeight="1" x14ac:dyDescent="0.25">
      <c r="B51" s="24" t="s">
        <v>78</v>
      </c>
      <c r="C51" s="50">
        <v>71</v>
      </c>
      <c r="D51" s="50">
        <v>17</v>
      </c>
      <c r="E51" s="50">
        <v>15</v>
      </c>
      <c r="F51" s="50">
        <v>27</v>
      </c>
      <c r="G51" s="50">
        <v>3</v>
      </c>
      <c r="H51" s="50">
        <v>0</v>
      </c>
      <c r="I51" s="50">
        <v>8</v>
      </c>
      <c r="J51" s="50">
        <v>5</v>
      </c>
      <c r="K51" s="50">
        <v>1</v>
      </c>
      <c r="L51" s="50">
        <v>17</v>
      </c>
      <c r="M51" s="50">
        <v>103</v>
      </c>
      <c r="N51" s="50">
        <v>0</v>
      </c>
      <c r="O51" s="15">
        <f t="shared" si="0"/>
        <v>164</v>
      </c>
      <c r="P51" s="15">
        <f t="shared" si="1"/>
        <v>267</v>
      </c>
      <c r="R51" s="8"/>
      <c r="T51"/>
    </row>
    <row r="52" spans="2:20" ht="23.1" customHeight="1" x14ac:dyDescent="0.25">
      <c r="B52" s="24" t="s">
        <v>79</v>
      </c>
      <c r="C52" s="50">
        <v>80</v>
      </c>
      <c r="D52" s="50">
        <v>15</v>
      </c>
      <c r="E52" s="50">
        <v>19</v>
      </c>
      <c r="F52" s="50">
        <v>38</v>
      </c>
      <c r="G52" s="50">
        <v>5</v>
      </c>
      <c r="H52" s="50">
        <v>1</v>
      </c>
      <c r="I52" s="50">
        <v>5</v>
      </c>
      <c r="J52" s="50">
        <v>8</v>
      </c>
      <c r="K52" s="50">
        <v>3</v>
      </c>
      <c r="L52" s="50">
        <v>7</v>
      </c>
      <c r="M52" s="50">
        <v>122</v>
      </c>
      <c r="N52" s="50">
        <v>0</v>
      </c>
      <c r="O52" s="15">
        <f t="shared" si="0"/>
        <v>181</v>
      </c>
      <c r="P52" s="15">
        <f t="shared" si="1"/>
        <v>303</v>
      </c>
      <c r="R52" s="8"/>
      <c r="T52"/>
    </row>
    <row r="53" spans="2:20" ht="23.1" customHeight="1" x14ac:dyDescent="0.25">
      <c r="B53" s="23" t="s">
        <v>80</v>
      </c>
      <c r="C53" s="50">
        <v>76</v>
      </c>
      <c r="D53" s="50">
        <v>11</v>
      </c>
      <c r="E53" s="50">
        <v>14</v>
      </c>
      <c r="F53" s="50">
        <v>31</v>
      </c>
      <c r="G53" s="50">
        <v>3</v>
      </c>
      <c r="H53" s="50">
        <v>1</v>
      </c>
      <c r="I53" s="50">
        <v>7</v>
      </c>
      <c r="J53" s="50">
        <v>7</v>
      </c>
      <c r="K53" s="50">
        <v>10</v>
      </c>
      <c r="L53" s="50">
        <v>9</v>
      </c>
      <c r="M53" s="50">
        <v>105</v>
      </c>
      <c r="N53" s="50">
        <v>0</v>
      </c>
      <c r="O53" s="15">
        <f t="shared" si="0"/>
        <v>169</v>
      </c>
      <c r="P53" s="15">
        <f t="shared" si="1"/>
        <v>274</v>
      </c>
      <c r="R53" s="8"/>
      <c r="T53"/>
    </row>
    <row r="54" spans="2:20" ht="23.1" customHeight="1" x14ac:dyDescent="0.25">
      <c r="B54" s="23" t="s">
        <v>81</v>
      </c>
      <c r="C54" s="50">
        <v>82</v>
      </c>
      <c r="D54" s="50">
        <v>25</v>
      </c>
      <c r="E54" s="50">
        <v>5</v>
      </c>
      <c r="F54" s="50">
        <v>33</v>
      </c>
      <c r="G54" s="50">
        <v>2</v>
      </c>
      <c r="H54" s="50">
        <v>3</v>
      </c>
      <c r="I54" s="50">
        <v>9</v>
      </c>
      <c r="J54" s="50">
        <v>4</v>
      </c>
      <c r="K54" s="50">
        <v>2</v>
      </c>
      <c r="L54" s="50">
        <v>4</v>
      </c>
      <c r="M54" s="50">
        <v>120</v>
      </c>
      <c r="N54" s="50">
        <v>0</v>
      </c>
      <c r="O54" s="15">
        <f t="shared" si="0"/>
        <v>169</v>
      </c>
      <c r="P54" s="15">
        <f t="shared" si="1"/>
        <v>289</v>
      </c>
      <c r="R54" s="8"/>
      <c r="T54"/>
    </row>
    <row r="55" spans="2:20" ht="23.1" customHeight="1" x14ac:dyDescent="0.25">
      <c r="B55" s="23" t="s">
        <v>82</v>
      </c>
      <c r="C55" s="50">
        <v>81</v>
      </c>
      <c r="D55" s="50">
        <v>17</v>
      </c>
      <c r="E55" s="50">
        <v>8</v>
      </c>
      <c r="F55" s="50">
        <v>31</v>
      </c>
      <c r="G55" s="50">
        <v>5</v>
      </c>
      <c r="H55" s="50">
        <v>0</v>
      </c>
      <c r="I55" s="50">
        <v>7</v>
      </c>
      <c r="J55" s="50">
        <v>14</v>
      </c>
      <c r="K55" s="50">
        <v>1</v>
      </c>
      <c r="L55" s="50">
        <v>3</v>
      </c>
      <c r="M55" s="50">
        <v>140</v>
      </c>
      <c r="N55" s="50">
        <v>0</v>
      </c>
      <c r="O55" s="15">
        <f t="shared" si="0"/>
        <v>167</v>
      </c>
      <c r="P55" s="15">
        <f t="shared" si="1"/>
        <v>307</v>
      </c>
      <c r="R55" s="8"/>
      <c r="T55"/>
    </row>
    <row r="56" spans="2:20" ht="23.1" customHeight="1" x14ac:dyDescent="0.25">
      <c r="B56" s="23" t="s">
        <v>83</v>
      </c>
      <c r="C56" s="50">
        <v>75</v>
      </c>
      <c r="D56" s="50">
        <v>15</v>
      </c>
      <c r="E56" s="50">
        <v>16</v>
      </c>
      <c r="F56" s="50">
        <v>50</v>
      </c>
      <c r="G56" s="50">
        <v>5</v>
      </c>
      <c r="H56" s="50">
        <v>1</v>
      </c>
      <c r="I56" s="50">
        <v>12</v>
      </c>
      <c r="J56" s="50">
        <v>11</v>
      </c>
      <c r="K56" s="50">
        <v>3</v>
      </c>
      <c r="L56" s="50">
        <v>10</v>
      </c>
      <c r="M56" s="50">
        <v>147</v>
      </c>
      <c r="N56" s="50">
        <v>0</v>
      </c>
      <c r="O56" s="15">
        <f t="shared" si="0"/>
        <v>198</v>
      </c>
      <c r="P56" s="15">
        <f t="shared" si="1"/>
        <v>345</v>
      </c>
      <c r="R56" s="8"/>
      <c r="T56"/>
    </row>
    <row r="57" spans="2:20" ht="23.1" customHeight="1" x14ac:dyDescent="0.25">
      <c r="B57" s="23" t="s">
        <v>84</v>
      </c>
      <c r="C57" s="50">
        <v>83</v>
      </c>
      <c r="D57" s="50">
        <v>15</v>
      </c>
      <c r="E57" s="50">
        <v>11</v>
      </c>
      <c r="F57" s="50">
        <v>26</v>
      </c>
      <c r="G57" s="50">
        <v>8</v>
      </c>
      <c r="H57" s="50">
        <v>0</v>
      </c>
      <c r="I57" s="50">
        <v>11</v>
      </c>
      <c r="J57" s="50">
        <v>13</v>
      </c>
      <c r="K57" s="50">
        <v>6</v>
      </c>
      <c r="L57" s="50">
        <v>2</v>
      </c>
      <c r="M57" s="50">
        <v>114</v>
      </c>
      <c r="N57" s="50">
        <v>0</v>
      </c>
      <c r="O57" s="15">
        <f t="shared" si="0"/>
        <v>175</v>
      </c>
      <c r="P57" s="15">
        <f t="shared" si="1"/>
        <v>289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3913</v>
      </c>
      <c r="D58" s="16">
        <f t="shared" si="21"/>
        <v>630</v>
      </c>
      <c r="E58" s="16">
        <f t="shared" si="21"/>
        <v>447</v>
      </c>
      <c r="F58" s="16">
        <f t="shared" si="21"/>
        <v>1259</v>
      </c>
      <c r="G58" s="16">
        <f t="shared" si="21"/>
        <v>91</v>
      </c>
      <c r="H58" s="16">
        <f t="shared" si="21"/>
        <v>20</v>
      </c>
      <c r="I58" s="16">
        <f t="shared" si="21"/>
        <v>456</v>
      </c>
      <c r="J58" s="16">
        <f t="shared" si="21"/>
        <v>468</v>
      </c>
      <c r="K58" s="16">
        <f t="shared" si="21"/>
        <v>172</v>
      </c>
      <c r="L58" s="16">
        <f t="shared" si="21"/>
        <v>284</v>
      </c>
      <c r="M58" s="16">
        <f t="shared" si="21"/>
        <v>6198</v>
      </c>
      <c r="N58" s="16">
        <f t="shared" si="21"/>
        <v>0</v>
      </c>
      <c r="O58" s="16">
        <f t="shared" si="21"/>
        <v>7740</v>
      </c>
      <c r="P58" s="16">
        <f t="shared" si="21"/>
        <v>13938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0.28074329172047641</v>
      </c>
      <c r="D59" s="43">
        <f t="shared" si="22"/>
        <v>4.5200172191132156E-2</v>
      </c>
      <c r="E59" s="43">
        <f t="shared" si="22"/>
        <v>3.2070598364184244E-2</v>
      </c>
      <c r="F59" s="43">
        <f t="shared" si="22"/>
        <v>9.0328598077199021E-2</v>
      </c>
      <c r="G59" s="43">
        <f t="shared" si="22"/>
        <v>6.5289137609413116E-3</v>
      </c>
      <c r="H59" s="43">
        <f t="shared" si="22"/>
        <v>1.4349261013057828E-3</v>
      </c>
      <c r="I59" s="43">
        <f t="shared" si="22"/>
        <v>3.2716315109771847E-2</v>
      </c>
      <c r="J59" s="43">
        <f t="shared" si="22"/>
        <v>3.3577270770555313E-2</v>
      </c>
      <c r="K59" s="43">
        <f t="shared" si="22"/>
        <v>1.2340364471229732E-2</v>
      </c>
      <c r="L59" s="43">
        <f t="shared" si="22"/>
        <v>2.0375950638542115E-2</v>
      </c>
      <c r="M59" s="43">
        <f t="shared" si="22"/>
        <v>0.44468359879466207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0.50555555555555554</v>
      </c>
      <c r="D60" s="44">
        <f t="shared" ref="D60:N60" si="23">D58/$O$58</f>
        <v>8.1395348837209308E-2</v>
      </c>
      <c r="E60" s="44">
        <f t="shared" si="23"/>
        <v>5.7751937984496127E-2</v>
      </c>
      <c r="F60" s="44">
        <f t="shared" si="23"/>
        <v>0.16266149870801033</v>
      </c>
      <c r="G60" s="44">
        <f t="shared" si="23"/>
        <v>1.1757105943152454E-2</v>
      </c>
      <c r="H60" s="44">
        <f t="shared" si="23"/>
        <v>2.5839793281653748E-3</v>
      </c>
      <c r="I60" s="44">
        <f t="shared" si="23"/>
        <v>5.8914728682170542E-2</v>
      </c>
      <c r="J60" s="44">
        <f t="shared" si="23"/>
        <v>6.0465116279069767E-2</v>
      </c>
      <c r="K60" s="44">
        <f t="shared" si="23"/>
        <v>2.2222222222222223E-2</v>
      </c>
      <c r="L60" s="44">
        <f t="shared" si="23"/>
        <v>3.6692506459948322E-2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E1" zoomScale="59" zoomScaleSheetLayoutView="59" workbookViewId="0">
      <selection activeCell="R6" sqref="R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'22.07 Masanafu-Busega'!C3:G3</f>
        <v>MCC - C1 - STN13 - NORTHERN BYPASS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'25.07 Busega-Masanafu'!D5</f>
        <v>25.07.19</v>
      </c>
      <c r="E5" s="3"/>
      <c r="F5" s="41" t="s">
        <v>1</v>
      </c>
      <c r="G5" s="64" t="str">
        <f>'25.07 Busega-Masanafu'!G5:H5</f>
        <v>NORTHERN BYPASS</v>
      </c>
      <c r="H5" s="65"/>
      <c r="I5" s="14"/>
      <c r="J5" s="2" t="s">
        <v>5</v>
      </c>
      <c r="K5" s="64" t="str">
        <f>'25.07 Busega-Masanafu'!K5:L5</f>
        <v>SSEMUKO SAMUEL JUNIOR W/MUTEBI CHRISTOPHER/SSEMWOGERERE FREDRICK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'22.07 Masanafu-Busega'!D6:E6</f>
        <v>MASANAFU</v>
      </c>
      <c r="E6" s="65"/>
      <c r="F6" s="2" t="s">
        <v>2</v>
      </c>
      <c r="G6" s="64" t="str">
        <f>'22.07 Masanafu-Busega'!G6:H6</f>
        <v>BUSEGA</v>
      </c>
      <c r="H6" s="65"/>
      <c r="J6" s="2" t="s">
        <v>21</v>
      </c>
      <c r="K6" s="64" t="str">
        <f>'25.07 Busega-Masanafu'!K6:L6</f>
        <v>ANDY/ANDREW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39</v>
      </c>
      <c r="D10" s="50">
        <v>10</v>
      </c>
      <c r="E10" s="50">
        <v>6</v>
      </c>
      <c r="F10" s="50">
        <v>26</v>
      </c>
      <c r="G10" s="50">
        <v>0</v>
      </c>
      <c r="H10" s="50">
        <v>0</v>
      </c>
      <c r="I10" s="50">
        <v>7</v>
      </c>
      <c r="J10" s="50">
        <v>0</v>
      </c>
      <c r="K10" s="50">
        <v>1</v>
      </c>
      <c r="L10" s="50">
        <v>0</v>
      </c>
      <c r="M10" s="50">
        <v>92</v>
      </c>
      <c r="N10" s="50">
        <v>0</v>
      </c>
      <c r="O10" s="15">
        <f t="shared" ref="O10:O57" si="0">SUM(C10:L10,N10)</f>
        <v>89</v>
      </c>
      <c r="P10" s="15">
        <f t="shared" ref="P10:P57" si="1">SUM(C10:N10)</f>
        <v>181</v>
      </c>
      <c r="R10" s="1" t="s">
        <v>6</v>
      </c>
      <c r="S10" s="17">
        <f t="shared" ref="S10:AF10" si="2">SUM(C10:C13)</f>
        <v>250</v>
      </c>
      <c r="T10" s="17">
        <f t="shared" si="2"/>
        <v>40</v>
      </c>
      <c r="U10" s="17">
        <f t="shared" si="2"/>
        <v>35</v>
      </c>
      <c r="V10" s="17">
        <f t="shared" si="2"/>
        <v>128</v>
      </c>
      <c r="W10" s="17">
        <f t="shared" si="2"/>
        <v>10</v>
      </c>
      <c r="X10" s="17">
        <f t="shared" si="2"/>
        <v>0</v>
      </c>
      <c r="Y10" s="17">
        <f t="shared" si="2"/>
        <v>37</v>
      </c>
      <c r="Z10" s="17">
        <f t="shared" si="2"/>
        <v>14</v>
      </c>
      <c r="AA10" s="17">
        <f t="shared" si="2"/>
        <v>7</v>
      </c>
      <c r="AB10" s="17">
        <f t="shared" si="2"/>
        <v>11</v>
      </c>
      <c r="AC10" s="17">
        <f t="shared" si="2"/>
        <v>435</v>
      </c>
      <c r="AD10" s="17">
        <f t="shared" si="2"/>
        <v>0</v>
      </c>
      <c r="AE10" s="31">
        <f t="shared" si="2"/>
        <v>532</v>
      </c>
      <c r="AF10" s="31">
        <f t="shared" si="2"/>
        <v>967</v>
      </c>
    </row>
    <row r="11" spans="2:32" s="6" customFormat="1" ht="23.1" customHeight="1" x14ac:dyDescent="0.25">
      <c r="B11" s="23" t="s">
        <v>38</v>
      </c>
      <c r="C11" s="50">
        <v>70</v>
      </c>
      <c r="D11" s="50">
        <v>5</v>
      </c>
      <c r="E11" s="50">
        <v>6</v>
      </c>
      <c r="F11" s="50">
        <v>28</v>
      </c>
      <c r="G11" s="50">
        <v>3</v>
      </c>
      <c r="H11" s="50">
        <v>0</v>
      </c>
      <c r="I11" s="50">
        <v>6</v>
      </c>
      <c r="J11" s="50">
        <v>3</v>
      </c>
      <c r="K11" s="50">
        <v>1</v>
      </c>
      <c r="L11" s="50">
        <v>1</v>
      </c>
      <c r="M11" s="50">
        <v>117</v>
      </c>
      <c r="N11" s="50">
        <v>0</v>
      </c>
      <c r="O11" s="15">
        <f t="shared" si="0"/>
        <v>123</v>
      </c>
      <c r="P11" s="15">
        <f t="shared" si="1"/>
        <v>240</v>
      </c>
      <c r="R11" s="1" t="s">
        <v>7</v>
      </c>
      <c r="S11" s="17">
        <f t="shared" ref="S11:AF11" si="3">SUM(C14:C17)</f>
        <v>287</v>
      </c>
      <c r="T11" s="17">
        <f t="shared" si="3"/>
        <v>33</v>
      </c>
      <c r="U11" s="17">
        <f t="shared" si="3"/>
        <v>47</v>
      </c>
      <c r="V11" s="17">
        <f t="shared" si="3"/>
        <v>142</v>
      </c>
      <c r="W11" s="17">
        <f t="shared" si="3"/>
        <v>7</v>
      </c>
      <c r="X11" s="17">
        <f t="shared" si="3"/>
        <v>3</v>
      </c>
      <c r="Y11" s="17">
        <f t="shared" si="3"/>
        <v>36</v>
      </c>
      <c r="Z11" s="17">
        <f t="shared" si="3"/>
        <v>22</v>
      </c>
      <c r="AA11" s="17">
        <f t="shared" si="3"/>
        <v>17</v>
      </c>
      <c r="AB11" s="17">
        <f t="shared" si="3"/>
        <v>16</v>
      </c>
      <c r="AC11" s="17">
        <f t="shared" si="3"/>
        <v>399</v>
      </c>
      <c r="AD11" s="17">
        <f t="shared" si="3"/>
        <v>0</v>
      </c>
      <c r="AE11" s="31">
        <f t="shared" si="3"/>
        <v>610</v>
      </c>
      <c r="AF11" s="31">
        <f t="shared" si="3"/>
        <v>1009</v>
      </c>
    </row>
    <row r="12" spans="2:32" ht="23.1" customHeight="1" x14ac:dyDescent="0.25">
      <c r="B12" s="23" t="s">
        <v>39</v>
      </c>
      <c r="C12" s="50">
        <v>66</v>
      </c>
      <c r="D12" s="50">
        <v>11</v>
      </c>
      <c r="E12" s="50">
        <v>11</v>
      </c>
      <c r="F12" s="50">
        <v>37</v>
      </c>
      <c r="G12" s="50">
        <v>4</v>
      </c>
      <c r="H12" s="50">
        <v>0</v>
      </c>
      <c r="I12" s="50">
        <v>12</v>
      </c>
      <c r="J12" s="50">
        <v>4</v>
      </c>
      <c r="K12" s="50">
        <v>1</v>
      </c>
      <c r="L12" s="50">
        <v>1</v>
      </c>
      <c r="M12" s="50">
        <v>108</v>
      </c>
      <c r="N12" s="50">
        <v>0</v>
      </c>
      <c r="O12" s="15">
        <f t="shared" si="0"/>
        <v>147</v>
      </c>
      <c r="P12" s="15">
        <f t="shared" si="1"/>
        <v>255</v>
      </c>
      <c r="R12" s="1" t="s">
        <v>8</v>
      </c>
      <c r="S12" s="17">
        <f t="shared" ref="S12:AF12" si="4">SUM(C18:C21)</f>
        <v>251</v>
      </c>
      <c r="T12" s="17">
        <f t="shared" si="4"/>
        <v>33</v>
      </c>
      <c r="U12" s="17">
        <f t="shared" si="4"/>
        <v>35</v>
      </c>
      <c r="V12" s="17">
        <f t="shared" si="4"/>
        <v>153</v>
      </c>
      <c r="W12" s="17">
        <f t="shared" si="4"/>
        <v>12</v>
      </c>
      <c r="X12" s="17">
        <f t="shared" si="4"/>
        <v>4</v>
      </c>
      <c r="Y12" s="17">
        <f t="shared" si="4"/>
        <v>62</v>
      </c>
      <c r="Z12" s="17">
        <f t="shared" si="4"/>
        <v>19</v>
      </c>
      <c r="AA12" s="17">
        <f t="shared" si="4"/>
        <v>13</v>
      </c>
      <c r="AB12" s="17">
        <f t="shared" si="4"/>
        <v>13</v>
      </c>
      <c r="AC12" s="17">
        <f t="shared" si="4"/>
        <v>496</v>
      </c>
      <c r="AD12" s="17">
        <f t="shared" si="4"/>
        <v>0</v>
      </c>
      <c r="AE12" s="31">
        <f t="shared" si="4"/>
        <v>595</v>
      </c>
      <c r="AF12" s="31">
        <f t="shared" si="4"/>
        <v>1091</v>
      </c>
    </row>
    <row r="13" spans="2:32" ht="23.1" customHeight="1" x14ac:dyDescent="0.25">
      <c r="B13" s="23" t="s">
        <v>40</v>
      </c>
      <c r="C13" s="50">
        <v>75</v>
      </c>
      <c r="D13" s="50">
        <v>14</v>
      </c>
      <c r="E13" s="50">
        <v>12</v>
      </c>
      <c r="F13" s="50">
        <v>37</v>
      </c>
      <c r="G13" s="50">
        <v>3</v>
      </c>
      <c r="H13" s="50">
        <v>0</v>
      </c>
      <c r="I13" s="50">
        <v>12</v>
      </c>
      <c r="J13" s="50">
        <v>7</v>
      </c>
      <c r="K13" s="50">
        <v>4</v>
      </c>
      <c r="L13" s="50">
        <v>9</v>
      </c>
      <c r="M13" s="50">
        <v>118</v>
      </c>
      <c r="N13" s="50">
        <v>0</v>
      </c>
      <c r="O13" s="15">
        <f t="shared" si="0"/>
        <v>173</v>
      </c>
      <c r="P13" s="15">
        <f t="shared" si="1"/>
        <v>291</v>
      </c>
      <c r="R13" s="1" t="s">
        <v>9</v>
      </c>
      <c r="S13" s="17">
        <f t="shared" ref="S13:AF13" si="5">SUM(C22:C25)</f>
        <v>208</v>
      </c>
      <c r="T13" s="17">
        <f t="shared" si="5"/>
        <v>31</v>
      </c>
      <c r="U13" s="17">
        <f t="shared" si="5"/>
        <v>41</v>
      </c>
      <c r="V13" s="17">
        <f t="shared" si="5"/>
        <v>134</v>
      </c>
      <c r="W13" s="17">
        <f t="shared" si="5"/>
        <v>27</v>
      </c>
      <c r="X13" s="17">
        <f t="shared" si="5"/>
        <v>4</v>
      </c>
      <c r="Y13" s="17">
        <f t="shared" si="5"/>
        <v>56</v>
      </c>
      <c r="Z13" s="17">
        <f t="shared" si="5"/>
        <v>26</v>
      </c>
      <c r="AA13" s="17">
        <f t="shared" si="5"/>
        <v>10</v>
      </c>
      <c r="AB13" s="17">
        <f t="shared" si="5"/>
        <v>15</v>
      </c>
      <c r="AC13" s="17">
        <f t="shared" si="5"/>
        <v>530</v>
      </c>
      <c r="AD13" s="17">
        <f t="shared" si="5"/>
        <v>0</v>
      </c>
      <c r="AE13" s="31">
        <f t="shared" si="5"/>
        <v>552</v>
      </c>
      <c r="AF13" s="31">
        <f t="shared" si="5"/>
        <v>1082</v>
      </c>
    </row>
    <row r="14" spans="2:32" ht="23.1" customHeight="1" x14ac:dyDescent="0.25">
      <c r="B14" s="23" t="s">
        <v>41</v>
      </c>
      <c r="C14" s="50">
        <v>87</v>
      </c>
      <c r="D14" s="50">
        <v>5</v>
      </c>
      <c r="E14" s="50">
        <v>16</v>
      </c>
      <c r="F14" s="50">
        <v>35</v>
      </c>
      <c r="G14" s="50">
        <v>1</v>
      </c>
      <c r="H14" s="50">
        <v>1</v>
      </c>
      <c r="I14" s="50">
        <v>6</v>
      </c>
      <c r="J14" s="50">
        <v>8</v>
      </c>
      <c r="K14" s="50">
        <v>1</v>
      </c>
      <c r="L14" s="50">
        <v>6</v>
      </c>
      <c r="M14" s="50">
        <v>123</v>
      </c>
      <c r="N14" s="50">
        <v>0</v>
      </c>
      <c r="O14" s="15">
        <f t="shared" si="0"/>
        <v>166</v>
      </c>
      <c r="P14" s="15">
        <f t="shared" si="1"/>
        <v>289</v>
      </c>
      <c r="R14" s="1" t="s">
        <v>10</v>
      </c>
      <c r="S14" s="17">
        <f t="shared" ref="S14:AF14" si="6">SUM(C26:C29)</f>
        <v>363</v>
      </c>
      <c r="T14" s="17">
        <f t="shared" si="6"/>
        <v>51</v>
      </c>
      <c r="U14" s="17">
        <f t="shared" si="6"/>
        <v>40</v>
      </c>
      <c r="V14" s="17">
        <f t="shared" si="6"/>
        <v>139</v>
      </c>
      <c r="W14" s="17">
        <f t="shared" si="6"/>
        <v>22</v>
      </c>
      <c r="X14" s="17">
        <f t="shared" si="6"/>
        <v>4</v>
      </c>
      <c r="Y14" s="17">
        <f t="shared" si="6"/>
        <v>73</v>
      </c>
      <c r="Z14" s="17">
        <f t="shared" si="6"/>
        <v>27</v>
      </c>
      <c r="AA14" s="17">
        <f t="shared" si="6"/>
        <v>14</v>
      </c>
      <c r="AB14" s="17">
        <f t="shared" si="6"/>
        <v>23</v>
      </c>
      <c r="AC14" s="17">
        <f t="shared" si="6"/>
        <v>556</v>
      </c>
      <c r="AD14" s="17">
        <f t="shared" si="6"/>
        <v>0</v>
      </c>
      <c r="AE14" s="31">
        <f t="shared" si="6"/>
        <v>756</v>
      </c>
      <c r="AF14" s="31">
        <f t="shared" si="6"/>
        <v>1312</v>
      </c>
    </row>
    <row r="15" spans="2:32" ht="23.1" customHeight="1" x14ac:dyDescent="0.25">
      <c r="B15" s="23" t="s">
        <v>42</v>
      </c>
      <c r="C15" s="50">
        <v>69</v>
      </c>
      <c r="D15" s="50">
        <v>11</v>
      </c>
      <c r="E15" s="50">
        <v>9</v>
      </c>
      <c r="F15" s="50">
        <v>40</v>
      </c>
      <c r="G15" s="50">
        <v>1</v>
      </c>
      <c r="H15" s="50">
        <v>2</v>
      </c>
      <c r="I15" s="50">
        <v>11</v>
      </c>
      <c r="J15" s="50">
        <v>5</v>
      </c>
      <c r="K15" s="50">
        <v>9</v>
      </c>
      <c r="L15" s="50">
        <v>1</v>
      </c>
      <c r="M15" s="50">
        <v>95</v>
      </c>
      <c r="N15" s="50">
        <v>0</v>
      </c>
      <c r="O15" s="15">
        <f t="shared" si="0"/>
        <v>158</v>
      </c>
      <c r="P15" s="15">
        <f t="shared" si="1"/>
        <v>253</v>
      </c>
      <c r="R15" s="1" t="s">
        <v>11</v>
      </c>
      <c r="S15" s="17">
        <f t="shared" ref="S15:AF15" si="7">SUM(C30:C33)</f>
        <v>371</v>
      </c>
      <c r="T15" s="17">
        <f t="shared" si="7"/>
        <v>42</v>
      </c>
      <c r="U15" s="17">
        <f t="shared" si="7"/>
        <v>47</v>
      </c>
      <c r="V15" s="17">
        <f t="shared" si="7"/>
        <v>160</v>
      </c>
      <c r="W15" s="17">
        <f t="shared" si="7"/>
        <v>19</v>
      </c>
      <c r="X15" s="17">
        <f t="shared" si="7"/>
        <v>1</v>
      </c>
      <c r="Y15" s="17">
        <f t="shared" si="7"/>
        <v>79</v>
      </c>
      <c r="Z15" s="17">
        <f t="shared" si="7"/>
        <v>33</v>
      </c>
      <c r="AA15" s="17">
        <f t="shared" si="7"/>
        <v>18</v>
      </c>
      <c r="AB15" s="17">
        <f t="shared" si="7"/>
        <v>22</v>
      </c>
      <c r="AC15" s="17">
        <f t="shared" si="7"/>
        <v>435</v>
      </c>
      <c r="AD15" s="17">
        <f t="shared" si="7"/>
        <v>0</v>
      </c>
      <c r="AE15" s="31">
        <f t="shared" si="7"/>
        <v>792</v>
      </c>
      <c r="AF15" s="31">
        <f t="shared" si="7"/>
        <v>1227</v>
      </c>
    </row>
    <row r="16" spans="2:32" ht="23.1" customHeight="1" x14ac:dyDescent="0.25">
      <c r="B16" s="23" t="s">
        <v>43</v>
      </c>
      <c r="C16" s="50">
        <v>68</v>
      </c>
      <c r="D16" s="50">
        <v>9</v>
      </c>
      <c r="E16" s="50">
        <v>7</v>
      </c>
      <c r="F16" s="50">
        <v>36</v>
      </c>
      <c r="G16" s="50">
        <v>4</v>
      </c>
      <c r="H16" s="50">
        <v>0</v>
      </c>
      <c r="I16" s="50">
        <v>12</v>
      </c>
      <c r="J16" s="50">
        <v>3</v>
      </c>
      <c r="K16" s="50">
        <v>3</v>
      </c>
      <c r="L16" s="50">
        <v>5</v>
      </c>
      <c r="M16" s="50">
        <v>104</v>
      </c>
      <c r="N16" s="50">
        <v>0</v>
      </c>
      <c r="O16" s="15">
        <f t="shared" si="0"/>
        <v>147</v>
      </c>
      <c r="P16" s="15">
        <f t="shared" si="1"/>
        <v>251</v>
      </c>
      <c r="R16" s="1" t="s">
        <v>12</v>
      </c>
      <c r="S16" s="17">
        <f t="shared" ref="S16:AF16" si="8">SUM(C34:C37)</f>
        <v>272</v>
      </c>
      <c r="T16" s="17">
        <f t="shared" si="8"/>
        <v>39</v>
      </c>
      <c r="U16" s="17">
        <f t="shared" si="8"/>
        <v>35</v>
      </c>
      <c r="V16" s="17">
        <f t="shared" si="8"/>
        <v>126</v>
      </c>
      <c r="W16" s="17">
        <f t="shared" si="8"/>
        <v>5</v>
      </c>
      <c r="X16" s="17">
        <f t="shared" si="8"/>
        <v>2</v>
      </c>
      <c r="Y16" s="17">
        <f t="shared" si="8"/>
        <v>73</v>
      </c>
      <c r="Z16" s="17">
        <f t="shared" si="8"/>
        <v>23</v>
      </c>
      <c r="AA16" s="17">
        <f t="shared" si="8"/>
        <v>14</v>
      </c>
      <c r="AB16" s="17">
        <f t="shared" si="8"/>
        <v>15</v>
      </c>
      <c r="AC16" s="17">
        <f t="shared" si="8"/>
        <v>364</v>
      </c>
      <c r="AD16" s="17">
        <f t="shared" si="8"/>
        <v>0</v>
      </c>
      <c r="AE16" s="31">
        <f t="shared" si="8"/>
        <v>604</v>
      </c>
      <c r="AF16" s="31">
        <f t="shared" si="8"/>
        <v>968</v>
      </c>
    </row>
    <row r="17" spans="2:32" ht="23.1" customHeight="1" x14ac:dyDescent="0.25">
      <c r="B17" s="23" t="s">
        <v>44</v>
      </c>
      <c r="C17" s="50">
        <v>63</v>
      </c>
      <c r="D17" s="50">
        <v>8</v>
      </c>
      <c r="E17" s="50">
        <v>15</v>
      </c>
      <c r="F17" s="50">
        <v>31</v>
      </c>
      <c r="G17" s="50">
        <v>1</v>
      </c>
      <c r="H17" s="50">
        <v>0</v>
      </c>
      <c r="I17" s="50">
        <v>7</v>
      </c>
      <c r="J17" s="50">
        <v>6</v>
      </c>
      <c r="K17" s="50">
        <v>4</v>
      </c>
      <c r="L17" s="50">
        <v>4</v>
      </c>
      <c r="M17" s="50">
        <v>77</v>
      </c>
      <c r="N17" s="50">
        <v>0</v>
      </c>
      <c r="O17" s="15">
        <f t="shared" si="0"/>
        <v>139</v>
      </c>
      <c r="P17" s="15">
        <f t="shared" si="1"/>
        <v>216</v>
      </c>
      <c r="R17" s="1" t="s">
        <v>13</v>
      </c>
      <c r="S17" s="17">
        <f t="shared" ref="S17:AF17" si="9">SUM(C38:C41)</f>
        <v>242</v>
      </c>
      <c r="T17" s="17">
        <f t="shared" si="9"/>
        <v>37</v>
      </c>
      <c r="U17" s="17">
        <f t="shared" si="9"/>
        <v>34</v>
      </c>
      <c r="V17" s="17">
        <f t="shared" si="9"/>
        <v>127</v>
      </c>
      <c r="W17" s="17">
        <f t="shared" si="9"/>
        <v>1</v>
      </c>
      <c r="X17" s="17">
        <f t="shared" si="9"/>
        <v>2</v>
      </c>
      <c r="Y17" s="17">
        <f t="shared" si="9"/>
        <v>90</v>
      </c>
      <c r="Z17" s="17">
        <f t="shared" si="9"/>
        <v>25</v>
      </c>
      <c r="AA17" s="17">
        <f t="shared" si="9"/>
        <v>13</v>
      </c>
      <c r="AB17" s="17">
        <f t="shared" si="9"/>
        <v>22</v>
      </c>
      <c r="AC17" s="17">
        <f t="shared" si="9"/>
        <v>357</v>
      </c>
      <c r="AD17" s="17">
        <f t="shared" si="9"/>
        <v>0</v>
      </c>
      <c r="AE17" s="31">
        <f t="shared" si="9"/>
        <v>593</v>
      </c>
      <c r="AF17" s="31">
        <f t="shared" si="9"/>
        <v>950</v>
      </c>
    </row>
    <row r="18" spans="2:32" ht="23.1" customHeight="1" x14ac:dyDescent="0.25">
      <c r="B18" s="23" t="s">
        <v>45</v>
      </c>
      <c r="C18" s="50">
        <v>66</v>
      </c>
      <c r="D18" s="50">
        <v>10</v>
      </c>
      <c r="E18" s="50">
        <v>6</v>
      </c>
      <c r="F18" s="50">
        <v>32</v>
      </c>
      <c r="G18" s="50">
        <v>3</v>
      </c>
      <c r="H18" s="50">
        <v>2</v>
      </c>
      <c r="I18" s="50">
        <v>25</v>
      </c>
      <c r="J18" s="50">
        <v>5</v>
      </c>
      <c r="K18" s="50">
        <v>4</v>
      </c>
      <c r="L18" s="50">
        <v>7</v>
      </c>
      <c r="M18" s="50">
        <v>117</v>
      </c>
      <c r="N18" s="50">
        <v>0</v>
      </c>
      <c r="O18" s="15">
        <f t="shared" si="0"/>
        <v>160</v>
      </c>
      <c r="P18" s="15">
        <f t="shared" si="1"/>
        <v>277</v>
      </c>
      <c r="R18" s="1" t="s">
        <v>14</v>
      </c>
      <c r="S18" s="17">
        <f t="shared" ref="S18:AF18" si="10">SUM(C42:C45)</f>
        <v>268</v>
      </c>
      <c r="T18" s="17">
        <f t="shared" si="10"/>
        <v>43</v>
      </c>
      <c r="U18" s="17">
        <f t="shared" si="10"/>
        <v>63</v>
      </c>
      <c r="V18" s="17">
        <f t="shared" si="10"/>
        <v>127</v>
      </c>
      <c r="W18" s="17">
        <f t="shared" si="10"/>
        <v>3</v>
      </c>
      <c r="X18" s="17">
        <f t="shared" si="10"/>
        <v>2</v>
      </c>
      <c r="Y18" s="17">
        <f t="shared" si="10"/>
        <v>73</v>
      </c>
      <c r="Z18" s="17">
        <f t="shared" si="10"/>
        <v>27</v>
      </c>
      <c r="AA18" s="17">
        <f t="shared" si="10"/>
        <v>13</v>
      </c>
      <c r="AB18" s="17">
        <f t="shared" si="10"/>
        <v>26</v>
      </c>
      <c r="AC18" s="17">
        <f t="shared" si="10"/>
        <v>380</v>
      </c>
      <c r="AD18" s="17">
        <f t="shared" si="10"/>
        <v>0</v>
      </c>
      <c r="AE18" s="31">
        <f t="shared" si="10"/>
        <v>645</v>
      </c>
      <c r="AF18" s="31">
        <f t="shared" si="10"/>
        <v>1025</v>
      </c>
    </row>
    <row r="19" spans="2:32" ht="23.1" customHeight="1" x14ac:dyDescent="0.25">
      <c r="B19" s="23" t="s">
        <v>46</v>
      </c>
      <c r="C19" s="50">
        <v>68</v>
      </c>
      <c r="D19" s="50">
        <v>9</v>
      </c>
      <c r="E19" s="50">
        <v>15</v>
      </c>
      <c r="F19" s="50">
        <v>42</v>
      </c>
      <c r="G19" s="50">
        <v>2</v>
      </c>
      <c r="H19" s="50">
        <v>0</v>
      </c>
      <c r="I19" s="50">
        <v>15</v>
      </c>
      <c r="J19" s="50">
        <v>4</v>
      </c>
      <c r="K19" s="50">
        <v>5</v>
      </c>
      <c r="L19" s="50">
        <v>2</v>
      </c>
      <c r="M19" s="50">
        <v>140</v>
      </c>
      <c r="N19" s="50">
        <v>0</v>
      </c>
      <c r="O19" s="15">
        <f t="shared" si="0"/>
        <v>162</v>
      </c>
      <c r="P19" s="15">
        <f t="shared" si="1"/>
        <v>302</v>
      </c>
      <c r="R19" s="1" t="s">
        <v>15</v>
      </c>
      <c r="S19" s="17">
        <f t="shared" ref="S19:AF19" si="11">SUM(C46:C49)</f>
        <v>353</v>
      </c>
      <c r="T19" s="17">
        <f t="shared" si="11"/>
        <v>36</v>
      </c>
      <c r="U19" s="17">
        <f t="shared" si="11"/>
        <v>57</v>
      </c>
      <c r="V19" s="17">
        <f t="shared" si="11"/>
        <v>133</v>
      </c>
      <c r="W19" s="17">
        <f t="shared" si="11"/>
        <v>3</v>
      </c>
      <c r="X19" s="17">
        <f t="shared" si="11"/>
        <v>0</v>
      </c>
      <c r="Y19" s="17">
        <f t="shared" si="11"/>
        <v>91</v>
      </c>
      <c r="Z19" s="17">
        <f t="shared" si="11"/>
        <v>34</v>
      </c>
      <c r="AA19" s="17">
        <f t="shared" si="11"/>
        <v>13</v>
      </c>
      <c r="AB19" s="17">
        <f t="shared" si="11"/>
        <v>35</v>
      </c>
      <c r="AC19" s="17">
        <f t="shared" si="11"/>
        <v>395</v>
      </c>
      <c r="AD19" s="17">
        <f t="shared" si="11"/>
        <v>0</v>
      </c>
      <c r="AE19" s="31">
        <f t="shared" si="11"/>
        <v>755</v>
      </c>
      <c r="AF19" s="31">
        <f t="shared" si="11"/>
        <v>1150</v>
      </c>
    </row>
    <row r="20" spans="2:32" ht="23.1" customHeight="1" x14ac:dyDescent="0.25">
      <c r="B20" s="23" t="s">
        <v>47</v>
      </c>
      <c r="C20" s="50">
        <v>70</v>
      </c>
      <c r="D20" s="50">
        <v>8</v>
      </c>
      <c r="E20" s="50">
        <v>9</v>
      </c>
      <c r="F20" s="50">
        <v>44</v>
      </c>
      <c r="G20" s="50">
        <v>5</v>
      </c>
      <c r="H20" s="50">
        <v>2</v>
      </c>
      <c r="I20" s="50">
        <v>9</v>
      </c>
      <c r="J20" s="50">
        <v>5</v>
      </c>
      <c r="K20" s="50">
        <v>3</v>
      </c>
      <c r="L20" s="50">
        <v>2</v>
      </c>
      <c r="M20" s="50">
        <v>124</v>
      </c>
      <c r="N20" s="50">
        <v>0</v>
      </c>
      <c r="O20" s="15">
        <f t="shared" si="0"/>
        <v>157</v>
      </c>
      <c r="P20" s="15">
        <f t="shared" si="1"/>
        <v>281</v>
      </c>
      <c r="R20" s="1" t="s">
        <v>16</v>
      </c>
      <c r="S20" s="17">
        <f t="shared" ref="S20:AF20" si="12">SUM(C50:C53)</f>
        <v>441</v>
      </c>
      <c r="T20" s="17">
        <f t="shared" si="12"/>
        <v>46</v>
      </c>
      <c r="U20" s="17">
        <f t="shared" si="12"/>
        <v>49</v>
      </c>
      <c r="V20" s="17">
        <f t="shared" si="12"/>
        <v>135</v>
      </c>
      <c r="W20" s="17">
        <f t="shared" si="12"/>
        <v>7</v>
      </c>
      <c r="X20" s="17">
        <f t="shared" si="12"/>
        <v>2</v>
      </c>
      <c r="Y20" s="17">
        <f t="shared" si="12"/>
        <v>79</v>
      </c>
      <c r="Z20" s="17">
        <f t="shared" si="12"/>
        <v>29</v>
      </c>
      <c r="AA20" s="17">
        <f t="shared" si="12"/>
        <v>17</v>
      </c>
      <c r="AB20" s="17">
        <f t="shared" si="12"/>
        <v>23</v>
      </c>
      <c r="AC20" s="17">
        <f t="shared" si="12"/>
        <v>415</v>
      </c>
      <c r="AD20" s="17">
        <f t="shared" si="12"/>
        <v>0</v>
      </c>
      <c r="AE20" s="31">
        <f t="shared" si="12"/>
        <v>828</v>
      </c>
      <c r="AF20" s="31">
        <f t="shared" si="12"/>
        <v>1243</v>
      </c>
    </row>
    <row r="21" spans="2:32" ht="23.1" customHeight="1" x14ac:dyDescent="0.25">
      <c r="B21" s="23" t="s">
        <v>48</v>
      </c>
      <c r="C21" s="50">
        <v>47</v>
      </c>
      <c r="D21" s="50">
        <v>6</v>
      </c>
      <c r="E21" s="50">
        <v>5</v>
      </c>
      <c r="F21" s="50">
        <v>35</v>
      </c>
      <c r="G21" s="50">
        <v>2</v>
      </c>
      <c r="H21" s="50">
        <v>0</v>
      </c>
      <c r="I21" s="50">
        <v>13</v>
      </c>
      <c r="J21" s="50">
        <v>5</v>
      </c>
      <c r="K21" s="50">
        <v>1</v>
      </c>
      <c r="L21" s="50">
        <v>2</v>
      </c>
      <c r="M21" s="50">
        <v>115</v>
      </c>
      <c r="N21" s="50">
        <v>0</v>
      </c>
      <c r="O21" s="15">
        <f t="shared" si="0"/>
        <v>116</v>
      </c>
      <c r="P21" s="15">
        <f t="shared" si="1"/>
        <v>231</v>
      </c>
      <c r="R21" s="36" t="s">
        <v>20</v>
      </c>
      <c r="S21" s="34">
        <f t="shared" ref="S21:AF21" si="13">SUM(C54:C57)</f>
        <v>603</v>
      </c>
      <c r="T21" s="17">
        <f t="shared" si="13"/>
        <v>42</v>
      </c>
      <c r="U21" s="17">
        <f t="shared" si="13"/>
        <v>40</v>
      </c>
      <c r="V21" s="17">
        <f t="shared" si="13"/>
        <v>164</v>
      </c>
      <c r="W21" s="17">
        <f t="shared" si="13"/>
        <v>6</v>
      </c>
      <c r="X21" s="17">
        <f t="shared" si="13"/>
        <v>1</v>
      </c>
      <c r="Y21" s="17">
        <f t="shared" si="13"/>
        <v>57</v>
      </c>
      <c r="Z21" s="17">
        <f t="shared" si="13"/>
        <v>32</v>
      </c>
      <c r="AA21" s="17">
        <f t="shared" si="13"/>
        <v>17</v>
      </c>
      <c r="AB21" s="17">
        <f t="shared" si="13"/>
        <v>25</v>
      </c>
      <c r="AC21" s="17">
        <f t="shared" si="13"/>
        <v>603</v>
      </c>
      <c r="AD21" s="17">
        <f t="shared" si="13"/>
        <v>0</v>
      </c>
      <c r="AE21" s="31">
        <f t="shared" si="13"/>
        <v>987</v>
      </c>
      <c r="AF21" s="31">
        <f t="shared" si="13"/>
        <v>1590</v>
      </c>
    </row>
    <row r="22" spans="2:32" ht="23.1" customHeight="1" x14ac:dyDescent="0.25">
      <c r="B22" s="23" t="s">
        <v>49</v>
      </c>
      <c r="C22" s="50">
        <v>70</v>
      </c>
      <c r="D22" s="50">
        <v>8</v>
      </c>
      <c r="E22" s="50">
        <v>10</v>
      </c>
      <c r="F22" s="50">
        <v>37</v>
      </c>
      <c r="G22" s="50">
        <v>6</v>
      </c>
      <c r="H22" s="50">
        <v>2</v>
      </c>
      <c r="I22" s="50">
        <v>19</v>
      </c>
      <c r="J22" s="50">
        <v>5</v>
      </c>
      <c r="K22" s="50">
        <v>4</v>
      </c>
      <c r="L22" s="50">
        <v>4</v>
      </c>
      <c r="M22" s="50">
        <v>131</v>
      </c>
      <c r="N22" s="50">
        <v>0</v>
      </c>
      <c r="O22" s="15">
        <f t="shared" si="0"/>
        <v>165</v>
      </c>
      <c r="P22" s="15">
        <f t="shared" si="1"/>
        <v>296</v>
      </c>
      <c r="R22" s="38" t="s">
        <v>90</v>
      </c>
      <c r="S22" s="39">
        <f>MAX(S10:S12)</f>
        <v>287</v>
      </c>
      <c r="T22" s="39">
        <f t="shared" ref="T22:AF22" si="14">MAX(T10:T12)</f>
        <v>40</v>
      </c>
      <c r="U22" s="39">
        <f t="shared" si="14"/>
        <v>47</v>
      </c>
      <c r="V22" s="39">
        <f t="shared" si="14"/>
        <v>153</v>
      </c>
      <c r="W22" s="39">
        <f t="shared" si="14"/>
        <v>12</v>
      </c>
      <c r="X22" s="39">
        <f t="shared" si="14"/>
        <v>4</v>
      </c>
      <c r="Y22" s="39">
        <f t="shared" si="14"/>
        <v>62</v>
      </c>
      <c r="Z22" s="39">
        <f t="shared" si="14"/>
        <v>22</v>
      </c>
      <c r="AA22" s="39">
        <f t="shared" si="14"/>
        <v>17</v>
      </c>
      <c r="AB22" s="39">
        <f t="shared" si="14"/>
        <v>16</v>
      </c>
      <c r="AC22" s="39">
        <f t="shared" si="14"/>
        <v>496</v>
      </c>
      <c r="AD22" s="39">
        <f t="shared" si="14"/>
        <v>0</v>
      </c>
      <c r="AE22" s="40">
        <f t="shared" si="14"/>
        <v>610</v>
      </c>
      <c r="AF22" s="40">
        <f t="shared" si="14"/>
        <v>1091</v>
      </c>
    </row>
    <row r="23" spans="2:32" ht="23.1" customHeight="1" x14ac:dyDescent="0.25">
      <c r="B23" s="23" t="s">
        <v>50</v>
      </c>
      <c r="C23" s="50">
        <v>61</v>
      </c>
      <c r="D23" s="50">
        <v>8</v>
      </c>
      <c r="E23" s="50">
        <v>8</v>
      </c>
      <c r="F23" s="50">
        <v>31</v>
      </c>
      <c r="G23" s="50">
        <v>10</v>
      </c>
      <c r="H23" s="50">
        <v>1</v>
      </c>
      <c r="I23" s="50">
        <v>16</v>
      </c>
      <c r="J23" s="50">
        <v>9</v>
      </c>
      <c r="K23" s="50">
        <v>3</v>
      </c>
      <c r="L23" s="50">
        <v>7</v>
      </c>
      <c r="M23" s="50">
        <v>162</v>
      </c>
      <c r="N23" s="50">
        <v>0</v>
      </c>
      <c r="O23" s="15">
        <f t="shared" si="0"/>
        <v>154</v>
      </c>
      <c r="P23" s="15">
        <f t="shared" si="1"/>
        <v>316</v>
      </c>
      <c r="R23" s="38" t="s">
        <v>91</v>
      </c>
      <c r="S23" s="39">
        <f>MAX(S13:S18)</f>
        <v>371</v>
      </c>
      <c r="T23" s="39">
        <f t="shared" ref="T23:AF23" si="15">MAX(T13:T18)</f>
        <v>51</v>
      </c>
      <c r="U23" s="39">
        <f t="shared" si="15"/>
        <v>63</v>
      </c>
      <c r="V23" s="39">
        <f t="shared" si="15"/>
        <v>160</v>
      </c>
      <c r="W23" s="39">
        <f t="shared" si="15"/>
        <v>27</v>
      </c>
      <c r="X23" s="39">
        <f t="shared" si="15"/>
        <v>4</v>
      </c>
      <c r="Y23" s="39">
        <f t="shared" si="15"/>
        <v>90</v>
      </c>
      <c r="Z23" s="39">
        <f t="shared" si="15"/>
        <v>33</v>
      </c>
      <c r="AA23" s="39">
        <f t="shared" si="15"/>
        <v>18</v>
      </c>
      <c r="AB23" s="39">
        <f t="shared" si="15"/>
        <v>26</v>
      </c>
      <c r="AC23" s="39">
        <f t="shared" si="15"/>
        <v>556</v>
      </c>
      <c r="AD23" s="39">
        <f t="shared" si="15"/>
        <v>0</v>
      </c>
      <c r="AE23" s="40">
        <f t="shared" si="15"/>
        <v>792</v>
      </c>
      <c r="AF23" s="40">
        <f t="shared" si="15"/>
        <v>1312</v>
      </c>
    </row>
    <row r="24" spans="2:32" ht="23.1" customHeight="1" x14ac:dyDescent="0.25">
      <c r="B24" s="23" t="s">
        <v>51</v>
      </c>
      <c r="C24" s="50">
        <v>39</v>
      </c>
      <c r="D24" s="50">
        <v>8</v>
      </c>
      <c r="E24" s="50">
        <v>13</v>
      </c>
      <c r="F24" s="50">
        <v>34</v>
      </c>
      <c r="G24" s="50">
        <v>4</v>
      </c>
      <c r="H24" s="50">
        <v>0</v>
      </c>
      <c r="I24" s="50">
        <v>9</v>
      </c>
      <c r="J24" s="50">
        <v>6</v>
      </c>
      <c r="K24" s="50">
        <v>1</v>
      </c>
      <c r="L24" s="50">
        <v>3</v>
      </c>
      <c r="M24" s="50">
        <v>108</v>
      </c>
      <c r="N24" s="50">
        <v>0</v>
      </c>
      <c r="O24" s="15">
        <f t="shared" si="0"/>
        <v>117</v>
      </c>
      <c r="P24" s="15">
        <f t="shared" si="1"/>
        <v>225</v>
      </c>
      <c r="R24" s="38" t="s">
        <v>92</v>
      </c>
      <c r="S24" s="39">
        <f>MAX(S19:S21)</f>
        <v>603</v>
      </c>
      <c r="T24" s="39">
        <f t="shared" ref="T24:AF24" si="16">MAX(T19:T21)</f>
        <v>46</v>
      </c>
      <c r="U24" s="39">
        <f t="shared" si="16"/>
        <v>57</v>
      </c>
      <c r="V24" s="39">
        <f t="shared" si="16"/>
        <v>164</v>
      </c>
      <c r="W24" s="39">
        <f t="shared" si="16"/>
        <v>7</v>
      </c>
      <c r="X24" s="39">
        <f t="shared" si="16"/>
        <v>2</v>
      </c>
      <c r="Y24" s="39">
        <f t="shared" si="16"/>
        <v>91</v>
      </c>
      <c r="Z24" s="39">
        <f t="shared" si="16"/>
        <v>34</v>
      </c>
      <c r="AA24" s="39">
        <f t="shared" si="16"/>
        <v>17</v>
      </c>
      <c r="AB24" s="39">
        <f t="shared" si="16"/>
        <v>35</v>
      </c>
      <c r="AC24" s="39">
        <f t="shared" si="16"/>
        <v>603</v>
      </c>
      <c r="AD24" s="39">
        <f t="shared" si="16"/>
        <v>0</v>
      </c>
      <c r="AE24" s="40">
        <f t="shared" si="16"/>
        <v>987</v>
      </c>
      <c r="AF24" s="40">
        <f t="shared" si="16"/>
        <v>1590</v>
      </c>
    </row>
    <row r="25" spans="2:32" ht="23.1" customHeight="1" x14ac:dyDescent="0.25">
      <c r="B25" s="23" t="s">
        <v>52</v>
      </c>
      <c r="C25" s="50">
        <v>38</v>
      </c>
      <c r="D25" s="50">
        <v>7</v>
      </c>
      <c r="E25" s="50">
        <v>10</v>
      </c>
      <c r="F25" s="50">
        <v>32</v>
      </c>
      <c r="G25" s="50">
        <v>7</v>
      </c>
      <c r="H25" s="50">
        <v>1</v>
      </c>
      <c r="I25" s="50">
        <v>12</v>
      </c>
      <c r="J25" s="50">
        <v>6</v>
      </c>
      <c r="K25" s="50">
        <v>2</v>
      </c>
      <c r="L25" s="50">
        <v>1</v>
      </c>
      <c r="M25" s="50">
        <v>129</v>
      </c>
      <c r="N25" s="50">
        <v>0</v>
      </c>
      <c r="O25" s="15">
        <f t="shared" si="0"/>
        <v>116</v>
      </c>
      <c r="P25" s="15">
        <f t="shared" si="1"/>
        <v>245</v>
      </c>
      <c r="R25" s="37" t="s">
        <v>85</v>
      </c>
      <c r="S25" s="35">
        <f t="shared" ref="S25:AF25" si="17">SUM(S10:S12)</f>
        <v>788</v>
      </c>
      <c r="T25" s="16">
        <f t="shared" si="17"/>
        <v>106</v>
      </c>
      <c r="U25" s="16">
        <f t="shared" si="17"/>
        <v>117</v>
      </c>
      <c r="V25" s="16">
        <f t="shared" si="17"/>
        <v>423</v>
      </c>
      <c r="W25" s="16">
        <f t="shared" si="17"/>
        <v>29</v>
      </c>
      <c r="X25" s="16">
        <f t="shared" si="17"/>
        <v>7</v>
      </c>
      <c r="Y25" s="16">
        <f t="shared" si="17"/>
        <v>135</v>
      </c>
      <c r="Z25" s="16">
        <f t="shared" si="17"/>
        <v>55</v>
      </c>
      <c r="AA25" s="16">
        <f t="shared" si="17"/>
        <v>37</v>
      </c>
      <c r="AB25" s="16">
        <f t="shared" si="17"/>
        <v>40</v>
      </c>
      <c r="AC25" s="16">
        <f t="shared" si="17"/>
        <v>1330</v>
      </c>
      <c r="AD25" s="16">
        <f t="shared" si="17"/>
        <v>0</v>
      </c>
      <c r="AE25" s="32">
        <f t="shared" si="17"/>
        <v>1737</v>
      </c>
      <c r="AF25" s="32">
        <f t="shared" si="17"/>
        <v>3067</v>
      </c>
    </row>
    <row r="26" spans="2:32" ht="23.1" customHeight="1" x14ac:dyDescent="0.25">
      <c r="B26" s="23" t="s">
        <v>53</v>
      </c>
      <c r="C26" s="50">
        <v>117</v>
      </c>
      <c r="D26" s="50">
        <v>8</v>
      </c>
      <c r="E26" s="50">
        <v>10</v>
      </c>
      <c r="F26" s="50">
        <v>52</v>
      </c>
      <c r="G26" s="50">
        <v>4</v>
      </c>
      <c r="H26" s="50">
        <v>2</v>
      </c>
      <c r="I26" s="50">
        <v>19</v>
      </c>
      <c r="J26" s="50">
        <v>3</v>
      </c>
      <c r="K26" s="50">
        <v>3</v>
      </c>
      <c r="L26" s="50">
        <v>3</v>
      </c>
      <c r="M26" s="50">
        <v>156</v>
      </c>
      <c r="N26" s="50">
        <v>0</v>
      </c>
      <c r="O26" s="15">
        <f t="shared" si="0"/>
        <v>221</v>
      </c>
      <c r="P26" s="15">
        <f t="shared" si="1"/>
        <v>377</v>
      </c>
      <c r="R26" s="28" t="s">
        <v>86</v>
      </c>
      <c r="S26" s="16">
        <f t="shared" ref="S26:AF26" si="18">SUM(S13:S18)</f>
        <v>1724</v>
      </c>
      <c r="T26" s="16">
        <f t="shared" si="18"/>
        <v>243</v>
      </c>
      <c r="U26" s="16">
        <f t="shared" si="18"/>
        <v>260</v>
      </c>
      <c r="V26" s="16">
        <f t="shared" si="18"/>
        <v>813</v>
      </c>
      <c r="W26" s="16">
        <f t="shared" si="18"/>
        <v>77</v>
      </c>
      <c r="X26" s="16">
        <f t="shared" si="18"/>
        <v>15</v>
      </c>
      <c r="Y26" s="16">
        <f t="shared" si="18"/>
        <v>444</v>
      </c>
      <c r="Z26" s="16">
        <f t="shared" si="18"/>
        <v>161</v>
      </c>
      <c r="AA26" s="16">
        <f t="shared" si="18"/>
        <v>82</v>
      </c>
      <c r="AB26" s="16">
        <f t="shared" si="18"/>
        <v>123</v>
      </c>
      <c r="AC26" s="16">
        <f t="shared" si="18"/>
        <v>2622</v>
      </c>
      <c r="AD26" s="16">
        <f t="shared" si="18"/>
        <v>0</v>
      </c>
      <c r="AE26" s="32">
        <f t="shared" si="18"/>
        <v>3942</v>
      </c>
      <c r="AF26" s="32">
        <f t="shared" si="18"/>
        <v>6564</v>
      </c>
    </row>
    <row r="27" spans="2:32" ht="23.1" customHeight="1" x14ac:dyDescent="0.25">
      <c r="B27" s="23" t="s">
        <v>54</v>
      </c>
      <c r="C27" s="50">
        <v>90</v>
      </c>
      <c r="D27" s="50">
        <v>15</v>
      </c>
      <c r="E27" s="50">
        <v>11</v>
      </c>
      <c r="F27" s="50">
        <v>38</v>
      </c>
      <c r="G27" s="50">
        <v>4</v>
      </c>
      <c r="H27" s="50">
        <v>2</v>
      </c>
      <c r="I27" s="50">
        <v>21</v>
      </c>
      <c r="J27" s="50">
        <v>11</v>
      </c>
      <c r="K27" s="50">
        <v>7</v>
      </c>
      <c r="L27" s="50">
        <v>6</v>
      </c>
      <c r="M27" s="50">
        <v>150</v>
      </c>
      <c r="N27" s="50">
        <v>0</v>
      </c>
      <c r="O27" s="15">
        <f t="shared" si="0"/>
        <v>205</v>
      </c>
      <c r="P27" s="15">
        <f t="shared" si="1"/>
        <v>355</v>
      </c>
      <c r="R27" s="29" t="s">
        <v>87</v>
      </c>
      <c r="S27" s="16">
        <f t="shared" ref="S27:AF27" si="19">SUM(S19:S21)</f>
        <v>1397</v>
      </c>
      <c r="T27" s="16">
        <f t="shared" si="19"/>
        <v>124</v>
      </c>
      <c r="U27" s="16">
        <f t="shared" si="19"/>
        <v>146</v>
      </c>
      <c r="V27" s="16">
        <f t="shared" si="19"/>
        <v>432</v>
      </c>
      <c r="W27" s="16">
        <f t="shared" si="19"/>
        <v>16</v>
      </c>
      <c r="X27" s="16">
        <f t="shared" si="19"/>
        <v>3</v>
      </c>
      <c r="Y27" s="16">
        <f t="shared" si="19"/>
        <v>227</v>
      </c>
      <c r="Z27" s="16">
        <f t="shared" si="19"/>
        <v>95</v>
      </c>
      <c r="AA27" s="16">
        <f t="shared" si="19"/>
        <v>47</v>
      </c>
      <c r="AB27" s="16">
        <f t="shared" si="19"/>
        <v>83</v>
      </c>
      <c r="AC27" s="16">
        <f t="shared" si="19"/>
        <v>1413</v>
      </c>
      <c r="AD27" s="16">
        <f t="shared" si="19"/>
        <v>0</v>
      </c>
      <c r="AE27" s="32">
        <f t="shared" si="19"/>
        <v>2570</v>
      </c>
      <c r="AF27" s="32">
        <f t="shared" si="19"/>
        <v>3983</v>
      </c>
    </row>
    <row r="28" spans="2:32" ht="23.1" customHeight="1" x14ac:dyDescent="0.25">
      <c r="B28" s="23" t="s">
        <v>55</v>
      </c>
      <c r="C28" s="50">
        <v>76</v>
      </c>
      <c r="D28" s="50">
        <v>6</v>
      </c>
      <c r="E28" s="50">
        <v>13</v>
      </c>
      <c r="F28" s="50">
        <v>27</v>
      </c>
      <c r="G28" s="50">
        <v>0</v>
      </c>
      <c r="H28" s="50">
        <v>0</v>
      </c>
      <c r="I28" s="50">
        <v>22</v>
      </c>
      <c r="J28" s="50">
        <v>5</v>
      </c>
      <c r="K28" s="50">
        <v>1</v>
      </c>
      <c r="L28" s="50">
        <v>5</v>
      </c>
      <c r="M28" s="50">
        <v>110</v>
      </c>
      <c r="N28" s="50">
        <v>0</v>
      </c>
      <c r="O28" s="15">
        <f t="shared" si="0"/>
        <v>155</v>
      </c>
      <c r="P28" s="15">
        <f t="shared" si="1"/>
        <v>265</v>
      </c>
      <c r="R28" s="5" t="s">
        <v>17</v>
      </c>
      <c r="S28" s="16">
        <f t="shared" ref="S28:AF28" si="20">SUM(S10:S21)</f>
        <v>3909</v>
      </c>
      <c r="T28" s="16">
        <f t="shared" si="20"/>
        <v>473</v>
      </c>
      <c r="U28" s="16">
        <f t="shared" si="20"/>
        <v>523</v>
      </c>
      <c r="V28" s="16">
        <f t="shared" si="20"/>
        <v>1668</v>
      </c>
      <c r="W28" s="16">
        <f t="shared" si="20"/>
        <v>122</v>
      </c>
      <c r="X28" s="16">
        <f t="shared" si="20"/>
        <v>25</v>
      </c>
      <c r="Y28" s="16">
        <f t="shared" si="20"/>
        <v>806</v>
      </c>
      <c r="Z28" s="16">
        <f t="shared" si="20"/>
        <v>311</v>
      </c>
      <c r="AA28" s="16">
        <f t="shared" si="20"/>
        <v>166</v>
      </c>
      <c r="AB28" s="16">
        <f t="shared" si="20"/>
        <v>246</v>
      </c>
      <c r="AC28" s="16">
        <f t="shared" si="20"/>
        <v>5365</v>
      </c>
      <c r="AD28" s="16">
        <f t="shared" si="20"/>
        <v>0</v>
      </c>
      <c r="AE28" s="32">
        <f t="shared" si="20"/>
        <v>8249</v>
      </c>
      <c r="AF28" s="32">
        <f t="shared" si="20"/>
        <v>13614</v>
      </c>
    </row>
    <row r="29" spans="2:32" ht="23.1" customHeight="1" x14ac:dyDescent="0.25">
      <c r="B29" s="23" t="s">
        <v>56</v>
      </c>
      <c r="C29" s="50">
        <v>80</v>
      </c>
      <c r="D29" s="50">
        <v>22</v>
      </c>
      <c r="E29" s="50">
        <v>6</v>
      </c>
      <c r="F29" s="50">
        <v>22</v>
      </c>
      <c r="G29" s="50">
        <v>14</v>
      </c>
      <c r="H29" s="50">
        <v>0</v>
      </c>
      <c r="I29" s="50">
        <v>11</v>
      </c>
      <c r="J29" s="50">
        <v>8</v>
      </c>
      <c r="K29" s="50">
        <v>3</v>
      </c>
      <c r="L29" s="50">
        <v>9</v>
      </c>
      <c r="M29" s="50">
        <v>140</v>
      </c>
      <c r="N29" s="50">
        <v>0</v>
      </c>
      <c r="O29" s="15">
        <f t="shared" si="0"/>
        <v>175</v>
      </c>
      <c r="P29" s="15">
        <f t="shared" si="1"/>
        <v>315</v>
      </c>
      <c r="R29"/>
      <c r="S29" s="20"/>
      <c r="T29" s="19"/>
    </row>
    <row r="30" spans="2:32" ht="23.1" customHeight="1" x14ac:dyDescent="0.25">
      <c r="B30" s="23" t="s">
        <v>57</v>
      </c>
      <c r="C30" s="50">
        <v>90</v>
      </c>
      <c r="D30" s="50">
        <v>13</v>
      </c>
      <c r="E30" s="50">
        <v>9</v>
      </c>
      <c r="F30" s="50">
        <v>42</v>
      </c>
      <c r="G30" s="50">
        <v>3</v>
      </c>
      <c r="H30" s="50">
        <v>0</v>
      </c>
      <c r="I30" s="50">
        <v>19</v>
      </c>
      <c r="J30" s="50">
        <v>8</v>
      </c>
      <c r="K30" s="50">
        <v>5</v>
      </c>
      <c r="L30" s="50">
        <v>10</v>
      </c>
      <c r="M30" s="50">
        <v>122</v>
      </c>
      <c r="N30" s="50">
        <v>0</v>
      </c>
      <c r="O30" s="15">
        <f t="shared" si="0"/>
        <v>199</v>
      </c>
      <c r="P30" s="15">
        <f t="shared" si="1"/>
        <v>321</v>
      </c>
    </row>
    <row r="31" spans="2:32" ht="23.1" customHeight="1" x14ac:dyDescent="0.25">
      <c r="B31" s="24" t="s">
        <v>58</v>
      </c>
      <c r="C31" s="50">
        <v>90</v>
      </c>
      <c r="D31" s="50">
        <v>8</v>
      </c>
      <c r="E31" s="50">
        <v>15</v>
      </c>
      <c r="F31" s="50">
        <v>38</v>
      </c>
      <c r="G31" s="50">
        <v>2</v>
      </c>
      <c r="H31" s="50">
        <v>1</v>
      </c>
      <c r="I31" s="50">
        <v>21</v>
      </c>
      <c r="J31" s="50">
        <v>6</v>
      </c>
      <c r="K31" s="50">
        <v>7</v>
      </c>
      <c r="L31" s="50">
        <v>4</v>
      </c>
      <c r="M31" s="50">
        <v>119</v>
      </c>
      <c r="N31" s="50">
        <v>0</v>
      </c>
      <c r="O31" s="15">
        <f t="shared" si="0"/>
        <v>192</v>
      </c>
      <c r="P31" s="15">
        <f t="shared" si="1"/>
        <v>311</v>
      </c>
    </row>
    <row r="32" spans="2:32" ht="23.1" customHeight="1" x14ac:dyDescent="0.25">
      <c r="B32" s="24" t="s">
        <v>59</v>
      </c>
      <c r="C32" s="50">
        <v>84</v>
      </c>
      <c r="D32" s="50">
        <v>6</v>
      </c>
      <c r="E32" s="50">
        <v>13</v>
      </c>
      <c r="F32" s="50">
        <v>40</v>
      </c>
      <c r="G32" s="50">
        <v>6</v>
      </c>
      <c r="H32" s="50">
        <v>0</v>
      </c>
      <c r="I32" s="50">
        <v>16</v>
      </c>
      <c r="J32" s="50">
        <v>8</v>
      </c>
      <c r="K32" s="50">
        <v>4</v>
      </c>
      <c r="L32" s="50">
        <v>2</v>
      </c>
      <c r="M32" s="50">
        <v>85</v>
      </c>
      <c r="N32" s="50">
        <v>0</v>
      </c>
      <c r="O32" s="15">
        <f t="shared" si="0"/>
        <v>179</v>
      </c>
      <c r="P32" s="15">
        <f t="shared" si="1"/>
        <v>264</v>
      </c>
    </row>
    <row r="33" spans="2:20" ht="23.1" customHeight="1" x14ac:dyDescent="0.25">
      <c r="B33" s="23" t="s">
        <v>60</v>
      </c>
      <c r="C33" s="50">
        <v>107</v>
      </c>
      <c r="D33" s="50">
        <v>15</v>
      </c>
      <c r="E33" s="50">
        <v>10</v>
      </c>
      <c r="F33" s="50">
        <v>40</v>
      </c>
      <c r="G33" s="50">
        <v>8</v>
      </c>
      <c r="H33" s="50">
        <v>0</v>
      </c>
      <c r="I33" s="50">
        <v>23</v>
      </c>
      <c r="J33" s="50">
        <v>11</v>
      </c>
      <c r="K33" s="50">
        <v>2</v>
      </c>
      <c r="L33" s="50">
        <v>6</v>
      </c>
      <c r="M33" s="50">
        <v>109</v>
      </c>
      <c r="N33" s="50">
        <v>0</v>
      </c>
      <c r="O33" s="15">
        <f t="shared" si="0"/>
        <v>222</v>
      </c>
      <c r="P33" s="15">
        <f t="shared" si="1"/>
        <v>331</v>
      </c>
    </row>
    <row r="34" spans="2:20" ht="23.1" customHeight="1" x14ac:dyDescent="0.25">
      <c r="B34" s="24" t="s">
        <v>61</v>
      </c>
      <c r="C34" s="50">
        <v>88</v>
      </c>
      <c r="D34" s="50">
        <v>8</v>
      </c>
      <c r="E34" s="50">
        <v>11</v>
      </c>
      <c r="F34" s="50">
        <v>28</v>
      </c>
      <c r="G34" s="50">
        <v>1</v>
      </c>
      <c r="H34" s="50">
        <v>0</v>
      </c>
      <c r="I34" s="50">
        <v>18</v>
      </c>
      <c r="J34" s="50">
        <v>4</v>
      </c>
      <c r="K34" s="50">
        <v>5</v>
      </c>
      <c r="L34" s="50">
        <v>4</v>
      </c>
      <c r="M34" s="50">
        <v>96</v>
      </c>
      <c r="N34" s="50">
        <v>0</v>
      </c>
      <c r="O34" s="15">
        <f t="shared" si="0"/>
        <v>167</v>
      </c>
      <c r="P34" s="15">
        <f t="shared" si="1"/>
        <v>263</v>
      </c>
    </row>
    <row r="35" spans="2:20" ht="23.1" customHeight="1" x14ac:dyDescent="0.25">
      <c r="B35" s="24" t="s">
        <v>62</v>
      </c>
      <c r="C35" s="50">
        <v>74</v>
      </c>
      <c r="D35" s="50">
        <v>6</v>
      </c>
      <c r="E35" s="50">
        <v>9</v>
      </c>
      <c r="F35" s="50">
        <v>37</v>
      </c>
      <c r="G35" s="50">
        <v>3</v>
      </c>
      <c r="H35" s="50">
        <v>0</v>
      </c>
      <c r="I35" s="50">
        <v>19</v>
      </c>
      <c r="J35" s="50">
        <v>8</v>
      </c>
      <c r="K35" s="50">
        <v>2</v>
      </c>
      <c r="L35" s="50">
        <v>5</v>
      </c>
      <c r="M35" s="50">
        <v>85</v>
      </c>
      <c r="N35" s="50">
        <v>0</v>
      </c>
      <c r="O35" s="15">
        <f t="shared" si="0"/>
        <v>163</v>
      </c>
      <c r="P35" s="15">
        <f t="shared" si="1"/>
        <v>248</v>
      </c>
    </row>
    <row r="36" spans="2:20" ht="23.1" customHeight="1" x14ac:dyDescent="0.25">
      <c r="B36" s="24" t="s">
        <v>63</v>
      </c>
      <c r="C36" s="50">
        <v>32</v>
      </c>
      <c r="D36" s="50">
        <v>12</v>
      </c>
      <c r="E36" s="50">
        <v>7</v>
      </c>
      <c r="F36" s="50">
        <v>31</v>
      </c>
      <c r="G36" s="50">
        <v>0</v>
      </c>
      <c r="H36" s="50">
        <v>2</v>
      </c>
      <c r="I36" s="50">
        <v>14</v>
      </c>
      <c r="J36" s="50">
        <v>7</v>
      </c>
      <c r="K36" s="50">
        <v>3</v>
      </c>
      <c r="L36" s="50">
        <v>4</v>
      </c>
      <c r="M36" s="50">
        <v>88</v>
      </c>
      <c r="N36" s="50">
        <v>0</v>
      </c>
      <c r="O36" s="15">
        <f t="shared" si="0"/>
        <v>112</v>
      </c>
      <c r="P36" s="15">
        <f t="shared" si="1"/>
        <v>200</v>
      </c>
    </row>
    <row r="37" spans="2:20" ht="23.1" customHeight="1" x14ac:dyDescent="0.25">
      <c r="B37" s="23" t="s">
        <v>64</v>
      </c>
      <c r="C37" s="50">
        <v>78</v>
      </c>
      <c r="D37" s="50">
        <v>13</v>
      </c>
      <c r="E37" s="50">
        <v>8</v>
      </c>
      <c r="F37" s="50">
        <v>30</v>
      </c>
      <c r="G37" s="50">
        <v>1</v>
      </c>
      <c r="H37" s="50">
        <v>0</v>
      </c>
      <c r="I37" s="50">
        <v>22</v>
      </c>
      <c r="J37" s="50">
        <v>4</v>
      </c>
      <c r="K37" s="50">
        <v>4</v>
      </c>
      <c r="L37" s="50">
        <v>2</v>
      </c>
      <c r="M37" s="50">
        <v>95</v>
      </c>
      <c r="N37" s="50">
        <v>0</v>
      </c>
      <c r="O37" s="15">
        <f t="shared" si="0"/>
        <v>162</v>
      </c>
      <c r="P37" s="15">
        <f t="shared" si="1"/>
        <v>257</v>
      </c>
    </row>
    <row r="38" spans="2:20" ht="23.1" customHeight="1" x14ac:dyDescent="0.25">
      <c r="B38" s="24" t="s">
        <v>65</v>
      </c>
      <c r="C38" s="50">
        <v>76</v>
      </c>
      <c r="D38" s="50">
        <v>11</v>
      </c>
      <c r="E38" s="50">
        <v>6</v>
      </c>
      <c r="F38" s="50">
        <v>43</v>
      </c>
      <c r="G38" s="50">
        <v>0</v>
      </c>
      <c r="H38" s="50">
        <v>0</v>
      </c>
      <c r="I38" s="50">
        <v>28</v>
      </c>
      <c r="J38" s="50">
        <v>4</v>
      </c>
      <c r="K38" s="50">
        <v>2</v>
      </c>
      <c r="L38" s="50">
        <v>6</v>
      </c>
      <c r="M38" s="50">
        <v>117</v>
      </c>
      <c r="N38" s="50">
        <v>0</v>
      </c>
      <c r="O38" s="15">
        <f t="shared" si="0"/>
        <v>176</v>
      </c>
      <c r="P38" s="15">
        <f t="shared" si="1"/>
        <v>293</v>
      </c>
    </row>
    <row r="39" spans="2:20" ht="23.1" customHeight="1" x14ac:dyDescent="0.25">
      <c r="B39" s="24" t="s">
        <v>66</v>
      </c>
      <c r="C39" s="50">
        <v>53</v>
      </c>
      <c r="D39" s="50">
        <v>11</v>
      </c>
      <c r="E39" s="50">
        <v>4</v>
      </c>
      <c r="F39" s="50">
        <v>24</v>
      </c>
      <c r="G39" s="50">
        <v>1</v>
      </c>
      <c r="H39" s="50">
        <v>0</v>
      </c>
      <c r="I39" s="50">
        <v>24</v>
      </c>
      <c r="J39" s="50">
        <v>7</v>
      </c>
      <c r="K39" s="50">
        <v>4</v>
      </c>
      <c r="L39" s="50">
        <v>5</v>
      </c>
      <c r="M39" s="50">
        <v>84</v>
      </c>
      <c r="N39" s="50">
        <v>0</v>
      </c>
      <c r="O39" s="15">
        <f t="shared" si="0"/>
        <v>133</v>
      </c>
      <c r="P39" s="15">
        <f t="shared" si="1"/>
        <v>217</v>
      </c>
    </row>
    <row r="40" spans="2:20" ht="23.1" customHeight="1" x14ac:dyDescent="0.25">
      <c r="B40" s="24" t="s">
        <v>67</v>
      </c>
      <c r="C40" s="50">
        <v>59</v>
      </c>
      <c r="D40" s="50">
        <v>3</v>
      </c>
      <c r="E40" s="50">
        <v>11</v>
      </c>
      <c r="F40" s="50">
        <v>31</v>
      </c>
      <c r="G40" s="50">
        <v>0</v>
      </c>
      <c r="H40" s="50">
        <v>1</v>
      </c>
      <c r="I40" s="50">
        <v>25</v>
      </c>
      <c r="J40" s="50">
        <v>8</v>
      </c>
      <c r="K40" s="50">
        <v>2</v>
      </c>
      <c r="L40" s="50">
        <v>6</v>
      </c>
      <c r="M40" s="50">
        <v>83</v>
      </c>
      <c r="N40" s="50">
        <v>0</v>
      </c>
      <c r="O40" s="15">
        <f t="shared" si="0"/>
        <v>146</v>
      </c>
      <c r="P40" s="15">
        <f t="shared" si="1"/>
        <v>229</v>
      </c>
    </row>
    <row r="41" spans="2:20" ht="23.1" customHeight="1" x14ac:dyDescent="0.25">
      <c r="B41" s="23" t="s">
        <v>68</v>
      </c>
      <c r="C41" s="50">
        <v>54</v>
      </c>
      <c r="D41" s="50">
        <v>12</v>
      </c>
      <c r="E41" s="50">
        <v>13</v>
      </c>
      <c r="F41" s="50">
        <v>29</v>
      </c>
      <c r="G41" s="50">
        <v>0</v>
      </c>
      <c r="H41" s="50">
        <v>1</v>
      </c>
      <c r="I41" s="50">
        <v>13</v>
      </c>
      <c r="J41" s="50">
        <v>6</v>
      </c>
      <c r="K41" s="50">
        <v>5</v>
      </c>
      <c r="L41" s="50">
        <v>5</v>
      </c>
      <c r="M41" s="50">
        <v>73</v>
      </c>
      <c r="N41" s="50">
        <v>0</v>
      </c>
      <c r="O41" s="15">
        <f t="shared" si="0"/>
        <v>138</v>
      </c>
      <c r="P41" s="15">
        <f t="shared" si="1"/>
        <v>211</v>
      </c>
    </row>
    <row r="42" spans="2:20" ht="23.1" customHeight="1" x14ac:dyDescent="0.25">
      <c r="B42" s="24" t="s">
        <v>69</v>
      </c>
      <c r="C42" s="50">
        <v>38</v>
      </c>
      <c r="D42" s="50">
        <v>14</v>
      </c>
      <c r="E42" s="50">
        <v>18</v>
      </c>
      <c r="F42" s="50">
        <v>35</v>
      </c>
      <c r="G42" s="50">
        <v>1</v>
      </c>
      <c r="H42" s="50">
        <v>0</v>
      </c>
      <c r="I42" s="50">
        <v>17</v>
      </c>
      <c r="J42" s="50">
        <v>9</v>
      </c>
      <c r="K42" s="50">
        <v>4</v>
      </c>
      <c r="L42" s="50">
        <v>4</v>
      </c>
      <c r="M42" s="50">
        <v>92</v>
      </c>
      <c r="N42" s="50">
        <v>0</v>
      </c>
      <c r="O42" s="15">
        <f t="shared" si="0"/>
        <v>140</v>
      </c>
      <c r="P42" s="15">
        <f t="shared" si="1"/>
        <v>232</v>
      </c>
    </row>
    <row r="43" spans="2:20" ht="23.1" customHeight="1" x14ac:dyDescent="0.25">
      <c r="B43" s="23" t="s">
        <v>70</v>
      </c>
      <c r="C43" s="50">
        <v>70</v>
      </c>
      <c r="D43" s="50">
        <v>8</v>
      </c>
      <c r="E43" s="50">
        <v>17</v>
      </c>
      <c r="F43" s="50">
        <v>31</v>
      </c>
      <c r="G43" s="50">
        <v>1</v>
      </c>
      <c r="H43" s="50">
        <v>0</v>
      </c>
      <c r="I43" s="50">
        <v>23</v>
      </c>
      <c r="J43" s="50">
        <v>7</v>
      </c>
      <c r="K43" s="50">
        <v>1</v>
      </c>
      <c r="L43" s="50">
        <v>13</v>
      </c>
      <c r="M43" s="50">
        <v>105</v>
      </c>
      <c r="N43" s="50">
        <v>0</v>
      </c>
      <c r="O43" s="15">
        <f t="shared" si="0"/>
        <v>171</v>
      </c>
      <c r="P43" s="15">
        <f t="shared" si="1"/>
        <v>276</v>
      </c>
    </row>
    <row r="44" spans="2:20" ht="23.1" customHeight="1" x14ac:dyDescent="0.25">
      <c r="B44" s="25" t="s">
        <v>71</v>
      </c>
      <c r="C44" s="50">
        <v>76</v>
      </c>
      <c r="D44" s="50">
        <v>11</v>
      </c>
      <c r="E44" s="50">
        <v>12</v>
      </c>
      <c r="F44" s="50">
        <v>28</v>
      </c>
      <c r="G44" s="50">
        <v>0</v>
      </c>
      <c r="H44" s="50">
        <v>1</v>
      </c>
      <c r="I44" s="50">
        <v>16</v>
      </c>
      <c r="J44" s="50">
        <v>6</v>
      </c>
      <c r="K44" s="50">
        <v>3</v>
      </c>
      <c r="L44" s="50">
        <v>5</v>
      </c>
      <c r="M44" s="50">
        <v>76</v>
      </c>
      <c r="N44" s="50">
        <v>0</v>
      </c>
      <c r="O44" s="15">
        <f t="shared" si="0"/>
        <v>158</v>
      </c>
      <c r="P44" s="15">
        <f t="shared" si="1"/>
        <v>234</v>
      </c>
    </row>
    <row r="45" spans="2:20" ht="23.1" customHeight="1" x14ac:dyDescent="0.25">
      <c r="B45" s="23" t="s">
        <v>72</v>
      </c>
      <c r="C45" s="50">
        <v>84</v>
      </c>
      <c r="D45" s="50">
        <v>10</v>
      </c>
      <c r="E45" s="50">
        <v>16</v>
      </c>
      <c r="F45" s="50">
        <v>33</v>
      </c>
      <c r="G45" s="50">
        <v>1</v>
      </c>
      <c r="H45" s="50">
        <v>1</v>
      </c>
      <c r="I45" s="50">
        <v>17</v>
      </c>
      <c r="J45" s="50">
        <v>5</v>
      </c>
      <c r="K45" s="50">
        <v>5</v>
      </c>
      <c r="L45" s="50">
        <v>4</v>
      </c>
      <c r="M45" s="50">
        <v>107</v>
      </c>
      <c r="N45" s="50">
        <v>0</v>
      </c>
      <c r="O45" s="15">
        <f t="shared" si="0"/>
        <v>176</v>
      </c>
      <c r="P45" s="15">
        <f t="shared" si="1"/>
        <v>283</v>
      </c>
    </row>
    <row r="46" spans="2:20" ht="23.1" customHeight="1" x14ac:dyDescent="0.25">
      <c r="B46" s="24" t="s">
        <v>73</v>
      </c>
      <c r="C46" s="50">
        <v>83</v>
      </c>
      <c r="D46" s="50">
        <v>8</v>
      </c>
      <c r="E46" s="50">
        <v>16</v>
      </c>
      <c r="F46" s="50">
        <v>34</v>
      </c>
      <c r="G46" s="50">
        <v>0</v>
      </c>
      <c r="H46" s="50">
        <v>0</v>
      </c>
      <c r="I46" s="50">
        <v>17</v>
      </c>
      <c r="J46" s="50">
        <v>6</v>
      </c>
      <c r="K46" s="50">
        <v>3</v>
      </c>
      <c r="L46" s="50">
        <v>10</v>
      </c>
      <c r="M46" s="50">
        <v>85</v>
      </c>
      <c r="N46" s="50">
        <v>0</v>
      </c>
      <c r="O46" s="15">
        <f t="shared" si="0"/>
        <v>177</v>
      </c>
      <c r="P46" s="15">
        <f t="shared" si="1"/>
        <v>262</v>
      </c>
      <c r="R46" s="8"/>
      <c r="T46"/>
    </row>
    <row r="47" spans="2:20" ht="23.1" customHeight="1" x14ac:dyDescent="0.25">
      <c r="B47" s="24" t="s">
        <v>74</v>
      </c>
      <c r="C47" s="50">
        <v>82</v>
      </c>
      <c r="D47" s="50">
        <v>9</v>
      </c>
      <c r="E47" s="50">
        <v>18</v>
      </c>
      <c r="F47" s="50">
        <v>36</v>
      </c>
      <c r="G47" s="50">
        <v>1</v>
      </c>
      <c r="H47" s="50">
        <v>0</v>
      </c>
      <c r="I47" s="50">
        <v>24</v>
      </c>
      <c r="J47" s="50">
        <v>10</v>
      </c>
      <c r="K47" s="50">
        <v>2</v>
      </c>
      <c r="L47" s="50">
        <v>14</v>
      </c>
      <c r="M47" s="50">
        <v>101</v>
      </c>
      <c r="N47" s="50">
        <v>0</v>
      </c>
      <c r="O47" s="15">
        <f t="shared" si="0"/>
        <v>196</v>
      </c>
      <c r="P47" s="15">
        <f t="shared" si="1"/>
        <v>297</v>
      </c>
      <c r="R47" s="8"/>
      <c r="T47"/>
    </row>
    <row r="48" spans="2:20" ht="23.1" customHeight="1" x14ac:dyDescent="0.25">
      <c r="B48" s="24" t="s">
        <v>75</v>
      </c>
      <c r="C48" s="50">
        <v>93</v>
      </c>
      <c r="D48" s="50">
        <v>9</v>
      </c>
      <c r="E48" s="50">
        <v>11</v>
      </c>
      <c r="F48" s="50">
        <v>31</v>
      </c>
      <c r="G48" s="50">
        <v>1</v>
      </c>
      <c r="H48" s="50">
        <v>0</v>
      </c>
      <c r="I48" s="50">
        <v>23</v>
      </c>
      <c r="J48" s="50">
        <v>11</v>
      </c>
      <c r="K48" s="50">
        <v>5</v>
      </c>
      <c r="L48" s="50">
        <v>4</v>
      </c>
      <c r="M48" s="50">
        <v>104</v>
      </c>
      <c r="N48" s="50">
        <v>0</v>
      </c>
      <c r="O48" s="15">
        <f t="shared" si="0"/>
        <v>188</v>
      </c>
      <c r="P48" s="15">
        <f t="shared" si="1"/>
        <v>292</v>
      </c>
      <c r="R48" s="8"/>
      <c r="T48"/>
    </row>
    <row r="49" spans="2:20" ht="23.1" customHeight="1" x14ac:dyDescent="0.25">
      <c r="B49" s="23" t="s">
        <v>76</v>
      </c>
      <c r="C49" s="50">
        <v>95</v>
      </c>
      <c r="D49" s="50">
        <v>10</v>
      </c>
      <c r="E49" s="50">
        <v>12</v>
      </c>
      <c r="F49" s="50">
        <v>32</v>
      </c>
      <c r="G49" s="50">
        <v>1</v>
      </c>
      <c r="H49" s="50">
        <v>0</v>
      </c>
      <c r="I49" s="50">
        <v>27</v>
      </c>
      <c r="J49" s="50">
        <v>7</v>
      </c>
      <c r="K49" s="50">
        <v>3</v>
      </c>
      <c r="L49" s="50">
        <v>7</v>
      </c>
      <c r="M49" s="50">
        <v>105</v>
      </c>
      <c r="N49" s="50">
        <v>0</v>
      </c>
      <c r="O49" s="15">
        <f t="shared" si="0"/>
        <v>194</v>
      </c>
      <c r="P49" s="15">
        <f t="shared" si="1"/>
        <v>299</v>
      </c>
      <c r="R49" s="8"/>
      <c r="T49"/>
    </row>
    <row r="50" spans="2:20" ht="23.1" customHeight="1" x14ac:dyDescent="0.25">
      <c r="B50" s="24" t="s">
        <v>77</v>
      </c>
      <c r="C50" s="50">
        <v>92</v>
      </c>
      <c r="D50" s="50">
        <v>10</v>
      </c>
      <c r="E50" s="50">
        <v>10</v>
      </c>
      <c r="F50" s="50">
        <v>30</v>
      </c>
      <c r="G50" s="50">
        <v>0</v>
      </c>
      <c r="H50" s="50">
        <v>0</v>
      </c>
      <c r="I50" s="50">
        <v>20</v>
      </c>
      <c r="J50" s="50">
        <v>7</v>
      </c>
      <c r="K50" s="50">
        <v>6</v>
      </c>
      <c r="L50" s="50">
        <v>8</v>
      </c>
      <c r="M50" s="50">
        <v>115</v>
      </c>
      <c r="N50" s="50">
        <v>0</v>
      </c>
      <c r="O50" s="15">
        <f t="shared" si="0"/>
        <v>183</v>
      </c>
      <c r="P50" s="15">
        <f t="shared" si="1"/>
        <v>298</v>
      </c>
      <c r="R50" s="8"/>
      <c r="T50"/>
    </row>
    <row r="51" spans="2:20" ht="23.1" customHeight="1" x14ac:dyDescent="0.25">
      <c r="B51" s="24" t="s">
        <v>78</v>
      </c>
      <c r="C51" s="50">
        <v>120</v>
      </c>
      <c r="D51" s="50">
        <v>22</v>
      </c>
      <c r="E51" s="50">
        <v>15</v>
      </c>
      <c r="F51" s="50">
        <v>33</v>
      </c>
      <c r="G51" s="50">
        <v>3</v>
      </c>
      <c r="H51" s="50">
        <v>1</v>
      </c>
      <c r="I51" s="50">
        <v>21</v>
      </c>
      <c r="J51" s="50">
        <v>5</v>
      </c>
      <c r="K51" s="50">
        <v>1</v>
      </c>
      <c r="L51" s="50">
        <v>7</v>
      </c>
      <c r="M51" s="50">
        <v>90</v>
      </c>
      <c r="N51" s="50">
        <v>0</v>
      </c>
      <c r="O51" s="15">
        <f t="shared" si="0"/>
        <v>228</v>
      </c>
      <c r="P51" s="15">
        <f t="shared" si="1"/>
        <v>318</v>
      </c>
      <c r="R51" s="8"/>
      <c r="T51"/>
    </row>
    <row r="52" spans="2:20" ht="23.1" customHeight="1" x14ac:dyDescent="0.25">
      <c r="B52" s="24" t="s">
        <v>79</v>
      </c>
      <c r="C52" s="50">
        <v>106</v>
      </c>
      <c r="D52" s="50">
        <v>9</v>
      </c>
      <c r="E52" s="50">
        <v>18</v>
      </c>
      <c r="F52" s="50">
        <v>39</v>
      </c>
      <c r="G52" s="50">
        <v>2</v>
      </c>
      <c r="H52" s="50">
        <v>0</v>
      </c>
      <c r="I52" s="50">
        <v>21</v>
      </c>
      <c r="J52" s="50">
        <v>10</v>
      </c>
      <c r="K52" s="50">
        <v>2</v>
      </c>
      <c r="L52" s="50">
        <v>7</v>
      </c>
      <c r="M52" s="50">
        <v>108</v>
      </c>
      <c r="N52" s="50">
        <v>0</v>
      </c>
      <c r="O52" s="15">
        <f t="shared" si="0"/>
        <v>214</v>
      </c>
      <c r="P52" s="15">
        <f t="shared" si="1"/>
        <v>322</v>
      </c>
      <c r="R52" s="8"/>
      <c r="T52"/>
    </row>
    <row r="53" spans="2:20" ht="23.1" customHeight="1" x14ac:dyDescent="0.25">
      <c r="B53" s="23" t="s">
        <v>80</v>
      </c>
      <c r="C53" s="50">
        <v>123</v>
      </c>
      <c r="D53" s="50">
        <v>5</v>
      </c>
      <c r="E53" s="50">
        <v>6</v>
      </c>
      <c r="F53" s="50">
        <v>33</v>
      </c>
      <c r="G53" s="50">
        <v>2</v>
      </c>
      <c r="H53" s="50">
        <v>1</v>
      </c>
      <c r="I53" s="50">
        <v>17</v>
      </c>
      <c r="J53" s="50">
        <v>7</v>
      </c>
      <c r="K53" s="50">
        <v>8</v>
      </c>
      <c r="L53" s="50">
        <v>1</v>
      </c>
      <c r="M53" s="50">
        <v>102</v>
      </c>
      <c r="N53" s="50">
        <v>0</v>
      </c>
      <c r="O53" s="15">
        <f t="shared" si="0"/>
        <v>203</v>
      </c>
      <c r="P53" s="15">
        <f t="shared" si="1"/>
        <v>305</v>
      </c>
      <c r="R53" s="8"/>
      <c r="T53"/>
    </row>
    <row r="54" spans="2:20" ht="23.1" customHeight="1" x14ac:dyDescent="0.25">
      <c r="B54" s="23" t="s">
        <v>81</v>
      </c>
      <c r="C54" s="50">
        <v>162</v>
      </c>
      <c r="D54" s="50">
        <v>13</v>
      </c>
      <c r="E54" s="50">
        <v>9</v>
      </c>
      <c r="F54" s="50">
        <v>41</v>
      </c>
      <c r="G54" s="50">
        <v>4</v>
      </c>
      <c r="H54" s="50">
        <v>1</v>
      </c>
      <c r="I54" s="50">
        <v>14</v>
      </c>
      <c r="J54" s="50">
        <v>10</v>
      </c>
      <c r="K54" s="50">
        <v>5</v>
      </c>
      <c r="L54" s="50">
        <v>4</v>
      </c>
      <c r="M54" s="50">
        <v>148</v>
      </c>
      <c r="N54" s="50">
        <v>0</v>
      </c>
      <c r="O54" s="15">
        <f t="shared" si="0"/>
        <v>263</v>
      </c>
      <c r="P54" s="15">
        <f t="shared" si="1"/>
        <v>411</v>
      </c>
      <c r="R54" s="8"/>
      <c r="T54"/>
    </row>
    <row r="55" spans="2:20" ht="23.1" customHeight="1" x14ac:dyDescent="0.25">
      <c r="B55" s="23" t="s">
        <v>82</v>
      </c>
      <c r="C55" s="50">
        <v>144</v>
      </c>
      <c r="D55" s="50">
        <v>13</v>
      </c>
      <c r="E55" s="50">
        <v>6</v>
      </c>
      <c r="F55" s="50">
        <v>45</v>
      </c>
      <c r="G55" s="50">
        <v>1</v>
      </c>
      <c r="H55" s="50">
        <v>0</v>
      </c>
      <c r="I55" s="50">
        <v>20</v>
      </c>
      <c r="J55" s="50">
        <v>11</v>
      </c>
      <c r="K55" s="50">
        <v>3</v>
      </c>
      <c r="L55" s="50">
        <v>8</v>
      </c>
      <c r="M55" s="50">
        <v>155</v>
      </c>
      <c r="N55" s="50">
        <v>0</v>
      </c>
      <c r="O55" s="15">
        <f t="shared" si="0"/>
        <v>251</v>
      </c>
      <c r="P55" s="15">
        <f t="shared" si="1"/>
        <v>406</v>
      </c>
      <c r="R55" s="8"/>
      <c r="T55"/>
    </row>
    <row r="56" spans="2:20" ht="23.1" customHeight="1" x14ac:dyDescent="0.25">
      <c r="B56" s="23" t="s">
        <v>83</v>
      </c>
      <c r="C56" s="50">
        <v>127</v>
      </c>
      <c r="D56" s="50">
        <v>5</v>
      </c>
      <c r="E56" s="50">
        <v>15</v>
      </c>
      <c r="F56" s="50">
        <v>31</v>
      </c>
      <c r="G56" s="50">
        <v>1</v>
      </c>
      <c r="H56" s="50">
        <v>0</v>
      </c>
      <c r="I56" s="50">
        <v>10</v>
      </c>
      <c r="J56" s="50">
        <v>7</v>
      </c>
      <c r="K56" s="50">
        <v>5</v>
      </c>
      <c r="L56" s="50">
        <v>3</v>
      </c>
      <c r="M56" s="50">
        <v>110</v>
      </c>
      <c r="N56" s="50">
        <v>0</v>
      </c>
      <c r="O56" s="15">
        <f t="shared" si="0"/>
        <v>204</v>
      </c>
      <c r="P56" s="15">
        <f t="shared" si="1"/>
        <v>314</v>
      </c>
      <c r="R56" s="8"/>
      <c r="T56"/>
    </row>
    <row r="57" spans="2:20" ht="23.1" customHeight="1" x14ac:dyDescent="0.25">
      <c r="B57" s="23" t="s">
        <v>84</v>
      </c>
      <c r="C57" s="50">
        <v>170</v>
      </c>
      <c r="D57" s="50">
        <v>11</v>
      </c>
      <c r="E57" s="50">
        <v>10</v>
      </c>
      <c r="F57" s="50">
        <v>47</v>
      </c>
      <c r="G57" s="50">
        <v>0</v>
      </c>
      <c r="H57" s="50">
        <v>0</v>
      </c>
      <c r="I57" s="50">
        <v>13</v>
      </c>
      <c r="J57" s="50">
        <v>4</v>
      </c>
      <c r="K57" s="50">
        <v>4</v>
      </c>
      <c r="L57" s="50">
        <v>10</v>
      </c>
      <c r="M57" s="50">
        <v>190</v>
      </c>
      <c r="N57" s="50">
        <v>0</v>
      </c>
      <c r="O57" s="15">
        <f t="shared" si="0"/>
        <v>269</v>
      </c>
      <c r="P57" s="15">
        <f t="shared" si="1"/>
        <v>459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3909</v>
      </c>
      <c r="D58" s="16">
        <f t="shared" si="21"/>
        <v>473</v>
      </c>
      <c r="E58" s="16">
        <f t="shared" si="21"/>
        <v>523</v>
      </c>
      <c r="F58" s="16">
        <f t="shared" si="21"/>
        <v>1668</v>
      </c>
      <c r="G58" s="16">
        <f t="shared" si="21"/>
        <v>122</v>
      </c>
      <c r="H58" s="16">
        <f t="shared" si="21"/>
        <v>25</v>
      </c>
      <c r="I58" s="16">
        <f t="shared" si="21"/>
        <v>806</v>
      </c>
      <c r="J58" s="16">
        <f t="shared" si="21"/>
        <v>311</v>
      </c>
      <c r="K58" s="16">
        <f t="shared" si="21"/>
        <v>166</v>
      </c>
      <c r="L58" s="16">
        <f t="shared" si="21"/>
        <v>246</v>
      </c>
      <c r="M58" s="16">
        <f t="shared" si="21"/>
        <v>5365</v>
      </c>
      <c r="N58" s="16">
        <f t="shared" si="21"/>
        <v>0</v>
      </c>
      <c r="O58" s="16">
        <f t="shared" si="21"/>
        <v>8249</v>
      </c>
      <c r="P58" s="16">
        <f t="shared" si="21"/>
        <v>13614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0.28713089466725428</v>
      </c>
      <c r="D59" s="43">
        <f t="shared" si="22"/>
        <v>3.4743646246510947E-2</v>
      </c>
      <c r="E59" s="43">
        <f t="shared" si="22"/>
        <v>3.8416336124577642E-2</v>
      </c>
      <c r="F59" s="43">
        <f t="shared" si="22"/>
        <v>0.12252093433230499</v>
      </c>
      <c r="G59" s="43">
        <f t="shared" si="22"/>
        <v>8.9613633024827385E-3</v>
      </c>
      <c r="H59" s="43">
        <f t="shared" si="22"/>
        <v>1.836344939033348E-3</v>
      </c>
      <c r="I59" s="43">
        <f t="shared" si="22"/>
        <v>5.920376083443514E-2</v>
      </c>
      <c r="J59" s="43">
        <f t="shared" si="22"/>
        <v>2.2844131041574848E-2</v>
      </c>
      <c r="K59" s="43">
        <f t="shared" si="22"/>
        <v>1.2193330395181431E-2</v>
      </c>
      <c r="L59" s="43">
        <f t="shared" si="22"/>
        <v>1.8069634200088145E-2</v>
      </c>
      <c r="M59" s="43">
        <f t="shared" si="22"/>
        <v>0.39407962391655649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0.47387562128742877</v>
      </c>
      <c r="D60" s="44">
        <f t="shared" ref="D60:N60" si="23">D58/$O$58</f>
        <v>5.734028367074797E-2</v>
      </c>
      <c r="E60" s="44">
        <f t="shared" si="23"/>
        <v>6.3401624439325982E-2</v>
      </c>
      <c r="F60" s="44">
        <f t="shared" si="23"/>
        <v>0.20220632803976241</v>
      </c>
      <c r="G60" s="44">
        <f t="shared" si="23"/>
        <v>1.4789671475330344E-2</v>
      </c>
      <c r="H60" s="44">
        <f t="shared" si="23"/>
        <v>3.0306703842890048E-3</v>
      </c>
      <c r="I60" s="44">
        <f t="shared" si="23"/>
        <v>9.7708813189477509E-2</v>
      </c>
      <c r="J60" s="44">
        <f t="shared" si="23"/>
        <v>3.7701539580555221E-2</v>
      </c>
      <c r="K60" s="44">
        <f t="shared" si="23"/>
        <v>2.0123651351678991E-2</v>
      </c>
      <c r="L60" s="44">
        <f t="shared" si="23"/>
        <v>2.9821796581403808E-2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9" zoomScale="73" zoomScaleSheetLayoutView="73" workbookViewId="0">
      <selection activeCell="O5" sqref="O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'22.07 Busega-Masanafu'!C3:G3</f>
        <v>MCC - C1 - STN13 - NORTHERN BYPASS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64" t="str">
        <f>'25.07 Masanafu-Busega'!G5:H5</f>
        <v>NORTHERN BYPASS</v>
      </c>
      <c r="H5" s="65"/>
      <c r="I5" s="14"/>
      <c r="J5" s="2" t="s">
        <v>5</v>
      </c>
      <c r="K5" s="64" t="str">
        <f>'25.07 Masanafu-Busega'!K5:L5</f>
        <v>SSEMUKO SAMUEL JUNIOR W/MUTEBI CHRISTOPHER/SSEMWOGERERE FREDRICK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'22.07 Busega-Masanafu'!D6:E6</f>
        <v>BUSEGA</v>
      </c>
      <c r="E6" s="65"/>
      <c r="F6" s="2" t="s">
        <v>2</v>
      </c>
      <c r="G6" s="64" t="str">
        <f>'22.07 Busega-Masanafu'!G6:H6</f>
        <v>MASANAFU</v>
      </c>
      <c r="H6" s="65"/>
      <c r="J6" s="2" t="s">
        <v>21</v>
      </c>
      <c r="K6" s="64" t="str">
        <f>'25.07 Masanafu-Busega'!K6:L6</f>
        <v>ANDY/ANDREW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101</v>
      </c>
      <c r="D10" s="50">
        <v>9</v>
      </c>
      <c r="E10" s="50">
        <v>7</v>
      </c>
      <c r="F10" s="50">
        <v>26</v>
      </c>
      <c r="G10" s="50">
        <v>4</v>
      </c>
      <c r="H10" s="50">
        <v>1</v>
      </c>
      <c r="I10" s="50">
        <v>9</v>
      </c>
      <c r="J10" s="50">
        <v>15</v>
      </c>
      <c r="K10" s="50">
        <v>16</v>
      </c>
      <c r="L10" s="50">
        <v>2</v>
      </c>
      <c r="M10" s="50">
        <v>145</v>
      </c>
      <c r="N10" s="50">
        <v>0</v>
      </c>
      <c r="O10" s="15">
        <f t="shared" ref="O10:O57" si="0">SUM(C10:L10,N10)</f>
        <v>190</v>
      </c>
      <c r="P10" s="15">
        <f t="shared" ref="P10:P57" si="1">SUM(C10:N10)</f>
        <v>335</v>
      </c>
      <c r="R10" s="1" t="s">
        <v>6</v>
      </c>
      <c r="S10" s="17">
        <f t="shared" ref="S10:AF10" si="2">SUM(C10:C13)</f>
        <v>339</v>
      </c>
      <c r="T10" s="17">
        <f t="shared" si="2"/>
        <v>45</v>
      </c>
      <c r="U10" s="17">
        <f t="shared" si="2"/>
        <v>31</v>
      </c>
      <c r="V10" s="17">
        <f t="shared" si="2"/>
        <v>80</v>
      </c>
      <c r="W10" s="17">
        <f t="shared" si="2"/>
        <v>11</v>
      </c>
      <c r="X10" s="17">
        <f t="shared" si="2"/>
        <v>7</v>
      </c>
      <c r="Y10" s="17">
        <f t="shared" si="2"/>
        <v>39</v>
      </c>
      <c r="Z10" s="17">
        <f t="shared" si="2"/>
        <v>41</v>
      </c>
      <c r="AA10" s="17">
        <f t="shared" si="2"/>
        <v>30</v>
      </c>
      <c r="AB10" s="17">
        <f t="shared" si="2"/>
        <v>17</v>
      </c>
      <c r="AC10" s="17">
        <f t="shared" si="2"/>
        <v>663</v>
      </c>
      <c r="AD10" s="17">
        <f t="shared" si="2"/>
        <v>0</v>
      </c>
      <c r="AE10" s="31">
        <f t="shared" si="2"/>
        <v>640</v>
      </c>
      <c r="AF10" s="31">
        <f t="shared" si="2"/>
        <v>1303</v>
      </c>
    </row>
    <row r="11" spans="2:32" s="6" customFormat="1" ht="23.1" customHeight="1" x14ac:dyDescent="0.25">
      <c r="B11" s="45" t="s">
        <v>38</v>
      </c>
      <c r="C11" s="50">
        <v>66</v>
      </c>
      <c r="D11" s="50">
        <v>10</v>
      </c>
      <c r="E11" s="50">
        <v>6</v>
      </c>
      <c r="F11" s="50">
        <v>18</v>
      </c>
      <c r="G11" s="50">
        <v>3</v>
      </c>
      <c r="H11" s="50">
        <v>4</v>
      </c>
      <c r="I11" s="50">
        <v>13</v>
      </c>
      <c r="J11" s="50">
        <v>12</v>
      </c>
      <c r="K11" s="50">
        <v>5</v>
      </c>
      <c r="L11" s="50">
        <v>6</v>
      </c>
      <c r="M11" s="50">
        <v>175</v>
      </c>
      <c r="N11" s="50">
        <v>0</v>
      </c>
      <c r="O11" s="15">
        <f t="shared" si="0"/>
        <v>143</v>
      </c>
      <c r="P11" s="15">
        <f t="shared" si="1"/>
        <v>318</v>
      </c>
      <c r="R11" s="1" t="s">
        <v>7</v>
      </c>
      <c r="S11" s="17">
        <f t="shared" ref="S11:AF11" si="3">SUM(C14:C17)</f>
        <v>237</v>
      </c>
      <c r="T11" s="17">
        <f t="shared" si="3"/>
        <v>37</v>
      </c>
      <c r="U11" s="17">
        <f t="shared" si="3"/>
        <v>28</v>
      </c>
      <c r="V11" s="17">
        <f t="shared" si="3"/>
        <v>92</v>
      </c>
      <c r="W11" s="17">
        <f t="shared" si="3"/>
        <v>7</v>
      </c>
      <c r="X11" s="17">
        <f t="shared" si="3"/>
        <v>2</v>
      </c>
      <c r="Y11" s="17">
        <f t="shared" si="3"/>
        <v>29</v>
      </c>
      <c r="Z11" s="17">
        <f t="shared" si="3"/>
        <v>42</v>
      </c>
      <c r="AA11" s="17">
        <f t="shared" si="3"/>
        <v>11</v>
      </c>
      <c r="AB11" s="17">
        <f t="shared" si="3"/>
        <v>16</v>
      </c>
      <c r="AC11" s="17">
        <f t="shared" si="3"/>
        <v>752</v>
      </c>
      <c r="AD11" s="17">
        <f t="shared" si="3"/>
        <v>0</v>
      </c>
      <c r="AE11" s="31">
        <f t="shared" si="3"/>
        <v>501</v>
      </c>
      <c r="AF11" s="31">
        <f t="shared" si="3"/>
        <v>1253</v>
      </c>
    </row>
    <row r="12" spans="2:32" ht="23.1" customHeight="1" x14ac:dyDescent="0.25">
      <c r="B12" s="45" t="s">
        <v>39</v>
      </c>
      <c r="C12" s="50">
        <v>80</v>
      </c>
      <c r="D12" s="50">
        <v>11</v>
      </c>
      <c r="E12" s="50">
        <v>8</v>
      </c>
      <c r="F12" s="50">
        <v>21</v>
      </c>
      <c r="G12" s="50">
        <v>3</v>
      </c>
      <c r="H12" s="50">
        <v>0</v>
      </c>
      <c r="I12" s="50">
        <v>9</v>
      </c>
      <c r="J12" s="50">
        <v>9</v>
      </c>
      <c r="K12" s="50">
        <v>5</v>
      </c>
      <c r="L12" s="50">
        <v>6</v>
      </c>
      <c r="M12" s="50">
        <v>176</v>
      </c>
      <c r="N12" s="50">
        <v>0</v>
      </c>
      <c r="O12" s="15">
        <f t="shared" si="0"/>
        <v>152</v>
      </c>
      <c r="P12" s="15">
        <f t="shared" si="1"/>
        <v>328</v>
      </c>
      <c r="R12" s="1" t="s">
        <v>8</v>
      </c>
      <c r="S12" s="17">
        <f t="shared" ref="S12:AF12" si="4">SUM(C18:C21)</f>
        <v>244</v>
      </c>
      <c r="T12" s="17">
        <f t="shared" si="4"/>
        <v>47</v>
      </c>
      <c r="U12" s="17">
        <f t="shared" si="4"/>
        <v>55</v>
      </c>
      <c r="V12" s="17">
        <f t="shared" si="4"/>
        <v>99</v>
      </c>
      <c r="W12" s="17">
        <f t="shared" si="4"/>
        <v>10</v>
      </c>
      <c r="X12" s="17">
        <f t="shared" si="4"/>
        <v>7</v>
      </c>
      <c r="Y12" s="17">
        <f t="shared" si="4"/>
        <v>34</v>
      </c>
      <c r="Z12" s="17">
        <f t="shared" si="4"/>
        <v>47</v>
      </c>
      <c r="AA12" s="17">
        <f t="shared" si="4"/>
        <v>14</v>
      </c>
      <c r="AB12" s="17">
        <f t="shared" si="4"/>
        <v>17</v>
      </c>
      <c r="AC12" s="17">
        <f t="shared" si="4"/>
        <v>662</v>
      </c>
      <c r="AD12" s="17">
        <f t="shared" si="4"/>
        <v>0</v>
      </c>
      <c r="AE12" s="31">
        <f t="shared" si="4"/>
        <v>574</v>
      </c>
      <c r="AF12" s="31">
        <f t="shared" si="4"/>
        <v>1236</v>
      </c>
    </row>
    <row r="13" spans="2:32" ht="23.1" customHeight="1" x14ac:dyDescent="0.25">
      <c r="B13" s="45" t="s">
        <v>40</v>
      </c>
      <c r="C13" s="50">
        <v>92</v>
      </c>
      <c r="D13" s="50">
        <v>15</v>
      </c>
      <c r="E13" s="50">
        <v>10</v>
      </c>
      <c r="F13" s="50">
        <v>15</v>
      </c>
      <c r="G13" s="50">
        <v>1</v>
      </c>
      <c r="H13" s="50">
        <v>2</v>
      </c>
      <c r="I13" s="50">
        <v>8</v>
      </c>
      <c r="J13" s="50">
        <v>5</v>
      </c>
      <c r="K13" s="50">
        <v>4</v>
      </c>
      <c r="L13" s="50">
        <v>3</v>
      </c>
      <c r="M13" s="50">
        <v>167</v>
      </c>
      <c r="N13" s="50">
        <v>0</v>
      </c>
      <c r="O13" s="15">
        <f t="shared" si="0"/>
        <v>155</v>
      </c>
      <c r="P13" s="15">
        <f t="shared" si="1"/>
        <v>322</v>
      </c>
      <c r="R13" s="1" t="s">
        <v>9</v>
      </c>
      <c r="S13" s="17">
        <f t="shared" ref="S13:AF13" si="5">SUM(C22:C25)</f>
        <v>268</v>
      </c>
      <c r="T13" s="17">
        <f t="shared" si="5"/>
        <v>49</v>
      </c>
      <c r="U13" s="17">
        <f t="shared" si="5"/>
        <v>30</v>
      </c>
      <c r="V13" s="17">
        <f t="shared" si="5"/>
        <v>106</v>
      </c>
      <c r="W13" s="17">
        <f t="shared" si="5"/>
        <v>6</v>
      </c>
      <c r="X13" s="17">
        <f t="shared" si="5"/>
        <v>4</v>
      </c>
      <c r="Y13" s="17">
        <f t="shared" si="5"/>
        <v>37</v>
      </c>
      <c r="Z13" s="17">
        <f t="shared" si="5"/>
        <v>38</v>
      </c>
      <c r="AA13" s="17">
        <f t="shared" si="5"/>
        <v>7</v>
      </c>
      <c r="AB13" s="17">
        <f t="shared" si="5"/>
        <v>14</v>
      </c>
      <c r="AC13" s="17">
        <f t="shared" si="5"/>
        <v>541</v>
      </c>
      <c r="AD13" s="17">
        <f t="shared" si="5"/>
        <v>0</v>
      </c>
      <c r="AE13" s="31">
        <f t="shared" si="5"/>
        <v>559</v>
      </c>
      <c r="AF13" s="31">
        <f t="shared" si="5"/>
        <v>1100</v>
      </c>
    </row>
    <row r="14" spans="2:32" ht="23.1" customHeight="1" x14ac:dyDescent="0.25">
      <c r="B14" s="45" t="s">
        <v>41</v>
      </c>
      <c r="C14" s="50">
        <v>57</v>
      </c>
      <c r="D14" s="50">
        <v>9</v>
      </c>
      <c r="E14" s="50">
        <v>2</v>
      </c>
      <c r="F14" s="50">
        <v>21</v>
      </c>
      <c r="G14" s="50">
        <v>0</v>
      </c>
      <c r="H14" s="50">
        <v>1</v>
      </c>
      <c r="I14" s="50">
        <v>5</v>
      </c>
      <c r="J14" s="50">
        <v>9</v>
      </c>
      <c r="K14" s="50">
        <v>3</v>
      </c>
      <c r="L14" s="50">
        <v>2</v>
      </c>
      <c r="M14" s="50">
        <v>218</v>
      </c>
      <c r="N14" s="50">
        <v>0</v>
      </c>
      <c r="O14" s="15">
        <f t="shared" si="0"/>
        <v>109</v>
      </c>
      <c r="P14" s="15">
        <f t="shared" si="1"/>
        <v>327</v>
      </c>
      <c r="R14" s="1" t="s">
        <v>10</v>
      </c>
      <c r="S14" s="17">
        <f t="shared" ref="S14:AF14" si="6">SUM(C26:C29)</f>
        <v>264</v>
      </c>
      <c r="T14" s="17">
        <f t="shared" si="6"/>
        <v>56</v>
      </c>
      <c r="U14" s="17">
        <f t="shared" si="6"/>
        <v>43</v>
      </c>
      <c r="V14" s="17">
        <f t="shared" si="6"/>
        <v>130</v>
      </c>
      <c r="W14" s="17">
        <f t="shared" si="6"/>
        <v>1</v>
      </c>
      <c r="X14" s="17">
        <f t="shared" si="6"/>
        <v>1</v>
      </c>
      <c r="Y14" s="17">
        <f t="shared" si="6"/>
        <v>48</v>
      </c>
      <c r="Z14" s="17">
        <f t="shared" si="6"/>
        <v>43</v>
      </c>
      <c r="AA14" s="17">
        <f t="shared" si="6"/>
        <v>12</v>
      </c>
      <c r="AB14" s="17">
        <f t="shared" si="6"/>
        <v>25</v>
      </c>
      <c r="AC14" s="17">
        <f t="shared" si="6"/>
        <v>350</v>
      </c>
      <c r="AD14" s="17">
        <f t="shared" si="6"/>
        <v>0</v>
      </c>
      <c r="AE14" s="31">
        <f t="shared" si="6"/>
        <v>623</v>
      </c>
      <c r="AF14" s="31">
        <f t="shared" si="6"/>
        <v>973</v>
      </c>
    </row>
    <row r="15" spans="2:32" ht="23.1" customHeight="1" x14ac:dyDescent="0.25">
      <c r="B15" s="45" t="s">
        <v>42</v>
      </c>
      <c r="C15" s="50">
        <v>36</v>
      </c>
      <c r="D15" s="50">
        <v>8</v>
      </c>
      <c r="E15" s="50">
        <v>5</v>
      </c>
      <c r="F15" s="50">
        <v>14</v>
      </c>
      <c r="G15" s="50">
        <v>3</v>
      </c>
      <c r="H15" s="50">
        <v>1</v>
      </c>
      <c r="I15" s="50">
        <v>4</v>
      </c>
      <c r="J15" s="50">
        <v>12</v>
      </c>
      <c r="K15" s="50">
        <v>1</v>
      </c>
      <c r="L15" s="50">
        <v>3</v>
      </c>
      <c r="M15" s="50">
        <v>154</v>
      </c>
      <c r="N15" s="50">
        <v>0</v>
      </c>
      <c r="O15" s="15">
        <f t="shared" si="0"/>
        <v>87</v>
      </c>
      <c r="P15" s="15">
        <f t="shared" si="1"/>
        <v>241</v>
      </c>
      <c r="R15" s="1" t="s">
        <v>11</v>
      </c>
      <c r="S15" s="17">
        <f t="shared" ref="S15:AF15" si="7">SUM(C30:C33)</f>
        <v>263</v>
      </c>
      <c r="T15" s="17">
        <f t="shared" si="7"/>
        <v>56</v>
      </c>
      <c r="U15" s="17">
        <f t="shared" si="7"/>
        <v>23</v>
      </c>
      <c r="V15" s="17">
        <f t="shared" si="7"/>
        <v>119</v>
      </c>
      <c r="W15" s="17">
        <f t="shared" si="7"/>
        <v>6</v>
      </c>
      <c r="X15" s="17">
        <f t="shared" si="7"/>
        <v>4</v>
      </c>
      <c r="Y15" s="17">
        <f t="shared" si="7"/>
        <v>52</v>
      </c>
      <c r="Z15" s="17">
        <f t="shared" si="7"/>
        <v>46</v>
      </c>
      <c r="AA15" s="17">
        <f t="shared" si="7"/>
        <v>13</v>
      </c>
      <c r="AB15" s="17">
        <f t="shared" si="7"/>
        <v>32</v>
      </c>
      <c r="AC15" s="17">
        <f t="shared" si="7"/>
        <v>539</v>
      </c>
      <c r="AD15" s="17">
        <f t="shared" si="7"/>
        <v>0</v>
      </c>
      <c r="AE15" s="31">
        <f t="shared" si="7"/>
        <v>614</v>
      </c>
      <c r="AF15" s="31">
        <f t="shared" si="7"/>
        <v>1153</v>
      </c>
    </row>
    <row r="16" spans="2:32" ht="23.1" customHeight="1" x14ac:dyDescent="0.25">
      <c r="B16" s="45" t="s">
        <v>43</v>
      </c>
      <c r="C16" s="50">
        <v>95</v>
      </c>
      <c r="D16" s="50">
        <v>10</v>
      </c>
      <c r="E16" s="50">
        <v>11</v>
      </c>
      <c r="F16" s="50">
        <v>36</v>
      </c>
      <c r="G16" s="50">
        <v>2</v>
      </c>
      <c r="H16" s="50">
        <v>0</v>
      </c>
      <c r="I16" s="50">
        <v>8</v>
      </c>
      <c r="J16" s="50">
        <v>10</v>
      </c>
      <c r="K16" s="50">
        <v>3</v>
      </c>
      <c r="L16" s="50">
        <v>4</v>
      </c>
      <c r="M16" s="50">
        <v>210</v>
      </c>
      <c r="N16" s="50">
        <v>0</v>
      </c>
      <c r="O16" s="15">
        <f t="shared" si="0"/>
        <v>179</v>
      </c>
      <c r="P16" s="15">
        <f t="shared" si="1"/>
        <v>389</v>
      </c>
      <c r="R16" s="1" t="s">
        <v>12</v>
      </c>
      <c r="S16" s="17">
        <f t="shared" ref="S16:AF16" si="8">SUM(C34:C37)</f>
        <v>250</v>
      </c>
      <c r="T16" s="17">
        <f t="shared" si="8"/>
        <v>58</v>
      </c>
      <c r="U16" s="17">
        <f t="shared" si="8"/>
        <v>120</v>
      </c>
      <c r="V16" s="17">
        <f t="shared" si="8"/>
        <v>33</v>
      </c>
      <c r="W16" s="17">
        <f t="shared" si="8"/>
        <v>2</v>
      </c>
      <c r="X16" s="17">
        <f t="shared" si="8"/>
        <v>0</v>
      </c>
      <c r="Y16" s="17">
        <f t="shared" si="8"/>
        <v>43</v>
      </c>
      <c r="Z16" s="17">
        <f t="shared" si="8"/>
        <v>48</v>
      </c>
      <c r="AA16" s="17">
        <f t="shared" si="8"/>
        <v>20</v>
      </c>
      <c r="AB16" s="17">
        <f t="shared" si="8"/>
        <v>23</v>
      </c>
      <c r="AC16" s="17">
        <f t="shared" si="8"/>
        <v>580</v>
      </c>
      <c r="AD16" s="17">
        <f t="shared" si="8"/>
        <v>0</v>
      </c>
      <c r="AE16" s="31">
        <f t="shared" si="8"/>
        <v>597</v>
      </c>
      <c r="AF16" s="31">
        <f t="shared" si="8"/>
        <v>1177</v>
      </c>
    </row>
    <row r="17" spans="2:32" ht="23.1" customHeight="1" x14ac:dyDescent="0.25">
      <c r="B17" s="45" t="s">
        <v>44</v>
      </c>
      <c r="C17" s="50">
        <v>49</v>
      </c>
      <c r="D17" s="50">
        <v>10</v>
      </c>
      <c r="E17" s="50">
        <v>10</v>
      </c>
      <c r="F17" s="50">
        <v>21</v>
      </c>
      <c r="G17" s="50">
        <v>2</v>
      </c>
      <c r="H17" s="50">
        <v>0</v>
      </c>
      <c r="I17" s="50">
        <v>12</v>
      </c>
      <c r="J17" s="50">
        <v>11</v>
      </c>
      <c r="K17" s="50">
        <v>4</v>
      </c>
      <c r="L17" s="50">
        <v>7</v>
      </c>
      <c r="M17" s="50">
        <v>170</v>
      </c>
      <c r="N17" s="50">
        <v>0</v>
      </c>
      <c r="O17" s="15">
        <f t="shared" si="0"/>
        <v>126</v>
      </c>
      <c r="P17" s="15">
        <f t="shared" si="1"/>
        <v>296</v>
      </c>
      <c r="R17" s="1" t="s">
        <v>13</v>
      </c>
      <c r="S17" s="17">
        <f t="shared" ref="S17:AF17" si="9">SUM(C38:C41)</f>
        <v>193</v>
      </c>
      <c r="T17" s="17">
        <f t="shared" si="9"/>
        <v>63</v>
      </c>
      <c r="U17" s="17">
        <f t="shared" si="9"/>
        <v>45</v>
      </c>
      <c r="V17" s="17">
        <f t="shared" si="9"/>
        <v>104</v>
      </c>
      <c r="W17" s="17">
        <f t="shared" si="9"/>
        <v>2</v>
      </c>
      <c r="X17" s="17">
        <f t="shared" si="9"/>
        <v>1</v>
      </c>
      <c r="Y17" s="17">
        <f t="shared" si="9"/>
        <v>61</v>
      </c>
      <c r="Z17" s="17">
        <f t="shared" si="9"/>
        <v>33</v>
      </c>
      <c r="AA17" s="17">
        <f t="shared" si="9"/>
        <v>16</v>
      </c>
      <c r="AB17" s="17">
        <f t="shared" si="9"/>
        <v>29</v>
      </c>
      <c r="AC17" s="17">
        <f t="shared" si="9"/>
        <v>419</v>
      </c>
      <c r="AD17" s="17">
        <f t="shared" si="9"/>
        <v>0</v>
      </c>
      <c r="AE17" s="31">
        <f t="shared" si="9"/>
        <v>547</v>
      </c>
      <c r="AF17" s="31">
        <f t="shared" si="9"/>
        <v>966</v>
      </c>
    </row>
    <row r="18" spans="2:32" ht="23.1" customHeight="1" x14ac:dyDescent="0.25">
      <c r="B18" s="45" t="s">
        <v>45</v>
      </c>
      <c r="C18" s="50">
        <v>49</v>
      </c>
      <c r="D18" s="50">
        <v>17</v>
      </c>
      <c r="E18" s="50">
        <v>13</v>
      </c>
      <c r="F18" s="50">
        <v>18</v>
      </c>
      <c r="G18" s="50">
        <v>4</v>
      </c>
      <c r="H18" s="50">
        <v>0</v>
      </c>
      <c r="I18" s="50">
        <v>9</v>
      </c>
      <c r="J18" s="50">
        <v>17</v>
      </c>
      <c r="K18" s="50">
        <v>2</v>
      </c>
      <c r="L18" s="50">
        <v>7</v>
      </c>
      <c r="M18" s="50">
        <v>160</v>
      </c>
      <c r="N18" s="50">
        <v>0</v>
      </c>
      <c r="O18" s="15">
        <f t="shared" si="0"/>
        <v>136</v>
      </c>
      <c r="P18" s="15">
        <f t="shared" si="1"/>
        <v>296</v>
      </c>
      <c r="R18" s="1" t="s">
        <v>14</v>
      </c>
      <c r="S18" s="17">
        <f t="shared" ref="S18:AF18" si="10">SUM(C42:C45)</f>
        <v>235</v>
      </c>
      <c r="T18" s="17">
        <f t="shared" si="10"/>
        <v>86</v>
      </c>
      <c r="U18" s="17">
        <f t="shared" si="10"/>
        <v>48</v>
      </c>
      <c r="V18" s="17">
        <f t="shared" si="10"/>
        <v>101</v>
      </c>
      <c r="W18" s="17">
        <f t="shared" si="10"/>
        <v>4</v>
      </c>
      <c r="X18" s="17">
        <f t="shared" si="10"/>
        <v>1</v>
      </c>
      <c r="Y18" s="17">
        <f t="shared" si="10"/>
        <v>54</v>
      </c>
      <c r="Z18" s="17">
        <f t="shared" si="10"/>
        <v>66</v>
      </c>
      <c r="AA18" s="17">
        <f t="shared" si="10"/>
        <v>12</v>
      </c>
      <c r="AB18" s="17">
        <f t="shared" si="10"/>
        <v>24</v>
      </c>
      <c r="AC18" s="17">
        <f t="shared" si="10"/>
        <v>438</v>
      </c>
      <c r="AD18" s="17">
        <f t="shared" si="10"/>
        <v>0</v>
      </c>
      <c r="AE18" s="31">
        <f t="shared" si="10"/>
        <v>631</v>
      </c>
      <c r="AF18" s="31">
        <f t="shared" si="10"/>
        <v>1069</v>
      </c>
    </row>
    <row r="19" spans="2:32" ht="23.1" customHeight="1" x14ac:dyDescent="0.25">
      <c r="B19" s="45" t="s">
        <v>46</v>
      </c>
      <c r="C19" s="50">
        <v>69</v>
      </c>
      <c r="D19" s="50">
        <v>8</v>
      </c>
      <c r="E19" s="50">
        <v>9</v>
      </c>
      <c r="F19" s="50">
        <v>26</v>
      </c>
      <c r="G19" s="50">
        <v>1</v>
      </c>
      <c r="H19" s="50">
        <v>2</v>
      </c>
      <c r="I19" s="50">
        <v>4</v>
      </c>
      <c r="J19" s="50">
        <v>13</v>
      </c>
      <c r="K19" s="50">
        <v>5</v>
      </c>
      <c r="L19" s="50">
        <v>2</v>
      </c>
      <c r="M19" s="50">
        <v>189</v>
      </c>
      <c r="N19" s="50">
        <v>0</v>
      </c>
      <c r="O19" s="15">
        <f t="shared" si="0"/>
        <v>139</v>
      </c>
      <c r="P19" s="15">
        <f t="shared" si="1"/>
        <v>328</v>
      </c>
      <c r="R19" s="1" t="s">
        <v>15</v>
      </c>
      <c r="S19" s="17">
        <f t="shared" ref="S19:AF19" si="11">SUM(C46:C49)</f>
        <v>268</v>
      </c>
      <c r="T19" s="17">
        <f t="shared" si="11"/>
        <v>62</v>
      </c>
      <c r="U19" s="17">
        <f t="shared" si="11"/>
        <v>53</v>
      </c>
      <c r="V19" s="17">
        <f t="shared" si="11"/>
        <v>80</v>
      </c>
      <c r="W19" s="17">
        <f t="shared" si="11"/>
        <v>13</v>
      </c>
      <c r="X19" s="17">
        <f t="shared" si="11"/>
        <v>1</v>
      </c>
      <c r="Y19" s="17">
        <f t="shared" si="11"/>
        <v>36</v>
      </c>
      <c r="Z19" s="17">
        <f t="shared" si="11"/>
        <v>36</v>
      </c>
      <c r="AA19" s="17">
        <f t="shared" si="11"/>
        <v>11</v>
      </c>
      <c r="AB19" s="17">
        <f t="shared" si="11"/>
        <v>26</v>
      </c>
      <c r="AC19" s="17">
        <f t="shared" si="11"/>
        <v>359</v>
      </c>
      <c r="AD19" s="17">
        <f t="shared" si="11"/>
        <v>0</v>
      </c>
      <c r="AE19" s="31">
        <f t="shared" si="11"/>
        <v>586</v>
      </c>
      <c r="AF19" s="31">
        <f t="shared" si="11"/>
        <v>945</v>
      </c>
    </row>
    <row r="20" spans="2:32" ht="23.1" customHeight="1" x14ac:dyDescent="0.25">
      <c r="B20" s="45" t="s">
        <v>47</v>
      </c>
      <c r="C20" s="50">
        <v>60</v>
      </c>
      <c r="D20" s="50">
        <v>10</v>
      </c>
      <c r="E20" s="50">
        <v>15</v>
      </c>
      <c r="F20" s="50">
        <v>21</v>
      </c>
      <c r="G20" s="50">
        <v>0</v>
      </c>
      <c r="H20" s="50">
        <v>4</v>
      </c>
      <c r="I20" s="50">
        <v>13</v>
      </c>
      <c r="J20" s="50">
        <v>8</v>
      </c>
      <c r="K20" s="50">
        <v>2</v>
      </c>
      <c r="L20" s="50">
        <v>3</v>
      </c>
      <c r="M20" s="50">
        <v>150</v>
      </c>
      <c r="N20" s="50">
        <v>0</v>
      </c>
      <c r="O20" s="15">
        <f t="shared" si="0"/>
        <v>136</v>
      </c>
      <c r="P20" s="15">
        <f t="shared" si="1"/>
        <v>286</v>
      </c>
      <c r="R20" s="1" t="s">
        <v>16</v>
      </c>
      <c r="S20" s="17">
        <f t="shared" ref="S20:AF20" si="12">SUM(C50:C53)</f>
        <v>357</v>
      </c>
      <c r="T20" s="17">
        <f t="shared" si="12"/>
        <v>60</v>
      </c>
      <c r="U20" s="17">
        <f t="shared" si="12"/>
        <v>58</v>
      </c>
      <c r="V20" s="17">
        <f t="shared" si="12"/>
        <v>152</v>
      </c>
      <c r="W20" s="17">
        <f t="shared" si="12"/>
        <v>20</v>
      </c>
      <c r="X20" s="17">
        <f t="shared" si="12"/>
        <v>1</v>
      </c>
      <c r="Y20" s="17">
        <f t="shared" si="12"/>
        <v>47</v>
      </c>
      <c r="Z20" s="17">
        <f t="shared" si="12"/>
        <v>54</v>
      </c>
      <c r="AA20" s="17">
        <f t="shared" si="12"/>
        <v>12</v>
      </c>
      <c r="AB20" s="17">
        <f t="shared" si="12"/>
        <v>19</v>
      </c>
      <c r="AC20" s="17">
        <f t="shared" si="12"/>
        <v>407</v>
      </c>
      <c r="AD20" s="17">
        <f t="shared" si="12"/>
        <v>0</v>
      </c>
      <c r="AE20" s="31">
        <f t="shared" si="12"/>
        <v>780</v>
      </c>
      <c r="AF20" s="31">
        <f t="shared" si="12"/>
        <v>1187</v>
      </c>
    </row>
    <row r="21" spans="2:32" ht="23.1" customHeight="1" x14ac:dyDescent="0.25">
      <c r="B21" s="45" t="s">
        <v>48</v>
      </c>
      <c r="C21" s="50">
        <v>66</v>
      </c>
      <c r="D21" s="50">
        <v>12</v>
      </c>
      <c r="E21" s="50">
        <v>18</v>
      </c>
      <c r="F21" s="50">
        <v>34</v>
      </c>
      <c r="G21" s="50">
        <v>5</v>
      </c>
      <c r="H21" s="50">
        <v>1</v>
      </c>
      <c r="I21" s="50">
        <v>8</v>
      </c>
      <c r="J21" s="50">
        <v>9</v>
      </c>
      <c r="K21" s="50">
        <v>5</v>
      </c>
      <c r="L21" s="50">
        <v>5</v>
      </c>
      <c r="M21" s="50">
        <v>163</v>
      </c>
      <c r="N21" s="50">
        <v>0</v>
      </c>
      <c r="O21" s="15">
        <f t="shared" si="0"/>
        <v>163</v>
      </c>
      <c r="P21" s="15">
        <f t="shared" si="1"/>
        <v>326</v>
      </c>
      <c r="R21" s="36" t="s">
        <v>20</v>
      </c>
      <c r="S21" s="34">
        <f t="shared" ref="S21:AF21" si="13">SUM(C54:C57)</f>
        <v>320</v>
      </c>
      <c r="T21" s="17">
        <f t="shared" si="13"/>
        <v>61</v>
      </c>
      <c r="U21" s="17">
        <f t="shared" si="13"/>
        <v>44</v>
      </c>
      <c r="V21" s="17">
        <f t="shared" si="13"/>
        <v>176</v>
      </c>
      <c r="W21" s="17">
        <f t="shared" si="13"/>
        <v>36</v>
      </c>
      <c r="X21" s="17">
        <f t="shared" si="13"/>
        <v>6</v>
      </c>
      <c r="Y21" s="17">
        <f t="shared" si="13"/>
        <v>38</v>
      </c>
      <c r="Z21" s="17">
        <f t="shared" si="13"/>
        <v>60</v>
      </c>
      <c r="AA21" s="17">
        <f t="shared" si="13"/>
        <v>16</v>
      </c>
      <c r="AB21" s="17">
        <f t="shared" si="13"/>
        <v>17</v>
      </c>
      <c r="AC21" s="17">
        <f t="shared" si="13"/>
        <v>547</v>
      </c>
      <c r="AD21" s="17">
        <f t="shared" si="13"/>
        <v>0</v>
      </c>
      <c r="AE21" s="31">
        <f t="shared" si="13"/>
        <v>774</v>
      </c>
      <c r="AF21" s="31">
        <f t="shared" si="13"/>
        <v>1321</v>
      </c>
    </row>
    <row r="22" spans="2:32" ht="23.1" customHeight="1" x14ac:dyDescent="0.25">
      <c r="B22" s="45" t="s">
        <v>49</v>
      </c>
      <c r="C22" s="50">
        <v>63</v>
      </c>
      <c r="D22" s="50">
        <v>18</v>
      </c>
      <c r="E22" s="50">
        <v>4</v>
      </c>
      <c r="F22" s="50">
        <v>21</v>
      </c>
      <c r="G22" s="50">
        <v>2</v>
      </c>
      <c r="H22" s="50">
        <v>2</v>
      </c>
      <c r="I22" s="50">
        <v>9</v>
      </c>
      <c r="J22" s="50">
        <v>7</v>
      </c>
      <c r="K22" s="50">
        <v>2</v>
      </c>
      <c r="L22" s="50">
        <v>1</v>
      </c>
      <c r="M22" s="50">
        <v>142</v>
      </c>
      <c r="N22" s="50">
        <v>0</v>
      </c>
      <c r="O22" s="15">
        <f t="shared" si="0"/>
        <v>129</v>
      </c>
      <c r="P22" s="15">
        <f t="shared" si="1"/>
        <v>271</v>
      </c>
      <c r="R22" s="36" t="s">
        <v>146</v>
      </c>
      <c r="S22" s="34">
        <f>SUM(C58:C61)</f>
        <v>253</v>
      </c>
      <c r="T22" s="34">
        <f t="shared" ref="T22:AF22" si="14">SUM(D58:D61)</f>
        <v>39</v>
      </c>
      <c r="U22" s="34">
        <f t="shared" si="14"/>
        <v>46</v>
      </c>
      <c r="V22" s="34">
        <f t="shared" si="14"/>
        <v>114</v>
      </c>
      <c r="W22" s="34">
        <f t="shared" si="14"/>
        <v>28</v>
      </c>
      <c r="X22" s="34">
        <f t="shared" si="14"/>
        <v>8</v>
      </c>
      <c r="Y22" s="34">
        <f t="shared" si="14"/>
        <v>33</v>
      </c>
      <c r="Z22" s="34">
        <f t="shared" si="14"/>
        <v>32</v>
      </c>
      <c r="AA22" s="34">
        <f t="shared" si="14"/>
        <v>13</v>
      </c>
      <c r="AB22" s="34">
        <f t="shared" si="14"/>
        <v>0</v>
      </c>
      <c r="AC22" s="34">
        <f t="shared" si="14"/>
        <v>355</v>
      </c>
      <c r="AD22" s="34">
        <f t="shared" si="14"/>
        <v>0</v>
      </c>
      <c r="AE22" s="31">
        <f t="shared" si="14"/>
        <v>566</v>
      </c>
      <c r="AF22" s="31">
        <f t="shared" si="14"/>
        <v>921</v>
      </c>
    </row>
    <row r="23" spans="2:32" ht="23.1" customHeight="1" x14ac:dyDescent="0.25">
      <c r="B23" s="45" t="s">
        <v>50</v>
      </c>
      <c r="C23" s="50">
        <v>77</v>
      </c>
      <c r="D23" s="50">
        <v>4</v>
      </c>
      <c r="E23" s="50">
        <v>8</v>
      </c>
      <c r="F23" s="50">
        <v>29</v>
      </c>
      <c r="G23" s="50">
        <v>1</v>
      </c>
      <c r="H23" s="50">
        <v>0</v>
      </c>
      <c r="I23" s="50">
        <v>8</v>
      </c>
      <c r="J23" s="50">
        <v>11</v>
      </c>
      <c r="K23" s="50">
        <v>2</v>
      </c>
      <c r="L23" s="50">
        <v>3</v>
      </c>
      <c r="M23" s="50">
        <v>139</v>
      </c>
      <c r="N23" s="50">
        <v>0</v>
      </c>
      <c r="O23" s="15">
        <f t="shared" si="0"/>
        <v>143</v>
      </c>
      <c r="P23" s="15">
        <f t="shared" si="1"/>
        <v>282</v>
      </c>
      <c r="R23" s="36" t="s">
        <v>147</v>
      </c>
      <c r="S23" s="34">
        <f>SUM(C62:C65)</f>
        <v>205</v>
      </c>
      <c r="T23" s="34">
        <f t="shared" ref="T23:AF23" si="15">SUM(D62:D65)</f>
        <v>39</v>
      </c>
      <c r="U23" s="34">
        <f t="shared" si="15"/>
        <v>47</v>
      </c>
      <c r="V23" s="34">
        <f t="shared" si="15"/>
        <v>124</v>
      </c>
      <c r="W23" s="34">
        <f t="shared" si="15"/>
        <v>17</v>
      </c>
      <c r="X23" s="34">
        <f t="shared" si="15"/>
        <v>5</v>
      </c>
      <c r="Y23" s="34">
        <f t="shared" si="15"/>
        <v>26</v>
      </c>
      <c r="Z23" s="34">
        <f t="shared" si="15"/>
        <v>53</v>
      </c>
      <c r="AA23" s="34">
        <f t="shared" si="15"/>
        <v>25</v>
      </c>
      <c r="AB23" s="34">
        <f t="shared" si="15"/>
        <v>12</v>
      </c>
      <c r="AC23" s="34">
        <f t="shared" si="15"/>
        <v>276</v>
      </c>
      <c r="AD23" s="34">
        <f t="shared" si="15"/>
        <v>0</v>
      </c>
      <c r="AE23" s="31">
        <f t="shared" si="15"/>
        <v>553</v>
      </c>
      <c r="AF23" s="31">
        <f t="shared" si="15"/>
        <v>829</v>
      </c>
    </row>
    <row r="24" spans="2:32" ht="23.1" customHeight="1" x14ac:dyDescent="0.25">
      <c r="B24" s="45" t="s">
        <v>51</v>
      </c>
      <c r="C24" s="50">
        <v>72</v>
      </c>
      <c r="D24" s="50">
        <v>19</v>
      </c>
      <c r="E24" s="50">
        <v>8</v>
      </c>
      <c r="F24" s="50">
        <v>28</v>
      </c>
      <c r="G24" s="50">
        <v>0</v>
      </c>
      <c r="H24" s="50">
        <v>1</v>
      </c>
      <c r="I24" s="50">
        <v>6</v>
      </c>
      <c r="J24" s="50">
        <v>7</v>
      </c>
      <c r="K24" s="50">
        <v>2</v>
      </c>
      <c r="L24" s="50">
        <v>4</v>
      </c>
      <c r="M24" s="50">
        <v>134</v>
      </c>
      <c r="N24" s="50">
        <v>0</v>
      </c>
      <c r="O24" s="15">
        <f t="shared" si="0"/>
        <v>147</v>
      </c>
      <c r="P24" s="15">
        <f t="shared" si="1"/>
        <v>281</v>
      </c>
      <c r="R24" s="36" t="s">
        <v>148</v>
      </c>
      <c r="S24" s="34">
        <f>SUM(C66:C69)</f>
        <v>244</v>
      </c>
      <c r="T24" s="34">
        <f t="shared" ref="T24:AF24" si="16">SUM(D66:D69)</f>
        <v>25</v>
      </c>
      <c r="U24" s="34">
        <f t="shared" si="16"/>
        <v>40</v>
      </c>
      <c r="V24" s="34">
        <f t="shared" si="16"/>
        <v>121</v>
      </c>
      <c r="W24" s="34">
        <f t="shared" si="16"/>
        <v>10</v>
      </c>
      <c r="X24" s="34">
        <f t="shared" si="16"/>
        <v>0</v>
      </c>
      <c r="Y24" s="34">
        <f t="shared" si="16"/>
        <v>12</v>
      </c>
      <c r="Z24" s="34">
        <f t="shared" si="16"/>
        <v>38</v>
      </c>
      <c r="AA24" s="34">
        <f t="shared" si="16"/>
        <v>12</v>
      </c>
      <c r="AB24" s="34">
        <f t="shared" si="16"/>
        <v>14</v>
      </c>
      <c r="AC24" s="34">
        <f t="shared" si="16"/>
        <v>327</v>
      </c>
      <c r="AD24" s="34">
        <f t="shared" si="16"/>
        <v>0</v>
      </c>
      <c r="AE24" s="31">
        <f t="shared" si="16"/>
        <v>516</v>
      </c>
      <c r="AF24" s="31">
        <f t="shared" si="16"/>
        <v>843</v>
      </c>
    </row>
    <row r="25" spans="2:32" ht="23.1" customHeight="1" x14ac:dyDescent="0.25">
      <c r="B25" s="45" t="s">
        <v>52</v>
      </c>
      <c r="C25" s="50">
        <v>56</v>
      </c>
      <c r="D25" s="50">
        <v>8</v>
      </c>
      <c r="E25" s="50">
        <v>10</v>
      </c>
      <c r="F25" s="50">
        <v>28</v>
      </c>
      <c r="G25" s="50">
        <v>3</v>
      </c>
      <c r="H25" s="50">
        <v>1</v>
      </c>
      <c r="I25" s="50">
        <v>14</v>
      </c>
      <c r="J25" s="50">
        <v>13</v>
      </c>
      <c r="K25" s="50">
        <v>1</v>
      </c>
      <c r="L25" s="50">
        <v>6</v>
      </c>
      <c r="M25" s="50">
        <v>126</v>
      </c>
      <c r="N25" s="50">
        <v>0</v>
      </c>
      <c r="O25" s="15">
        <f t="shared" si="0"/>
        <v>140</v>
      </c>
      <c r="P25" s="15">
        <f t="shared" si="1"/>
        <v>266</v>
      </c>
      <c r="R25" s="36" t="s">
        <v>149</v>
      </c>
      <c r="S25" s="34">
        <f>SUM(C70:C73)</f>
        <v>197</v>
      </c>
      <c r="T25" s="34">
        <f t="shared" ref="T25:AF25" si="17">SUM(D70:D73)</f>
        <v>8</v>
      </c>
      <c r="U25" s="34">
        <f t="shared" si="17"/>
        <v>42</v>
      </c>
      <c r="V25" s="34">
        <f t="shared" si="17"/>
        <v>80</v>
      </c>
      <c r="W25" s="34">
        <f t="shared" si="17"/>
        <v>0</v>
      </c>
      <c r="X25" s="34">
        <f t="shared" si="17"/>
        <v>3</v>
      </c>
      <c r="Y25" s="34">
        <f t="shared" si="17"/>
        <v>15</v>
      </c>
      <c r="Z25" s="34">
        <f t="shared" si="17"/>
        <v>25</v>
      </c>
      <c r="AA25" s="34">
        <f t="shared" si="17"/>
        <v>14</v>
      </c>
      <c r="AB25" s="34">
        <f t="shared" si="17"/>
        <v>19</v>
      </c>
      <c r="AC25" s="34">
        <f t="shared" si="17"/>
        <v>269</v>
      </c>
      <c r="AD25" s="34">
        <f t="shared" si="17"/>
        <v>0</v>
      </c>
      <c r="AE25" s="31">
        <f t="shared" si="17"/>
        <v>403</v>
      </c>
      <c r="AF25" s="31">
        <f t="shared" si="17"/>
        <v>672</v>
      </c>
    </row>
    <row r="26" spans="2:32" ht="23.1" customHeight="1" x14ac:dyDescent="0.25">
      <c r="B26" s="45" t="s">
        <v>53</v>
      </c>
      <c r="C26" s="50">
        <v>80</v>
      </c>
      <c r="D26" s="50">
        <v>17</v>
      </c>
      <c r="E26" s="50">
        <v>11</v>
      </c>
      <c r="F26" s="50">
        <v>40</v>
      </c>
      <c r="G26" s="50">
        <v>0</v>
      </c>
      <c r="H26" s="50">
        <v>1</v>
      </c>
      <c r="I26" s="50">
        <v>11</v>
      </c>
      <c r="J26" s="50">
        <v>16</v>
      </c>
      <c r="K26" s="50">
        <v>3</v>
      </c>
      <c r="L26" s="50">
        <v>5</v>
      </c>
      <c r="M26" s="50">
        <v>13</v>
      </c>
      <c r="N26" s="50">
        <v>0</v>
      </c>
      <c r="O26" s="15">
        <f t="shared" si="0"/>
        <v>184</v>
      </c>
      <c r="P26" s="15">
        <f t="shared" si="1"/>
        <v>197</v>
      </c>
      <c r="R26" s="36" t="s">
        <v>150</v>
      </c>
      <c r="S26" s="34">
        <f>SUM(C74:C77)</f>
        <v>115</v>
      </c>
      <c r="T26" s="34">
        <f t="shared" ref="T26:AF26" si="18">SUM(D74:D77)</f>
        <v>10</v>
      </c>
      <c r="U26" s="34">
        <f t="shared" si="18"/>
        <v>24</v>
      </c>
      <c r="V26" s="34">
        <f t="shared" si="18"/>
        <v>35</v>
      </c>
      <c r="W26" s="34">
        <f t="shared" si="18"/>
        <v>5</v>
      </c>
      <c r="X26" s="34">
        <f t="shared" si="18"/>
        <v>1</v>
      </c>
      <c r="Y26" s="34">
        <f t="shared" si="18"/>
        <v>22</v>
      </c>
      <c r="Z26" s="34">
        <f t="shared" si="18"/>
        <v>16</v>
      </c>
      <c r="AA26" s="34">
        <f t="shared" si="18"/>
        <v>20</v>
      </c>
      <c r="AB26" s="34">
        <f t="shared" si="18"/>
        <v>9</v>
      </c>
      <c r="AC26" s="34">
        <f t="shared" si="18"/>
        <v>213</v>
      </c>
      <c r="AD26" s="34">
        <f t="shared" si="18"/>
        <v>0</v>
      </c>
      <c r="AE26" s="31">
        <f t="shared" si="18"/>
        <v>257</v>
      </c>
      <c r="AF26" s="31">
        <f t="shared" si="18"/>
        <v>470</v>
      </c>
    </row>
    <row r="27" spans="2:32" ht="23.1" customHeight="1" x14ac:dyDescent="0.25">
      <c r="B27" s="45" t="s">
        <v>54</v>
      </c>
      <c r="C27" s="50">
        <v>59</v>
      </c>
      <c r="D27" s="50">
        <v>14</v>
      </c>
      <c r="E27" s="50">
        <v>10</v>
      </c>
      <c r="F27" s="50">
        <v>31</v>
      </c>
      <c r="G27" s="50">
        <v>1</v>
      </c>
      <c r="H27" s="50">
        <v>0</v>
      </c>
      <c r="I27" s="50">
        <v>14</v>
      </c>
      <c r="J27" s="50">
        <v>4</v>
      </c>
      <c r="K27" s="50">
        <v>4</v>
      </c>
      <c r="L27" s="50">
        <v>5</v>
      </c>
      <c r="M27" s="50">
        <v>112</v>
      </c>
      <c r="N27" s="50">
        <v>0</v>
      </c>
      <c r="O27" s="15">
        <f t="shared" si="0"/>
        <v>142</v>
      </c>
      <c r="P27" s="15">
        <f t="shared" si="1"/>
        <v>254</v>
      </c>
      <c r="R27" s="36" t="s">
        <v>151</v>
      </c>
      <c r="S27" s="34">
        <f>SUM(C78:C81)</f>
        <v>104</v>
      </c>
      <c r="T27" s="34">
        <f t="shared" ref="T27:AF27" si="19">SUM(D78:D81)</f>
        <v>5</v>
      </c>
      <c r="U27" s="34">
        <f t="shared" si="19"/>
        <v>16</v>
      </c>
      <c r="V27" s="34">
        <f t="shared" si="19"/>
        <v>15</v>
      </c>
      <c r="W27" s="34">
        <f t="shared" si="19"/>
        <v>3</v>
      </c>
      <c r="X27" s="34">
        <f t="shared" si="19"/>
        <v>0</v>
      </c>
      <c r="Y27" s="34">
        <f t="shared" si="19"/>
        <v>17</v>
      </c>
      <c r="Z27" s="34">
        <f t="shared" si="19"/>
        <v>11</v>
      </c>
      <c r="AA27" s="34">
        <f t="shared" si="19"/>
        <v>27</v>
      </c>
      <c r="AB27" s="34">
        <f t="shared" si="19"/>
        <v>12</v>
      </c>
      <c r="AC27" s="34">
        <f t="shared" si="19"/>
        <v>109</v>
      </c>
      <c r="AD27" s="34">
        <f t="shared" si="19"/>
        <v>0</v>
      </c>
      <c r="AE27" s="31">
        <f t="shared" si="19"/>
        <v>210</v>
      </c>
      <c r="AF27" s="31">
        <f t="shared" si="19"/>
        <v>319</v>
      </c>
    </row>
    <row r="28" spans="2:32" ht="23.1" customHeight="1" x14ac:dyDescent="0.25">
      <c r="B28" s="45" t="s">
        <v>55</v>
      </c>
      <c r="C28" s="50">
        <v>65</v>
      </c>
      <c r="D28" s="50">
        <v>12</v>
      </c>
      <c r="E28" s="50">
        <v>15</v>
      </c>
      <c r="F28" s="50">
        <v>34</v>
      </c>
      <c r="G28" s="50">
        <v>0</v>
      </c>
      <c r="H28" s="50">
        <v>0</v>
      </c>
      <c r="I28" s="50">
        <v>12</v>
      </c>
      <c r="J28" s="50">
        <v>12</v>
      </c>
      <c r="K28" s="50">
        <v>3</v>
      </c>
      <c r="L28" s="50">
        <v>6</v>
      </c>
      <c r="M28" s="50">
        <v>127</v>
      </c>
      <c r="N28" s="50">
        <v>0</v>
      </c>
      <c r="O28" s="15">
        <f t="shared" si="0"/>
        <v>159</v>
      </c>
      <c r="P28" s="15">
        <f t="shared" si="1"/>
        <v>286</v>
      </c>
      <c r="R28" s="36" t="s">
        <v>152</v>
      </c>
      <c r="S28" s="34">
        <f>SUM(C82:C85)</f>
        <v>40</v>
      </c>
      <c r="T28" s="34">
        <f t="shared" ref="T28:AF28" si="20">SUM(D82:D85)</f>
        <v>7</v>
      </c>
      <c r="U28" s="34">
        <f t="shared" si="20"/>
        <v>12</v>
      </c>
      <c r="V28" s="34">
        <f t="shared" si="20"/>
        <v>6</v>
      </c>
      <c r="W28" s="34">
        <f t="shared" si="20"/>
        <v>0</v>
      </c>
      <c r="X28" s="34">
        <f t="shared" si="20"/>
        <v>0</v>
      </c>
      <c r="Y28" s="34">
        <f t="shared" si="20"/>
        <v>7</v>
      </c>
      <c r="Z28" s="34">
        <f t="shared" si="20"/>
        <v>9</v>
      </c>
      <c r="AA28" s="34">
        <f t="shared" si="20"/>
        <v>34</v>
      </c>
      <c r="AB28" s="34">
        <f t="shared" si="20"/>
        <v>8</v>
      </c>
      <c r="AC28" s="34">
        <f t="shared" si="20"/>
        <v>54</v>
      </c>
      <c r="AD28" s="34">
        <f t="shared" si="20"/>
        <v>0</v>
      </c>
      <c r="AE28" s="31">
        <f t="shared" si="20"/>
        <v>123</v>
      </c>
      <c r="AF28" s="31">
        <f t="shared" si="20"/>
        <v>177</v>
      </c>
    </row>
    <row r="29" spans="2:32" ht="23.1" customHeight="1" x14ac:dyDescent="0.25">
      <c r="B29" s="45" t="s">
        <v>56</v>
      </c>
      <c r="C29" s="50">
        <v>60</v>
      </c>
      <c r="D29" s="50">
        <v>13</v>
      </c>
      <c r="E29" s="50">
        <v>7</v>
      </c>
      <c r="F29" s="50">
        <v>25</v>
      </c>
      <c r="G29" s="50">
        <v>0</v>
      </c>
      <c r="H29" s="50">
        <v>0</v>
      </c>
      <c r="I29" s="50">
        <v>11</v>
      </c>
      <c r="J29" s="50">
        <v>11</v>
      </c>
      <c r="K29" s="50">
        <v>2</v>
      </c>
      <c r="L29" s="50">
        <v>9</v>
      </c>
      <c r="M29" s="50">
        <v>98</v>
      </c>
      <c r="N29" s="50">
        <v>0</v>
      </c>
      <c r="O29" s="15">
        <f t="shared" si="0"/>
        <v>138</v>
      </c>
      <c r="P29" s="15">
        <f t="shared" si="1"/>
        <v>236</v>
      </c>
      <c r="R29" s="36" t="s">
        <v>153</v>
      </c>
      <c r="S29" s="34">
        <f>SUM(C86:C89)</f>
        <v>21</v>
      </c>
      <c r="T29" s="34">
        <f t="shared" ref="T29:AF29" si="21">SUM(D86:D89)</f>
        <v>1</v>
      </c>
      <c r="U29" s="34">
        <f t="shared" si="21"/>
        <v>8</v>
      </c>
      <c r="V29" s="34">
        <f t="shared" si="21"/>
        <v>6</v>
      </c>
      <c r="W29" s="34">
        <f t="shared" si="21"/>
        <v>0</v>
      </c>
      <c r="X29" s="34">
        <f t="shared" si="21"/>
        <v>0</v>
      </c>
      <c r="Y29" s="34">
        <f t="shared" si="21"/>
        <v>14</v>
      </c>
      <c r="Z29" s="34">
        <f t="shared" si="21"/>
        <v>12</v>
      </c>
      <c r="AA29" s="34">
        <f t="shared" si="21"/>
        <v>26</v>
      </c>
      <c r="AB29" s="34">
        <f t="shared" si="21"/>
        <v>8</v>
      </c>
      <c r="AC29" s="34">
        <f t="shared" si="21"/>
        <v>30</v>
      </c>
      <c r="AD29" s="34">
        <f t="shared" si="21"/>
        <v>0</v>
      </c>
      <c r="AE29" s="31">
        <f t="shared" si="21"/>
        <v>96</v>
      </c>
      <c r="AF29" s="31">
        <f t="shared" si="21"/>
        <v>126</v>
      </c>
    </row>
    <row r="30" spans="2:32" ht="23.1" customHeight="1" x14ac:dyDescent="0.25">
      <c r="B30" s="45" t="s">
        <v>57</v>
      </c>
      <c r="C30" s="50">
        <v>66</v>
      </c>
      <c r="D30" s="50">
        <v>11</v>
      </c>
      <c r="E30" s="50">
        <v>7</v>
      </c>
      <c r="F30" s="50">
        <v>34</v>
      </c>
      <c r="G30" s="50">
        <v>5</v>
      </c>
      <c r="H30" s="50">
        <v>3</v>
      </c>
      <c r="I30" s="50">
        <v>22</v>
      </c>
      <c r="J30" s="50">
        <v>12</v>
      </c>
      <c r="K30" s="50">
        <v>3</v>
      </c>
      <c r="L30" s="50">
        <v>9</v>
      </c>
      <c r="M30" s="50">
        <v>133</v>
      </c>
      <c r="N30" s="50">
        <v>0</v>
      </c>
      <c r="O30" s="15">
        <f t="shared" si="0"/>
        <v>172</v>
      </c>
      <c r="P30" s="15">
        <f t="shared" si="1"/>
        <v>305</v>
      </c>
      <c r="R30" s="36" t="s">
        <v>154</v>
      </c>
      <c r="S30" s="34">
        <f>SUM(C90:C93)</f>
        <v>28</v>
      </c>
      <c r="T30" s="34">
        <f t="shared" ref="T30:AF30" si="22">SUM(D90:D93)</f>
        <v>3</v>
      </c>
      <c r="U30" s="34">
        <f t="shared" si="22"/>
        <v>3</v>
      </c>
      <c r="V30" s="34">
        <f t="shared" si="22"/>
        <v>6</v>
      </c>
      <c r="W30" s="34">
        <f t="shared" si="22"/>
        <v>1</v>
      </c>
      <c r="X30" s="34">
        <f t="shared" si="22"/>
        <v>0</v>
      </c>
      <c r="Y30" s="34">
        <f t="shared" si="22"/>
        <v>23</v>
      </c>
      <c r="Z30" s="34">
        <f t="shared" si="22"/>
        <v>53</v>
      </c>
      <c r="AA30" s="34">
        <f t="shared" si="22"/>
        <v>2</v>
      </c>
      <c r="AB30" s="34">
        <f t="shared" si="22"/>
        <v>7</v>
      </c>
      <c r="AC30" s="34">
        <f t="shared" si="22"/>
        <v>32</v>
      </c>
      <c r="AD30" s="34">
        <f t="shared" si="22"/>
        <v>0</v>
      </c>
      <c r="AE30" s="31">
        <f t="shared" si="22"/>
        <v>126</v>
      </c>
      <c r="AF30" s="31">
        <f t="shared" si="22"/>
        <v>158</v>
      </c>
    </row>
    <row r="31" spans="2:32" ht="23.1" customHeight="1" x14ac:dyDescent="0.25">
      <c r="B31" s="46" t="s">
        <v>58</v>
      </c>
      <c r="C31" s="50">
        <v>73</v>
      </c>
      <c r="D31" s="50">
        <v>14</v>
      </c>
      <c r="E31" s="50">
        <v>5</v>
      </c>
      <c r="F31" s="50">
        <v>38</v>
      </c>
      <c r="G31" s="50">
        <v>1</v>
      </c>
      <c r="H31" s="50">
        <v>0</v>
      </c>
      <c r="I31" s="50">
        <v>11</v>
      </c>
      <c r="J31" s="50">
        <v>10</v>
      </c>
      <c r="K31" s="50">
        <v>0</v>
      </c>
      <c r="L31" s="50">
        <v>7</v>
      </c>
      <c r="M31" s="50">
        <v>151</v>
      </c>
      <c r="N31" s="50">
        <v>0</v>
      </c>
      <c r="O31" s="15">
        <f t="shared" si="0"/>
        <v>159</v>
      </c>
      <c r="P31" s="15">
        <f t="shared" si="1"/>
        <v>310</v>
      </c>
      <c r="R31" s="36" t="s">
        <v>155</v>
      </c>
      <c r="S31" s="34">
        <f>SUM(C94:C97)</f>
        <v>35</v>
      </c>
      <c r="T31" s="34">
        <f t="shared" ref="T31:AF31" si="23">SUM(D94:D97)</f>
        <v>5</v>
      </c>
      <c r="U31" s="34">
        <f t="shared" si="23"/>
        <v>10</v>
      </c>
      <c r="V31" s="34">
        <f t="shared" si="23"/>
        <v>13</v>
      </c>
      <c r="W31" s="34">
        <f t="shared" si="23"/>
        <v>3</v>
      </c>
      <c r="X31" s="34">
        <f t="shared" si="23"/>
        <v>2</v>
      </c>
      <c r="Y31" s="34">
        <f t="shared" si="23"/>
        <v>13</v>
      </c>
      <c r="Z31" s="34">
        <f t="shared" si="23"/>
        <v>38</v>
      </c>
      <c r="AA31" s="34">
        <f t="shared" si="23"/>
        <v>3</v>
      </c>
      <c r="AB31" s="34">
        <f t="shared" si="23"/>
        <v>8</v>
      </c>
      <c r="AC31" s="34">
        <f t="shared" si="23"/>
        <v>43</v>
      </c>
      <c r="AD31" s="34">
        <f t="shared" si="23"/>
        <v>0</v>
      </c>
      <c r="AE31" s="31">
        <f t="shared" si="23"/>
        <v>130</v>
      </c>
      <c r="AF31" s="31">
        <f t="shared" si="23"/>
        <v>173</v>
      </c>
    </row>
    <row r="32" spans="2:32" ht="23.1" customHeight="1" x14ac:dyDescent="0.25">
      <c r="B32" s="46" t="s">
        <v>59</v>
      </c>
      <c r="C32" s="50">
        <v>70</v>
      </c>
      <c r="D32" s="50">
        <v>17</v>
      </c>
      <c r="E32" s="50">
        <v>3</v>
      </c>
      <c r="F32" s="50">
        <v>16</v>
      </c>
      <c r="G32" s="50">
        <v>0</v>
      </c>
      <c r="H32" s="50">
        <v>1</v>
      </c>
      <c r="I32" s="50">
        <v>6</v>
      </c>
      <c r="J32" s="50">
        <v>7</v>
      </c>
      <c r="K32" s="50">
        <v>7</v>
      </c>
      <c r="L32" s="50">
        <v>10</v>
      </c>
      <c r="M32" s="50">
        <v>108</v>
      </c>
      <c r="N32" s="50">
        <v>0</v>
      </c>
      <c r="O32" s="15">
        <f t="shared" si="0"/>
        <v>137</v>
      </c>
      <c r="P32" s="15">
        <f t="shared" si="1"/>
        <v>245</v>
      </c>
      <c r="R32" s="33" t="s">
        <v>156</v>
      </c>
      <c r="S32" s="34">
        <f>S33</f>
        <v>117</v>
      </c>
      <c r="T32" s="34">
        <f t="shared" ref="T32:AF32" si="24">SUM(D98:D101)</f>
        <v>6</v>
      </c>
      <c r="U32" s="34">
        <f t="shared" si="24"/>
        <v>12</v>
      </c>
      <c r="V32" s="34">
        <f t="shared" si="24"/>
        <v>47</v>
      </c>
      <c r="W32" s="34">
        <f t="shared" si="24"/>
        <v>4</v>
      </c>
      <c r="X32" s="34">
        <f t="shared" si="24"/>
        <v>2</v>
      </c>
      <c r="Y32" s="34">
        <f t="shared" si="24"/>
        <v>17</v>
      </c>
      <c r="Z32" s="34">
        <f t="shared" si="24"/>
        <v>45</v>
      </c>
      <c r="AA32" s="34">
        <f t="shared" si="24"/>
        <v>3</v>
      </c>
      <c r="AB32" s="34">
        <f t="shared" si="24"/>
        <v>24</v>
      </c>
      <c r="AC32" s="34">
        <f t="shared" si="24"/>
        <v>80</v>
      </c>
      <c r="AD32" s="34">
        <f t="shared" si="24"/>
        <v>0</v>
      </c>
      <c r="AE32" s="31">
        <f t="shared" si="24"/>
        <v>225</v>
      </c>
      <c r="AF32" s="31">
        <f t="shared" si="24"/>
        <v>305</v>
      </c>
    </row>
    <row r="33" spans="2:32" ht="23.1" customHeight="1" x14ac:dyDescent="0.25">
      <c r="B33" s="45" t="s">
        <v>60</v>
      </c>
      <c r="C33" s="50">
        <v>54</v>
      </c>
      <c r="D33" s="50">
        <v>14</v>
      </c>
      <c r="E33" s="50">
        <v>8</v>
      </c>
      <c r="F33" s="50">
        <v>31</v>
      </c>
      <c r="G33" s="50">
        <v>0</v>
      </c>
      <c r="H33" s="50">
        <v>0</v>
      </c>
      <c r="I33" s="50">
        <v>13</v>
      </c>
      <c r="J33" s="50">
        <v>17</v>
      </c>
      <c r="K33" s="50">
        <v>3</v>
      </c>
      <c r="L33" s="50">
        <v>6</v>
      </c>
      <c r="M33" s="50">
        <v>147</v>
      </c>
      <c r="N33" s="50">
        <v>0</v>
      </c>
      <c r="O33" s="15">
        <f t="shared" si="0"/>
        <v>146</v>
      </c>
      <c r="P33" s="15">
        <f t="shared" si="1"/>
        <v>293</v>
      </c>
      <c r="R33" s="33" t="s">
        <v>157</v>
      </c>
      <c r="S33" s="34">
        <f>SUM(C102:C105)</f>
        <v>117</v>
      </c>
      <c r="T33" s="34">
        <f t="shared" ref="T33:AF33" si="25">SUM(D102:D105)</f>
        <v>17</v>
      </c>
      <c r="U33" s="34">
        <f t="shared" si="25"/>
        <v>13</v>
      </c>
      <c r="V33" s="34">
        <f t="shared" si="25"/>
        <v>89</v>
      </c>
      <c r="W33" s="34">
        <f t="shared" si="25"/>
        <v>4</v>
      </c>
      <c r="X33" s="34">
        <f t="shared" si="25"/>
        <v>4</v>
      </c>
      <c r="Y33" s="34">
        <f t="shared" si="25"/>
        <v>46</v>
      </c>
      <c r="Z33" s="34">
        <f t="shared" si="25"/>
        <v>53</v>
      </c>
      <c r="AA33" s="34">
        <f t="shared" si="25"/>
        <v>2</v>
      </c>
      <c r="AB33" s="34">
        <f t="shared" si="25"/>
        <v>21</v>
      </c>
      <c r="AC33" s="34">
        <f t="shared" si="25"/>
        <v>176</v>
      </c>
      <c r="AD33" s="34">
        <f t="shared" si="25"/>
        <v>1</v>
      </c>
      <c r="AE33" s="31">
        <f t="shared" si="25"/>
        <v>367</v>
      </c>
      <c r="AF33" s="31">
        <f t="shared" si="25"/>
        <v>543</v>
      </c>
    </row>
    <row r="34" spans="2:32" ht="23.1" customHeight="1" x14ac:dyDescent="0.25">
      <c r="B34" s="46" t="s">
        <v>61</v>
      </c>
      <c r="C34" s="50">
        <v>60</v>
      </c>
      <c r="D34" s="50">
        <v>12</v>
      </c>
      <c r="E34" s="50">
        <v>8</v>
      </c>
      <c r="F34" s="50">
        <v>30</v>
      </c>
      <c r="G34" s="50">
        <v>2</v>
      </c>
      <c r="H34" s="50">
        <v>0</v>
      </c>
      <c r="I34" s="50">
        <v>13</v>
      </c>
      <c r="J34" s="50">
        <v>10</v>
      </c>
      <c r="K34" s="50">
        <v>6</v>
      </c>
      <c r="L34" s="50">
        <v>2</v>
      </c>
      <c r="M34" s="50">
        <v>143</v>
      </c>
      <c r="N34" s="50">
        <v>0</v>
      </c>
      <c r="O34" s="15">
        <f t="shared" si="0"/>
        <v>143</v>
      </c>
      <c r="P34" s="15">
        <f t="shared" si="1"/>
        <v>286</v>
      </c>
      <c r="R34" s="38" t="s">
        <v>90</v>
      </c>
      <c r="S34" s="39">
        <f t="shared" ref="S34:AF34" si="26">MAX(S10:S12)</f>
        <v>339</v>
      </c>
      <c r="T34" s="39">
        <f t="shared" si="26"/>
        <v>47</v>
      </c>
      <c r="U34" s="39">
        <f t="shared" si="26"/>
        <v>55</v>
      </c>
      <c r="V34" s="39">
        <f t="shared" si="26"/>
        <v>99</v>
      </c>
      <c r="W34" s="39">
        <f t="shared" si="26"/>
        <v>11</v>
      </c>
      <c r="X34" s="39">
        <f t="shared" si="26"/>
        <v>7</v>
      </c>
      <c r="Y34" s="39">
        <f t="shared" si="26"/>
        <v>39</v>
      </c>
      <c r="Z34" s="39">
        <f t="shared" si="26"/>
        <v>47</v>
      </c>
      <c r="AA34" s="39">
        <f t="shared" si="26"/>
        <v>30</v>
      </c>
      <c r="AB34" s="39">
        <f t="shared" si="26"/>
        <v>17</v>
      </c>
      <c r="AC34" s="39">
        <f t="shared" si="26"/>
        <v>752</v>
      </c>
      <c r="AD34" s="39">
        <f t="shared" si="26"/>
        <v>0</v>
      </c>
      <c r="AE34" s="40">
        <f t="shared" si="26"/>
        <v>640</v>
      </c>
      <c r="AF34" s="40">
        <f t="shared" si="26"/>
        <v>1303</v>
      </c>
    </row>
    <row r="35" spans="2:32" ht="23.1" customHeight="1" x14ac:dyDescent="0.25">
      <c r="B35" s="46" t="s">
        <v>62</v>
      </c>
      <c r="C35" s="50">
        <v>70</v>
      </c>
      <c r="D35" s="50">
        <v>13</v>
      </c>
      <c r="E35" s="50">
        <v>36</v>
      </c>
      <c r="F35" s="50">
        <v>1</v>
      </c>
      <c r="G35" s="50">
        <v>0</v>
      </c>
      <c r="H35" s="50">
        <v>0</v>
      </c>
      <c r="I35" s="50">
        <v>11</v>
      </c>
      <c r="J35" s="50">
        <v>14</v>
      </c>
      <c r="K35" s="50">
        <v>2</v>
      </c>
      <c r="L35" s="50">
        <v>5</v>
      </c>
      <c r="M35" s="50">
        <v>132</v>
      </c>
      <c r="N35" s="50">
        <v>0</v>
      </c>
      <c r="O35" s="15">
        <f t="shared" si="0"/>
        <v>152</v>
      </c>
      <c r="P35" s="15">
        <f t="shared" si="1"/>
        <v>284</v>
      </c>
      <c r="R35" s="38" t="s">
        <v>91</v>
      </c>
      <c r="S35" s="39">
        <f t="shared" ref="S35:AF35" si="27">MAX(S13:S18)</f>
        <v>268</v>
      </c>
      <c r="T35" s="39">
        <f t="shared" si="27"/>
        <v>86</v>
      </c>
      <c r="U35" s="39">
        <f t="shared" si="27"/>
        <v>120</v>
      </c>
      <c r="V35" s="39">
        <f t="shared" si="27"/>
        <v>130</v>
      </c>
      <c r="W35" s="39">
        <f t="shared" si="27"/>
        <v>6</v>
      </c>
      <c r="X35" s="39">
        <f t="shared" si="27"/>
        <v>4</v>
      </c>
      <c r="Y35" s="39">
        <f t="shared" si="27"/>
        <v>61</v>
      </c>
      <c r="Z35" s="39">
        <f t="shared" si="27"/>
        <v>66</v>
      </c>
      <c r="AA35" s="39">
        <f t="shared" si="27"/>
        <v>20</v>
      </c>
      <c r="AB35" s="39">
        <f t="shared" si="27"/>
        <v>32</v>
      </c>
      <c r="AC35" s="39">
        <f t="shared" si="27"/>
        <v>580</v>
      </c>
      <c r="AD35" s="39">
        <f t="shared" si="27"/>
        <v>0</v>
      </c>
      <c r="AE35" s="40">
        <f t="shared" si="27"/>
        <v>631</v>
      </c>
      <c r="AF35" s="40">
        <f t="shared" si="27"/>
        <v>1177</v>
      </c>
    </row>
    <row r="36" spans="2:32" ht="23.1" customHeight="1" x14ac:dyDescent="0.25">
      <c r="B36" s="46" t="s">
        <v>63</v>
      </c>
      <c r="C36" s="50">
        <v>69</v>
      </c>
      <c r="D36" s="50">
        <v>14</v>
      </c>
      <c r="E36" s="50">
        <v>38</v>
      </c>
      <c r="F36" s="50">
        <v>1</v>
      </c>
      <c r="G36" s="50">
        <v>0</v>
      </c>
      <c r="H36" s="50">
        <v>0</v>
      </c>
      <c r="I36" s="50">
        <v>10</v>
      </c>
      <c r="J36" s="50">
        <v>18</v>
      </c>
      <c r="K36" s="50">
        <v>8</v>
      </c>
      <c r="L36" s="50">
        <v>8</v>
      </c>
      <c r="M36" s="50">
        <v>113</v>
      </c>
      <c r="N36" s="50">
        <v>0</v>
      </c>
      <c r="O36" s="15">
        <f t="shared" si="0"/>
        <v>166</v>
      </c>
      <c r="P36" s="15">
        <f t="shared" si="1"/>
        <v>279</v>
      </c>
      <c r="R36" s="38" t="s">
        <v>92</v>
      </c>
      <c r="S36" s="39">
        <f t="shared" ref="S36:AF36" si="28">MAX(S19:S21)</f>
        <v>357</v>
      </c>
      <c r="T36" s="39">
        <f t="shared" si="28"/>
        <v>62</v>
      </c>
      <c r="U36" s="39">
        <f t="shared" si="28"/>
        <v>58</v>
      </c>
      <c r="V36" s="39">
        <f t="shared" si="28"/>
        <v>176</v>
      </c>
      <c r="W36" s="39">
        <f t="shared" si="28"/>
        <v>36</v>
      </c>
      <c r="X36" s="39">
        <f t="shared" si="28"/>
        <v>6</v>
      </c>
      <c r="Y36" s="39">
        <f t="shared" si="28"/>
        <v>47</v>
      </c>
      <c r="Z36" s="39">
        <f t="shared" si="28"/>
        <v>60</v>
      </c>
      <c r="AA36" s="39">
        <f t="shared" si="28"/>
        <v>16</v>
      </c>
      <c r="AB36" s="39">
        <f t="shared" si="28"/>
        <v>26</v>
      </c>
      <c r="AC36" s="39">
        <f t="shared" si="28"/>
        <v>547</v>
      </c>
      <c r="AD36" s="39">
        <f t="shared" si="28"/>
        <v>0</v>
      </c>
      <c r="AE36" s="40">
        <f t="shared" si="28"/>
        <v>780</v>
      </c>
      <c r="AF36" s="40">
        <f t="shared" si="28"/>
        <v>1321</v>
      </c>
    </row>
    <row r="37" spans="2:32" ht="23.1" customHeight="1" x14ac:dyDescent="0.25">
      <c r="B37" s="45" t="s">
        <v>64</v>
      </c>
      <c r="C37" s="50">
        <v>51</v>
      </c>
      <c r="D37" s="50">
        <v>19</v>
      </c>
      <c r="E37" s="50">
        <v>38</v>
      </c>
      <c r="F37" s="50">
        <v>1</v>
      </c>
      <c r="G37" s="50">
        <v>0</v>
      </c>
      <c r="H37" s="50">
        <v>0</v>
      </c>
      <c r="I37" s="50">
        <v>9</v>
      </c>
      <c r="J37" s="50">
        <v>6</v>
      </c>
      <c r="K37" s="50">
        <v>4</v>
      </c>
      <c r="L37" s="50">
        <v>8</v>
      </c>
      <c r="M37" s="50">
        <v>192</v>
      </c>
      <c r="N37" s="50">
        <v>0</v>
      </c>
      <c r="O37" s="15">
        <f t="shared" si="0"/>
        <v>136</v>
      </c>
      <c r="P37" s="15">
        <f t="shared" si="1"/>
        <v>328</v>
      </c>
      <c r="R37" s="37" t="s">
        <v>85</v>
      </c>
      <c r="S37" s="35">
        <f t="shared" ref="S37:AF37" si="29">SUM(S10:S12)</f>
        <v>820</v>
      </c>
      <c r="T37" s="16">
        <f t="shared" si="29"/>
        <v>129</v>
      </c>
      <c r="U37" s="16">
        <f t="shared" si="29"/>
        <v>114</v>
      </c>
      <c r="V37" s="16">
        <f t="shared" si="29"/>
        <v>271</v>
      </c>
      <c r="W37" s="16">
        <f t="shared" si="29"/>
        <v>28</v>
      </c>
      <c r="X37" s="16">
        <f t="shared" si="29"/>
        <v>16</v>
      </c>
      <c r="Y37" s="16">
        <f t="shared" si="29"/>
        <v>102</v>
      </c>
      <c r="Z37" s="16">
        <f t="shared" si="29"/>
        <v>130</v>
      </c>
      <c r="AA37" s="16">
        <f t="shared" si="29"/>
        <v>55</v>
      </c>
      <c r="AB37" s="16">
        <f t="shared" si="29"/>
        <v>50</v>
      </c>
      <c r="AC37" s="16">
        <f t="shared" si="29"/>
        <v>2077</v>
      </c>
      <c r="AD37" s="16">
        <f t="shared" si="29"/>
        <v>0</v>
      </c>
      <c r="AE37" s="32">
        <f t="shared" si="29"/>
        <v>1715</v>
      </c>
      <c r="AF37" s="32">
        <f t="shared" si="29"/>
        <v>3792</v>
      </c>
    </row>
    <row r="38" spans="2:32" ht="23.1" customHeight="1" x14ac:dyDescent="0.25">
      <c r="B38" s="46" t="s">
        <v>65</v>
      </c>
      <c r="C38" s="50">
        <v>53</v>
      </c>
      <c r="D38" s="50">
        <v>10</v>
      </c>
      <c r="E38" s="50">
        <v>11</v>
      </c>
      <c r="F38" s="50">
        <v>29</v>
      </c>
      <c r="G38" s="50">
        <v>0</v>
      </c>
      <c r="H38" s="50">
        <v>0</v>
      </c>
      <c r="I38" s="50">
        <v>15</v>
      </c>
      <c r="J38" s="50">
        <v>7</v>
      </c>
      <c r="K38" s="50">
        <v>2</v>
      </c>
      <c r="L38" s="50">
        <v>5</v>
      </c>
      <c r="M38" s="50">
        <v>99</v>
      </c>
      <c r="N38" s="50">
        <v>0</v>
      </c>
      <c r="O38" s="15">
        <f t="shared" si="0"/>
        <v>132</v>
      </c>
      <c r="P38" s="15">
        <f t="shared" si="1"/>
        <v>231</v>
      </c>
      <c r="R38" s="28" t="s">
        <v>86</v>
      </c>
      <c r="S38" s="16">
        <f t="shared" ref="S38:AF38" si="30">SUM(S13:S18)</f>
        <v>1473</v>
      </c>
      <c r="T38" s="16">
        <f t="shared" si="30"/>
        <v>368</v>
      </c>
      <c r="U38" s="16">
        <f t="shared" si="30"/>
        <v>309</v>
      </c>
      <c r="V38" s="16">
        <f t="shared" si="30"/>
        <v>593</v>
      </c>
      <c r="W38" s="16">
        <f t="shared" si="30"/>
        <v>21</v>
      </c>
      <c r="X38" s="16">
        <f t="shared" si="30"/>
        <v>11</v>
      </c>
      <c r="Y38" s="16">
        <f t="shared" si="30"/>
        <v>295</v>
      </c>
      <c r="Z38" s="16">
        <f t="shared" si="30"/>
        <v>274</v>
      </c>
      <c r="AA38" s="16">
        <f t="shared" si="30"/>
        <v>80</v>
      </c>
      <c r="AB38" s="16">
        <f t="shared" si="30"/>
        <v>147</v>
      </c>
      <c r="AC38" s="16">
        <f t="shared" si="30"/>
        <v>2867</v>
      </c>
      <c r="AD38" s="16">
        <f t="shared" si="30"/>
        <v>0</v>
      </c>
      <c r="AE38" s="32">
        <f t="shared" si="30"/>
        <v>3571</v>
      </c>
      <c r="AF38" s="32">
        <f t="shared" si="30"/>
        <v>6438</v>
      </c>
    </row>
    <row r="39" spans="2:32" ht="23.1" customHeight="1" x14ac:dyDescent="0.25">
      <c r="B39" s="46" t="s">
        <v>66</v>
      </c>
      <c r="C39" s="50">
        <v>61</v>
      </c>
      <c r="D39" s="50">
        <v>13</v>
      </c>
      <c r="E39" s="50">
        <v>12</v>
      </c>
      <c r="F39" s="50">
        <v>24</v>
      </c>
      <c r="G39" s="50">
        <v>1</v>
      </c>
      <c r="H39" s="50">
        <v>0</v>
      </c>
      <c r="I39" s="50">
        <v>15</v>
      </c>
      <c r="J39" s="50">
        <v>8</v>
      </c>
      <c r="K39" s="50">
        <v>6</v>
      </c>
      <c r="L39" s="50">
        <v>10</v>
      </c>
      <c r="M39" s="50">
        <v>102</v>
      </c>
      <c r="N39" s="50">
        <v>0</v>
      </c>
      <c r="O39" s="15">
        <f t="shared" si="0"/>
        <v>150</v>
      </c>
      <c r="P39" s="15">
        <f t="shared" si="1"/>
        <v>252</v>
      </c>
      <c r="R39" s="29" t="s">
        <v>87</v>
      </c>
      <c r="S39" s="16">
        <f t="shared" ref="S39:AF39" si="31">SUM(S19:S21)</f>
        <v>945</v>
      </c>
      <c r="T39" s="16">
        <f t="shared" si="31"/>
        <v>183</v>
      </c>
      <c r="U39" s="16">
        <f t="shared" si="31"/>
        <v>155</v>
      </c>
      <c r="V39" s="16">
        <f t="shared" si="31"/>
        <v>408</v>
      </c>
      <c r="W39" s="16">
        <f t="shared" si="31"/>
        <v>69</v>
      </c>
      <c r="X39" s="16">
        <f t="shared" si="31"/>
        <v>8</v>
      </c>
      <c r="Y39" s="16">
        <f t="shared" si="31"/>
        <v>121</v>
      </c>
      <c r="Z39" s="16">
        <f t="shared" si="31"/>
        <v>150</v>
      </c>
      <c r="AA39" s="16">
        <f t="shared" si="31"/>
        <v>39</v>
      </c>
      <c r="AB39" s="16">
        <f t="shared" si="31"/>
        <v>62</v>
      </c>
      <c r="AC39" s="16">
        <f t="shared" si="31"/>
        <v>1313</v>
      </c>
      <c r="AD39" s="16">
        <f t="shared" si="31"/>
        <v>0</v>
      </c>
      <c r="AE39" s="32">
        <f t="shared" si="31"/>
        <v>2140</v>
      </c>
      <c r="AF39" s="32">
        <f t="shared" si="31"/>
        <v>3453</v>
      </c>
    </row>
    <row r="40" spans="2:32" ht="23.1" customHeight="1" x14ac:dyDescent="0.25">
      <c r="B40" s="46" t="s">
        <v>67</v>
      </c>
      <c r="C40" s="50">
        <v>18</v>
      </c>
      <c r="D40" s="50">
        <v>25</v>
      </c>
      <c r="E40" s="50">
        <v>7</v>
      </c>
      <c r="F40" s="50">
        <v>28</v>
      </c>
      <c r="G40" s="50">
        <v>1</v>
      </c>
      <c r="H40" s="50">
        <v>1</v>
      </c>
      <c r="I40" s="50">
        <v>13</v>
      </c>
      <c r="J40" s="50">
        <v>7</v>
      </c>
      <c r="K40" s="50">
        <v>7</v>
      </c>
      <c r="L40" s="50">
        <v>9</v>
      </c>
      <c r="M40" s="50">
        <v>130</v>
      </c>
      <c r="N40" s="50">
        <v>0</v>
      </c>
      <c r="O40" s="15">
        <f t="shared" si="0"/>
        <v>116</v>
      </c>
      <c r="P40" s="15">
        <f t="shared" si="1"/>
        <v>246</v>
      </c>
      <c r="R40" s="5" t="s">
        <v>17</v>
      </c>
      <c r="S40" s="16">
        <f t="shared" ref="S40:AF40" si="32">SUM(S10:S21)</f>
        <v>3238</v>
      </c>
      <c r="T40" s="16">
        <f t="shared" si="32"/>
        <v>680</v>
      </c>
      <c r="U40" s="16">
        <f t="shared" si="32"/>
        <v>578</v>
      </c>
      <c r="V40" s="16">
        <f t="shared" si="32"/>
        <v>1272</v>
      </c>
      <c r="W40" s="16">
        <f t="shared" si="32"/>
        <v>118</v>
      </c>
      <c r="X40" s="16">
        <f t="shared" si="32"/>
        <v>35</v>
      </c>
      <c r="Y40" s="16">
        <f t="shared" si="32"/>
        <v>518</v>
      </c>
      <c r="Z40" s="16">
        <f t="shared" si="32"/>
        <v>554</v>
      </c>
      <c r="AA40" s="16">
        <f t="shared" si="32"/>
        <v>174</v>
      </c>
      <c r="AB40" s="16">
        <f t="shared" si="32"/>
        <v>259</v>
      </c>
      <c r="AC40" s="16">
        <f t="shared" si="32"/>
        <v>6257</v>
      </c>
      <c r="AD40" s="16">
        <f t="shared" si="32"/>
        <v>0</v>
      </c>
      <c r="AE40" s="32">
        <f t="shared" si="32"/>
        <v>7426</v>
      </c>
      <c r="AF40" s="32">
        <f t="shared" si="32"/>
        <v>13683</v>
      </c>
    </row>
    <row r="41" spans="2:32" ht="23.1" customHeight="1" x14ac:dyDescent="0.25">
      <c r="B41" s="45" t="s">
        <v>68</v>
      </c>
      <c r="C41" s="50">
        <v>61</v>
      </c>
      <c r="D41" s="50">
        <v>15</v>
      </c>
      <c r="E41" s="50">
        <v>15</v>
      </c>
      <c r="F41" s="50">
        <v>23</v>
      </c>
      <c r="G41" s="50">
        <v>0</v>
      </c>
      <c r="H41" s="50">
        <v>0</v>
      </c>
      <c r="I41" s="50">
        <v>18</v>
      </c>
      <c r="J41" s="50">
        <v>11</v>
      </c>
      <c r="K41" s="50">
        <v>1</v>
      </c>
      <c r="L41" s="50">
        <v>5</v>
      </c>
      <c r="M41" s="50">
        <v>88</v>
      </c>
      <c r="N41" s="50">
        <v>0</v>
      </c>
      <c r="O41" s="15">
        <f t="shared" si="0"/>
        <v>149</v>
      </c>
      <c r="P41" s="15">
        <f t="shared" si="1"/>
        <v>237</v>
      </c>
      <c r="R41" s="5" t="s">
        <v>159</v>
      </c>
      <c r="S41" s="16">
        <f>SUM(S10:S33)</f>
        <v>4714</v>
      </c>
      <c r="T41" s="16">
        <f t="shared" ref="T41:AF41" si="33">SUM(T10:T33)</f>
        <v>845</v>
      </c>
      <c r="U41" s="16">
        <f t="shared" si="33"/>
        <v>851</v>
      </c>
      <c r="V41" s="16">
        <f t="shared" si="33"/>
        <v>1928</v>
      </c>
      <c r="W41" s="16">
        <f t="shared" si="33"/>
        <v>193</v>
      </c>
      <c r="X41" s="16">
        <f t="shared" si="33"/>
        <v>60</v>
      </c>
      <c r="Y41" s="16">
        <f t="shared" si="33"/>
        <v>763</v>
      </c>
      <c r="Z41" s="16">
        <f t="shared" si="33"/>
        <v>939</v>
      </c>
      <c r="AA41" s="16">
        <f t="shared" si="33"/>
        <v>355</v>
      </c>
      <c r="AB41" s="16">
        <f t="shared" si="33"/>
        <v>401</v>
      </c>
      <c r="AC41" s="16">
        <f t="shared" si="33"/>
        <v>8221</v>
      </c>
      <c r="AD41" s="16">
        <f t="shared" si="33"/>
        <v>1</v>
      </c>
      <c r="AE41" s="32">
        <f t="shared" si="33"/>
        <v>10998</v>
      </c>
      <c r="AF41" s="32">
        <f t="shared" si="33"/>
        <v>19219</v>
      </c>
    </row>
    <row r="42" spans="2:32" ht="23.1" customHeight="1" x14ac:dyDescent="0.25">
      <c r="B42" s="46" t="s">
        <v>69</v>
      </c>
      <c r="C42" s="50">
        <v>86</v>
      </c>
      <c r="D42" s="50">
        <v>15</v>
      </c>
      <c r="E42" s="50">
        <v>12</v>
      </c>
      <c r="F42" s="50">
        <v>23</v>
      </c>
      <c r="G42" s="50">
        <v>1</v>
      </c>
      <c r="H42" s="50">
        <v>0</v>
      </c>
      <c r="I42" s="50">
        <v>13</v>
      </c>
      <c r="J42" s="50">
        <v>20</v>
      </c>
      <c r="K42" s="50">
        <v>2</v>
      </c>
      <c r="L42" s="50">
        <v>2</v>
      </c>
      <c r="M42" s="50">
        <v>127</v>
      </c>
      <c r="N42" s="50">
        <v>0</v>
      </c>
      <c r="O42" s="15">
        <f t="shared" si="0"/>
        <v>174</v>
      </c>
      <c r="P42" s="15">
        <f t="shared" si="1"/>
        <v>301</v>
      </c>
      <c r="R42" s="5" t="s">
        <v>160</v>
      </c>
      <c r="S42" s="48">
        <f>S41/S40</f>
        <v>1.4558369363804817</v>
      </c>
      <c r="T42" s="48">
        <f t="shared" ref="T42:AF42" si="34">T41/T40</f>
        <v>1.2426470588235294</v>
      </c>
      <c r="U42" s="48">
        <f t="shared" si="34"/>
        <v>1.472318339100346</v>
      </c>
      <c r="V42" s="48">
        <f t="shared" si="34"/>
        <v>1.5157232704402517</v>
      </c>
      <c r="W42" s="48">
        <f t="shared" si="34"/>
        <v>1.6355932203389831</v>
      </c>
      <c r="X42" s="48">
        <f t="shared" si="34"/>
        <v>1.7142857142857142</v>
      </c>
      <c r="Y42" s="48">
        <f t="shared" si="34"/>
        <v>1.472972972972973</v>
      </c>
      <c r="Z42" s="48">
        <f t="shared" si="34"/>
        <v>1.6949458483754514</v>
      </c>
      <c r="AA42" s="48">
        <f t="shared" si="34"/>
        <v>2.0402298850574714</v>
      </c>
      <c r="AB42" s="48">
        <f t="shared" si="34"/>
        <v>1.5482625482625483</v>
      </c>
      <c r="AC42" s="48">
        <f t="shared" si="34"/>
        <v>1.3138884449416652</v>
      </c>
      <c r="AD42" s="48" t="e">
        <f t="shared" si="34"/>
        <v>#DIV/0!</v>
      </c>
      <c r="AE42" s="48">
        <f t="shared" si="34"/>
        <v>1.481012658227848</v>
      </c>
      <c r="AF42" s="48">
        <f t="shared" si="34"/>
        <v>1.4045896367755608</v>
      </c>
    </row>
    <row r="43" spans="2:32" ht="23.1" customHeight="1" x14ac:dyDescent="0.25">
      <c r="B43" s="45" t="s">
        <v>70</v>
      </c>
      <c r="C43" s="50">
        <v>71</v>
      </c>
      <c r="D43" s="50">
        <v>23</v>
      </c>
      <c r="E43" s="50">
        <v>17</v>
      </c>
      <c r="F43" s="50">
        <v>30</v>
      </c>
      <c r="G43" s="50">
        <v>2</v>
      </c>
      <c r="H43" s="50">
        <v>1</v>
      </c>
      <c r="I43" s="50">
        <v>11</v>
      </c>
      <c r="J43" s="50">
        <v>18</v>
      </c>
      <c r="K43" s="50">
        <v>4</v>
      </c>
      <c r="L43" s="50">
        <v>1</v>
      </c>
      <c r="M43" s="50">
        <v>112</v>
      </c>
      <c r="N43" s="50">
        <v>0</v>
      </c>
      <c r="O43" s="15">
        <f t="shared" si="0"/>
        <v>178</v>
      </c>
      <c r="P43" s="15">
        <f t="shared" si="1"/>
        <v>290</v>
      </c>
    </row>
    <row r="44" spans="2:32" ht="23.1" customHeight="1" x14ac:dyDescent="0.25">
      <c r="B44" s="47" t="s">
        <v>71</v>
      </c>
      <c r="C44" s="50">
        <v>8</v>
      </c>
      <c r="D44" s="50">
        <v>25</v>
      </c>
      <c r="E44" s="50">
        <v>8</v>
      </c>
      <c r="F44" s="50">
        <v>26</v>
      </c>
      <c r="G44" s="50">
        <v>1</v>
      </c>
      <c r="H44" s="50">
        <v>0</v>
      </c>
      <c r="I44" s="50">
        <v>11</v>
      </c>
      <c r="J44" s="50">
        <v>12</v>
      </c>
      <c r="K44" s="50">
        <v>5</v>
      </c>
      <c r="L44" s="50">
        <v>11</v>
      </c>
      <c r="M44" s="50">
        <v>84</v>
      </c>
      <c r="N44" s="50">
        <v>0</v>
      </c>
      <c r="O44" s="15">
        <f t="shared" si="0"/>
        <v>107</v>
      </c>
      <c r="P44" s="15">
        <f t="shared" si="1"/>
        <v>191</v>
      </c>
    </row>
    <row r="45" spans="2:32" ht="23.1" customHeight="1" x14ac:dyDescent="0.25">
      <c r="B45" s="45" t="s">
        <v>72</v>
      </c>
      <c r="C45" s="50">
        <v>70</v>
      </c>
      <c r="D45" s="50">
        <v>23</v>
      </c>
      <c r="E45" s="50">
        <v>11</v>
      </c>
      <c r="F45" s="50">
        <v>22</v>
      </c>
      <c r="G45" s="50">
        <v>0</v>
      </c>
      <c r="H45" s="50">
        <v>0</v>
      </c>
      <c r="I45" s="50">
        <v>19</v>
      </c>
      <c r="J45" s="50">
        <v>16</v>
      </c>
      <c r="K45" s="50">
        <v>1</v>
      </c>
      <c r="L45" s="50">
        <v>10</v>
      </c>
      <c r="M45" s="50">
        <v>115</v>
      </c>
      <c r="N45" s="50">
        <v>0</v>
      </c>
      <c r="O45" s="15">
        <f t="shared" si="0"/>
        <v>172</v>
      </c>
      <c r="P45" s="15">
        <f t="shared" si="1"/>
        <v>287</v>
      </c>
    </row>
    <row r="46" spans="2:32" ht="23.1" customHeight="1" x14ac:dyDescent="0.25">
      <c r="B46" s="46" t="s">
        <v>73</v>
      </c>
      <c r="C46" s="50">
        <v>50</v>
      </c>
      <c r="D46" s="50">
        <v>11</v>
      </c>
      <c r="E46" s="50">
        <v>8</v>
      </c>
      <c r="F46" s="50">
        <v>21</v>
      </c>
      <c r="G46" s="50">
        <v>2</v>
      </c>
      <c r="H46" s="50">
        <v>0</v>
      </c>
      <c r="I46" s="50">
        <v>7</v>
      </c>
      <c r="J46" s="50">
        <v>14</v>
      </c>
      <c r="K46" s="50">
        <v>4</v>
      </c>
      <c r="L46" s="50">
        <v>6</v>
      </c>
      <c r="M46" s="50">
        <v>76</v>
      </c>
      <c r="N46" s="50">
        <v>0</v>
      </c>
      <c r="O46" s="15">
        <f t="shared" si="0"/>
        <v>123</v>
      </c>
      <c r="P46" s="15">
        <f t="shared" si="1"/>
        <v>199</v>
      </c>
      <c r="R46" s="8"/>
      <c r="T46"/>
    </row>
    <row r="47" spans="2:32" ht="23.1" customHeight="1" x14ac:dyDescent="0.25">
      <c r="B47" s="46" t="s">
        <v>74</v>
      </c>
      <c r="C47" s="50">
        <v>75</v>
      </c>
      <c r="D47" s="50">
        <v>16</v>
      </c>
      <c r="E47" s="50">
        <v>12</v>
      </c>
      <c r="F47" s="50">
        <v>25</v>
      </c>
      <c r="G47" s="50">
        <v>6</v>
      </c>
      <c r="H47" s="50">
        <v>0</v>
      </c>
      <c r="I47" s="50">
        <v>10</v>
      </c>
      <c r="J47" s="50">
        <v>1</v>
      </c>
      <c r="K47" s="50">
        <v>5</v>
      </c>
      <c r="L47" s="50">
        <v>10</v>
      </c>
      <c r="M47" s="50">
        <v>74</v>
      </c>
      <c r="N47" s="50">
        <v>0</v>
      </c>
      <c r="O47" s="15">
        <f t="shared" si="0"/>
        <v>160</v>
      </c>
      <c r="P47" s="15">
        <f t="shared" si="1"/>
        <v>234</v>
      </c>
      <c r="R47" s="8"/>
      <c r="T47"/>
    </row>
    <row r="48" spans="2:32" ht="23.1" customHeight="1" x14ac:dyDescent="0.25">
      <c r="B48" s="46" t="s">
        <v>75</v>
      </c>
      <c r="C48" s="50">
        <v>70</v>
      </c>
      <c r="D48" s="50">
        <v>10</v>
      </c>
      <c r="E48" s="50">
        <v>14</v>
      </c>
      <c r="F48" s="50">
        <v>20</v>
      </c>
      <c r="G48" s="50">
        <v>4</v>
      </c>
      <c r="H48" s="50">
        <v>1</v>
      </c>
      <c r="I48" s="50">
        <v>19</v>
      </c>
      <c r="J48" s="50">
        <v>9</v>
      </c>
      <c r="K48" s="50">
        <v>2</v>
      </c>
      <c r="L48" s="50">
        <v>6</v>
      </c>
      <c r="M48" s="50">
        <v>106</v>
      </c>
      <c r="N48" s="50">
        <v>0</v>
      </c>
      <c r="O48" s="15">
        <f t="shared" si="0"/>
        <v>155</v>
      </c>
      <c r="P48" s="15">
        <f t="shared" si="1"/>
        <v>261</v>
      </c>
      <c r="R48" s="8"/>
      <c r="T48"/>
    </row>
    <row r="49" spans="2:20" ht="23.1" customHeight="1" x14ac:dyDescent="0.25">
      <c r="B49" s="45" t="s">
        <v>76</v>
      </c>
      <c r="C49" s="50">
        <v>73</v>
      </c>
      <c r="D49" s="50">
        <v>25</v>
      </c>
      <c r="E49" s="50">
        <v>19</v>
      </c>
      <c r="F49" s="50">
        <v>14</v>
      </c>
      <c r="G49" s="50">
        <v>1</v>
      </c>
      <c r="H49" s="50">
        <v>0</v>
      </c>
      <c r="I49" s="50">
        <v>0</v>
      </c>
      <c r="J49" s="50">
        <v>12</v>
      </c>
      <c r="K49" s="50">
        <v>0</v>
      </c>
      <c r="L49" s="50">
        <v>4</v>
      </c>
      <c r="M49" s="50">
        <v>103</v>
      </c>
      <c r="N49" s="50">
        <v>0</v>
      </c>
      <c r="O49" s="15">
        <f t="shared" si="0"/>
        <v>148</v>
      </c>
      <c r="P49" s="15">
        <f t="shared" si="1"/>
        <v>251</v>
      </c>
      <c r="R49" s="8"/>
      <c r="T49"/>
    </row>
    <row r="50" spans="2:20" ht="23.1" customHeight="1" x14ac:dyDescent="0.25">
      <c r="B50" s="46" t="s">
        <v>77</v>
      </c>
      <c r="C50" s="50">
        <v>81</v>
      </c>
      <c r="D50" s="50">
        <v>17</v>
      </c>
      <c r="E50" s="50">
        <v>17</v>
      </c>
      <c r="F50" s="50">
        <v>42</v>
      </c>
      <c r="G50" s="50">
        <v>4</v>
      </c>
      <c r="H50" s="50">
        <v>0</v>
      </c>
      <c r="I50" s="50">
        <v>12</v>
      </c>
      <c r="J50" s="50">
        <v>9</v>
      </c>
      <c r="K50" s="50">
        <v>3</v>
      </c>
      <c r="L50" s="50">
        <v>3</v>
      </c>
      <c r="M50" s="50">
        <v>91</v>
      </c>
      <c r="N50" s="50">
        <v>0</v>
      </c>
      <c r="O50" s="15">
        <f t="shared" si="0"/>
        <v>188</v>
      </c>
      <c r="P50" s="15">
        <f t="shared" si="1"/>
        <v>279</v>
      </c>
      <c r="R50" s="8"/>
      <c r="T50"/>
    </row>
    <row r="51" spans="2:20" ht="23.1" customHeight="1" x14ac:dyDescent="0.25">
      <c r="B51" s="46" t="s">
        <v>78</v>
      </c>
      <c r="C51" s="50">
        <v>106</v>
      </c>
      <c r="D51" s="50">
        <v>11</v>
      </c>
      <c r="E51" s="50">
        <v>12</v>
      </c>
      <c r="F51" s="50">
        <v>25</v>
      </c>
      <c r="G51" s="50">
        <v>3</v>
      </c>
      <c r="H51" s="50">
        <v>0</v>
      </c>
      <c r="I51" s="50">
        <v>14</v>
      </c>
      <c r="J51" s="50">
        <v>15</v>
      </c>
      <c r="K51" s="50">
        <v>7</v>
      </c>
      <c r="L51" s="50">
        <v>8</v>
      </c>
      <c r="M51" s="50">
        <v>95</v>
      </c>
      <c r="N51" s="50">
        <v>0</v>
      </c>
      <c r="O51" s="15">
        <f t="shared" si="0"/>
        <v>201</v>
      </c>
      <c r="P51" s="15">
        <f t="shared" si="1"/>
        <v>296</v>
      </c>
      <c r="R51" s="8"/>
      <c r="T51"/>
    </row>
    <row r="52" spans="2:20" ht="23.1" customHeight="1" x14ac:dyDescent="0.25">
      <c r="B52" s="46" t="s">
        <v>79</v>
      </c>
      <c r="C52" s="50">
        <v>102</v>
      </c>
      <c r="D52" s="50">
        <v>20</v>
      </c>
      <c r="E52" s="50">
        <v>11</v>
      </c>
      <c r="F52" s="50">
        <v>35</v>
      </c>
      <c r="G52" s="50">
        <v>9</v>
      </c>
      <c r="H52" s="50">
        <v>1</v>
      </c>
      <c r="I52" s="50">
        <v>11</v>
      </c>
      <c r="J52" s="50">
        <v>9</v>
      </c>
      <c r="K52" s="50">
        <v>2</v>
      </c>
      <c r="L52" s="50">
        <v>5</v>
      </c>
      <c r="M52" s="50">
        <v>120</v>
      </c>
      <c r="N52" s="50">
        <v>0</v>
      </c>
      <c r="O52" s="15">
        <f t="shared" si="0"/>
        <v>205</v>
      </c>
      <c r="P52" s="15">
        <f t="shared" si="1"/>
        <v>325</v>
      </c>
      <c r="R52" s="8"/>
      <c r="T52"/>
    </row>
    <row r="53" spans="2:20" ht="23.1" customHeight="1" x14ac:dyDescent="0.25">
      <c r="B53" s="45" t="s">
        <v>80</v>
      </c>
      <c r="C53" s="50">
        <v>68</v>
      </c>
      <c r="D53" s="50">
        <v>12</v>
      </c>
      <c r="E53" s="50">
        <v>18</v>
      </c>
      <c r="F53" s="50">
        <v>50</v>
      </c>
      <c r="G53" s="50">
        <v>4</v>
      </c>
      <c r="H53" s="50">
        <v>0</v>
      </c>
      <c r="I53" s="50">
        <v>10</v>
      </c>
      <c r="J53" s="50">
        <v>21</v>
      </c>
      <c r="K53" s="50">
        <v>0</v>
      </c>
      <c r="L53" s="50">
        <v>3</v>
      </c>
      <c r="M53" s="50">
        <v>101</v>
      </c>
      <c r="N53" s="50">
        <v>0</v>
      </c>
      <c r="O53" s="15">
        <f t="shared" si="0"/>
        <v>186</v>
      </c>
      <c r="P53" s="15">
        <f t="shared" si="1"/>
        <v>287</v>
      </c>
      <c r="R53" s="8"/>
      <c r="T53"/>
    </row>
    <row r="54" spans="2:20" ht="23.1" customHeight="1" x14ac:dyDescent="0.25">
      <c r="B54" s="45" t="s">
        <v>81</v>
      </c>
      <c r="C54" s="50">
        <v>85</v>
      </c>
      <c r="D54" s="50">
        <v>12</v>
      </c>
      <c r="E54" s="50">
        <v>13</v>
      </c>
      <c r="F54" s="50">
        <v>48</v>
      </c>
      <c r="G54" s="50">
        <v>6</v>
      </c>
      <c r="H54" s="50">
        <v>2</v>
      </c>
      <c r="I54" s="50">
        <v>12</v>
      </c>
      <c r="J54" s="50">
        <v>13</v>
      </c>
      <c r="K54" s="50">
        <v>1</v>
      </c>
      <c r="L54" s="50">
        <v>3</v>
      </c>
      <c r="M54" s="50">
        <v>133</v>
      </c>
      <c r="N54" s="50">
        <v>0</v>
      </c>
      <c r="O54" s="15">
        <f t="shared" si="0"/>
        <v>195</v>
      </c>
      <c r="P54" s="15">
        <f t="shared" si="1"/>
        <v>328</v>
      </c>
      <c r="R54" s="8"/>
      <c r="T54"/>
    </row>
    <row r="55" spans="2:20" ht="23.1" customHeight="1" x14ac:dyDescent="0.25">
      <c r="B55" s="45" t="s">
        <v>82</v>
      </c>
      <c r="C55" s="50">
        <v>75</v>
      </c>
      <c r="D55" s="50">
        <v>15</v>
      </c>
      <c r="E55" s="50">
        <v>9</v>
      </c>
      <c r="F55" s="50">
        <v>49</v>
      </c>
      <c r="G55" s="50">
        <v>6</v>
      </c>
      <c r="H55" s="50">
        <v>1</v>
      </c>
      <c r="I55" s="50">
        <v>8</v>
      </c>
      <c r="J55" s="50">
        <v>22</v>
      </c>
      <c r="K55" s="50">
        <v>12</v>
      </c>
      <c r="L55" s="50">
        <v>5</v>
      </c>
      <c r="M55" s="50">
        <v>126</v>
      </c>
      <c r="N55" s="50">
        <v>0</v>
      </c>
      <c r="O55" s="15">
        <f t="shared" si="0"/>
        <v>202</v>
      </c>
      <c r="P55" s="15">
        <f t="shared" si="1"/>
        <v>328</v>
      </c>
      <c r="R55" s="8"/>
      <c r="T55"/>
    </row>
    <row r="56" spans="2:20" ht="23.1" customHeight="1" x14ac:dyDescent="0.25">
      <c r="B56" s="45" t="s">
        <v>83</v>
      </c>
      <c r="C56" s="50">
        <v>76</v>
      </c>
      <c r="D56" s="50">
        <v>14</v>
      </c>
      <c r="E56" s="50">
        <v>11</v>
      </c>
      <c r="F56" s="50">
        <v>34</v>
      </c>
      <c r="G56" s="50">
        <v>6</v>
      </c>
      <c r="H56" s="50">
        <v>0</v>
      </c>
      <c r="I56" s="50">
        <v>15</v>
      </c>
      <c r="J56" s="50">
        <v>12</v>
      </c>
      <c r="K56" s="50">
        <v>3</v>
      </c>
      <c r="L56" s="50">
        <v>4</v>
      </c>
      <c r="M56" s="50">
        <v>124</v>
      </c>
      <c r="N56" s="50">
        <v>0</v>
      </c>
      <c r="O56" s="15">
        <f t="shared" si="0"/>
        <v>175</v>
      </c>
      <c r="P56" s="15">
        <f t="shared" si="1"/>
        <v>299</v>
      </c>
      <c r="R56" s="8"/>
      <c r="T56"/>
    </row>
    <row r="57" spans="2:20" ht="23.1" customHeight="1" x14ac:dyDescent="0.25">
      <c r="B57" s="45" t="s">
        <v>84</v>
      </c>
      <c r="C57" s="50">
        <v>84</v>
      </c>
      <c r="D57" s="50">
        <v>20</v>
      </c>
      <c r="E57" s="50">
        <v>11</v>
      </c>
      <c r="F57" s="50">
        <v>45</v>
      </c>
      <c r="G57" s="50">
        <v>18</v>
      </c>
      <c r="H57" s="50">
        <v>3</v>
      </c>
      <c r="I57" s="50">
        <v>3</v>
      </c>
      <c r="J57" s="50">
        <v>13</v>
      </c>
      <c r="K57" s="50">
        <v>0</v>
      </c>
      <c r="L57" s="50">
        <v>5</v>
      </c>
      <c r="M57" s="50">
        <v>164</v>
      </c>
      <c r="N57" s="50">
        <v>0</v>
      </c>
      <c r="O57" s="15">
        <f t="shared" si="0"/>
        <v>202</v>
      </c>
      <c r="P57" s="15">
        <f t="shared" si="1"/>
        <v>366</v>
      </c>
      <c r="R57" s="8"/>
      <c r="T57"/>
    </row>
    <row r="58" spans="2:20" ht="23.1" customHeight="1" x14ac:dyDescent="0.25">
      <c r="B58" s="45" t="s">
        <v>99</v>
      </c>
      <c r="C58" s="50">
        <v>32</v>
      </c>
      <c r="D58" s="50">
        <v>3</v>
      </c>
      <c r="E58" s="50">
        <v>4</v>
      </c>
      <c r="F58" s="50">
        <v>10</v>
      </c>
      <c r="G58" s="50">
        <v>2</v>
      </c>
      <c r="H58" s="50">
        <v>1</v>
      </c>
      <c r="I58" s="50">
        <v>2</v>
      </c>
      <c r="J58" s="50">
        <v>1</v>
      </c>
      <c r="K58" s="50">
        <v>2</v>
      </c>
      <c r="L58" s="50">
        <v>0</v>
      </c>
      <c r="M58" s="50">
        <v>80</v>
      </c>
      <c r="N58" s="50">
        <v>0</v>
      </c>
      <c r="O58" s="15">
        <f t="shared" ref="O58:O105" si="35">SUM(C58:L58,N58)</f>
        <v>57</v>
      </c>
      <c r="P58" s="15">
        <f t="shared" ref="P58:P105" si="36">SUM(C58:N58)</f>
        <v>137</v>
      </c>
      <c r="R58" s="8"/>
      <c r="T58"/>
    </row>
    <row r="59" spans="2:20" ht="23.1" customHeight="1" x14ac:dyDescent="0.25">
      <c r="B59" s="45" t="s">
        <v>100</v>
      </c>
      <c r="C59" s="50">
        <v>70</v>
      </c>
      <c r="D59" s="50">
        <v>15</v>
      </c>
      <c r="E59" s="50">
        <v>20</v>
      </c>
      <c r="F59" s="50">
        <v>31</v>
      </c>
      <c r="G59" s="50">
        <v>7</v>
      </c>
      <c r="H59" s="50">
        <v>3</v>
      </c>
      <c r="I59" s="50">
        <v>5</v>
      </c>
      <c r="J59" s="50">
        <v>13</v>
      </c>
      <c r="K59" s="50">
        <v>2</v>
      </c>
      <c r="L59" s="50">
        <v>0</v>
      </c>
      <c r="M59" s="50">
        <v>100</v>
      </c>
      <c r="N59" s="50">
        <v>0</v>
      </c>
      <c r="O59" s="15">
        <f t="shared" si="35"/>
        <v>166</v>
      </c>
      <c r="P59" s="15">
        <f t="shared" si="36"/>
        <v>266</v>
      </c>
      <c r="R59" s="8"/>
      <c r="T59"/>
    </row>
    <row r="60" spans="2:20" ht="23.1" customHeight="1" x14ac:dyDescent="0.25">
      <c r="B60" s="45" t="s">
        <v>101</v>
      </c>
      <c r="C60" s="50">
        <v>76</v>
      </c>
      <c r="D60" s="50">
        <v>11</v>
      </c>
      <c r="E60" s="50">
        <v>11</v>
      </c>
      <c r="F60" s="50">
        <v>38</v>
      </c>
      <c r="G60" s="50">
        <v>14</v>
      </c>
      <c r="H60" s="50">
        <v>3</v>
      </c>
      <c r="I60" s="50">
        <v>16</v>
      </c>
      <c r="J60" s="50">
        <v>10</v>
      </c>
      <c r="K60" s="50">
        <v>7</v>
      </c>
      <c r="L60" s="50">
        <v>0</v>
      </c>
      <c r="M60" s="50">
        <v>105</v>
      </c>
      <c r="N60" s="50">
        <v>0</v>
      </c>
      <c r="O60" s="15">
        <f t="shared" si="35"/>
        <v>186</v>
      </c>
      <c r="P60" s="15">
        <f t="shared" si="36"/>
        <v>291</v>
      </c>
      <c r="R60" s="8"/>
      <c r="T60"/>
    </row>
    <row r="61" spans="2:20" ht="23.1" customHeight="1" x14ac:dyDescent="0.25">
      <c r="B61" s="45" t="s">
        <v>102</v>
      </c>
      <c r="C61" s="50">
        <v>75</v>
      </c>
      <c r="D61" s="50">
        <v>10</v>
      </c>
      <c r="E61" s="50">
        <v>11</v>
      </c>
      <c r="F61" s="50">
        <v>35</v>
      </c>
      <c r="G61" s="50">
        <v>5</v>
      </c>
      <c r="H61" s="50">
        <v>1</v>
      </c>
      <c r="I61" s="50">
        <v>10</v>
      </c>
      <c r="J61" s="50">
        <v>8</v>
      </c>
      <c r="K61" s="50">
        <v>2</v>
      </c>
      <c r="L61" s="50">
        <v>0</v>
      </c>
      <c r="M61" s="50">
        <v>70</v>
      </c>
      <c r="N61" s="50">
        <v>0</v>
      </c>
      <c r="O61" s="15">
        <f t="shared" si="35"/>
        <v>157</v>
      </c>
      <c r="P61" s="15">
        <f t="shared" si="36"/>
        <v>227</v>
      </c>
      <c r="R61" s="8"/>
      <c r="T61"/>
    </row>
    <row r="62" spans="2:20" ht="23.1" customHeight="1" x14ac:dyDescent="0.25">
      <c r="B62" s="45" t="s">
        <v>107</v>
      </c>
      <c r="C62" s="50">
        <v>43</v>
      </c>
      <c r="D62" s="50">
        <v>8</v>
      </c>
      <c r="E62" s="50">
        <v>8</v>
      </c>
      <c r="F62" s="50">
        <v>33</v>
      </c>
      <c r="G62" s="50">
        <v>5</v>
      </c>
      <c r="H62" s="50">
        <v>2</v>
      </c>
      <c r="I62" s="50">
        <v>2</v>
      </c>
      <c r="J62" s="50">
        <v>13</v>
      </c>
      <c r="K62" s="50">
        <v>8</v>
      </c>
      <c r="L62" s="50">
        <v>5</v>
      </c>
      <c r="M62" s="50">
        <v>45</v>
      </c>
      <c r="N62" s="50">
        <v>0</v>
      </c>
      <c r="O62" s="15">
        <f t="shared" si="35"/>
        <v>127</v>
      </c>
      <c r="P62" s="15">
        <f t="shared" si="36"/>
        <v>172</v>
      </c>
      <c r="R62" s="8"/>
      <c r="T62"/>
    </row>
    <row r="63" spans="2:20" ht="23.1" customHeight="1" x14ac:dyDescent="0.25">
      <c r="B63" s="45" t="s">
        <v>108</v>
      </c>
      <c r="C63" s="50">
        <v>45</v>
      </c>
      <c r="D63" s="50">
        <v>15</v>
      </c>
      <c r="E63" s="50">
        <v>20</v>
      </c>
      <c r="F63" s="50">
        <v>34</v>
      </c>
      <c r="G63" s="50">
        <v>6</v>
      </c>
      <c r="H63" s="50">
        <v>0</v>
      </c>
      <c r="I63" s="50">
        <v>12</v>
      </c>
      <c r="J63" s="50">
        <v>23</v>
      </c>
      <c r="K63" s="50">
        <v>6</v>
      </c>
      <c r="L63" s="50">
        <v>3</v>
      </c>
      <c r="M63" s="50">
        <v>75</v>
      </c>
      <c r="N63" s="50">
        <v>0</v>
      </c>
      <c r="O63" s="15">
        <f t="shared" si="35"/>
        <v>164</v>
      </c>
      <c r="P63" s="15">
        <f t="shared" si="36"/>
        <v>239</v>
      </c>
      <c r="R63" s="8"/>
      <c r="T63"/>
    </row>
    <row r="64" spans="2:20" ht="23.1" customHeight="1" x14ac:dyDescent="0.25">
      <c r="B64" s="45" t="s">
        <v>109</v>
      </c>
      <c r="C64" s="50">
        <v>54</v>
      </c>
      <c r="D64" s="50">
        <v>8</v>
      </c>
      <c r="E64" s="50">
        <v>8</v>
      </c>
      <c r="F64" s="50">
        <v>28</v>
      </c>
      <c r="G64" s="50">
        <v>1</v>
      </c>
      <c r="H64" s="50">
        <v>1</v>
      </c>
      <c r="I64" s="50">
        <v>7</v>
      </c>
      <c r="J64" s="50">
        <v>7</v>
      </c>
      <c r="K64" s="50">
        <v>3</v>
      </c>
      <c r="L64" s="50">
        <v>3</v>
      </c>
      <c r="M64" s="50">
        <v>78</v>
      </c>
      <c r="N64" s="50">
        <v>0</v>
      </c>
      <c r="O64" s="15">
        <f t="shared" si="35"/>
        <v>120</v>
      </c>
      <c r="P64" s="15">
        <f t="shared" si="36"/>
        <v>198</v>
      </c>
      <c r="R64" s="8"/>
      <c r="T64"/>
    </row>
    <row r="65" spans="2:20" ht="23.1" customHeight="1" x14ac:dyDescent="0.25">
      <c r="B65" s="45" t="s">
        <v>158</v>
      </c>
      <c r="C65" s="50">
        <v>63</v>
      </c>
      <c r="D65" s="50">
        <v>8</v>
      </c>
      <c r="E65" s="50">
        <v>11</v>
      </c>
      <c r="F65" s="50">
        <v>29</v>
      </c>
      <c r="G65" s="50">
        <v>5</v>
      </c>
      <c r="H65" s="50">
        <v>2</v>
      </c>
      <c r="I65" s="50">
        <v>5</v>
      </c>
      <c r="J65" s="50">
        <v>10</v>
      </c>
      <c r="K65" s="50">
        <v>8</v>
      </c>
      <c r="L65" s="50">
        <v>1</v>
      </c>
      <c r="M65" s="50">
        <v>78</v>
      </c>
      <c r="N65" s="50">
        <v>0</v>
      </c>
      <c r="O65" s="15">
        <f t="shared" si="35"/>
        <v>142</v>
      </c>
      <c r="P65" s="15">
        <f t="shared" si="36"/>
        <v>220</v>
      </c>
      <c r="R65" s="8"/>
      <c r="T65"/>
    </row>
    <row r="66" spans="2:20" ht="23.1" customHeight="1" x14ac:dyDescent="0.25">
      <c r="B66" s="45" t="s">
        <v>103</v>
      </c>
      <c r="C66" s="50">
        <v>79</v>
      </c>
      <c r="D66" s="50">
        <v>9</v>
      </c>
      <c r="E66" s="50">
        <v>9</v>
      </c>
      <c r="F66" s="50">
        <v>35</v>
      </c>
      <c r="G66" s="50">
        <v>5</v>
      </c>
      <c r="H66" s="50">
        <v>0</v>
      </c>
      <c r="I66" s="50">
        <v>2</v>
      </c>
      <c r="J66" s="50">
        <v>13</v>
      </c>
      <c r="K66" s="50">
        <v>7</v>
      </c>
      <c r="L66" s="50">
        <v>5</v>
      </c>
      <c r="M66" s="50">
        <v>85</v>
      </c>
      <c r="N66" s="50">
        <v>0</v>
      </c>
      <c r="O66" s="15">
        <f t="shared" si="35"/>
        <v>164</v>
      </c>
      <c r="P66" s="15">
        <f t="shared" si="36"/>
        <v>249</v>
      </c>
      <c r="R66" s="8"/>
      <c r="T66"/>
    </row>
    <row r="67" spans="2:20" ht="23.1" customHeight="1" x14ac:dyDescent="0.25">
      <c r="B67" s="45" t="s">
        <v>104</v>
      </c>
      <c r="C67" s="50">
        <v>40</v>
      </c>
      <c r="D67" s="50">
        <v>8</v>
      </c>
      <c r="E67" s="50">
        <v>17</v>
      </c>
      <c r="F67" s="50">
        <v>28</v>
      </c>
      <c r="G67" s="50">
        <v>2</v>
      </c>
      <c r="H67" s="50">
        <v>0</v>
      </c>
      <c r="I67" s="50">
        <v>6</v>
      </c>
      <c r="J67" s="50">
        <v>9</v>
      </c>
      <c r="K67" s="50">
        <v>5</v>
      </c>
      <c r="L67" s="50">
        <v>4</v>
      </c>
      <c r="M67" s="50">
        <v>93</v>
      </c>
      <c r="N67" s="50">
        <v>0</v>
      </c>
      <c r="O67" s="15">
        <f t="shared" si="35"/>
        <v>119</v>
      </c>
      <c r="P67" s="15">
        <f t="shared" si="36"/>
        <v>212</v>
      </c>
      <c r="R67" s="8"/>
      <c r="T67"/>
    </row>
    <row r="68" spans="2:20" ht="23.1" customHeight="1" x14ac:dyDescent="0.25">
      <c r="B68" s="45" t="s">
        <v>105</v>
      </c>
      <c r="C68" s="50">
        <v>63</v>
      </c>
      <c r="D68" s="50">
        <v>5</v>
      </c>
      <c r="E68" s="50">
        <v>7</v>
      </c>
      <c r="F68" s="50">
        <v>39</v>
      </c>
      <c r="G68" s="50">
        <v>1</v>
      </c>
      <c r="H68" s="50">
        <v>0</v>
      </c>
      <c r="I68" s="50">
        <v>1</v>
      </c>
      <c r="J68" s="50">
        <v>10</v>
      </c>
      <c r="K68" s="50">
        <v>0</v>
      </c>
      <c r="L68" s="50">
        <v>2</v>
      </c>
      <c r="M68" s="50">
        <v>83</v>
      </c>
      <c r="N68" s="50">
        <v>0</v>
      </c>
      <c r="O68" s="15">
        <f t="shared" si="35"/>
        <v>128</v>
      </c>
      <c r="P68" s="15">
        <f t="shared" si="36"/>
        <v>211</v>
      </c>
      <c r="R68" s="8"/>
      <c r="T68"/>
    </row>
    <row r="69" spans="2:20" ht="23.1" customHeight="1" x14ac:dyDescent="0.25">
      <c r="B69" s="45" t="s">
        <v>106</v>
      </c>
      <c r="C69" s="50">
        <v>62</v>
      </c>
      <c r="D69" s="50">
        <v>3</v>
      </c>
      <c r="E69" s="50">
        <v>7</v>
      </c>
      <c r="F69" s="50">
        <v>19</v>
      </c>
      <c r="G69" s="50">
        <v>2</v>
      </c>
      <c r="H69" s="50">
        <v>0</v>
      </c>
      <c r="I69" s="50">
        <v>3</v>
      </c>
      <c r="J69" s="50">
        <v>6</v>
      </c>
      <c r="K69" s="50">
        <v>0</v>
      </c>
      <c r="L69" s="50">
        <v>3</v>
      </c>
      <c r="M69" s="50">
        <v>66</v>
      </c>
      <c r="N69" s="50">
        <v>0</v>
      </c>
      <c r="O69" s="15">
        <f t="shared" si="35"/>
        <v>105</v>
      </c>
      <c r="P69" s="15">
        <f t="shared" si="36"/>
        <v>171</v>
      </c>
      <c r="R69" s="8"/>
      <c r="T69"/>
    </row>
    <row r="70" spans="2:20" ht="23.1" customHeight="1" x14ac:dyDescent="0.25">
      <c r="B70" s="45" t="s">
        <v>110</v>
      </c>
      <c r="C70" s="50">
        <v>40</v>
      </c>
      <c r="D70" s="50">
        <v>3</v>
      </c>
      <c r="E70" s="50">
        <v>12</v>
      </c>
      <c r="F70" s="50">
        <v>13</v>
      </c>
      <c r="G70" s="50">
        <v>0</v>
      </c>
      <c r="H70" s="50">
        <v>1</v>
      </c>
      <c r="I70" s="50">
        <v>2</v>
      </c>
      <c r="J70" s="50">
        <v>3</v>
      </c>
      <c r="K70" s="50">
        <v>4</v>
      </c>
      <c r="L70" s="50">
        <v>3</v>
      </c>
      <c r="M70" s="50">
        <v>67</v>
      </c>
      <c r="N70" s="50">
        <v>0</v>
      </c>
      <c r="O70" s="15">
        <f t="shared" si="35"/>
        <v>81</v>
      </c>
      <c r="P70" s="15">
        <f t="shared" si="36"/>
        <v>148</v>
      </c>
      <c r="R70" s="8"/>
      <c r="T70"/>
    </row>
    <row r="71" spans="2:20" ht="23.1" customHeight="1" x14ac:dyDescent="0.25">
      <c r="B71" s="45" t="s">
        <v>111</v>
      </c>
      <c r="C71" s="50">
        <v>55</v>
      </c>
      <c r="D71" s="50">
        <v>2</v>
      </c>
      <c r="E71" s="50">
        <v>12</v>
      </c>
      <c r="F71" s="50">
        <v>25</v>
      </c>
      <c r="G71" s="50">
        <v>0</v>
      </c>
      <c r="H71" s="50">
        <v>2</v>
      </c>
      <c r="I71" s="50">
        <v>3</v>
      </c>
      <c r="J71" s="50">
        <v>15</v>
      </c>
      <c r="K71" s="50">
        <v>2</v>
      </c>
      <c r="L71" s="50">
        <v>5</v>
      </c>
      <c r="M71" s="50">
        <v>70</v>
      </c>
      <c r="N71" s="50">
        <v>0</v>
      </c>
      <c r="O71" s="15">
        <f t="shared" si="35"/>
        <v>121</v>
      </c>
      <c r="P71" s="15">
        <f t="shared" si="36"/>
        <v>191</v>
      </c>
      <c r="R71" s="8"/>
      <c r="T71"/>
    </row>
    <row r="72" spans="2:20" ht="23.1" customHeight="1" x14ac:dyDescent="0.25">
      <c r="B72" s="45" t="s">
        <v>112</v>
      </c>
      <c r="C72" s="50">
        <v>51</v>
      </c>
      <c r="D72" s="50">
        <v>0</v>
      </c>
      <c r="E72" s="50">
        <v>10</v>
      </c>
      <c r="F72" s="50">
        <v>19</v>
      </c>
      <c r="G72" s="50">
        <v>0</v>
      </c>
      <c r="H72" s="50">
        <v>0</v>
      </c>
      <c r="I72" s="50">
        <v>7</v>
      </c>
      <c r="J72" s="50">
        <v>6</v>
      </c>
      <c r="K72" s="50">
        <v>5</v>
      </c>
      <c r="L72" s="50">
        <v>8</v>
      </c>
      <c r="M72" s="50">
        <v>57</v>
      </c>
      <c r="N72" s="50">
        <v>0</v>
      </c>
      <c r="O72" s="15">
        <f t="shared" si="35"/>
        <v>106</v>
      </c>
      <c r="P72" s="15">
        <f t="shared" si="36"/>
        <v>163</v>
      </c>
      <c r="R72" s="8"/>
      <c r="T72"/>
    </row>
    <row r="73" spans="2:20" ht="23.1" customHeight="1" x14ac:dyDescent="0.25">
      <c r="B73" s="45" t="s">
        <v>113</v>
      </c>
      <c r="C73" s="50">
        <v>51</v>
      </c>
      <c r="D73" s="50">
        <v>3</v>
      </c>
      <c r="E73" s="50">
        <v>8</v>
      </c>
      <c r="F73" s="50">
        <v>23</v>
      </c>
      <c r="G73" s="50">
        <v>0</v>
      </c>
      <c r="H73" s="50">
        <v>0</v>
      </c>
      <c r="I73" s="50">
        <v>3</v>
      </c>
      <c r="J73" s="50">
        <v>1</v>
      </c>
      <c r="K73" s="50">
        <v>3</v>
      </c>
      <c r="L73" s="50">
        <v>3</v>
      </c>
      <c r="M73" s="50">
        <v>75</v>
      </c>
      <c r="N73" s="50">
        <v>0</v>
      </c>
      <c r="O73" s="15">
        <f t="shared" si="35"/>
        <v>95</v>
      </c>
      <c r="P73" s="15">
        <f t="shared" si="36"/>
        <v>170</v>
      </c>
      <c r="R73" s="8"/>
      <c r="T73"/>
    </row>
    <row r="74" spans="2:20" ht="23.1" customHeight="1" x14ac:dyDescent="0.25">
      <c r="B74" s="45" t="s">
        <v>114</v>
      </c>
      <c r="C74" s="50">
        <v>38</v>
      </c>
      <c r="D74" s="50">
        <v>2</v>
      </c>
      <c r="E74" s="50">
        <v>6</v>
      </c>
      <c r="F74" s="50">
        <v>17</v>
      </c>
      <c r="G74" s="50">
        <v>0</v>
      </c>
      <c r="H74" s="50">
        <v>1</v>
      </c>
      <c r="I74" s="50">
        <v>7</v>
      </c>
      <c r="J74" s="50">
        <v>4</v>
      </c>
      <c r="K74" s="50">
        <v>4</v>
      </c>
      <c r="L74" s="50">
        <v>4</v>
      </c>
      <c r="M74" s="50">
        <v>57</v>
      </c>
      <c r="N74" s="50">
        <v>0</v>
      </c>
      <c r="O74" s="15">
        <f t="shared" si="35"/>
        <v>83</v>
      </c>
      <c r="P74" s="15">
        <f t="shared" si="36"/>
        <v>140</v>
      </c>
      <c r="R74" s="8"/>
      <c r="T74"/>
    </row>
    <row r="75" spans="2:20" ht="23.1" customHeight="1" x14ac:dyDescent="0.25">
      <c r="B75" s="45" t="s">
        <v>115</v>
      </c>
      <c r="C75" s="50">
        <v>27</v>
      </c>
      <c r="D75" s="50">
        <v>3</v>
      </c>
      <c r="E75" s="50">
        <v>7</v>
      </c>
      <c r="F75" s="50">
        <v>10</v>
      </c>
      <c r="G75" s="50">
        <v>3</v>
      </c>
      <c r="H75" s="50">
        <v>0</v>
      </c>
      <c r="I75" s="50">
        <v>6</v>
      </c>
      <c r="J75" s="50">
        <v>2</v>
      </c>
      <c r="K75" s="50">
        <v>7</v>
      </c>
      <c r="L75" s="50">
        <v>3</v>
      </c>
      <c r="M75" s="50">
        <v>52</v>
      </c>
      <c r="N75" s="50">
        <v>0</v>
      </c>
      <c r="O75" s="15">
        <f t="shared" si="35"/>
        <v>68</v>
      </c>
      <c r="P75" s="15">
        <f t="shared" si="36"/>
        <v>120</v>
      </c>
      <c r="R75" s="8"/>
      <c r="T75"/>
    </row>
    <row r="76" spans="2:20" ht="23.1" customHeight="1" x14ac:dyDescent="0.25">
      <c r="B76" s="45" t="s">
        <v>116</v>
      </c>
      <c r="C76" s="50">
        <v>30</v>
      </c>
      <c r="D76" s="50">
        <v>0</v>
      </c>
      <c r="E76" s="50">
        <v>8</v>
      </c>
      <c r="F76" s="50">
        <v>5</v>
      </c>
      <c r="G76" s="50">
        <v>0</v>
      </c>
      <c r="H76" s="50">
        <v>0</v>
      </c>
      <c r="I76" s="50">
        <v>6</v>
      </c>
      <c r="J76" s="50">
        <v>2</v>
      </c>
      <c r="K76" s="50">
        <v>4</v>
      </c>
      <c r="L76" s="50">
        <v>0</v>
      </c>
      <c r="M76" s="50">
        <v>65</v>
      </c>
      <c r="N76" s="50">
        <v>0</v>
      </c>
      <c r="O76" s="15">
        <f t="shared" si="35"/>
        <v>55</v>
      </c>
      <c r="P76" s="15">
        <f t="shared" si="36"/>
        <v>120</v>
      </c>
      <c r="R76" s="8"/>
      <c r="T76"/>
    </row>
    <row r="77" spans="2:20" ht="23.1" customHeight="1" x14ac:dyDescent="0.25">
      <c r="B77" s="45" t="s">
        <v>117</v>
      </c>
      <c r="C77" s="50">
        <v>20</v>
      </c>
      <c r="D77" s="50">
        <v>5</v>
      </c>
      <c r="E77" s="50">
        <v>3</v>
      </c>
      <c r="F77" s="50">
        <v>3</v>
      </c>
      <c r="G77" s="50">
        <v>2</v>
      </c>
      <c r="H77" s="50">
        <v>0</v>
      </c>
      <c r="I77" s="50">
        <v>3</v>
      </c>
      <c r="J77" s="50">
        <v>8</v>
      </c>
      <c r="K77" s="50">
        <v>5</v>
      </c>
      <c r="L77" s="50">
        <v>2</v>
      </c>
      <c r="M77" s="50">
        <v>39</v>
      </c>
      <c r="N77" s="50">
        <v>0</v>
      </c>
      <c r="O77" s="15">
        <f t="shared" si="35"/>
        <v>51</v>
      </c>
      <c r="P77" s="15">
        <f t="shared" si="36"/>
        <v>90</v>
      </c>
      <c r="R77" s="8"/>
      <c r="T77"/>
    </row>
    <row r="78" spans="2:20" ht="23.1" customHeight="1" x14ac:dyDescent="0.25">
      <c r="B78" s="46" t="s">
        <v>118</v>
      </c>
      <c r="C78" s="50">
        <v>23</v>
      </c>
      <c r="D78" s="50">
        <v>3</v>
      </c>
      <c r="E78" s="50">
        <v>8</v>
      </c>
      <c r="F78" s="50">
        <v>3</v>
      </c>
      <c r="G78" s="50">
        <v>1</v>
      </c>
      <c r="H78" s="50">
        <v>0</v>
      </c>
      <c r="I78" s="50">
        <v>3</v>
      </c>
      <c r="J78" s="50">
        <v>4</v>
      </c>
      <c r="K78" s="50">
        <v>2</v>
      </c>
      <c r="L78" s="50">
        <v>5</v>
      </c>
      <c r="M78" s="50">
        <v>34</v>
      </c>
      <c r="N78" s="50">
        <v>0</v>
      </c>
      <c r="O78" s="15">
        <f t="shared" si="35"/>
        <v>52</v>
      </c>
      <c r="P78" s="15">
        <f t="shared" si="36"/>
        <v>86</v>
      </c>
      <c r="R78" s="8"/>
      <c r="T78"/>
    </row>
    <row r="79" spans="2:20" ht="23.1" customHeight="1" x14ac:dyDescent="0.25">
      <c r="B79" s="45" t="s">
        <v>119</v>
      </c>
      <c r="C79" s="50">
        <v>41</v>
      </c>
      <c r="D79" s="50">
        <v>0</v>
      </c>
      <c r="E79" s="50">
        <v>2</v>
      </c>
      <c r="F79" s="50">
        <v>5</v>
      </c>
      <c r="G79" s="50">
        <v>2</v>
      </c>
      <c r="H79" s="50">
        <v>0</v>
      </c>
      <c r="I79" s="50">
        <v>5</v>
      </c>
      <c r="J79" s="50">
        <v>4</v>
      </c>
      <c r="K79" s="50">
        <v>4</v>
      </c>
      <c r="L79" s="50">
        <v>4</v>
      </c>
      <c r="M79" s="50">
        <v>36</v>
      </c>
      <c r="N79" s="50">
        <v>0</v>
      </c>
      <c r="O79" s="15">
        <f t="shared" si="35"/>
        <v>67</v>
      </c>
      <c r="P79" s="15">
        <f t="shared" si="36"/>
        <v>103</v>
      </c>
      <c r="R79" s="8"/>
      <c r="T79"/>
    </row>
    <row r="80" spans="2:20" ht="23.1" customHeight="1" x14ac:dyDescent="0.25">
      <c r="B80" s="47" t="s">
        <v>120</v>
      </c>
      <c r="C80" s="50">
        <v>21</v>
      </c>
      <c r="D80" s="50">
        <v>2</v>
      </c>
      <c r="E80" s="50">
        <v>5</v>
      </c>
      <c r="F80" s="50">
        <v>4</v>
      </c>
      <c r="G80" s="50">
        <v>0</v>
      </c>
      <c r="H80" s="50">
        <v>0</v>
      </c>
      <c r="I80" s="50">
        <v>4</v>
      </c>
      <c r="J80" s="50">
        <v>3</v>
      </c>
      <c r="K80" s="50">
        <v>6</v>
      </c>
      <c r="L80" s="50">
        <v>2</v>
      </c>
      <c r="M80" s="50">
        <v>20</v>
      </c>
      <c r="N80" s="50">
        <v>0</v>
      </c>
      <c r="O80" s="15">
        <f t="shared" si="35"/>
        <v>47</v>
      </c>
      <c r="P80" s="15">
        <f t="shared" si="36"/>
        <v>67</v>
      </c>
      <c r="R80" s="8"/>
      <c r="T80"/>
    </row>
    <row r="81" spans="2:20" ht="23.1" customHeight="1" x14ac:dyDescent="0.25">
      <c r="B81" s="45" t="s">
        <v>121</v>
      </c>
      <c r="C81" s="50">
        <v>19</v>
      </c>
      <c r="D81" s="50">
        <v>0</v>
      </c>
      <c r="E81" s="50">
        <v>1</v>
      </c>
      <c r="F81" s="50">
        <v>3</v>
      </c>
      <c r="G81" s="50">
        <v>0</v>
      </c>
      <c r="H81" s="50">
        <v>0</v>
      </c>
      <c r="I81" s="50">
        <v>5</v>
      </c>
      <c r="J81" s="50">
        <v>0</v>
      </c>
      <c r="K81" s="50">
        <v>15</v>
      </c>
      <c r="L81" s="50">
        <v>1</v>
      </c>
      <c r="M81" s="50">
        <v>19</v>
      </c>
      <c r="N81" s="50">
        <v>0</v>
      </c>
      <c r="O81" s="15">
        <f t="shared" si="35"/>
        <v>44</v>
      </c>
      <c r="P81" s="15">
        <f t="shared" si="36"/>
        <v>63</v>
      </c>
      <c r="R81" s="8"/>
      <c r="T81"/>
    </row>
    <row r="82" spans="2:20" ht="23.1" customHeight="1" x14ac:dyDescent="0.25">
      <c r="B82" s="46" t="s">
        <v>122</v>
      </c>
      <c r="C82" s="50">
        <v>16</v>
      </c>
      <c r="D82" s="50">
        <v>1</v>
      </c>
      <c r="E82" s="50">
        <v>1</v>
      </c>
      <c r="F82" s="50">
        <v>4</v>
      </c>
      <c r="G82" s="50">
        <v>0</v>
      </c>
      <c r="H82" s="50">
        <v>0</v>
      </c>
      <c r="I82" s="50">
        <v>3</v>
      </c>
      <c r="J82" s="50">
        <v>5</v>
      </c>
      <c r="K82" s="50">
        <v>13</v>
      </c>
      <c r="L82" s="50">
        <v>3</v>
      </c>
      <c r="M82" s="50">
        <v>15</v>
      </c>
      <c r="N82" s="50">
        <v>0</v>
      </c>
      <c r="O82" s="15">
        <f t="shared" si="35"/>
        <v>46</v>
      </c>
      <c r="P82" s="15">
        <f t="shared" si="36"/>
        <v>61</v>
      </c>
      <c r="R82" s="8"/>
      <c r="T82"/>
    </row>
    <row r="83" spans="2:20" ht="23.1" customHeight="1" x14ac:dyDescent="0.25">
      <c r="B83" s="45" t="s">
        <v>123</v>
      </c>
      <c r="C83" s="50">
        <v>6</v>
      </c>
      <c r="D83" s="50">
        <v>2</v>
      </c>
      <c r="E83" s="50">
        <v>2</v>
      </c>
      <c r="F83" s="50">
        <v>1</v>
      </c>
      <c r="G83" s="50">
        <v>0</v>
      </c>
      <c r="H83" s="50">
        <v>0</v>
      </c>
      <c r="I83" s="50">
        <v>1</v>
      </c>
      <c r="J83" s="50">
        <v>1</v>
      </c>
      <c r="K83" s="50">
        <v>5</v>
      </c>
      <c r="L83" s="50">
        <v>2</v>
      </c>
      <c r="M83" s="50">
        <v>11</v>
      </c>
      <c r="N83" s="50">
        <v>0</v>
      </c>
      <c r="O83" s="15">
        <f t="shared" si="35"/>
        <v>20</v>
      </c>
      <c r="P83" s="15">
        <f t="shared" si="36"/>
        <v>31</v>
      </c>
      <c r="R83" s="8"/>
      <c r="T83"/>
    </row>
    <row r="84" spans="2:20" ht="23.1" customHeight="1" x14ac:dyDescent="0.25">
      <c r="B84" s="47" t="s">
        <v>124</v>
      </c>
      <c r="C84" s="50">
        <v>9</v>
      </c>
      <c r="D84" s="50">
        <v>1</v>
      </c>
      <c r="E84" s="50">
        <v>3</v>
      </c>
      <c r="F84" s="50">
        <v>1</v>
      </c>
      <c r="G84" s="50">
        <v>0</v>
      </c>
      <c r="H84" s="50">
        <v>0</v>
      </c>
      <c r="I84" s="50">
        <v>1</v>
      </c>
      <c r="J84" s="50">
        <v>1</v>
      </c>
      <c r="K84" s="50">
        <v>6</v>
      </c>
      <c r="L84" s="50">
        <v>0</v>
      </c>
      <c r="M84" s="50">
        <v>11</v>
      </c>
      <c r="N84" s="50">
        <v>0</v>
      </c>
      <c r="O84" s="15">
        <f t="shared" si="35"/>
        <v>22</v>
      </c>
      <c r="P84" s="15">
        <f t="shared" si="36"/>
        <v>33</v>
      </c>
      <c r="R84" s="8"/>
      <c r="T84"/>
    </row>
    <row r="85" spans="2:20" ht="23.1" customHeight="1" x14ac:dyDescent="0.25">
      <c r="B85" s="45" t="s">
        <v>125</v>
      </c>
      <c r="C85" s="50">
        <v>9</v>
      </c>
      <c r="D85" s="50">
        <v>3</v>
      </c>
      <c r="E85" s="50">
        <v>6</v>
      </c>
      <c r="F85" s="50">
        <v>0</v>
      </c>
      <c r="G85" s="50">
        <v>0</v>
      </c>
      <c r="H85" s="50">
        <v>0</v>
      </c>
      <c r="I85" s="50">
        <v>2</v>
      </c>
      <c r="J85" s="50">
        <v>2</v>
      </c>
      <c r="K85" s="50">
        <v>10</v>
      </c>
      <c r="L85" s="50">
        <v>3</v>
      </c>
      <c r="M85" s="50">
        <v>17</v>
      </c>
      <c r="N85" s="50">
        <v>0</v>
      </c>
      <c r="O85" s="15">
        <f t="shared" si="35"/>
        <v>35</v>
      </c>
      <c r="P85" s="15">
        <f t="shared" si="36"/>
        <v>52</v>
      </c>
      <c r="R85" s="8"/>
      <c r="T85"/>
    </row>
    <row r="86" spans="2:20" ht="23.1" customHeight="1" x14ac:dyDescent="0.25">
      <c r="B86" s="46" t="s">
        <v>126</v>
      </c>
      <c r="C86" s="50">
        <v>5</v>
      </c>
      <c r="D86" s="50">
        <v>0</v>
      </c>
      <c r="E86" s="50">
        <v>2</v>
      </c>
      <c r="F86" s="50">
        <v>1</v>
      </c>
      <c r="G86" s="50">
        <v>0</v>
      </c>
      <c r="H86" s="50">
        <v>0</v>
      </c>
      <c r="I86" s="50">
        <v>4</v>
      </c>
      <c r="J86" s="50">
        <v>2</v>
      </c>
      <c r="K86" s="50">
        <v>10</v>
      </c>
      <c r="L86" s="50">
        <v>1</v>
      </c>
      <c r="M86" s="50">
        <v>9</v>
      </c>
      <c r="N86" s="50">
        <v>0</v>
      </c>
      <c r="O86" s="15">
        <f t="shared" si="35"/>
        <v>25</v>
      </c>
      <c r="P86" s="15">
        <f t="shared" si="36"/>
        <v>34</v>
      </c>
      <c r="R86" s="8"/>
      <c r="T86"/>
    </row>
    <row r="87" spans="2:20" ht="23.1" customHeight="1" x14ac:dyDescent="0.25">
      <c r="B87" s="45" t="s">
        <v>127</v>
      </c>
      <c r="C87" s="50">
        <v>5</v>
      </c>
      <c r="D87" s="50">
        <v>0</v>
      </c>
      <c r="E87" s="50">
        <v>4</v>
      </c>
      <c r="F87" s="50">
        <v>1</v>
      </c>
      <c r="G87" s="50">
        <v>0</v>
      </c>
      <c r="H87" s="50">
        <v>0</v>
      </c>
      <c r="I87" s="50">
        <v>3</v>
      </c>
      <c r="J87" s="50">
        <v>1</v>
      </c>
      <c r="K87" s="50">
        <v>4</v>
      </c>
      <c r="L87" s="50">
        <v>2</v>
      </c>
      <c r="M87" s="50">
        <v>5</v>
      </c>
      <c r="N87" s="50">
        <v>0</v>
      </c>
      <c r="O87" s="15">
        <f t="shared" si="35"/>
        <v>20</v>
      </c>
      <c r="P87" s="15">
        <f t="shared" si="36"/>
        <v>25</v>
      </c>
      <c r="R87" s="8"/>
      <c r="T87"/>
    </row>
    <row r="88" spans="2:20" ht="23.1" customHeight="1" x14ac:dyDescent="0.25">
      <c r="B88" s="47" t="s">
        <v>128</v>
      </c>
      <c r="C88" s="50">
        <v>9</v>
      </c>
      <c r="D88" s="50">
        <v>0</v>
      </c>
      <c r="E88" s="50">
        <v>1</v>
      </c>
      <c r="F88" s="50">
        <v>2</v>
      </c>
      <c r="G88" s="50">
        <v>0</v>
      </c>
      <c r="H88" s="50">
        <v>0</v>
      </c>
      <c r="I88" s="50">
        <v>4</v>
      </c>
      <c r="J88" s="50">
        <v>1</v>
      </c>
      <c r="K88" s="50">
        <v>6</v>
      </c>
      <c r="L88" s="50">
        <v>3</v>
      </c>
      <c r="M88" s="50">
        <v>5</v>
      </c>
      <c r="N88" s="50">
        <v>0</v>
      </c>
      <c r="O88" s="15">
        <f t="shared" si="35"/>
        <v>26</v>
      </c>
      <c r="P88" s="15">
        <f t="shared" si="36"/>
        <v>31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1</v>
      </c>
      <c r="E89" s="50">
        <v>1</v>
      </c>
      <c r="F89" s="50">
        <v>2</v>
      </c>
      <c r="G89" s="50">
        <v>0</v>
      </c>
      <c r="H89" s="50">
        <v>0</v>
      </c>
      <c r="I89" s="50">
        <v>3</v>
      </c>
      <c r="J89" s="50">
        <v>8</v>
      </c>
      <c r="K89" s="50">
        <v>6</v>
      </c>
      <c r="L89" s="50">
        <v>2</v>
      </c>
      <c r="M89" s="50">
        <v>11</v>
      </c>
      <c r="N89" s="50">
        <v>0</v>
      </c>
      <c r="O89" s="15">
        <f t="shared" si="35"/>
        <v>25</v>
      </c>
      <c r="P89" s="15">
        <f t="shared" si="36"/>
        <v>36</v>
      </c>
      <c r="R89" s="8"/>
      <c r="T89"/>
    </row>
    <row r="90" spans="2:20" ht="23.1" customHeight="1" x14ac:dyDescent="0.25">
      <c r="B90" s="46" t="s">
        <v>130</v>
      </c>
      <c r="C90" s="50">
        <v>5</v>
      </c>
      <c r="D90" s="50">
        <v>0</v>
      </c>
      <c r="E90" s="50">
        <v>0</v>
      </c>
      <c r="F90" s="50">
        <v>2</v>
      </c>
      <c r="G90" s="50">
        <v>0</v>
      </c>
      <c r="H90" s="50">
        <v>0</v>
      </c>
      <c r="I90" s="50">
        <v>6</v>
      </c>
      <c r="J90" s="50">
        <v>15</v>
      </c>
      <c r="K90" s="50">
        <v>2</v>
      </c>
      <c r="L90" s="50">
        <v>3</v>
      </c>
      <c r="M90" s="50">
        <v>5</v>
      </c>
      <c r="N90" s="50">
        <v>0</v>
      </c>
      <c r="O90" s="15">
        <f t="shared" si="35"/>
        <v>33</v>
      </c>
      <c r="P90" s="15">
        <f t="shared" si="36"/>
        <v>38</v>
      </c>
      <c r="R90" s="8"/>
      <c r="T90"/>
    </row>
    <row r="91" spans="2:20" ht="23.1" customHeight="1" x14ac:dyDescent="0.25">
      <c r="B91" s="45" t="s">
        <v>131</v>
      </c>
      <c r="C91" s="50">
        <v>8</v>
      </c>
      <c r="D91" s="50">
        <v>1</v>
      </c>
      <c r="E91" s="50">
        <v>2</v>
      </c>
      <c r="F91" s="50">
        <v>1</v>
      </c>
      <c r="G91" s="50">
        <v>1</v>
      </c>
      <c r="H91" s="50">
        <v>0</v>
      </c>
      <c r="I91" s="50">
        <v>6</v>
      </c>
      <c r="J91" s="50">
        <v>18</v>
      </c>
      <c r="K91" s="50">
        <v>0</v>
      </c>
      <c r="L91" s="50">
        <v>0</v>
      </c>
      <c r="M91" s="50">
        <v>12</v>
      </c>
      <c r="N91" s="50">
        <v>0</v>
      </c>
      <c r="O91" s="15">
        <f t="shared" si="35"/>
        <v>37</v>
      </c>
      <c r="P91" s="15">
        <f t="shared" si="36"/>
        <v>49</v>
      </c>
      <c r="R91" s="8"/>
      <c r="T91"/>
    </row>
    <row r="92" spans="2:20" ht="23.1" customHeight="1" x14ac:dyDescent="0.25">
      <c r="B92" s="47" t="s">
        <v>132</v>
      </c>
      <c r="C92" s="50">
        <v>7</v>
      </c>
      <c r="D92" s="50">
        <v>2</v>
      </c>
      <c r="E92" s="50">
        <v>1</v>
      </c>
      <c r="F92" s="50">
        <v>1</v>
      </c>
      <c r="G92" s="50">
        <v>0</v>
      </c>
      <c r="H92" s="50">
        <v>0</v>
      </c>
      <c r="I92" s="50">
        <v>5</v>
      </c>
      <c r="J92" s="50">
        <v>8</v>
      </c>
      <c r="K92" s="50">
        <v>0</v>
      </c>
      <c r="L92" s="50">
        <v>2</v>
      </c>
      <c r="M92" s="50">
        <v>5</v>
      </c>
      <c r="N92" s="50">
        <v>0</v>
      </c>
      <c r="O92" s="15">
        <f t="shared" si="35"/>
        <v>26</v>
      </c>
      <c r="P92" s="15">
        <f t="shared" si="36"/>
        <v>31</v>
      </c>
      <c r="R92" s="8"/>
      <c r="T92"/>
    </row>
    <row r="93" spans="2:20" ht="23.1" customHeight="1" x14ac:dyDescent="0.25">
      <c r="B93" s="45" t="s">
        <v>133</v>
      </c>
      <c r="C93" s="50">
        <v>8</v>
      </c>
      <c r="D93" s="50">
        <v>0</v>
      </c>
      <c r="E93" s="50">
        <v>0</v>
      </c>
      <c r="F93" s="50">
        <v>2</v>
      </c>
      <c r="G93" s="50">
        <v>0</v>
      </c>
      <c r="H93" s="50">
        <v>0</v>
      </c>
      <c r="I93" s="50">
        <v>6</v>
      </c>
      <c r="J93" s="50">
        <v>12</v>
      </c>
      <c r="K93" s="50">
        <v>0</v>
      </c>
      <c r="L93" s="50">
        <v>2</v>
      </c>
      <c r="M93" s="50">
        <v>10</v>
      </c>
      <c r="N93" s="50">
        <v>0</v>
      </c>
      <c r="O93" s="15">
        <f t="shared" si="35"/>
        <v>30</v>
      </c>
      <c r="P93" s="15">
        <f t="shared" si="36"/>
        <v>40</v>
      </c>
      <c r="R93" s="8"/>
      <c r="T93"/>
    </row>
    <row r="94" spans="2:20" ht="23.1" customHeight="1" x14ac:dyDescent="0.25">
      <c r="B94" s="46" t="s">
        <v>134</v>
      </c>
      <c r="C94" s="50">
        <v>11</v>
      </c>
      <c r="D94" s="50">
        <v>2</v>
      </c>
      <c r="E94" s="50">
        <v>2</v>
      </c>
      <c r="F94" s="50">
        <v>2</v>
      </c>
      <c r="G94" s="50">
        <v>0</v>
      </c>
      <c r="H94" s="50">
        <v>1</v>
      </c>
      <c r="I94" s="50">
        <v>2</v>
      </c>
      <c r="J94" s="50">
        <v>15</v>
      </c>
      <c r="K94" s="50">
        <v>0</v>
      </c>
      <c r="L94" s="50">
        <v>3</v>
      </c>
      <c r="M94" s="50">
        <v>9</v>
      </c>
      <c r="N94" s="50">
        <v>0</v>
      </c>
      <c r="O94" s="15">
        <f t="shared" si="35"/>
        <v>38</v>
      </c>
      <c r="P94" s="15">
        <f t="shared" si="36"/>
        <v>47</v>
      </c>
      <c r="R94" s="8"/>
      <c r="T94"/>
    </row>
    <row r="95" spans="2:20" ht="23.1" customHeight="1" x14ac:dyDescent="0.25">
      <c r="B95" s="45" t="s">
        <v>135</v>
      </c>
      <c r="C95" s="50">
        <v>9</v>
      </c>
      <c r="D95" s="50">
        <v>0</v>
      </c>
      <c r="E95" s="50">
        <v>3</v>
      </c>
      <c r="F95" s="50">
        <v>4</v>
      </c>
      <c r="G95" s="50">
        <v>1</v>
      </c>
      <c r="H95" s="50">
        <v>0</v>
      </c>
      <c r="I95" s="50">
        <v>2</v>
      </c>
      <c r="J95" s="50">
        <v>7</v>
      </c>
      <c r="K95" s="50">
        <v>0</v>
      </c>
      <c r="L95" s="50">
        <v>1</v>
      </c>
      <c r="M95" s="50">
        <v>7</v>
      </c>
      <c r="N95" s="50">
        <v>0</v>
      </c>
      <c r="O95" s="15">
        <f t="shared" si="35"/>
        <v>27</v>
      </c>
      <c r="P95" s="15">
        <f t="shared" si="36"/>
        <v>34</v>
      </c>
      <c r="R95" s="8"/>
      <c r="T95"/>
    </row>
    <row r="96" spans="2:20" ht="23.1" customHeight="1" x14ac:dyDescent="0.25">
      <c r="B96" s="47" t="s">
        <v>136</v>
      </c>
      <c r="C96" s="50">
        <v>9</v>
      </c>
      <c r="D96" s="50">
        <v>3</v>
      </c>
      <c r="E96" s="50">
        <v>2</v>
      </c>
      <c r="F96" s="50">
        <v>1</v>
      </c>
      <c r="G96" s="50">
        <v>1</v>
      </c>
      <c r="H96" s="50">
        <v>0</v>
      </c>
      <c r="I96" s="50">
        <v>3</v>
      </c>
      <c r="J96" s="50">
        <v>5</v>
      </c>
      <c r="K96" s="50">
        <v>1</v>
      </c>
      <c r="L96" s="50">
        <v>2</v>
      </c>
      <c r="M96" s="50">
        <v>15</v>
      </c>
      <c r="N96" s="50">
        <v>0</v>
      </c>
      <c r="O96" s="15">
        <f t="shared" si="35"/>
        <v>27</v>
      </c>
      <c r="P96" s="15">
        <f t="shared" si="36"/>
        <v>42</v>
      </c>
      <c r="R96" s="8"/>
      <c r="T96"/>
    </row>
    <row r="97" spans="2:20" ht="23.1" customHeight="1" x14ac:dyDescent="0.25">
      <c r="B97" s="45" t="s">
        <v>137</v>
      </c>
      <c r="C97" s="50">
        <v>6</v>
      </c>
      <c r="D97" s="50">
        <v>0</v>
      </c>
      <c r="E97" s="50">
        <v>3</v>
      </c>
      <c r="F97" s="50">
        <v>6</v>
      </c>
      <c r="G97" s="50">
        <v>1</v>
      </c>
      <c r="H97" s="50">
        <v>1</v>
      </c>
      <c r="I97" s="50">
        <v>6</v>
      </c>
      <c r="J97" s="50">
        <v>11</v>
      </c>
      <c r="K97" s="50">
        <v>2</v>
      </c>
      <c r="L97" s="50">
        <v>2</v>
      </c>
      <c r="M97" s="50">
        <v>12</v>
      </c>
      <c r="N97" s="50">
        <v>0</v>
      </c>
      <c r="O97" s="15">
        <f t="shared" si="35"/>
        <v>38</v>
      </c>
      <c r="P97" s="15">
        <f t="shared" si="36"/>
        <v>50</v>
      </c>
      <c r="R97" s="8"/>
      <c r="T97"/>
    </row>
    <row r="98" spans="2:20" ht="23.1" customHeight="1" x14ac:dyDescent="0.25">
      <c r="B98" s="46" t="s">
        <v>138</v>
      </c>
      <c r="C98" s="50">
        <v>12</v>
      </c>
      <c r="D98" s="50">
        <v>0</v>
      </c>
      <c r="E98" s="50">
        <v>2</v>
      </c>
      <c r="F98" s="50">
        <v>5</v>
      </c>
      <c r="G98" s="50">
        <v>1</v>
      </c>
      <c r="H98" s="50">
        <v>0</v>
      </c>
      <c r="I98" s="50">
        <v>4</v>
      </c>
      <c r="J98" s="50">
        <v>4</v>
      </c>
      <c r="K98" s="50">
        <v>0</v>
      </c>
      <c r="L98" s="50">
        <v>3</v>
      </c>
      <c r="M98" s="50">
        <v>16</v>
      </c>
      <c r="N98" s="50">
        <v>0</v>
      </c>
      <c r="O98" s="15">
        <f t="shared" si="35"/>
        <v>31</v>
      </c>
      <c r="P98" s="15">
        <f t="shared" si="36"/>
        <v>47</v>
      </c>
      <c r="R98" s="8"/>
      <c r="T98"/>
    </row>
    <row r="99" spans="2:20" ht="23.1" customHeight="1" x14ac:dyDescent="0.25">
      <c r="B99" s="45" t="s">
        <v>139</v>
      </c>
      <c r="C99" s="50">
        <v>12</v>
      </c>
      <c r="D99" s="50">
        <v>2</v>
      </c>
      <c r="E99" s="50">
        <v>2</v>
      </c>
      <c r="F99" s="50">
        <v>12</v>
      </c>
      <c r="G99" s="50">
        <v>0</v>
      </c>
      <c r="H99" s="50">
        <v>0</v>
      </c>
      <c r="I99" s="50">
        <v>4</v>
      </c>
      <c r="J99" s="50">
        <v>9</v>
      </c>
      <c r="K99" s="50">
        <v>1</v>
      </c>
      <c r="L99" s="50">
        <v>5</v>
      </c>
      <c r="M99" s="50">
        <v>16</v>
      </c>
      <c r="N99" s="50">
        <v>0</v>
      </c>
      <c r="O99" s="15">
        <f t="shared" si="35"/>
        <v>47</v>
      </c>
      <c r="P99" s="15">
        <f t="shared" si="36"/>
        <v>63</v>
      </c>
      <c r="R99" s="8"/>
      <c r="T99"/>
    </row>
    <row r="100" spans="2:20" ht="23.1" customHeight="1" x14ac:dyDescent="0.25">
      <c r="B100" s="47" t="s">
        <v>140</v>
      </c>
      <c r="C100" s="50">
        <v>18</v>
      </c>
      <c r="D100" s="50">
        <v>0</v>
      </c>
      <c r="E100" s="50">
        <v>5</v>
      </c>
      <c r="F100" s="50">
        <v>13</v>
      </c>
      <c r="G100" s="50">
        <v>3</v>
      </c>
      <c r="H100" s="50">
        <v>0</v>
      </c>
      <c r="I100" s="50">
        <v>6</v>
      </c>
      <c r="J100" s="50">
        <v>15</v>
      </c>
      <c r="K100" s="50">
        <v>1</v>
      </c>
      <c r="L100" s="50">
        <v>9</v>
      </c>
      <c r="M100" s="50">
        <v>21</v>
      </c>
      <c r="N100" s="50">
        <v>0</v>
      </c>
      <c r="O100" s="15">
        <f t="shared" si="35"/>
        <v>70</v>
      </c>
      <c r="P100" s="15">
        <f t="shared" si="36"/>
        <v>91</v>
      </c>
      <c r="R100" s="8"/>
      <c r="T100"/>
    </row>
    <row r="101" spans="2:20" ht="23.1" customHeight="1" x14ac:dyDescent="0.25">
      <c r="B101" s="45" t="s">
        <v>141</v>
      </c>
      <c r="C101" s="50">
        <v>23</v>
      </c>
      <c r="D101" s="50">
        <v>4</v>
      </c>
      <c r="E101" s="50">
        <v>3</v>
      </c>
      <c r="F101" s="50">
        <v>17</v>
      </c>
      <c r="G101" s="50">
        <v>0</v>
      </c>
      <c r="H101" s="50">
        <v>2</v>
      </c>
      <c r="I101" s="50">
        <v>3</v>
      </c>
      <c r="J101" s="50">
        <v>17</v>
      </c>
      <c r="K101" s="50">
        <v>1</v>
      </c>
      <c r="L101" s="50">
        <v>7</v>
      </c>
      <c r="M101" s="50">
        <v>27</v>
      </c>
      <c r="N101" s="50">
        <v>0</v>
      </c>
      <c r="O101" s="15">
        <f t="shared" si="35"/>
        <v>77</v>
      </c>
      <c r="P101" s="15">
        <f t="shared" si="36"/>
        <v>104</v>
      </c>
      <c r="R101" s="8"/>
      <c r="T101"/>
    </row>
    <row r="102" spans="2:20" ht="23.1" customHeight="1" x14ac:dyDescent="0.25">
      <c r="B102" s="46" t="s">
        <v>142</v>
      </c>
      <c r="C102" s="50">
        <v>16</v>
      </c>
      <c r="D102" s="50">
        <v>1</v>
      </c>
      <c r="E102" s="50">
        <v>5</v>
      </c>
      <c r="F102" s="50">
        <v>14</v>
      </c>
      <c r="G102" s="50">
        <v>0</v>
      </c>
      <c r="H102" s="50">
        <v>0</v>
      </c>
      <c r="I102" s="50">
        <v>12</v>
      </c>
      <c r="J102" s="50">
        <v>10</v>
      </c>
      <c r="K102" s="50">
        <v>1</v>
      </c>
      <c r="L102" s="50">
        <v>1</v>
      </c>
      <c r="M102" s="50">
        <v>31</v>
      </c>
      <c r="N102" s="50">
        <v>1</v>
      </c>
      <c r="O102" s="15">
        <f t="shared" si="35"/>
        <v>61</v>
      </c>
      <c r="P102" s="15">
        <f t="shared" si="36"/>
        <v>92</v>
      </c>
      <c r="R102" s="8"/>
      <c r="T102"/>
    </row>
    <row r="103" spans="2:20" ht="23.1" customHeight="1" x14ac:dyDescent="0.25">
      <c r="B103" s="45" t="s">
        <v>143</v>
      </c>
      <c r="C103" s="50">
        <v>34</v>
      </c>
      <c r="D103" s="50">
        <v>2</v>
      </c>
      <c r="E103" s="50">
        <v>4</v>
      </c>
      <c r="F103" s="50">
        <v>29</v>
      </c>
      <c r="G103" s="50">
        <v>0</v>
      </c>
      <c r="H103" s="50">
        <v>3</v>
      </c>
      <c r="I103" s="50">
        <v>15</v>
      </c>
      <c r="J103" s="50">
        <v>17</v>
      </c>
      <c r="K103" s="50">
        <v>0</v>
      </c>
      <c r="L103" s="50">
        <v>5</v>
      </c>
      <c r="M103" s="50">
        <v>42</v>
      </c>
      <c r="N103" s="50">
        <v>0</v>
      </c>
      <c r="O103" s="15">
        <f t="shared" si="35"/>
        <v>109</v>
      </c>
      <c r="P103" s="15">
        <f t="shared" si="36"/>
        <v>151</v>
      </c>
      <c r="R103" s="8"/>
      <c r="T103"/>
    </row>
    <row r="104" spans="2:20" ht="23.1" customHeight="1" x14ac:dyDescent="0.25">
      <c r="B104" s="47" t="s">
        <v>144</v>
      </c>
      <c r="C104" s="50">
        <v>27</v>
      </c>
      <c r="D104" s="50">
        <v>10</v>
      </c>
      <c r="E104" s="50">
        <v>1</v>
      </c>
      <c r="F104" s="50">
        <v>18</v>
      </c>
      <c r="G104" s="50">
        <v>4</v>
      </c>
      <c r="H104" s="50">
        <v>1</v>
      </c>
      <c r="I104" s="50">
        <v>9</v>
      </c>
      <c r="J104" s="50">
        <v>12</v>
      </c>
      <c r="K104" s="50">
        <v>0</v>
      </c>
      <c r="L104" s="50">
        <v>6</v>
      </c>
      <c r="M104" s="50">
        <v>48</v>
      </c>
      <c r="N104" s="50">
        <v>0</v>
      </c>
      <c r="O104" s="15">
        <f t="shared" si="35"/>
        <v>88</v>
      </c>
      <c r="P104" s="15">
        <f t="shared" si="36"/>
        <v>136</v>
      </c>
      <c r="R104" s="8"/>
      <c r="T104"/>
    </row>
    <row r="105" spans="2:20" ht="23.1" customHeight="1" x14ac:dyDescent="0.25">
      <c r="B105" s="45" t="s">
        <v>145</v>
      </c>
      <c r="C105" s="50">
        <v>40</v>
      </c>
      <c r="D105" s="50">
        <v>4</v>
      </c>
      <c r="E105" s="50">
        <v>3</v>
      </c>
      <c r="F105" s="50">
        <v>28</v>
      </c>
      <c r="G105" s="50">
        <v>0</v>
      </c>
      <c r="H105" s="50">
        <v>0</v>
      </c>
      <c r="I105" s="50">
        <v>10</v>
      </c>
      <c r="J105" s="50">
        <v>14</v>
      </c>
      <c r="K105" s="50">
        <v>1</v>
      </c>
      <c r="L105" s="50">
        <v>9</v>
      </c>
      <c r="M105" s="50">
        <v>55</v>
      </c>
      <c r="N105" s="50">
        <v>0</v>
      </c>
      <c r="O105" s="15">
        <f t="shared" si="35"/>
        <v>109</v>
      </c>
      <c r="P105" s="15">
        <f t="shared" si="36"/>
        <v>164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4662</v>
      </c>
      <c r="D106" s="16">
        <f t="shared" ref="D106:P106" si="37">SUM(D10:D105)</f>
        <v>845</v>
      </c>
      <c r="E106" s="16">
        <f t="shared" si="37"/>
        <v>851</v>
      </c>
      <c r="F106" s="16">
        <f t="shared" si="37"/>
        <v>1928</v>
      </c>
      <c r="G106" s="16">
        <f t="shared" si="37"/>
        <v>193</v>
      </c>
      <c r="H106" s="16">
        <f t="shared" si="37"/>
        <v>60</v>
      </c>
      <c r="I106" s="16">
        <f t="shared" si="37"/>
        <v>763</v>
      </c>
      <c r="J106" s="16">
        <f t="shared" si="37"/>
        <v>939</v>
      </c>
      <c r="K106" s="16">
        <f t="shared" si="37"/>
        <v>355</v>
      </c>
      <c r="L106" s="16">
        <f t="shared" si="37"/>
        <v>401</v>
      </c>
      <c r="M106" s="16">
        <f t="shared" si="37"/>
        <v>8221</v>
      </c>
      <c r="N106" s="16">
        <f t="shared" si="37"/>
        <v>1</v>
      </c>
      <c r="O106" s="16">
        <f t="shared" si="37"/>
        <v>10998</v>
      </c>
      <c r="P106" s="16">
        <f t="shared" si="37"/>
        <v>19219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0.24257245434205735</v>
      </c>
      <c r="D107" s="43">
        <f t="shared" si="38"/>
        <v>4.3966907747541494E-2</v>
      </c>
      <c r="E107" s="43">
        <f t="shared" si="38"/>
        <v>4.4279098808470786E-2</v>
      </c>
      <c r="F107" s="43">
        <f t="shared" si="38"/>
        <v>0.10031739424527811</v>
      </c>
      <c r="G107" s="43">
        <f t="shared" si="38"/>
        <v>1.0042145793225455E-2</v>
      </c>
      <c r="H107" s="43">
        <f t="shared" si="38"/>
        <v>3.1219106092928873E-3</v>
      </c>
      <c r="I107" s="43">
        <f t="shared" si="38"/>
        <v>3.970029658150788E-2</v>
      </c>
      <c r="J107" s="43">
        <f t="shared" si="38"/>
        <v>4.8857901035433686E-2</v>
      </c>
      <c r="K107" s="43">
        <f t="shared" si="38"/>
        <v>1.8471304438316249E-2</v>
      </c>
      <c r="L107" s="43">
        <f t="shared" si="38"/>
        <v>2.0864769238774131E-2</v>
      </c>
      <c r="M107" s="43">
        <f t="shared" si="38"/>
        <v>0.42775378531661379</v>
      </c>
      <c r="N107" s="43">
        <f t="shared" si="38"/>
        <v>5.2031843488214785E-5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0.4238952536824877</v>
      </c>
      <c r="D108" s="44">
        <f t="shared" ref="D108:N108" si="39">D106/$O$106</f>
        <v>7.6832151300236406E-2</v>
      </c>
      <c r="E108" s="44">
        <f t="shared" si="39"/>
        <v>7.7377705037279504E-2</v>
      </c>
      <c r="F108" s="44">
        <f t="shared" si="39"/>
        <v>0.17530460083651572</v>
      </c>
      <c r="G108" s="44">
        <f t="shared" si="39"/>
        <v>1.7548645208219676E-2</v>
      </c>
      <c r="H108" s="44">
        <f t="shared" si="39"/>
        <v>5.4555373704309879E-3</v>
      </c>
      <c r="I108" s="44">
        <f t="shared" si="39"/>
        <v>6.9376250227314057E-2</v>
      </c>
      <c r="J108" s="44">
        <f t="shared" si="39"/>
        <v>8.5379159847244951E-2</v>
      </c>
      <c r="K108" s="44">
        <f t="shared" si="39"/>
        <v>3.2278596108383344E-2</v>
      </c>
      <c r="L108" s="44">
        <f t="shared" si="39"/>
        <v>3.6461174759047102E-2</v>
      </c>
      <c r="M108" s="44"/>
      <c r="N108" s="44">
        <f t="shared" si="39"/>
        <v>9.0925622840516454E-5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6" zoomScale="75" zoomScaleSheetLayoutView="75" workbookViewId="0">
      <selection activeCell="O5" sqref="O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'22.07 Busega-Masanafu'!C3:G3</f>
        <v>MCC - C1 - STN13 - NORTHERN BYPASS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'26.07 Busega-Masanafu-24h'!D5</f>
        <v>26.07.19</v>
      </c>
      <c r="E5" s="3"/>
      <c r="F5" s="41" t="s">
        <v>1</v>
      </c>
      <c r="G5" s="64" t="str">
        <f>'26.07 Busega-Masanafu-24h'!G5:H5</f>
        <v>NORTHERN BYPASS</v>
      </c>
      <c r="H5" s="65"/>
      <c r="I5" s="14"/>
      <c r="J5" s="2" t="s">
        <v>5</v>
      </c>
      <c r="K5" s="64" t="str">
        <f>'26.07 Busega-Masanafu-24h'!K5:L5</f>
        <v>SSEMUKO SAMUEL JUNIOR W/MUTEBI CHRISTOPHER/SSEMWOGERERE FREDRICK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'22.07 Masanafu-Busega'!D6:E6</f>
        <v>MASANAFU</v>
      </c>
      <c r="E6" s="65"/>
      <c r="F6" s="2" t="s">
        <v>2</v>
      </c>
      <c r="G6" s="64" t="str">
        <f>'23.07 Masanafu-Busega'!G6:H6</f>
        <v>BUSEGA</v>
      </c>
      <c r="H6" s="65"/>
      <c r="J6" s="2" t="s">
        <v>21</v>
      </c>
      <c r="K6" s="64" t="str">
        <f>'26.07 Busega-Masanafu-24h'!K6:L6</f>
        <v>ANDY/ANDREW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57</v>
      </c>
      <c r="D10" s="50">
        <v>12</v>
      </c>
      <c r="E10" s="50">
        <v>7</v>
      </c>
      <c r="F10" s="50">
        <v>20</v>
      </c>
      <c r="G10" s="50">
        <v>3</v>
      </c>
      <c r="H10" s="50">
        <v>0</v>
      </c>
      <c r="I10" s="50">
        <v>8</v>
      </c>
      <c r="J10" s="50">
        <v>6</v>
      </c>
      <c r="K10" s="50">
        <v>1</v>
      </c>
      <c r="L10" s="50">
        <v>4</v>
      </c>
      <c r="M10" s="50">
        <v>79</v>
      </c>
      <c r="N10" s="50">
        <v>0</v>
      </c>
      <c r="O10" s="15">
        <f t="shared" ref="O10:O73" si="0">SUM(C10:L10,N10)</f>
        <v>118</v>
      </c>
      <c r="P10" s="15">
        <f t="shared" ref="P10:P73" si="1">SUM(C10:N10)</f>
        <v>197</v>
      </c>
      <c r="R10" s="1" t="s">
        <v>6</v>
      </c>
      <c r="S10" s="17">
        <f t="shared" ref="S10:AF10" si="2">SUM(C10:C13)</f>
        <v>290</v>
      </c>
      <c r="T10" s="17">
        <f t="shared" si="2"/>
        <v>40</v>
      </c>
      <c r="U10" s="17">
        <f t="shared" si="2"/>
        <v>33</v>
      </c>
      <c r="V10" s="17">
        <f t="shared" si="2"/>
        <v>104</v>
      </c>
      <c r="W10" s="17">
        <f t="shared" si="2"/>
        <v>11</v>
      </c>
      <c r="X10" s="17">
        <f t="shared" si="2"/>
        <v>5</v>
      </c>
      <c r="Y10" s="17">
        <f t="shared" si="2"/>
        <v>33</v>
      </c>
      <c r="Z10" s="17">
        <f t="shared" si="2"/>
        <v>16</v>
      </c>
      <c r="AA10" s="17">
        <f t="shared" si="2"/>
        <v>12</v>
      </c>
      <c r="AB10" s="17">
        <f t="shared" si="2"/>
        <v>13</v>
      </c>
      <c r="AC10" s="17">
        <f t="shared" si="2"/>
        <v>460</v>
      </c>
      <c r="AD10" s="17">
        <f t="shared" si="2"/>
        <v>0</v>
      </c>
      <c r="AE10" s="31">
        <f t="shared" si="2"/>
        <v>557</v>
      </c>
      <c r="AF10" s="31">
        <f t="shared" si="2"/>
        <v>1017</v>
      </c>
    </row>
    <row r="11" spans="2:32" s="6" customFormat="1" ht="23.1" customHeight="1" x14ac:dyDescent="0.25">
      <c r="B11" s="45" t="s">
        <v>38</v>
      </c>
      <c r="C11" s="50">
        <v>81</v>
      </c>
      <c r="D11" s="50">
        <v>6</v>
      </c>
      <c r="E11" s="50">
        <v>11</v>
      </c>
      <c r="F11" s="50">
        <v>24</v>
      </c>
      <c r="G11" s="50">
        <v>4</v>
      </c>
      <c r="H11" s="50">
        <v>0</v>
      </c>
      <c r="I11" s="50">
        <v>8</v>
      </c>
      <c r="J11" s="50">
        <v>2</v>
      </c>
      <c r="K11" s="50">
        <v>7</v>
      </c>
      <c r="L11" s="50">
        <v>4</v>
      </c>
      <c r="M11" s="50">
        <v>118</v>
      </c>
      <c r="N11" s="50">
        <v>0</v>
      </c>
      <c r="O11" s="15">
        <f t="shared" si="0"/>
        <v>147</v>
      </c>
      <c r="P11" s="15">
        <f t="shared" si="1"/>
        <v>265</v>
      </c>
      <c r="R11" s="1" t="s">
        <v>7</v>
      </c>
      <c r="S11" s="17">
        <f t="shared" ref="S11:AF11" si="3">SUM(C14:C17)</f>
        <v>275</v>
      </c>
      <c r="T11" s="17">
        <f t="shared" si="3"/>
        <v>45</v>
      </c>
      <c r="U11" s="17">
        <f t="shared" si="3"/>
        <v>34</v>
      </c>
      <c r="V11" s="17">
        <f t="shared" si="3"/>
        <v>154</v>
      </c>
      <c r="W11" s="17">
        <f t="shared" si="3"/>
        <v>5</v>
      </c>
      <c r="X11" s="17">
        <f t="shared" si="3"/>
        <v>1</v>
      </c>
      <c r="Y11" s="17">
        <f t="shared" si="3"/>
        <v>55</v>
      </c>
      <c r="Z11" s="17">
        <f t="shared" si="3"/>
        <v>22</v>
      </c>
      <c r="AA11" s="17">
        <f t="shared" si="3"/>
        <v>13</v>
      </c>
      <c r="AB11" s="17">
        <f t="shared" si="3"/>
        <v>16</v>
      </c>
      <c r="AC11" s="17">
        <f t="shared" si="3"/>
        <v>511</v>
      </c>
      <c r="AD11" s="17">
        <f t="shared" si="3"/>
        <v>0</v>
      </c>
      <c r="AE11" s="31">
        <f t="shared" si="3"/>
        <v>620</v>
      </c>
      <c r="AF11" s="31">
        <f t="shared" si="3"/>
        <v>1131</v>
      </c>
    </row>
    <row r="12" spans="2:32" ht="23.1" customHeight="1" x14ac:dyDescent="0.25">
      <c r="B12" s="45" t="s">
        <v>39</v>
      </c>
      <c r="C12" s="50">
        <v>75</v>
      </c>
      <c r="D12" s="50">
        <v>10</v>
      </c>
      <c r="E12" s="50">
        <v>7</v>
      </c>
      <c r="F12" s="50">
        <v>27</v>
      </c>
      <c r="G12" s="50">
        <v>3</v>
      </c>
      <c r="H12" s="50">
        <v>2</v>
      </c>
      <c r="I12" s="50">
        <v>6</v>
      </c>
      <c r="J12" s="50">
        <v>3</v>
      </c>
      <c r="K12" s="50">
        <v>0</v>
      </c>
      <c r="L12" s="50">
        <v>1</v>
      </c>
      <c r="M12" s="50">
        <v>143</v>
      </c>
      <c r="N12" s="50">
        <v>0</v>
      </c>
      <c r="O12" s="15">
        <f t="shared" si="0"/>
        <v>134</v>
      </c>
      <c r="P12" s="15">
        <f t="shared" si="1"/>
        <v>277</v>
      </c>
      <c r="R12" s="1" t="s">
        <v>8</v>
      </c>
      <c r="S12" s="17">
        <f t="shared" ref="S12:AF12" si="4">SUM(C18:C21)</f>
        <v>291</v>
      </c>
      <c r="T12" s="17">
        <f t="shared" si="4"/>
        <v>41</v>
      </c>
      <c r="U12" s="17">
        <f t="shared" si="4"/>
        <v>37</v>
      </c>
      <c r="V12" s="17">
        <f t="shared" si="4"/>
        <v>168</v>
      </c>
      <c r="W12" s="17">
        <f t="shared" si="4"/>
        <v>20</v>
      </c>
      <c r="X12" s="17">
        <f t="shared" si="4"/>
        <v>3</v>
      </c>
      <c r="Y12" s="17">
        <f t="shared" si="4"/>
        <v>51</v>
      </c>
      <c r="Z12" s="17">
        <f t="shared" si="4"/>
        <v>15</v>
      </c>
      <c r="AA12" s="17">
        <f t="shared" si="4"/>
        <v>10</v>
      </c>
      <c r="AB12" s="17">
        <f t="shared" si="4"/>
        <v>18</v>
      </c>
      <c r="AC12" s="17">
        <f t="shared" si="4"/>
        <v>473</v>
      </c>
      <c r="AD12" s="17">
        <f t="shared" si="4"/>
        <v>0</v>
      </c>
      <c r="AE12" s="31">
        <f t="shared" si="4"/>
        <v>654</v>
      </c>
      <c r="AF12" s="31">
        <f t="shared" si="4"/>
        <v>1127</v>
      </c>
    </row>
    <row r="13" spans="2:32" ht="23.1" customHeight="1" x14ac:dyDescent="0.25">
      <c r="B13" s="45" t="s">
        <v>40</v>
      </c>
      <c r="C13" s="50">
        <v>77</v>
      </c>
      <c r="D13" s="50">
        <v>12</v>
      </c>
      <c r="E13" s="50">
        <v>8</v>
      </c>
      <c r="F13" s="50">
        <v>33</v>
      </c>
      <c r="G13" s="50">
        <v>1</v>
      </c>
      <c r="H13" s="50">
        <v>3</v>
      </c>
      <c r="I13" s="50">
        <v>11</v>
      </c>
      <c r="J13" s="50">
        <v>5</v>
      </c>
      <c r="K13" s="50">
        <v>4</v>
      </c>
      <c r="L13" s="50">
        <v>4</v>
      </c>
      <c r="M13" s="50">
        <v>120</v>
      </c>
      <c r="N13" s="50">
        <v>0</v>
      </c>
      <c r="O13" s="15">
        <f t="shared" si="0"/>
        <v>158</v>
      </c>
      <c r="P13" s="15">
        <f t="shared" si="1"/>
        <v>278</v>
      </c>
      <c r="R13" s="1" t="s">
        <v>9</v>
      </c>
      <c r="S13" s="17">
        <f t="shared" ref="S13:AF13" si="5">SUM(C22:C25)</f>
        <v>276</v>
      </c>
      <c r="T13" s="17">
        <f t="shared" si="5"/>
        <v>35</v>
      </c>
      <c r="U13" s="17">
        <f t="shared" si="5"/>
        <v>36</v>
      </c>
      <c r="V13" s="17">
        <f t="shared" si="5"/>
        <v>186</v>
      </c>
      <c r="W13" s="17">
        <f t="shared" si="5"/>
        <v>28</v>
      </c>
      <c r="X13" s="17">
        <f t="shared" si="5"/>
        <v>8</v>
      </c>
      <c r="Y13" s="17">
        <f t="shared" si="5"/>
        <v>61</v>
      </c>
      <c r="Z13" s="17">
        <f t="shared" si="5"/>
        <v>26</v>
      </c>
      <c r="AA13" s="17">
        <f t="shared" si="5"/>
        <v>19</v>
      </c>
      <c r="AB13" s="17">
        <f t="shared" si="5"/>
        <v>13</v>
      </c>
      <c r="AC13" s="17">
        <f t="shared" si="5"/>
        <v>428</v>
      </c>
      <c r="AD13" s="17">
        <f t="shared" si="5"/>
        <v>0</v>
      </c>
      <c r="AE13" s="31">
        <f t="shared" si="5"/>
        <v>688</v>
      </c>
      <c r="AF13" s="31">
        <f t="shared" si="5"/>
        <v>1116</v>
      </c>
    </row>
    <row r="14" spans="2:32" ht="23.1" customHeight="1" x14ac:dyDescent="0.25">
      <c r="B14" s="45" t="s">
        <v>41</v>
      </c>
      <c r="C14" s="50">
        <v>70</v>
      </c>
      <c r="D14" s="50">
        <v>15</v>
      </c>
      <c r="E14" s="50">
        <v>8</v>
      </c>
      <c r="F14" s="50">
        <v>41</v>
      </c>
      <c r="G14" s="50">
        <v>0</v>
      </c>
      <c r="H14" s="50">
        <v>0</v>
      </c>
      <c r="I14" s="50">
        <v>10</v>
      </c>
      <c r="J14" s="50">
        <v>11</v>
      </c>
      <c r="K14" s="50">
        <v>1</v>
      </c>
      <c r="L14" s="50">
        <v>1</v>
      </c>
      <c r="M14" s="50">
        <v>125</v>
      </c>
      <c r="N14" s="50">
        <v>0</v>
      </c>
      <c r="O14" s="15">
        <f t="shared" si="0"/>
        <v>157</v>
      </c>
      <c r="P14" s="15">
        <f t="shared" si="1"/>
        <v>282</v>
      </c>
      <c r="R14" s="1" t="s">
        <v>10</v>
      </c>
      <c r="S14" s="17">
        <f t="shared" ref="S14:AF14" si="6">SUM(C26:C29)</f>
        <v>317</v>
      </c>
      <c r="T14" s="17">
        <f t="shared" si="6"/>
        <v>43</v>
      </c>
      <c r="U14" s="17">
        <f t="shared" si="6"/>
        <v>36</v>
      </c>
      <c r="V14" s="17">
        <f t="shared" si="6"/>
        <v>165</v>
      </c>
      <c r="W14" s="17">
        <f t="shared" si="6"/>
        <v>21</v>
      </c>
      <c r="X14" s="17">
        <f t="shared" si="6"/>
        <v>5</v>
      </c>
      <c r="Y14" s="17">
        <f t="shared" si="6"/>
        <v>75</v>
      </c>
      <c r="Z14" s="17">
        <f t="shared" si="6"/>
        <v>26</v>
      </c>
      <c r="AA14" s="17">
        <f t="shared" si="6"/>
        <v>19</v>
      </c>
      <c r="AB14" s="17">
        <f t="shared" si="6"/>
        <v>23</v>
      </c>
      <c r="AC14" s="17">
        <f t="shared" si="6"/>
        <v>350</v>
      </c>
      <c r="AD14" s="17">
        <f t="shared" si="6"/>
        <v>0</v>
      </c>
      <c r="AE14" s="31">
        <f t="shared" si="6"/>
        <v>730</v>
      </c>
      <c r="AF14" s="31">
        <f t="shared" si="6"/>
        <v>1080</v>
      </c>
    </row>
    <row r="15" spans="2:32" ht="23.1" customHeight="1" x14ac:dyDescent="0.25">
      <c r="B15" s="45" t="s">
        <v>42</v>
      </c>
      <c r="C15" s="50">
        <v>75</v>
      </c>
      <c r="D15" s="50">
        <v>8</v>
      </c>
      <c r="E15" s="50">
        <v>7</v>
      </c>
      <c r="F15" s="50">
        <v>45</v>
      </c>
      <c r="G15" s="50">
        <v>2</v>
      </c>
      <c r="H15" s="50">
        <v>1</v>
      </c>
      <c r="I15" s="50">
        <v>9</v>
      </c>
      <c r="J15" s="50">
        <v>4</v>
      </c>
      <c r="K15" s="50">
        <v>4</v>
      </c>
      <c r="L15" s="50">
        <v>6</v>
      </c>
      <c r="M15" s="50">
        <v>129</v>
      </c>
      <c r="N15" s="50">
        <v>0</v>
      </c>
      <c r="O15" s="15">
        <f t="shared" si="0"/>
        <v>161</v>
      </c>
      <c r="P15" s="15">
        <f t="shared" si="1"/>
        <v>290</v>
      </c>
      <c r="R15" s="1" t="s">
        <v>11</v>
      </c>
      <c r="S15" s="17">
        <f t="shared" ref="S15:AF15" si="7">SUM(C30:C33)</f>
        <v>374</v>
      </c>
      <c r="T15" s="17">
        <f t="shared" si="7"/>
        <v>52</v>
      </c>
      <c r="U15" s="17">
        <f t="shared" si="7"/>
        <v>44</v>
      </c>
      <c r="V15" s="17">
        <f t="shared" si="7"/>
        <v>188</v>
      </c>
      <c r="W15" s="17">
        <f t="shared" si="7"/>
        <v>5</v>
      </c>
      <c r="X15" s="17">
        <f t="shared" si="7"/>
        <v>5</v>
      </c>
      <c r="Y15" s="17">
        <f t="shared" si="7"/>
        <v>51</v>
      </c>
      <c r="Z15" s="17">
        <f t="shared" si="7"/>
        <v>23</v>
      </c>
      <c r="AA15" s="17">
        <f t="shared" si="7"/>
        <v>31</v>
      </c>
      <c r="AB15" s="17">
        <f t="shared" si="7"/>
        <v>25</v>
      </c>
      <c r="AC15" s="17">
        <f t="shared" si="7"/>
        <v>293</v>
      </c>
      <c r="AD15" s="17">
        <f t="shared" si="7"/>
        <v>0</v>
      </c>
      <c r="AE15" s="31">
        <f t="shared" si="7"/>
        <v>798</v>
      </c>
      <c r="AF15" s="31">
        <f t="shared" si="7"/>
        <v>1091</v>
      </c>
    </row>
    <row r="16" spans="2:32" ht="23.1" customHeight="1" x14ac:dyDescent="0.25">
      <c r="B16" s="45" t="s">
        <v>43</v>
      </c>
      <c r="C16" s="50">
        <v>72</v>
      </c>
      <c r="D16" s="50">
        <v>14</v>
      </c>
      <c r="E16" s="50">
        <v>10</v>
      </c>
      <c r="F16" s="50">
        <v>32</v>
      </c>
      <c r="G16" s="50">
        <v>2</v>
      </c>
      <c r="H16" s="50">
        <v>0</v>
      </c>
      <c r="I16" s="50">
        <v>22</v>
      </c>
      <c r="J16" s="50">
        <v>2</v>
      </c>
      <c r="K16" s="50">
        <v>5</v>
      </c>
      <c r="L16" s="50">
        <v>4</v>
      </c>
      <c r="M16" s="50">
        <v>140</v>
      </c>
      <c r="N16" s="50">
        <v>0</v>
      </c>
      <c r="O16" s="15">
        <f t="shared" si="0"/>
        <v>163</v>
      </c>
      <c r="P16" s="15">
        <f t="shared" si="1"/>
        <v>303</v>
      </c>
      <c r="R16" s="1" t="s">
        <v>12</v>
      </c>
      <c r="S16" s="17">
        <f t="shared" ref="S16:AF16" si="8">SUM(C34:C37)</f>
        <v>357</v>
      </c>
      <c r="T16" s="17">
        <f t="shared" si="8"/>
        <v>44</v>
      </c>
      <c r="U16" s="17">
        <f t="shared" si="8"/>
        <v>39</v>
      </c>
      <c r="V16" s="17">
        <f t="shared" si="8"/>
        <v>194</v>
      </c>
      <c r="W16" s="17">
        <f t="shared" si="8"/>
        <v>15</v>
      </c>
      <c r="X16" s="17">
        <f t="shared" si="8"/>
        <v>2</v>
      </c>
      <c r="Y16" s="17">
        <f t="shared" si="8"/>
        <v>85</v>
      </c>
      <c r="Z16" s="17">
        <f t="shared" si="8"/>
        <v>32</v>
      </c>
      <c r="AA16" s="17">
        <f t="shared" si="8"/>
        <v>19</v>
      </c>
      <c r="AB16" s="17">
        <f t="shared" si="8"/>
        <v>37</v>
      </c>
      <c r="AC16" s="17">
        <f t="shared" si="8"/>
        <v>386</v>
      </c>
      <c r="AD16" s="17">
        <f t="shared" si="8"/>
        <v>0</v>
      </c>
      <c r="AE16" s="31">
        <f t="shared" si="8"/>
        <v>824</v>
      </c>
      <c r="AF16" s="31">
        <f t="shared" si="8"/>
        <v>1210</v>
      </c>
    </row>
    <row r="17" spans="2:32" ht="23.1" customHeight="1" x14ac:dyDescent="0.25">
      <c r="B17" s="45" t="s">
        <v>44</v>
      </c>
      <c r="C17" s="50">
        <v>58</v>
      </c>
      <c r="D17" s="50">
        <v>8</v>
      </c>
      <c r="E17" s="50">
        <v>9</v>
      </c>
      <c r="F17" s="50">
        <v>36</v>
      </c>
      <c r="G17" s="50">
        <v>1</v>
      </c>
      <c r="H17" s="50">
        <v>0</v>
      </c>
      <c r="I17" s="50">
        <v>14</v>
      </c>
      <c r="J17" s="50">
        <v>5</v>
      </c>
      <c r="K17" s="50">
        <v>3</v>
      </c>
      <c r="L17" s="50">
        <v>5</v>
      </c>
      <c r="M17" s="50">
        <v>117</v>
      </c>
      <c r="N17" s="50">
        <v>0</v>
      </c>
      <c r="O17" s="15">
        <f t="shared" si="0"/>
        <v>139</v>
      </c>
      <c r="P17" s="15">
        <f t="shared" si="1"/>
        <v>256</v>
      </c>
      <c r="R17" s="1" t="s">
        <v>13</v>
      </c>
      <c r="S17" s="17">
        <f t="shared" ref="S17:AF17" si="9">SUM(C38:C41)</f>
        <v>344</v>
      </c>
      <c r="T17" s="17">
        <f t="shared" si="9"/>
        <v>39</v>
      </c>
      <c r="U17" s="17">
        <f t="shared" si="9"/>
        <v>57</v>
      </c>
      <c r="V17" s="17">
        <f t="shared" si="9"/>
        <v>146</v>
      </c>
      <c r="W17" s="17">
        <f t="shared" si="9"/>
        <v>7</v>
      </c>
      <c r="X17" s="17">
        <f t="shared" si="9"/>
        <v>2</v>
      </c>
      <c r="Y17" s="17">
        <f t="shared" si="9"/>
        <v>88</v>
      </c>
      <c r="Z17" s="17">
        <f t="shared" si="9"/>
        <v>27</v>
      </c>
      <c r="AA17" s="17">
        <f t="shared" si="9"/>
        <v>10</v>
      </c>
      <c r="AB17" s="17">
        <f t="shared" si="9"/>
        <v>28</v>
      </c>
      <c r="AC17" s="17">
        <f t="shared" si="9"/>
        <v>399</v>
      </c>
      <c r="AD17" s="17">
        <f t="shared" si="9"/>
        <v>0</v>
      </c>
      <c r="AE17" s="31">
        <f t="shared" si="9"/>
        <v>748</v>
      </c>
      <c r="AF17" s="31">
        <f t="shared" si="9"/>
        <v>1147</v>
      </c>
    </row>
    <row r="18" spans="2:32" ht="23.1" customHeight="1" x14ac:dyDescent="0.25">
      <c r="B18" s="45" t="s">
        <v>45</v>
      </c>
      <c r="C18" s="50">
        <v>60</v>
      </c>
      <c r="D18" s="50">
        <v>10</v>
      </c>
      <c r="E18" s="50">
        <v>13</v>
      </c>
      <c r="F18" s="50">
        <v>33</v>
      </c>
      <c r="G18" s="50">
        <v>3</v>
      </c>
      <c r="H18" s="50">
        <v>0</v>
      </c>
      <c r="I18" s="50">
        <v>14</v>
      </c>
      <c r="J18" s="50">
        <v>4</v>
      </c>
      <c r="K18" s="50">
        <v>2</v>
      </c>
      <c r="L18" s="50">
        <v>5</v>
      </c>
      <c r="M18" s="50">
        <v>108</v>
      </c>
      <c r="N18" s="50">
        <v>0</v>
      </c>
      <c r="O18" s="15">
        <f t="shared" si="0"/>
        <v>144</v>
      </c>
      <c r="P18" s="15">
        <f t="shared" si="1"/>
        <v>252</v>
      </c>
      <c r="R18" s="1" t="s">
        <v>14</v>
      </c>
      <c r="S18" s="17">
        <f t="shared" ref="S18:AF18" si="10">SUM(C42:C45)</f>
        <v>376</v>
      </c>
      <c r="T18" s="17">
        <f t="shared" si="10"/>
        <v>54</v>
      </c>
      <c r="U18" s="17">
        <f t="shared" si="10"/>
        <v>52</v>
      </c>
      <c r="V18" s="17">
        <f t="shared" si="10"/>
        <v>165</v>
      </c>
      <c r="W18" s="17">
        <f t="shared" si="10"/>
        <v>1</v>
      </c>
      <c r="X18" s="17">
        <f t="shared" si="10"/>
        <v>1</v>
      </c>
      <c r="Y18" s="17">
        <f t="shared" si="10"/>
        <v>86</v>
      </c>
      <c r="Z18" s="17">
        <f t="shared" si="10"/>
        <v>28</v>
      </c>
      <c r="AA18" s="17">
        <f t="shared" si="10"/>
        <v>25</v>
      </c>
      <c r="AB18" s="17">
        <f t="shared" si="10"/>
        <v>20</v>
      </c>
      <c r="AC18" s="17">
        <f t="shared" si="10"/>
        <v>364</v>
      </c>
      <c r="AD18" s="17">
        <f t="shared" si="10"/>
        <v>0</v>
      </c>
      <c r="AE18" s="31">
        <f t="shared" si="10"/>
        <v>808</v>
      </c>
      <c r="AF18" s="31">
        <f t="shared" si="10"/>
        <v>1172</v>
      </c>
    </row>
    <row r="19" spans="2:32" ht="23.1" customHeight="1" x14ac:dyDescent="0.25">
      <c r="B19" s="45" t="s">
        <v>46</v>
      </c>
      <c r="C19" s="50">
        <v>56</v>
      </c>
      <c r="D19" s="50">
        <v>11</v>
      </c>
      <c r="E19" s="50">
        <v>7</v>
      </c>
      <c r="F19" s="50">
        <v>40</v>
      </c>
      <c r="G19" s="50">
        <v>3</v>
      </c>
      <c r="H19" s="50">
        <v>3</v>
      </c>
      <c r="I19" s="50">
        <v>15</v>
      </c>
      <c r="J19" s="50">
        <v>3</v>
      </c>
      <c r="K19" s="50">
        <v>3</v>
      </c>
      <c r="L19" s="50">
        <v>6</v>
      </c>
      <c r="M19" s="50">
        <v>120</v>
      </c>
      <c r="N19" s="50">
        <v>0</v>
      </c>
      <c r="O19" s="15">
        <f t="shared" si="0"/>
        <v>147</v>
      </c>
      <c r="P19" s="15">
        <f t="shared" si="1"/>
        <v>267</v>
      </c>
      <c r="R19" s="1" t="s">
        <v>15</v>
      </c>
      <c r="S19" s="17">
        <f t="shared" ref="S19:AF19" si="11">SUM(C46:C49)</f>
        <v>457</v>
      </c>
      <c r="T19" s="17">
        <f t="shared" si="11"/>
        <v>42</v>
      </c>
      <c r="U19" s="17">
        <f t="shared" si="11"/>
        <v>46</v>
      </c>
      <c r="V19" s="17">
        <f t="shared" si="11"/>
        <v>140</v>
      </c>
      <c r="W19" s="17">
        <f t="shared" si="11"/>
        <v>4</v>
      </c>
      <c r="X19" s="17">
        <f t="shared" si="11"/>
        <v>2</v>
      </c>
      <c r="Y19" s="17">
        <f t="shared" si="11"/>
        <v>73</v>
      </c>
      <c r="Z19" s="17">
        <f t="shared" si="11"/>
        <v>26</v>
      </c>
      <c r="AA19" s="17">
        <f t="shared" si="11"/>
        <v>15</v>
      </c>
      <c r="AB19" s="17">
        <f t="shared" si="11"/>
        <v>33</v>
      </c>
      <c r="AC19" s="17">
        <f t="shared" si="11"/>
        <v>330</v>
      </c>
      <c r="AD19" s="17">
        <f t="shared" si="11"/>
        <v>0</v>
      </c>
      <c r="AE19" s="31">
        <f t="shared" si="11"/>
        <v>838</v>
      </c>
      <c r="AF19" s="31">
        <f t="shared" si="11"/>
        <v>1168</v>
      </c>
    </row>
    <row r="20" spans="2:32" ht="23.1" customHeight="1" x14ac:dyDescent="0.25">
      <c r="B20" s="45" t="s">
        <v>47</v>
      </c>
      <c r="C20" s="50">
        <v>89</v>
      </c>
      <c r="D20" s="50">
        <v>11</v>
      </c>
      <c r="E20" s="50">
        <v>7</v>
      </c>
      <c r="F20" s="50">
        <v>43</v>
      </c>
      <c r="G20" s="50">
        <v>6</v>
      </c>
      <c r="H20" s="50">
        <v>0</v>
      </c>
      <c r="I20" s="50">
        <v>11</v>
      </c>
      <c r="J20" s="50">
        <v>6</v>
      </c>
      <c r="K20" s="50">
        <v>0</v>
      </c>
      <c r="L20" s="50">
        <v>5</v>
      </c>
      <c r="M20" s="50">
        <v>115</v>
      </c>
      <c r="N20" s="50">
        <v>0</v>
      </c>
      <c r="O20" s="15">
        <f t="shared" si="0"/>
        <v>178</v>
      </c>
      <c r="P20" s="15">
        <f t="shared" si="1"/>
        <v>293</v>
      </c>
      <c r="R20" s="1" t="s">
        <v>16</v>
      </c>
      <c r="S20" s="17">
        <f t="shared" ref="S20:AF20" si="12">SUM(C50:C53)</f>
        <v>412</v>
      </c>
      <c r="T20" s="17">
        <f t="shared" si="12"/>
        <v>40</v>
      </c>
      <c r="U20" s="17">
        <f t="shared" si="12"/>
        <v>40</v>
      </c>
      <c r="V20" s="17">
        <f t="shared" si="12"/>
        <v>160</v>
      </c>
      <c r="W20" s="17">
        <f t="shared" si="12"/>
        <v>4</v>
      </c>
      <c r="X20" s="17">
        <f t="shared" si="12"/>
        <v>4</v>
      </c>
      <c r="Y20" s="17">
        <f t="shared" si="12"/>
        <v>64</v>
      </c>
      <c r="Z20" s="17">
        <f t="shared" si="12"/>
        <v>27</v>
      </c>
      <c r="AA20" s="17">
        <f t="shared" si="12"/>
        <v>12</v>
      </c>
      <c r="AB20" s="17">
        <f t="shared" si="12"/>
        <v>20</v>
      </c>
      <c r="AC20" s="17">
        <f t="shared" si="12"/>
        <v>453</v>
      </c>
      <c r="AD20" s="17">
        <f t="shared" si="12"/>
        <v>0</v>
      </c>
      <c r="AE20" s="31">
        <f t="shared" si="12"/>
        <v>783</v>
      </c>
      <c r="AF20" s="31">
        <f t="shared" si="12"/>
        <v>1236</v>
      </c>
    </row>
    <row r="21" spans="2:32" ht="23.1" customHeight="1" x14ac:dyDescent="0.25">
      <c r="B21" s="45" t="s">
        <v>48</v>
      </c>
      <c r="C21" s="50">
        <v>86</v>
      </c>
      <c r="D21" s="50">
        <v>9</v>
      </c>
      <c r="E21" s="50">
        <v>10</v>
      </c>
      <c r="F21" s="50">
        <v>52</v>
      </c>
      <c r="G21" s="50">
        <v>8</v>
      </c>
      <c r="H21" s="50">
        <v>0</v>
      </c>
      <c r="I21" s="50">
        <v>11</v>
      </c>
      <c r="J21" s="50">
        <v>2</v>
      </c>
      <c r="K21" s="50">
        <v>5</v>
      </c>
      <c r="L21" s="50">
        <v>2</v>
      </c>
      <c r="M21" s="50">
        <v>130</v>
      </c>
      <c r="N21" s="50">
        <v>0</v>
      </c>
      <c r="O21" s="15">
        <f t="shared" si="0"/>
        <v>185</v>
      </c>
      <c r="P21" s="15">
        <f t="shared" si="1"/>
        <v>315</v>
      </c>
      <c r="R21" s="36" t="s">
        <v>20</v>
      </c>
      <c r="S21" s="34">
        <f t="shared" ref="S21:AF21" si="13">SUM(C54:C57)</f>
        <v>577</v>
      </c>
      <c r="T21" s="17">
        <f t="shared" si="13"/>
        <v>33</v>
      </c>
      <c r="U21" s="17">
        <f t="shared" si="13"/>
        <v>34</v>
      </c>
      <c r="V21" s="17">
        <f t="shared" si="13"/>
        <v>145</v>
      </c>
      <c r="W21" s="17">
        <f t="shared" si="13"/>
        <v>9</v>
      </c>
      <c r="X21" s="17">
        <f t="shared" si="13"/>
        <v>4</v>
      </c>
      <c r="Y21" s="17">
        <f t="shared" si="13"/>
        <v>36</v>
      </c>
      <c r="Z21" s="17">
        <f t="shared" si="13"/>
        <v>29</v>
      </c>
      <c r="AA21" s="17">
        <f t="shared" si="13"/>
        <v>10</v>
      </c>
      <c r="AB21" s="17">
        <f t="shared" si="13"/>
        <v>24</v>
      </c>
      <c r="AC21" s="17">
        <f t="shared" si="13"/>
        <v>576</v>
      </c>
      <c r="AD21" s="17">
        <f t="shared" si="13"/>
        <v>0</v>
      </c>
      <c r="AE21" s="31">
        <f t="shared" si="13"/>
        <v>901</v>
      </c>
      <c r="AF21" s="31">
        <f t="shared" si="13"/>
        <v>1477</v>
      </c>
    </row>
    <row r="22" spans="2:32" ht="23.1" customHeight="1" x14ac:dyDescent="0.25">
      <c r="B22" s="45" t="s">
        <v>49</v>
      </c>
      <c r="C22" s="50">
        <v>57</v>
      </c>
      <c r="D22" s="50">
        <v>2</v>
      </c>
      <c r="E22" s="50">
        <v>5</v>
      </c>
      <c r="F22" s="50">
        <v>35</v>
      </c>
      <c r="G22" s="50">
        <v>7</v>
      </c>
      <c r="H22" s="50">
        <v>1</v>
      </c>
      <c r="I22" s="50">
        <v>12</v>
      </c>
      <c r="J22" s="50">
        <v>7</v>
      </c>
      <c r="K22" s="50">
        <v>2</v>
      </c>
      <c r="L22" s="50">
        <v>0</v>
      </c>
      <c r="M22" s="50">
        <v>103</v>
      </c>
      <c r="N22" s="50">
        <v>0</v>
      </c>
      <c r="O22" s="15">
        <f t="shared" si="0"/>
        <v>128</v>
      </c>
      <c r="P22" s="15">
        <f t="shared" si="1"/>
        <v>231</v>
      </c>
      <c r="R22" s="36" t="s">
        <v>146</v>
      </c>
      <c r="S22" s="34">
        <f>SUM(C58:C61)</f>
        <v>310</v>
      </c>
      <c r="T22" s="34">
        <f t="shared" ref="T22:AF22" si="14">SUM(D58:D61)</f>
        <v>60</v>
      </c>
      <c r="U22" s="34">
        <f t="shared" si="14"/>
        <v>43</v>
      </c>
      <c r="V22" s="34">
        <f t="shared" si="14"/>
        <v>125</v>
      </c>
      <c r="W22" s="34">
        <f t="shared" si="14"/>
        <v>6</v>
      </c>
      <c r="X22" s="34">
        <f t="shared" si="14"/>
        <v>11</v>
      </c>
      <c r="Y22" s="34">
        <f t="shared" si="14"/>
        <v>36</v>
      </c>
      <c r="Z22" s="34">
        <f t="shared" si="14"/>
        <v>31</v>
      </c>
      <c r="AA22" s="34">
        <f t="shared" si="14"/>
        <v>9</v>
      </c>
      <c r="AB22" s="34">
        <f t="shared" si="14"/>
        <v>13</v>
      </c>
      <c r="AC22" s="34">
        <f t="shared" si="14"/>
        <v>351</v>
      </c>
      <c r="AD22" s="34">
        <f t="shared" si="14"/>
        <v>0</v>
      </c>
      <c r="AE22" s="31">
        <f t="shared" si="14"/>
        <v>644</v>
      </c>
      <c r="AF22" s="31">
        <f t="shared" si="14"/>
        <v>995</v>
      </c>
    </row>
    <row r="23" spans="2:32" ht="23.1" customHeight="1" x14ac:dyDescent="0.25">
      <c r="B23" s="45" t="s">
        <v>50</v>
      </c>
      <c r="C23" s="50">
        <v>72</v>
      </c>
      <c r="D23" s="50">
        <v>4</v>
      </c>
      <c r="E23" s="50">
        <v>12</v>
      </c>
      <c r="F23" s="50">
        <v>50</v>
      </c>
      <c r="G23" s="50">
        <v>4</v>
      </c>
      <c r="H23" s="50">
        <v>2</v>
      </c>
      <c r="I23" s="50">
        <v>26</v>
      </c>
      <c r="J23" s="50">
        <v>8</v>
      </c>
      <c r="K23" s="50">
        <v>6</v>
      </c>
      <c r="L23" s="50">
        <v>3</v>
      </c>
      <c r="M23" s="50">
        <v>122</v>
      </c>
      <c r="N23" s="50">
        <v>0</v>
      </c>
      <c r="O23" s="15">
        <f t="shared" si="0"/>
        <v>187</v>
      </c>
      <c r="P23" s="15">
        <f t="shared" si="1"/>
        <v>309</v>
      </c>
      <c r="R23" s="36" t="s">
        <v>147</v>
      </c>
      <c r="S23" s="34">
        <f>SUM(C62:C65)</f>
        <v>274</v>
      </c>
      <c r="T23" s="34">
        <f t="shared" ref="T23:AF23" si="15">SUM(D62:D65)</f>
        <v>41</v>
      </c>
      <c r="U23" s="34">
        <f t="shared" si="15"/>
        <v>21</v>
      </c>
      <c r="V23" s="34">
        <f t="shared" si="15"/>
        <v>114</v>
      </c>
      <c r="W23" s="34">
        <f t="shared" si="15"/>
        <v>7</v>
      </c>
      <c r="X23" s="34">
        <f t="shared" si="15"/>
        <v>5</v>
      </c>
      <c r="Y23" s="34">
        <f t="shared" si="15"/>
        <v>35</v>
      </c>
      <c r="Z23" s="34">
        <f t="shared" si="15"/>
        <v>35</v>
      </c>
      <c r="AA23" s="34">
        <f t="shared" si="15"/>
        <v>7</v>
      </c>
      <c r="AB23" s="34">
        <f t="shared" si="15"/>
        <v>10</v>
      </c>
      <c r="AC23" s="34">
        <f t="shared" si="15"/>
        <v>395</v>
      </c>
      <c r="AD23" s="34">
        <f t="shared" si="15"/>
        <v>0</v>
      </c>
      <c r="AE23" s="31">
        <f t="shared" si="15"/>
        <v>549</v>
      </c>
      <c r="AF23" s="31">
        <f t="shared" si="15"/>
        <v>944</v>
      </c>
    </row>
    <row r="24" spans="2:32" ht="23.1" customHeight="1" x14ac:dyDescent="0.25">
      <c r="B24" s="45" t="s">
        <v>51</v>
      </c>
      <c r="C24" s="50">
        <v>83</v>
      </c>
      <c r="D24" s="50">
        <v>15</v>
      </c>
      <c r="E24" s="50">
        <v>11</v>
      </c>
      <c r="F24" s="50">
        <v>53</v>
      </c>
      <c r="G24" s="50">
        <v>11</v>
      </c>
      <c r="H24" s="50">
        <v>3</v>
      </c>
      <c r="I24" s="50">
        <v>13</v>
      </c>
      <c r="J24" s="50">
        <v>6</v>
      </c>
      <c r="K24" s="50">
        <v>6</v>
      </c>
      <c r="L24" s="50">
        <v>7</v>
      </c>
      <c r="M24" s="50">
        <v>90</v>
      </c>
      <c r="N24" s="50">
        <v>0</v>
      </c>
      <c r="O24" s="15">
        <f t="shared" si="0"/>
        <v>208</v>
      </c>
      <c r="P24" s="15">
        <f t="shared" si="1"/>
        <v>298</v>
      </c>
      <c r="R24" s="36" t="s">
        <v>148</v>
      </c>
      <c r="S24" s="34">
        <f>SUM(C66:C69)</f>
        <v>227</v>
      </c>
      <c r="T24" s="34">
        <f t="shared" ref="T24:AF24" si="16">SUM(D66:D69)</f>
        <v>51</v>
      </c>
      <c r="U24" s="34">
        <f t="shared" si="16"/>
        <v>25</v>
      </c>
      <c r="V24" s="34">
        <f t="shared" si="16"/>
        <v>111</v>
      </c>
      <c r="W24" s="34">
        <f t="shared" si="16"/>
        <v>4</v>
      </c>
      <c r="X24" s="34">
        <f t="shared" si="16"/>
        <v>2</v>
      </c>
      <c r="Y24" s="34">
        <f t="shared" si="16"/>
        <v>33</v>
      </c>
      <c r="Z24" s="34">
        <f t="shared" si="16"/>
        <v>29</v>
      </c>
      <c r="AA24" s="34">
        <f t="shared" si="16"/>
        <v>9</v>
      </c>
      <c r="AB24" s="34">
        <f t="shared" si="16"/>
        <v>8</v>
      </c>
      <c r="AC24" s="34">
        <f t="shared" si="16"/>
        <v>354</v>
      </c>
      <c r="AD24" s="34">
        <f t="shared" si="16"/>
        <v>0</v>
      </c>
      <c r="AE24" s="31">
        <f t="shared" si="16"/>
        <v>499</v>
      </c>
      <c r="AF24" s="31">
        <f t="shared" si="16"/>
        <v>853</v>
      </c>
    </row>
    <row r="25" spans="2:32" ht="23.1" customHeight="1" x14ac:dyDescent="0.25">
      <c r="B25" s="45" t="s">
        <v>52</v>
      </c>
      <c r="C25" s="50">
        <v>64</v>
      </c>
      <c r="D25" s="50">
        <v>14</v>
      </c>
      <c r="E25" s="50">
        <v>8</v>
      </c>
      <c r="F25" s="50">
        <v>48</v>
      </c>
      <c r="G25" s="50">
        <v>6</v>
      </c>
      <c r="H25" s="50">
        <v>2</v>
      </c>
      <c r="I25" s="50">
        <v>10</v>
      </c>
      <c r="J25" s="50">
        <v>5</v>
      </c>
      <c r="K25" s="50">
        <v>5</v>
      </c>
      <c r="L25" s="50">
        <v>3</v>
      </c>
      <c r="M25" s="50">
        <v>113</v>
      </c>
      <c r="N25" s="50">
        <v>0</v>
      </c>
      <c r="O25" s="15">
        <f t="shared" si="0"/>
        <v>165</v>
      </c>
      <c r="P25" s="15">
        <f t="shared" si="1"/>
        <v>278</v>
      </c>
      <c r="R25" s="36" t="s">
        <v>149</v>
      </c>
      <c r="S25" s="34">
        <f>SUM(C70:C73)</f>
        <v>214</v>
      </c>
      <c r="T25" s="34">
        <f t="shared" ref="T25:AF25" si="17">SUM(D70:D73)</f>
        <v>39</v>
      </c>
      <c r="U25" s="34">
        <f t="shared" si="17"/>
        <v>32</v>
      </c>
      <c r="V25" s="34">
        <f t="shared" si="17"/>
        <v>80</v>
      </c>
      <c r="W25" s="34">
        <f t="shared" si="17"/>
        <v>1</v>
      </c>
      <c r="X25" s="34">
        <f t="shared" si="17"/>
        <v>0</v>
      </c>
      <c r="Y25" s="34">
        <f t="shared" si="17"/>
        <v>18</v>
      </c>
      <c r="Z25" s="34">
        <f t="shared" si="17"/>
        <v>30</v>
      </c>
      <c r="AA25" s="34">
        <f t="shared" si="17"/>
        <v>22</v>
      </c>
      <c r="AB25" s="34">
        <f t="shared" si="17"/>
        <v>10</v>
      </c>
      <c r="AC25" s="34">
        <f t="shared" si="17"/>
        <v>267</v>
      </c>
      <c r="AD25" s="34">
        <f t="shared" si="17"/>
        <v>0</v>
      </c>
      <c r="AE25" s="31">
        <f t="shared" si="17"/>
        <v>446</v>
      </c>
      <c r="AF25" s="31">
        <f t="shared" si="17"/>
        <v>713</v>
      </c>
    </row>
    <row r="26" spans="2:32" ht="23.1" customHeight="1" x14ac:dyDescent="0.25">
      <c r="B26" s="45" t="s">
        <v>53</v>
      </c>
      <c r="C26" s="50">
        <v>73</v>
      </c>
      <c r="D26" s="50">
        <v>6</v>
      </c>
      <c r="E26" s="50">
        <v>9</v>
      </c>
      <c r="F26" s="50">
        <v>50</v>
      </c>
      <c r="G26" s="50">
        <v>5</v>
      </c>
      <c r="H26" s="50">
        <v>0</v>
      </c>
      <c r="I26" s="50">
        <v>19</v>
      </c>
      <c r="J26" s="50">
        <v>8</v>
      </c>
      <c r="K26" s="50">
        <v>4</v>
      </c>
      <c r="L26" s="50">
        <v>7</v>
      </c>
      <c r="M26" s="50">
        <v>81</v>
      </c>
      <c r="N26" s="50">
        <v>0</v>
      </c>
      <c r="O26" s="15">
        <f t="shared" si="0"/>
        <v>181</v>
      </c>
      <c r="P26" s="15">
        <f t="shared" si="1"/>
        <v>262</v>
      </c>
      <c r="R26" s="36" t="s">
        <v>150</v>
      </c>
      <c r="S26" s="34">
        <f>SUM(C74:C77)</f>
        <v>167</v>
      </c>
      <c r="T26" s="34">
        <f t="shared" ref="T26:AF26" si="18">SUM(D74:D77)</f>
        <v>22</v>
      </c>
      <c r="U26" s="34">
        <f t="shared" si="18"/>
        <v>23</v>
      </c>
      <c r="V26" s="34">
        <f t="shared" si="18"/>
        <v>43</v>
      </c>
      <c r="W26" s="34">
        <f t="shared" si="18"/>
        <v>1</v>
      </c>
      <c r="X26" s="34">
        <f t="shared" si="18"/>
        <v>0</v>
      </c>
      <c r="Y26" s="34">
        <f t="shared" si="18"/>
        <v>11</v>
      </c>
      <c r="Z26" s="34">
        <f t="shared" si="18"/>
        <v>36</v>
      </c>
      <c r="AA26" s="34">
        <f t="shared" si="18"/>
        <v>4</v>
      </c>
      <c r="AB26" s="34">
        <f t="shared" si="18"/>
        <v>14</v>
      </c>
      <c r="AC26" s="34">
        <f t="shared" si="18"/>
        <v>195</v>
      </c>
      <c r="AD26" s="34">
        <f t="shared" si="18"/>
        <v>0</v>
      </c>
      <c r="AE26" s="31">
        <f t="shared" si="18"/>
        <v>321</v>
      </c>
      <c r="AF26" s="31">
        <f t="shared" si="18"/>
        <v>516</v>
      </c>
    </row>
    <row r="27" spans="2:32" ht="23.1" customHeight="1" x14ac:dyDescent="0.25">
      <c r="B27" s="45" t="s">
        <v>54</v>
      </c>
      <c r="C27" s="50">
        <v>85</v>
      </c>
      <c r="D27" s="50">
        <v>7</v>
      </c>
      <c r="E27" s="50">
        <v>2</v>
      </c>
      <c r="F27" s="50">
        <v>44</v>
      </c>
      <c r="G27" s="50">
        <v>7</v>
      </c>
      <c r="H27" s="50">
        <v>1</v>
      </c>
      <c r="I27" s="50">
        <v>15</v>
      </c>
      <c r="J27" s="50">
        <v>8</v>
      </c>
      <c r="K27" s="50">
        <v>9</v>
      </c>
      <c r="L27" s="50">
        <v>6</v>
      </c>
      <c r="M27" s="50">
        <v>75</v>
      </c>
      <c r="N27" s="50">
        <v>0</v>
      </c>
      <c r="O27" s="15">
        <f t="shared" si="0"/>
        <v>184</v>
      </c>
      <c r="P27" s="15">
        <f t="shared" si="1"/>
        <v>259</v>
      </c>
      <c r="R27" s="36" t="s">
        <v>151</v>
      </c>
      <c r="S27" s="34">
        <f>SUM(C78:C81)</f>
        <v>100</v>
      </c>
      <c r="T27" s="34">
        <f t="shared" ref="T27:AF27" si="19">SUM(D78:D81)</f>
        <v>6</v>
      </c>
      <c r="U27" s="34">
        <f t="shared" si="19"/>
        <v>16</v>
      </c>
      <c r="V27" s="34">
        <f t="shared" si="19"/>
        <v>24</v>
      </c>
      <c r="W27" s="34">
        <f t="shared" si="19"/>
        <v>5</v>
      </c>
      <c r="X27" s="34">
        <f t="shared" si="19"/>
        <v>0</v>
      </c>
      <c r="Y27" s="34">
        <f t="shared" si="19"/>
        <v>11</v>
      </c>
      <c r="Z27" s="34">
        <f t="shared" si="19"/>
        <v>21</v>
      </c>
      <c r="AA27" s="34">
        <f t="shared" si="19"/>
        <v>13</v>
      </c>
      <c r="AB27" s="34">
        <f t="shared" si="19"/>
        <v>13</v>
      </c>
      <c r="AC27" s="34">
        <f t="shared" si="19"/>
        <v>130</v>
      </c>
      <c r="AD27" s="34">
        <f t="shared" si="19"/>
        <v>0</v>
      </c>
      <c r="AE27" s="31">
        <f t="shared" si="19"/>
        <v>209</v>
      </c>
      <c r="AF27" s="31">
        <f t="shared" si="19"/>
        <v>339</v>
      </c>
    </row>
    <row r="28" spans="2:32" ht="23.1" customHeight="1" x14ac:dyDescent="0.25">
      <c r="B28" s="45" t="s">
        <v>55</v>
      </c>
      <c r="C28" s="50">
        <v>71</v>
      </c>
      <c r="D28" s="50">
        <v>10</v>
      </c>
      <c r="E28" s="50">
        <v>11</v>
      </c>
      <c r="F28" s="50">
        <v>35</v>
      </c>
      <c r="G28" s="50">
        <v>7</v>
      </c>
      <c r="H28" s="50">
        <v>2</v>
      </c>
      <c r="I28" s="50">
        <v>18</v>
      </c>
      <c r="J28" s="50">
        <v>5</v>
      </c>
      <c r="K28" s="50">
        <v>2</v>
      </c>
      <c r="L28" s="50">
        <v>3</v>
      </c>
      <c r="M28" s="50">
        <v>100</v>
      </c>
      <c r="N28" s="50">
        <v>0</v>
      </c>
      <c r="O28" s="15">
        <f t="shared" si="0"/>
        <v>164</v>
      </c>
      <c r="P28" s="15">
        <f t="shared" si="1"/>
        <v>264</v>
      </c>
      <c r="R28" s="36" t="s">
        <v>152</v>
      </c>
      <c r="S28" s="34">
        <f>SUM(C82:C85)</f>
        <v>43</v>
      </c>
      <c r="T28" s="34">
        <f t="shared" ref="T28:AF28" si="20">SUM(D82:D85)</f>
        <v>4</v>
      </c>
      <c r="U28" s="34">
        <f t="shared" si="20"/>
        <v>4</v>
      </c>
      <c r="V28" s="34">
        <f t="shared" si="20"/>
        <v>9</v>
      </c>
      <c r="W28" s="34">
        <f t="shared" si="20"/>
        <v>0</v>
      </c>
      <c r="X28" s="34">
        <f t="shared" si="20"/>
        <v>0</v>
      </c>
      <c r="Y28" s="34">
        <f t="shared" si="20"/>
        <v>9</v>
      </c>
      <c r="Z28" s="34">
        <f t="shared" si="20"/>
        <v>15</v>
      </c>
      <c r="AA28" s="34">
        <f t="shared" si="20"/>
        <v>7</v>
      </c>
      <c r="AB28" s="34">
        <f t="shared" si="20"/>
        <v>9</v>
      </c>
      <c r="AC28" s="34">
        <f t="shared" si="20"/>
        <v>58</v>
      </c>
      <c r="AD28" s="34">
        <f t="shared" si="20"/>
        <v>0</v>
      </c>
      <c r="AE28" s="31">
        <f t="shared" si="20"/>
        <v>100</v>
      </c>
      <c r="AF28" s="31">
        <f t="shared" si="20"/>
        <v>158</v>
      </c>
    </row>
    <row r="29" spans="2:32" ht="23.1" customHeight="1" x14ac:dyDescent="0.25">
      <c r="B29" s="45" t="s">
        <v>56</v>
      </c>
      <c r="C29" s="50">
        <v>88</v>
      </c>
      <c r="D29" s="50">
        <v>20</v>
      </c>
      <c r="E29" s="50">
        <v>14</v>
      </c>
      <c r="F29" s="50">
        <v>36</v>
      </c>
      <c r="G29" s="50">
        <v>2</v>
      </c>
      <c r="H29" s="50">
        <v>2</v>
      </c>
      <c r="I29" s="50">
        <v>23</v>
      </c>
      <c r="J29" s="50">
        <v>5</v>
      </c>
      <c r="K29" s="50">
        <v>4</v>
      </c>
      <c r="L29" s="50">
        <v>7</v>
      </c>
      <c r="M29" s="50">
        <v>94</v>
      </c>
      <c r="N29" s="50">
        <v>0</v>
      </c>
      <c r="O29" s="15">
        <f t="shared" si="0"/>
        <v>201</v>
      </c>
      <c r="P29" s="15">
        <f t="shared" si="1"/>
        <v>295</v>
      </c>
      <c r="R29" s="36" t="s">
        <v>153</v>
      </c>
      <c r="S29" s="34">
        <f>SUM(C86:C89)</f>
        <v>27</v>
      </c>
      <c r="T29" s="34">
        <f t="shared" ref="T29:AF29" si="21">SUM(D86:D89)</f>
        <v>4</v>
      </c>
      <c r="U29" s="34">
        <f t="shared" si="21"/>
        <v>6</v>
      </c>
      <c r="V29" s="34">
        <f t="shared" si="21"/>
        <v>7</v>
      </c>
      <c r="W29" s="34">
        <f t="shared" si="21"/>
        <v>1</v>
      </c>
      <c r="X29" s="34">
        <f t="shared" si="21"/>
        <v>0</v>
      </c>
      <c r="Y29" s="34">
        <f t="shared" si="21"/>
        <v>13</v>
      </c>
      <c r="Z29" s="34">
        <f t="shared" si="21"/>
        <v>11</v>
      </c>
      <c r="AA29" s="34">
        <f t="shared" si="21"/>
        <v>3</v>
      </c>
      <c r="AB29" s="34">
        <f t="shared" si="21"/>
        <v>3</v>
      </c>
      <c r="AC29" s="34">
        <f t="shared" si="21"/>
        <v>46</v>
      </c>
      <c r="AD29" s="34">
        <f t="shared" si="21"/>
        <v>0</v>
      </c>
      <c r="AE29" s="31">
        <f t="shared" si="21"/>
        <v>75</v>
      </c>
      <c r="AF29" s="31">
        <f t="shared" si="21"/>
        <v>121</v>
      </c>
    </row>
    <row r="30" spans="2:32" ht="23.1" customHeight="1" x14ac:dyDescent="0.25">
      <c r="B30" s="45" t="s">
        <v>57</v>
      </c>
      <c r="C30" s="50">
        <v>97</v>
      </c>
      <c r="D30" s="50">
        <v>9</v>
      </c>
      <c r="E30" s="50">
        <v>8</v>
      </c>
      <c r="F30" s="50">
        <v>49</v>
      </c>
      <c r="G30" s="50">
        <v>2</v>
      </c>
      <c r="H30" s="50">
        <v>1</v>
      </c>
      <c r="I30" s="50">
        <v>15</v>
      </c>
      <c r="J30" s="50">
        <v>9</v>
      </c>
      <c r="K30" s="50">
        <v>8</v>
      </c>
      <c r="L30" s="50">
        <v>2</v>
      </c>
      <c r="M30" s="50">
        <v>57</v>
      </c>
      <c r="N30" s="50">
        <v>0</v>
      </c>
      <c r="O30" s="15">
        <f t="shared" si="0"/>
        <v>200</v>
      </c>
      <c r="P30" s="15">
        <f t="shared" si="1"/>
        <v>257</v>
      </c>
      <c r="R30" s="36" t="s">
        <v>154</v>
      </c>
      <c r="S30" s="34">
        <f>SUM(C90:C93)</f>
        <v>25</v>
      </c>
      <c r="T30" s="34">
        <f t="shared" ref="T30:AF30" si="22">SUM(D90:D93)</f>
        <v>5</v>
      </c>
      <c r="U30" s="34">
        <f t="shared" si="22"/>
        <v>9</v>
      </c>
      <c r="V30" s="34">
        <f t="shared" si="22"/>
        <v>4</v>
      </c>
      <c r="W30" s="34">
        <f t="shared" si="22"/>
        <v>0</v>
      </c>
      <c r="X30" s="34">
        <f t="shared" si="22"/>
        <v>0</v>
      </c>
      <c r="Y30" s="34">
        <f t="shared" si="22"/>
        <v>14</v>
      </c>
      <c r="Z30" s="34">
        <f t="shared" si="22"/>
        <v>14</v>
      </c>
      <c r="AA30" s="34">
        <f t="shared" si="22"/>
        <v>5</v>
      </c>
      <c r="AB30" s="34">
        <f t="shared" si="22"/>
        <v>7</v>
      </c>
      <c r="AC30" s="34">
        <f t="shared" si="22"/>
        <v>27</v>
      </c>
      <c r="AD30" s="34">
        <f t="shared" si="22"/>
        <v>0</v>
      </c>
      <c r="AE30" s="31">
        <f t="shared" si="22"/>
        <v>83</v>
      </c>
      <c r="AF30" s="31">
        <f t="shared" si="22"/>
        <v>110</v>
      </c>
    </row>
    <row r="31" spans="2:32" ht="23.1" customHeight="1" x14ac:dyDescent="0.25">
      <c r="B31" s="46" t="s">
        <v>58</v>
      </c>
      <c r="C31" s="50">
        <v>72</v>
      </c>
      <c r="D31" s="50">
        <v>10</v>
      </c>
      <c r="E31" s="50">
        <v>7</v>
      </c>
      <c r="F31" s="50">
        <v>43</v>
      </c>
      <c r="G31" s="50">
        <v>0</v>
      </c>
      <c r="H31" s="50">
        <v>0</v>
      </c>
      <c r="I31" s="50">
        <v>7</v>
      </c>
      <c r="J31" s="50">
        <v>2</v>
      </c>
      <c r="K31" s="50">
        <v>10</v>
      </c>
      <c r="L31" s="50">
        <v>5</v>
      </c>
      <c r="M31" s="50">
        <v>65</v>
      </c>
      <c r="N31" s="50">
        <v>0</v>
      </c>
      <c r="O31" s="15">
        <f t="shared" si="0"/>
        <v>156</v>
      </c>
      <c r="P31" s="15">
        <f t="shared" si="1"/>
        <v>221</v>
      </c>
      <c r="R31" s="36" t="s">
        <v>155</v>
      </c>
      <c r="S31" s="34">
        <f>SUM(C94:C97)</f>
        <v>51</v>
      </c>
      <c r="T31" s="34">
        <f t="shared" ref="T31:AF31" si="23">SUM(D94:D97)</f>
        <v>16</v>
      </c>
      <c r="U31" s="34">
        <f t="shared" si="23"/>
        <v>12</v>
      </c>
      <c r="V31" s="34">
        <f t="shared" si="23"/>
        <v>12</v>
      </c>
      <c r="W31" s="34">
        <f t="shared" si="23"/>
        <v>0</v>
      </c>
      <c r="X31" s="34">
        <f t="shared" si="23"/>
        <v>2</v>
      </c>
      <c r="Y31" s="34">
        <f t="shared" si="23"/>
        <v>13</v>
      </c>
      <c r="Z31" s="34">
        <f t="shared" si="23"/>
        <v>14</v>
      </c>
      <c r="AA31" s="34">
        <f t="shared" si="23"/>
        <v>8</v>
      </c>
      <c r="AB31" s="34">
        <f t="shared" si="23"/>
        <v>10</v>
      </c>
      <c r="AC31" s="34">
        <f t="shared" si="23"/>
        <v>65</v>
      </c>
      <c r="AD31" s="34">
        <f t="shared" si="23"/>
        <v>0</v>
      </c>
      <c r="AE31" s="31">
        <f t="shared" si="23"/>
        <v>138</v>
      </c>
      <c r="AF31" s="31">
        <f t="shared" si="23"/>
        <v>203</v>
      </c>
    </row>
    <row r="32" spans="2:32" ht="23.1" customHeight="1" x14ac:dyDescent="0.25">
      <c r="B32" s="46" t="s">
        <v>59</v>
      </c>
      <c r="C32" s="50">
        <v>103</v>
      </c>
      <c r="D32" s="50">
        <v>20</v>
      </c>
      <c r="E32" s="50">
        <v>15</v>
      </c>
      <c r="F32" s="50">
        <v>44</v>
      </c>
      <c r="G32" s="50">
        <v>0</v>
      </c>
      <c r="H32" s="50">
        <v>3</v>
      </c>
      <c r="I32" s="50">
        <v>18</v>
      </c>
      <c r="J32" s="50">
        <v>5</v>
      </c>
      <c r="K32" s="50">
        <v>6</v>
      </c>
      <c r="L32" s="50">
        <v>7</v>
      </c>
      <c r="M32" s="50">
        <v>94</v>
      </c>
      <c r="N32" s="50">
        <v>0</v>
      </c>
      <c r="O32" s="15">
        <f t="shared" si="0"/>
        <v>221</v>
      </c>
      <c r="P32" s="15">
        <f t="shared" si="1"/>
        <v>315</v>
      </c>
      <c r="R32" s="33" t="s">
        <v>156</v>
      </c>
      <c r="S32" s="34">
        <f>SUM(C98:C101)</f>
        <v>93</v>
      </c>
      <c r="T32" s="34">
        <f t="shared" ref="T32:AF32" si="24">SUM(D98:D101)</f>
        <v>25</v>
      </c>
      <c r="U32" s="34">
        <f t="shared" si="24"/>
        <v>30</v>
      </c>
      <c r="V32" s="34">
        <f t="shared" si="24"/>
        <v>45</v>
      </c>
      <c r="W32" s="34">
        <f t="shared" si="24"/>
        <v>4</v>
      </c>
      <c r="X32" s="34">
        <f t="shared" si="24"/>
        <v>0</v>
      </c>
      <c r="Y32" s="34">
        <f t="shared" si="24"/>
        <v>21</v>
      </c>
      <c r="Z32" s="34">
        <f t="shared" si="24"/>
        <v>26</v>
      </c>
      <c r="AA32" s="34">
        <f t="shared" si="24"/>
        <v>5</v>
      </c>
      <c r="AB32" s="34">
        <f t="shared" si="24"/>
        <v>7</v>
      </c>
      <c r="AC32" s="34">
        <f t="shared" si="24"/>
        <v>104</v>
      </c>
      <c r="AD32" s="34">
        <f t="shared" si="24"/>
        <v>0</v>
      </c>
      <c r="AE32" s="31">
        <f t="shared" si="24"/>
        <v>256</v>
      </c>
      <c r="AF32" s="31">
        <f t="shared" si="24"/>
        <v>360</v>
      </c>
    </row>
    <row r="33" spans="2:32" ht="23.1" customHeight="1" x14ac:dyDescent="0.25">
      <c r="B33" s="45" t="s">
        <v>60</v>
      </c>
      <c r="C33" s="50">
        <v>102</v>
      </c>
      <c r="D33" s="50">
        <v>13</v>
      </c>
      <c r="E33" s="50">
        <v>14</v>
      </c>
      <c r="F33" s="50">
        <v>52</v>
      </c>
      <c r="G33" s="50">
        <v>3</v>
      </c>
      <c r="H33" s="50">
        <v>1</v>
      </c>
      <c r="I33" s="50">
        <v>11</v>
      </c>
      <c r="J33" s="50">
        <v>7</v>
      </c>
      <c r="K33" s="50">
        <v>7</v>
      </c>
      <c r="L33" s="50">
        <v>11</v>
      </c>
      <c r="M33" s="50">
        <v>77</v>
      </c>
      <c r="N33" s="50">
        <v>0</v>
      </c>
      <c r="O33" s="15">
        <f t="shared" si="0"/>
        <v>221</v>
      </c>
      <c r="P33" s="15">
        <f t="shared" si="1"/>
        <v>298</v>
      </c>
      <c r="R33" s="33" t="s">
        <v>157</v>
      </c>
      <c r="S33" s="34">
        <f>SUM(C102:C105)</f>
        <v>150</v>
      </c>
      <c r="T33" s="34">
        <f t="shared" ref="T33:AF33" si="25">SUM(D102:D105)</f>
        <v>42</v>
      </c>
      <c r="U33" s="34">
        <f t="shared" si="25"/>
        <v>33</v>
      </c>
      <c r="V33" s="34">
        <f t="shared" si="25"/>
        <v>95</v>
      </c>
      <c r="W33" s="34">
        <f t="shared" si="25"/>
        <v>1</v>
      </c>
      <c r="X33" s="34">
        <f t="shared" si="25"/>
        <v>0</v>
      </c>
      <c r="Y33" s="34">
        <f t="shared" si="25"/>
        <v>24</v>
      </c>
      <c r="Z33" s="34">
        <f t="shared" si="25"/>
        <v>23</v>
      </c>
      <c r="AA33" s="34">
        <f t="shared" si="25"/>
        <v>10</v>
      </c>
      <c r="AB33" s="34">
        <f t="shared" si="25"/>
        <v>15</v>
      </c>
      <c r="AC33" s="34">
        <f t="shared" si="25"/>
        <v>222</v>
      </c>
      <c r="AD33" s="34">
        <f t="shared" si="25"/>
        <v>0</v>
      </c>
      <c r="AE33" s="31">
        <f t="shared" si="25"/>
        <v>393</v>
      </c>
      <c r="AF33" s="31">
        <f t="shared" si="25"/>
        <v>615</v>
      </c>
    </row>
    <row r="34" spans="2:32" ht="23.1" customHeight="1" x14ac:dyDescent="0.25">
      <c r="B34" s="46" t="s">
        <v>61</v>
      </c>
      <c r="C34" s="50">
        <v>105</v>
      </c>
      <c r="D34" s="50">
        <v>7</v>
      </c>
      <c r="E34" s="50">
        <v>10</v>
      </c>
      <c r="F34" s="50">
        <v>62</v>
      </c>
      <c r="G34" s="50">
        <v>7</v>
      </c>
      <c r="H34" s="50">
        <v>0</v>
      </c>
      <c r="I34" s="50">
        <v>18</v>
      </c>
      <c r="J34" s="50">
        <v>8</v>
      </c>
      <c r="K34" s="50">
        <v>5</v>
      </c>
      <c r="L34" s="50">
        <v>14</v>
      </c>
      <c r="M34" s="50">
        <v>107</v>
      </c>
      <c r="N34" s="50">
        <v>0</v>
      </c>
      <c r="O34" s="15">
        <f t="shared" si="0"/>
        <v>236</v>
      </c>
      <c r="P34" s="15">
        <f t="shared" si="1"/>
        <v>343</v>
      </c>
      <c r="R34" s="38" t="s">
        <v>90</v>
      </c>
      <c r="S34" s="39">
        <f t="shared" ref="S34:AF34" si="26">MAX(S10:S12)</f>
        <v>291</v>
      </c>
      <c r="T34" s="39">
        <f t="shared" si="26"/>
        <v>45</v>
      </c>
      <c r="U34" s="39">
        <f t="shared" si="26"/>
        <v>37</v>
      </c>
      <c r="V34" s="39">
        <f t="shared" si="26"/>
        <v>168</v>
      </c>
      <c r="W34" s="39">
        <f t="shared" si="26"/>
        <v>20</v>
      </c>
      <c r="X34" s="39">
        <f t="shared" si="26"/>
        <v>5</v>
      </c>
      <c r="Y34" s="39">
        <f t="shared" si="26"/>
        <v>55</v>
      </c>
      <c r="Z34" s="39">
        <f t="shared" si="26"/>
        <v>22</v>
      </c>
      <c r="AA34" s="39">
        <f t="shared" si="26"/>
        <v>13</v>
      </c>
      <c r="AB34" s="39">
        <f t="shared" si="26"/>
        <v>18</v>
      </c>
      <c r="AC34" s="39">
        <f t="shared" si="26"/>
        <v>511</v>
      </c>
      <c r="AD34" s="39">
        <f t="shared" si="26"/>
        <v>0</v>
      </c>
      <c r="AE34" s="40">
        <f t="shared" si="26"/>
        <v>654</v>
      </c>
      <c r="AF34" s="40">
        <f t="shared" si="26"/>
        <v>1131</v>
      </c>
    </row>
    <row r="35" spans="2:32" ht="23.1" customHeight="1" x14ac:dyDescent="0.25">
      <c r="B35" s="46" t="s">
        <v>62</v>
      </c>
      <c r="C35" s="50">
        <v>92</v>
      </c>
      <c r="D35" s="50">
        <v>14</v>
      </c>
      <c r="E35" s="50">
        <v>13</v>
      </c>
      <c r="F35" s="50">
        <v>47</v>
      </c>
      <c r="G35" s="50">
        <v>4</v>
      </c>
      <c r="H35" s="50">
        <v>0</v>
      </c>
      <c r="I35" s="50">
        <v>11</v>
      </c>
      <c r="J35" s="50">
        <v>7</v>
      </c>
      <c r="K35" s="50">
        <v>8</v>
      </c>
      <c r="L35" s="50">
        <v>5</v>
      </c>
      <c r="M35" s="50">
        <v>96</v>
      </c>
      <c r="N35" s="50">
        <v>0</v>
      </c>
      <c r="O35" s="15">
        <f t="shared" si="0"/>
        <v>201</v>
      </c>
      <c r="P35" s="15">
        <f t="shared" si="1"/>
        <v>297</v>
      </c>
      <c r="R35" s="38" t="s">
        <v>91</v>
      </c>
      <c r="S35" s="39">
        <f t="shared" ref="S35:AF35" si="27">MAX(S13:S18)</f>
        <v>376</v>
      </c>
      <c r="T35" s="39">
        <f t="shared" si="27"/>
        <v>54</v>
      </c>
      <c r="U35" s="39">
        <f t="shared" si="27"/>
        <v>57</v>
      </c>
      <c r="V35" s="39">
        <f t="shared" si="27"/>
        <v>194</v>
      </c>
      <c r="W35" s="39">
        <f t="shared" si="27"/>
        <v>28</v>
      </c>
      <c r="X35" s="39">
        <f t="shared" si="27"/>
        <v>8</v>
      </c>
      <c r="Y35" s="39">
        <f t="shared" si="27"/>
        <v>88</v>
      </c>
      <c r="Z35" s="39">
        <f t="shared" si="27"/>
        <v>32</v>
      </c>
      <c r="AA35" s="39">
        <f t="shared" si="27"/>
        <v>31</v>
      </c>
      <c r="AB35" s="39">
        <f t="shared" si="27"/>
        <v>37</v>
      </c>
      <c r="AC35" s="39">
        <f t="shared" si="27"/>
        <v>428</v>
      </c>
      <c r="AD35" s="39">
        <f t="shared" si="27"/>
        <v>0</v>
      </c>
      <c r="AE35" s="40">
        <f t="shared" si="27"/>
        <v>824</v>
      </c>
      <c r="AF35" s="40">
        <f t="shared" si="27"/>
        <v>1210</v>
      </c>
    </row>
    <row r="36" spans="2:32" ht="23.1" customHeight="1" x14ac:dyDescent="0.25">
      <c r="B36" s="46" t="s">
        <v>63</v>
      </c>
      <c r="C36" s="50">
        <v>82</v>
      </c>
      <c r="D36" s="50">
        <v>16</v>
      </c>
      <c r="E36" s="50">
        <v>13</v>
      </c>
      <c r="F36" s="50">
        <v>41</v>
      </c>
      <c r="G36" s="50">
        <v>2</v>
      </c>
      <c r="H36" s="50">
        <v>1</v>
      </c>
      <c r="I36" s="50">
        <v>26</v>
      </c>
      <c r="J36" s="50">
        <v>9</v>
      </c>
      <c r="K36" s="50">
        <v>2</v>
      </c>
      <c r="L36" s="50">
        <v>11</v>
      </c>
      <c r="M36" s="50">
        <v>110</v>
      </c>
      <c r="N36" s="50">
        <v>0</v>
      </c>
      <c r="O36" s="15">
        <f t="shared" si="0"/>
        <v>203</v>
      </c>
      <c r="P36" s="15">
        <f t="shared" si="1"/>
        <v>313</v>
      </c>
      <c r="R36" s="38" t="s">
        <v>92</v>
      </c>
      <c r="S36" s="39">
        <f t="shared" ref="S36:AF36" si="28">MAX(S19:S21)</f>
        <v>577</v>
      </c>
      <c r="T36" s="39">
        <f t="shared" si="28"/>
        <v>42</v>
      </c>
      <c r="U36" s="39">
        <f t="shared" si="28"/>
        <v>46</v>
      </c>
      <c r="V36" s="39">
        <f t="shared" si="28"/>
        <v>160</v>
      </c>
      <c r="W36" s="39">
        <f t="shared" si="28"/>
        <v>9</v>
      </c>
      <c r="X36" s="39">
        <f t="shared" si="28"/>
        <v>4</v>
      </c>
      <c r="Y36" s="39">
        <f t="shared" si="28"/>
        <v>73</v>
      </c>
      <c r="Z36" s="39">
        <f t="shared" si="28"/>
        <v>29</v>
      </c>
      <c r="AA36" s="39">
        <f t="shared" si="28"/>
        <v>15</v>
      </c>
      <c r="AB36" s="39">
        <f t="shared" si="28"/>
        <v>33</v>
      </c>
      <c r="AC36" s="39">
        <f t="shared" si="28"/>
        <v>576</v>
      </c>
      <c r="AD36" s="39">
        <f t="shared" si="28"/>
        <v>0</v>
      </c>
      <c r="AE36" s="40">
        <f t="shared" si="28"/>
        <v>901</v>
      </c>
      <c r="AF36" s="40">
        <f t="shared" si="28"/>
        <v>1477</v>
      </c>
    </row>
    <row r="37" spans="2:32" ht="23.1" customHeight="1" x14ac:dyDescent="0.25">
      <c r="B37" s="45" t="s">
        <v>64</v>
      </c>
      <c r="C37" s="50">
        <v>78</v>
      </c>
      <c r="D37" s="50">
        <v>7</v>
      </c>
      <c r="E37" s="50">
        <v>3</v>
      </c>
      <c r="F37" s="50">
        <v>44</v>
      </c>
      <c r="G37" s="50">
        <v>2</v>
      </c>
      <c r="H37" s="50">
        <v>1</v>
      </c>
      <c r="I37" s="50">
        <v>30</v>
      </c>
      <c r="J37" s="50">
        <v>8</v>
      </c>
      <c r="K37" s="50">
        <v>4</v>
      </c>
      <c r="L37" s="50">
        <v>7</v>
      </c>
      <c r="M37" s="50">
        <v>73</v>
      </c>
      <c r="N37" s="50">
        <v>0</v>
      </c>
      <c r="O37" s="15">
        <f t="shared" si="0"/>
        <v>184</v>
      </c>
      <c r="P37" s="15">
        <f t="shared" si="1"/>
        <v>257</v>
      </c>
      <c r="R37" s="37" t="s">
        <v>85</v>
      </c>
      <c r="S37" s="35">
        <f t="shared" ref="S37:AF37" si="29">SUM(S10:S12)</f>
        <v>856</v>
      </c>
      <c r="T37" s="16">
        <f t="shared" si="29"/>
        <v>126</v>
      </c>
      <c r="U37" s="16">
        <f t="shared" si="29"/>
        <v>104</v>
      </c>
      <c r="V37" s="16">
        <f t="shared" si="29"/>
        <v>426</v>
      </c>
      <c r="W37" s="16">
        <f t="shared" si="29"/>
        <v>36</v>
      </c>
      <c r="X37" s="16">
        <f t="shared" si="29"/>
        <v>9</v>
      </c>
      <c r="Y37" s="16">
        <f t="shared" si="29"/>
        <v>139</v>
      </c>
      <c r="Z37" s="16">
        <f t="shared" si="29"/>
        <v>53</v>
      </c>
      <c r="AA37" s="16">
        <f t="shared" si="29"/>
        <v>35</v>
      </c>
      <c r="AB37" s="16">
        <f t="shared" si="29"/>
        <v>47</v>
      </c>
      <c r="AC37" s="16">
        <f t="shared" si="29"/>
        <v>1444</v>
      </c>
      <c r="AD37" s="16">
        <f t="shared" si="29"/>
        <v>0</v>
      </c>
      <c r="AE37" s="32">
        <f t="shared" si="29"/>
        <v>1831</v>
      </c>
      <c r="AF37" s="32">
        <f t="shared" si="29"/>
        <v>3275</v>
      </c>
    </row>
    <row r="38" spans="2:32" ht="23.1" customHeight="1" x14ac:dyDescent="0.25">
      <c r="B38" s="46" t="s">
        <v>65</v>
      </c>
      <c r="C38" s="50">
        <v>84</v>
      </c>
      <c r="D38" s="50">
        <v>15</v>
      </c>
      <c r="E38" s="50">
        <v>20</v>
      </c>
      <c r="F38" s="50">
        <v>36</v>
      </c>
      <c r="G38" s="50">
        <v>3</v>
      </c>
      <c r="H38" s="50">
        <v>0</v>
      </c>
      <c r="I38" s="50">
        <v>23</v>
      </c>
      <c r="J38" s="50">
        <v>6</v>
      </c>
      <c r="K38" s="50">
        <v>4</v>
      </c>
      <c r="L38" s="50">
        <v>6</v>
      </c>
      <c r="M38" s="50">
        <v>93</v>
      </c>
      <c r="N38" s="50">
        <v>0</v>
      </c>
      <c r="O38" s="15">
        <f t="shared" si="0"/>
        <v>197</v>
      </c>
      <c r="P38" s="15">
        <f t="shared" si="1"/>
        <v>290</v>
      </c>
      <c r="R38" s="28" t="s">
        <v>86</v>
      </c>
      <c r="S38" s="16">
        <f t="shared" ref="S38:AF38" si="30">SUM(S13:S18)</f>
        <v>2044</v>
      </c>
      <c r="T38" s="16">
        <f t="shared" si="30"/>
        <v>267</v>
      </c>
      <c r="U38" s="16">
        <f t="shared" si="30"/>
        <v>264</v>
      </c>
      <c r="V38" s="16">
        <f t="shared" si="30"/>
        <v>1044</v>
      </c>
      <c r="W38" s="16">
        <f t="shared" si="30"/>
        <v>77</v>
      </c>
      <c r="X38" s="16">
        <f t="shared" si="30"/>
        <v>23</v>
      </c>
      <c r="Y38" s="16">
        <f t="shared" si="30"/>
        <v>446</v>
      </c>
      <c r="Z38" s="16">
        <f t="shared" si="30"/>
        <v>162</v>
      </c>
      <c r="AA38" s="16">
        <f t="shared" si="30"/>
        <v>123</v>
      </c>
      <c r="AB38" s="16">
        <f t="shared" si="30"/>
        <v>146</v>
      </c>
      <c r="AC38" s="16">
        <f t="shared" si="30"/>
        <v>2220</v>
      </c>
      <c r="AD38" s="16">
        <f t="shared" si="30"/>
        <v>0</v>
      </c>
      <c r="AE38" s="32">
        <f t="shared" si="30"/>
        <v>4596</v>
      </c>
      <c r="AF38" s="32">
        <f t="shared" si="30"/>
        <v>6816</v>
      </c>
    </row>
    <row r="39" spans="2:32" ht="23.1" customHeight="1" x14ac:dyDescent="0.25">
      <c r="B39" s="46" t="s">
        <v>66</v>
      </c>
      <c r="C39" s="50">
        <v>85</v>
      </c>
      <c r="D39" s="50">
        <v>9</v>
      </c>
      <c r="E39" s="50">
        <v>11</v>
      </c>
      <c r="F39" s="50">
        <v>36</v>
      </c>
      <c r="G39" s="50">
        <v>0</v>
      </c>
      <c r="H39" s="50">
        <v>1</v>
      </c>
      <c r="I39" s="50">
        <v>22</v>
      </c>
      <c r="J39" s="50">
        <v>4</v>
      </c>
      <c r="K39" s="50">
        <v>2</v>
      </c>
      <c r="L39" s="50">
        <v>6</v>
      </c>
      <c r="M39" s="50">
        <v>104</v>
      </c>
      <c r="N39" s="50">
        <v>0</v>
      </c>
      <c r="O39" s="15">
        <f t="shared" si="0"/>
        <v>176</v>
      </c>
      <c r="P39" s="15">
        <f t="shared" si="1"/>
        <v>280</v>
      </c>
      <c r="R39" s="29" t="s">
        <v>87</v>
      </c>
      <c r="S39" s="16">
        <f t="shared" ref="S39:AF39" si="31">SUM(S19:S21)</f>
        <v>1446</v>
      </c>
      <c r="T39" s="16">
        <f t="shared" si="31"/>
        <v>115</v>
      </c>
      <c r="U39" s="16">
        <f t="shared" si="31"/>
        <v>120</v>
      </c>
      <c r="V39" s="16">
        <f t="shared" si="31"/>
        <v>445</v>
      </c>
      <c r="W39" s="16">
        <f t="shared" si="31"/>
        <v>17</v>
      </c>
      <c r="X39" s="16">
        <f t="shared" si="31"/>
        <v>10</v>
      </c>
      <c r="Y39" s="16">
        <f t="shared" si="31"/>
        <v>173</v>
      </c>
      <c r="Z39" s="16">
        <f t="shared" si="31"/>
        <v>82</v>
      </c>
      <c r="AA39" s="16">
        <f t="shared" si="31"/>
        <v>37</v>
      </c>
      <c r="AB39" s="16">
        <f t="shared" si="31"/>
        <v>77</v>
      </c>
      <c r="AC39" s="16">
        <f t="shared" si="31"/>
        <v>1359</v>
      </c>
      <c r="AD39" s="16">
        <f t="shared" si="31"/>
        <v>0</v>
      </c>
      <c r="AE39" s="32">
        <f t="shared" si="31"/>
        <v>2522</v>
      </c>
      <c r="AF39" s="32">
        <f t="shared" si="31"/>
        <v>3881</v>
      </c>
    </row>
    <row r="40" spans="2:32" ht="23.1" customHeight="1" x14ac:dyDescent="0.25">
      <c r="B40" s="46" t="s">
        <v>67</v>
      </c>
      <c r="C40" s="50">
        <v>73</v>
      </c>
      <c r="D40" s="50">
        <v>4</v>
      </c>
      <c r="E40" s="50">
        <v>10</v>
      </c>
      <c r="F40" s="50">
        <v>40</v>
      </c>
      <c r="G40" s="50">
        <v>4</v>
      </c>
      <c r="H40" s="50">
        <v>1</v>
      </c>
      <c r="I40" s="50">
        <v>21</v>
      </c>
      <c r="J40" s="50">
        <v>6</v>
      </c>
      <c r="K40" s="50">
        <v>3</v>
      </c>
      <c r="L40" s="50">
        <v>8</v>
      </c>
      <c r="M40" s="50">
        <v>98</v>
      </c>
      <c r="N40" s="50">
        <v>0</v>
      </c>
      <c r="O40" s="15">
        <f t="shared" si="0"/>
        <v>170</v>
      </c>
      <c r="P40" s="15">
        <f t="shared" si="1"/>
        <v>268</v>
      </c>
      <c r="R40" s="5" t="s">
        <v>17</v>
      </c>
      <c r="S40" s="16">
        <f t="shared" ref="S40:AF40" si="32">SUM(S10:S21)</f>
        <v>4346</v>
      </c>
      <c r="T40" s="16">
        <f t="shared" si="32"/>
        <v>508</v>
      </c>
      <c r="U40" s="16">
        <f t="shared" si="32"/>
        <v>488</v>
      </c>
      <c r="V40" s="16">
        <f t="shared" si="32"/>
        <v>1915</v>
      </c>
      <c r="W40" s="16">
        <f t="shared" si="32"/>
        <v>130</v>
      </c>
      <c r="X40" s="16">
        <f t="shared" si="32"/>
        <v>42</v>
      </c>
      <c r="Y40" s="16">
        <f t="shared" si="32"/>
        <v>758</v>
      </c>
      <c r="Z40" s="16">
        <f t="shared" si="32"/>
        <v>297</v>
      </c>
      <c r="AA40" s="16">
        <f t="shared" si="32"/>
        <v>195</v>
      </c>
      <c r="AB40" s="16">
        <f t="shared" si="32"/>
        <v>270</v>
      </c>
      <c r="AC40" s="16">
        <f t="shared" si="32"/>
        <v>5023</v>
      </c>
      <c r="AD40" s="16">
        <f t="shared" si="32"/>
        <v>0</v>
      </c>
      <c r="AE40" s="32">
        <f t="shared" si="32"/>
        <v>8949</v>
      </c>
      <c r="AF40" s="32">
        <f t="shared" si="32"/>
        <v>13972</v>
      </c>
    </row>
    <row r="41" spans="2:32" ht="23.1" customHeight="1" x14ac:dyDescent="0.25">
      <c r="B41" s="45" t="s">
        <v>68</v>
      </c>
      <c r="C41" s="50">
        <v>102</v>
      </c>
      <c r="D41" s="50">
        <v>11</v>
      </c>
      <c r="E41" s="50">
        <v>16</v>
      </c>
      <c r="F41" s="50">
        <v>34</v>
      </c>
      <c r="G41" s="50">
        <v>0</v>
      </c>
      <c r="H41" s="50">
        <v>0</v>
      </c>
      <c r="I41" s="50">
        <v>22</v>
      </c>
      <c r="J41" s="50">
        <v>11</v>
      </c>
      <c r="K41" s="50">
        <v>1</v>
      </c>
      <c r="L41" s="50">
        <v>8</v>
      </c>
      <c r="M41" s="50">
        <v>104</v>
      </c>
      <c r="N41" s="50">
        <v>0</v>
      </c>
      <c r="O41" s="15">
        <f t="shared" si="0"/>
        <v>205</v>
      </c>
      <c r="P41" s="15">
        <f t="shared" si="1"/>
        <v>309</v>
      </c>
      <c r="R41" s="5" t="s">
        <v>159</v>
      </c>
      <c r="S41" s="16">
        <f>SUM(S10:S33)</f>
        <v>6027</v>
      </c>
      <c r="T41" s="16">
        <f t="shared" ref="T41:AF41" si="33">SUM(T10:T33)</f>
        <v>823</v>
      </c>
      <c r="U41" s="16">
        <f t="shared" si="33"/>
        <v>742</v>
      </c>
      <c r="V41" s="16">
        <f t="shared" si="33"/>
        <v>2584</v>
      </c>
      <c r="W41" s="16">
        <f t="shared" si="33"/>
        <v>160</v>
      </c>
      <c r="X41" s="16">
        <f t="shared" si="33"/>
        <v>62</v>
      </c>
      <c r="Y41" s="16">
        <f t="shared" si="33"/>
        <v>996</v>
      </c>
      <c r="Z41" s="16">
        <f t="shared" si="33"/>
        <v>582</v>
      </c>
      <c r="AA41" s="16">
        <f t="shared" si="33"/>
        <v>297</v>
      </c>
      <c r="AB41" s="16">
        <f t="shared" si="33"/>
        <v>389</v>
      </c>
      <c r="AC41" s="16">
        <f t="shared" si="33"/>
        <v>7237</v>
      </c>
      <c r="AD41" s="16">
        <f t="shared" si="33"/>
        <v>0</v>
      </c>
      <c r="AE41" s="32">
        <f t="shared" si="33"/>
        <v>12662</v>
      </c>
      <c r="AF41" s="32">
        <f t="shared" si="33"/>
        <v>19899</v>
      </c>
    </row>
    <row r="42" spans="2:32" ht="23.1" customHeight="1" x14ac:dyDescent="0.25">
      <c r="B42" s="46" t="s">
        <v>69</v>
      </c>
      <c r="C42" s="50">
        <v>101</v>
      </c>
      <c r="D42" s="50">
        <v>18</v>
      </c>
      <c r="E42" s="50">
        <v>13</v>
      </c>
      <c r="F42" s="50">
        <v>43</v>
      </c>
      <c r="G42" s="50">
        <v>1</v>
      </c>
      <c r="H42" s="50">
        <v>0</v>
      </c>
      <c r="I42" s="50">
        <v>16</v>
      </c>
      <c r="J42" s="50">
        <v>10</v>
      </c>
      <c r="K42" s="50">
        <v>12</v>
      </c>
      <c r="L42" s="50">
        <v>5</v>
      </c>
      <c r="M42" s="50">
        <v>88</v>
      </c>
      <c r="N42" s="50">
        <v>0</v>
      </c>
      <c r="O42" s="15">
        <f t="shared" si="0"/>
        <v>219</v>
      </c>
      <c r="P42" s="15">
        <f t="shared" si="1"/>
        <v>307</v>
      </c>
      <c r="R42" s="5" t="s">
        <v>160</v>
      </c>
      <c r="S42" s="48">
        <f>S41/S40</f>
        <v>1.3867924528301887</v>
      </c>
      <c r="T42" s="48">
        <f t="shared" ref="T42:AF42" si="34">T41/T40</f>
        <v>1.6200787401574803</v>
      </c>
      <c r="U42" s="48">
        <f t="shared" si="34"/>
        <v>1.5204918032786885</v>
      </c>
      <c r="V42" s="48">
        <f t="shared" si="34"/>
        <v>1.3493472584856396</v>
      </c>
      <c r="W42" s="48">
        <f t="shared" si="34"/>
        <v>1.2307692307692308</v>
      </c>
      <c r="X42" s="48">
        <f t="shared" si="34"/>
        <v>1.4761904761904763</v>
      </c>
      <c r="Y42" s="48">
        <f t="shared" si="34"/>
        <v>1.3139841688654355</v>
      </c>
      <c r="Z42" s="48">
        <f t="shared" si="34"/>
        <v>1.9595959595959596</v>
      </c>
      <c r="AA42" s="48">
        <f t="shared" si="34"/>
        <v>1.523076923076923</v>
      </c>
      <c r="AB42" s="48">
        <f t="shared" si="34"/>
        <v>1.4407407407407407</v>
      </c>
      <c r="AC42" s="48">
        <f t="shared" si="34"/>
        <v>1.4407724467449732</v>
      </c>
      <c r="AD42" s="48" t="e">
        <f t="shared" si="34"/>
        <v>#DIV/0!</v>
      </c>
      <c r="AE42" s="48">
        <f t="shared" si="34"/>
        <v>1.4149066934853056</v>
      </c>
      <c r="AF42" s="48">
        <f t="shared" si="34"/>
        <v>1.4242055539650731</v>
      </c>
    </row>
    <row r="43" spans="2:32" ht="23.1" customHeight="1" x14ac:dyDescent="0.25">
      <c r="B43" s="45" t="s">
        <v>70</v>
      </c>
      <c r="C43" s="50">
        <v>80</v>
      </c>
      <c r="D43" s="50">
        <v>5</v>
      </c>
      <c r="E43" s="50">
        <v>8</v>
      </c>
      <c r="F43" s="50">
        <v>28</v>
      </c>
      <c r="G43" s="50">
        <v>0</v>
      </c>
      <c r="H43" s="50">
        <v>0</v>
      </c>
      <c r="I43" s="50">
        <v>15</v>
      </c>
      <c r="J43" s="50">
        <v>4</v>
      </c>
      <c r="K43" s="50">
        <v>4</v>
      </c>
      <c r="L43" s="50">
        <v>4</v>
      </c>
      <c r="M43" s="50">
        <v>89</v>
      </c>
      <c r="N43" s="50">
        <v>0</v>
      </c>
      <c r="O43" s="15">
        <f t="shared" si="0"/>
        <v>148</v>
      </c>
      <c r="P43" s="15">
        <f t="shared" si="1"/>
        <v>237</v>
      </c>
    </row>
    <row r="44" spans="2:32" ht="23.1" customHeight="1" x14ac:dyDescent="0.25">
      <c r="B44" s="47" t="s">
        <v>71</v>
      </c>
      <c r="C44" s="50">
        <v>95</v>
      </c>
      <c r="D44" s="50">
        <v>18</v>
      </c>
      <c r="E44" s="50">
        <v>17</v>
      </c>
      <c r="F44" s="50">
        <v>50</v>
      </c>
      <c r="G44" s="50">
        <v>0</v>
      </c>
      <c r="H44" s="50">
        <v>1</v>
      </c>
      <c r="I44" s="50">
        <v>21</v>
      </c>
      <c r="J44" s="50">
        <v>7</v>
      </c>
      <c r="K44" s="50">
        <v>4</v>
      </c>
      <c r="L44" s="50">
        <v>2</v>
      </c>
      <c r="M44" s="50">
        <v>107</v>
      </c>
      <c r="N44" s="50">
        <v>0</v>
      </c>
      <c r="O44" s="15">
        <f t="shared" si="0"/>
        <v>215</v>
      </c>
      <c r="P44" s="15">
        <f t="shared" si="1"/>
        <v>322</v>
      </c>
    </row>
    <row r="45" spans="2:32" ht="23.1" customHeight="1" x14ac:dyDescent="0.25">
      <c r="B45" s="45" t="s">
        <v>72</v>
      </c>
      <c r="C45" s="50">
        <v>100</v>
      </c>
      <c r="D45" s="50">
        <v>13</v>
      </c>
      <c r="E45" s="50">
        <v>14</v>
      </c>
      <c r="F45" s="50">
        <v>44</v>
      </c>
      <c r="G45" s="50">
        <v>0</v>
      </c>
      <c r="H45" s="50">
        <v>0</v>
      </c>
      <c r="I45" s="50">
        <v>34</v>
      </c>
      <c r="J45" s="50">
        <v>7</v>
      </c>
      <c r="K45" s="50">
        <v>5</v>
      </c>
      <c r="L45" s="50">
        <v>9</v>
      </c>
      <c r="M45" s="50">
        <v>80</v>
      </c>
      <c r="N45" s="50">
        <v>0</v>
      </c>
      <c r="O45" s="15">
        <f t="shared" si="0"/>
        <v>226</v>
      </c>
      <c r="P45" s="15">
        <f t="shared" si="1"/>
        <v>306</v>
      </c>
    </row>
    <row r="46" spans="2:32" ht="23.1" customHeight="1" x14ac:dyDescent="0.25">
      <c r="B46" s="46" t="s">
        <v>73</v>
      </c>
      <c r="C46" s="50">
        <v>77</v>
      </c>
      <c r="D46" s="50">
        <v>17</v>
      </c>
      <c r="E46" s="50">
        <v>13</v>
      </c>
      <c r="F46" s="50">
        <v>27</v>
      </c>
      <c r="G46" s="50">
        <v>1</v>
      </c>
      <c r="H46" s="50">
        <v>0</v>
      </c>
      <c r="I46" s="50">
        <v>17</v>
      </c>
      <c r="J46" s="50">
        <v>6</v>
      </c>
      <c r="K46" s="50">
        <v>6</v>
      </c>
      <c r="L46" s="50">
        <v>6</v>
      </c>
      <c r="M46" s="50">
        <v>70</v>
      </c>
      <c r="N46" s="50">
        <v>0</v>
      </c>
      <c r="O46" s="15">
        <f t="shared" si="0"/>
        <v>170</v>
      </c>
      <c r="P46" s="15">
        <f t="shared" si="1"/>
        <v>240</v>
      </c>
      <c r="R46" s="8"/>
      <c r="T46"/>
    </row>
    <row r="47" spans="2:32" ht="23.1" customHeight="1" x14ac:dyDescent="0.25">
      <c r="B47" s="46" t="s">
        <v>74</v>
      </c>
      <c r="C47" s="50">
        <v>105</v>
      </c>
      <c r="D47" s="50">
        <v>16</v>
      </c>
      <c r="E47" s="50">
        <v>12</v>
      </c>
      <c r="F47" s="50">
        <v>43</v>
      </c>
      <c r="G47" s="50">
        <v>0</v>
      </c>
      <c r="H47" s="50">
        <v>1</v>
      </c>
      <c r="I47" s="50">
        <v>14</v>
      </c>
      <c r="J47" s="50">
        <v>8</v>
      </c>
      <c r="K47" s="50">
        <v>1</v>
      </c>
      <c r="L47" s="50">
        <v>11</v>
      </c>
      <c r="M47" s="50">
        <v>86</v>
      </c>
      <c r="N47" s="50">
        <v>0</v>
      </c>
      <c r="O47" s="15">
        <f t="shared" si="0"/>
        <v>211</v>
      </c>
      <c r="P47" s="15">
        <f t="shared" si="1"/>
        <v>297</v>
      </c>
      <c r="R47" s="8"/>
      <c r="T47"/>
    </row>
    <row r="48" spans="2:32" ht="23.1" customHeight="1" x14ac:dyDescent="0.25">
      <c r="B48" s="46" t="s">
        <v>75</v>
      </c>
      <c r="C48" s="50">
        <v>120</v>
      </c>
      <c r="D48" s="50">
        <v>4</v>
      </c>
      <c r="E48" s="50">
        <v>9</v>
      </c>
      <c r="F48" s="50">
        <v>35</v>
      </c>
      <c r="G48" s="50">
        <v>2</v>
      </c>
      <c r="H48" s="50">
        <v>1</v>
      </c>
      <c r="I48" s="50">
        <v>23</v>
      </c>
      <c r="J48" s="50">
        <v>10</v>
      </c>
      <c r="K48" s="50">
        <v>2</v>
      </c>
      <c r="L48" s="50">
        <v>8</v>
      </c>
      <c r="M48" s="50">
        <v>79</v>
      </c>
      <c r="N48" s="50">
        <v>0</v>
      </c>
      <c r="O48" s="15">
        <f t="shared" si="0"/>
        <v>214</v>
      </c>
      <c r="P48" s="15">
        <f t="shared" si="1"/>
        <v>293</v>
      </c>
      <c r="R48" s="8"/>
      <c r="T48"/>
    </row>
    <row r="49" spans="2:20" ht="23.1" customHeight="1" x14ac:dyDescent="0.25">
      <c r="B49" s="45" t="s">
        <v>76</v>
      </c>
      <c r="C49" s="50">
        <v>155</v>
      </c>
      <c r="D49" s="50">
        <v>5</v>
      </c>
      <c r="E49" s="50">
        <v>12</v>
      </c>
      <c r="F49" s="50">
        <v>35</v>
      </c>
      <c r="G49" s="50">
        <v>1</v>
      </c>
      <c r="H49" s="50">
        <v>0</v>
      </c>
      <c r="I49" s="50">
        <v>19</v>
      </c>
      <c r="J49" s="50">
        <v>2</v>
      </c>
      <c r="K49" s="50">
        <v>6</v>
      </c>
      <c r="L49" s="50">
        <v>8</v>
      </c>
      <c r="M49" s="50">
        <v>95</v>
      </c>
      <c r="N49" s="50">
        <v>0</v>
      </c>
      <c r="O49" s="15">
        <f t="shared" si="0"/>
        <v>243</v>
      </c>
      <c r="P49" s="15">
        <f t="shared" si="1"/>
        <v>338</v>
      </c>
      <c r="R49" s="8"/>
      <c r="T49"/>
    </row>
    <row r="50" spans="2:20" ht="23.1" customHeight="1" x14ac:dyDescent="0.25">
      <c r="B50" s="46" t="s">
        <v>77</v>
      </c>
      <c r="C50" s="50">
        <v>98</v>
      </c>
      <c r="D50" s="50">
        <v>16</v>
      </c>
      <c r="E50" s="50">
        <v>9</v>
      </c>
      <c r="F50" s="50">
        <v>48</v>
      </c>
      <c r="G50" s="50">
        <v>2</v>
      </c>
      <c r="H50" s="50">
        <v>0</v>
      </c>
      <c r="I50" s="50">
        <v>22</v>
      </c>
      <c r="J50" s="50">
        <v>11</v>
      </c>
      <c r="K50" s="50">
        <v>5</v>
      </c>
      <c r="L50" s="50">
        <v>5</v>
      </c>
      <c r="M50" s="50">
        <v>93</v>
      </c>
      <c r="N50" s="50">
        <v>0</v>
      </c>
      <c r="O50" s="15">
        <f t="shared" si="0"/>
        <v>216</v>
      </c>
      <c r="P50" s="15">
        <f t="shared" si="1"/>
        <v>309</v>
      </c>
      <c r="R50" s="8"/>
      <c r="T50"/>
    </row>
    <row r="51" spans="2:20" ht="23.1" customHeight="1" x14ac:dyDescent="0.25">
      <c r="B51" s="46" t="s">
        <v>78</v>
      </c>
      <c r="C51" s="50">
        <v>105</v>
      </c>
      <c r="D51" s="50">
        <v>12</v>
      </c>
      <c r="E51" s="50">
        <v>12</v>
      </c>
      <c r="F51" s="50">
        <v>25</v>
      </c>
      <c r="G51" s="50">
        <v>0</v>
      </c>
      <c r="H51" s="50">
        <v>1</v>
      </c>
      <c r="I51" s="50">
        <v>24</v>
      </c>
      <c r="J51" s="50">
        <v>4</v>
      </c>
      <c r="K51" s="50">
        <v>4</v>
      </c>
      <c r="L51" s="50">
        <v>8</v>
      </c>
      <c r="M51" s="50">
        <v>110</v>
      </c>
      <c r="N51" s="50">
        <v>0</v>
      </c>
      <c r="O51" s="15">
        <f t="shared" si="0"/>
        <v>195</v>
      </c>
      <c r="P51" s="15">
        <f t="shared" si="1"/>
        <v>305</v>
      </c>
      <c r="R51" s="8"/>
      <c r="T51"/>
    </row>
    <row r="52" spans="2:20" ht="23.1" customHeight="1" x14ac:dyDescent="0.25">
      <c r="B52" s="46" t="s">
        <v>79</v>
      </c>
      <c r="C52" s="50">
        <v>118</v>
      </c>
      <c r="D52" s="50">
        <v>8</v>
      </c>
      <c r="E52" s="50">
        <v>9</v>
      </c>
      <c r="F52" s="50">
        <v>37</v>
      </c>
      <c r="G52" s="50">
        <v>1</v>
      </c>
      <c r="H52" s="50">
        <v>2</v>
      </c>
      <c r="I52" s="50">
        <v>5</v>
      </c>
      <c r="J52" s="50">
        <v>5</v>
      </c>
      <c r="K52" s="50">
        <v>3</v>
      </c>
      <c r="L52" s="50">
        <v>4</v>
      </c>
      <c r="M52" s="50">
        <v>139</v>
      </c>
      <c r="N52" s="50">
        <v>0</v>
      </c>
      <c r="O52" s="15">
        <f t="shared" si="0"/>
        <v>192</v>
      </c>
      <c r="P52" s="15">
        <f t="shared" si="1"/>
        <v>331</v>
      </c>
      <c r="R52" s="8"/>
      <c r="T52"/>
    </row>
    <row r="53" spans="2:20" ht="23.1" customHeight="1" x14ac:dyDescent="0.25">
      <c r="B53" s="45" t="s">
        <v>80</v>
      </c>
      <c r="C53" s="50">
        <v>91</v>
      </c>
      <c r="D53" s="50">
        <v>4</v>
      </c>
      <c r="E53" s="50">
        <v>10</v>
      </c>
      <c r="F53" s="50">
        <v>50</v>
      </c>
      <c r="G53" s="50">
        <v>1</v>
      </c>
      <c r="H53" s="50">
        <v>1</v>
      </c>
      <c r="I53" s="50">
        <v>13</v>
      </c>
      <c r="J53" s="50">
        <v>7</v>
      </c>
      <c r="K53" s="50">
        <v>0</v>
      </c>
      <c r="L53" s="50">
        <v>3</v>
      </c>
      <c r="M53" s="50">
        <v>111</v>
      </c>
      <c r="N53" s="50">
        <v>0</v>
      </c>
      <c r="O53" s="15">
        <f t="shared" si="0"/>
        <v>180</v>
      </c>
      <c r="P53" s="15">
        <f t="shared" si="1"/>
        <v>291</v>
      </c>
      <c r="R53" s="8"/>
      <c r="T53"/>
    </row>
    <row r="54" spans="2:20" ht="23.1" customHeight="1" x14ac:dyDescent="0.25">
      <c r="B54" s="45" t="s">
        <v>81</v>
      </c>
      <c r="C54" s="50">
        <v>161</v>
      </c>
      <c r="D54" s="50">
        <v>7</v>
      </c>
      <c r="E54" s="50">
        <v>11</v>
      </c>
      <c r="F54" s="50">
        <v>42</v>
      </c>
      <c r="G54" s="50">
        <v>1</v>
      </c>
      <c r="H54" s="50">
        <v>0</v>
      </c>
      <c r="I54" s="50">
        <v>7</v>
      </c>
      <c r="J54" s="50">
        <v>8</v>
      </c>
      <c r="K54" s="50">
        <v>5</v>
      </c>
      <c r="L54" s="50">
        <v>8</v>
      </c>
      <c r="M54" s="50">
        <v>128</v>
      </c>
      <c r="N54" s="50">
        <v>0</v>
      </c>
      <c r="O54" s="15">
        <f t="shared" si="0"/>
        <v>250</v>
      </c>
      <c r="P54" s="15">
        <f t="shared" si="1"/>
        <v>378</v>
      </c>
      <c r="R54" s="8"/>
      <c r="T54"/>
    </row>
    <row r="55" spans="2:20" ht="23.1" customHeight="1" x14ac:dyDescent="0.25">
      <c r="B55" s="45" t="s">
        <v>82</v>
      </c>
      <c r="C55" s="50">
        <v>127</v>
      </c>
      <c r="D55" s="50">
        <v>12</v>
      </c>
      <c r="E55" s="50">
        <v>6</v>
      </c>
      <c r="F55" s="50">
        <v>30</v>
      </c>
      <c r="G55" s="50">
        <v>0</v>
      </c>
      <c r="H55" s="50">
        <v>3</v>
      </c>
      <c r="I55" s="50">
        <v>13</v>
      </c>
      <c r="J55" s="50">
        <v>10</v>
      </c>
      <c r="K55" s="50">
        <v>2</v>
      </c>
      <c r="L55" s="50">
        <v>4</v>
      </c>
      <c r="M55" s="50">
        <v>134</v>
      </c>
      <c r="N55" s="50">
        <v>0</v>
      </c>
      <c r="O55" s="15">
        <f t="shared" si="0"/>
        <v>207</v>
      </c>
      <c r="P55" s="15">
        <f t="shared" si="1"/>
        <v>341</v>
      </c>
      <c r="R55" s="8"/>
      <c r="T55"/>
    </row>
    <row r="56" spans="2:20" ht="23.1" customHeight="1" x14ac:dyDescent="0.25">
      <c r="B56" s="45" t="s">
        <v>83</v>
      </c>
      <c r="C56" s="50">
        <v>149</v>
      </c>
      <c r="D56" s="50">
        <v>7</v>
      </c>
      <c r="E56" s="50">
        <v>11</v>
      </c>
      <c r="F56" s="50">
        <v>43</v>
      </c>
      <c r="G56" s="50">
        <v>5</v>
      </c>
      <c r="H56" s="50">
        <v>0</v>
      </c>
      <c r="I56" s="50">
        <v>10</v>
      </c>
      <c r="J56" s="50">
        <v>8</v>
      </c>
      <c r="K56" s="50">
        <v>1</v>
      </c>
      <c r="L56" s="50">
        <v>6</v>
      </c>
      <c r="M56" s="50">
        <v>179</v>
      </c>
      <c r="N56" s="50">
        <v>0</v>
      </c>
      <c r="O56" s="15">
        <f t="shared" si="0"/>
        <v>240</v>
      </c>
      <c r="P56" s="15">
        <f t="shared" si="1"/>
        <v>419</v>
      </c>
      <c r="R56" s="8"/>
      <c r="T56"/>
    </row>
    <row r="57" spans="2:20" ht="23.1" customHeight="1" x14ac:dyDescent="0.25">
      <c r="B57" s="45" t="s">
        <v>84</v>
      </c>
      <c r="C57" s="50">
        <v>140</v>
      </c>
      <c r="D57" s="50">
        <v>7</v>
      </c>
      <c r="E57" s="50">
        <v>6</v>
      </c>
      <c r="F57" s="50">
        <v>30</v>
      </c>
      <c r="G57" s="50">
        <v>3</v>
      </c>
      <c r="H57" s="50">
        <v>1</v>
      </c>
      <c r="I57" s="50">
        <v>6</v>
      </c>
      <c r="J57" s="50">
        <v>3</v>
      </c>
      <c r="K57" s="50">
        <v>2</v>
      </c>
      <c r="L57" s="50">
        <v>6</v>
      </c>
      <c r="M57" s="50">
        <v>135</v>
      </c>
      <c r="N57" s="50">
        <v>0</v>
      </c>
      <c r="O57" s="15">
        <f t="shared" si="0"/>
        <v>204</v>
      </c>
      <c r="P57" s="15">
        <f t="shared" si="1"/>
        <v>339</v>
      </c>
      <c r="R57" s="8"/>
      <c r="T57"/>
    </row>
    <row r="58" spans="2:20" ht="23.1" customHeight="1" x14ac:dyDescent="0.25">
      <c r="B58" s="45" t="s">
        <v>99</v>
      </c>
      <c r="C58" s="50">
        <v>95</v>
      </c>
      <c r="D58" s="50">
        <v>16</v>
      </c>
      <c r="E58" s="50">
        <v>9</v>
      </c>
      <c r="F58" s="50">
        <v>30</v>
      </c>
      <c r="G58" s="50">
        <v>1</v>
      </c>
      <c r="H58" s="50">
        <v>2</v>
      </c>
      <c r="I58" s="50">
        <v>10</v>
      </c>
      <c r="J58" s="50">
        <v>6</v>
      </c>
      <c r="K58" s="50">
        <v>1</v>
      </c>
      <c r="L58" s="50">
        <v>3</v>
      </c>
      <c r="M58" s="50">
        <v>74</v>
      </c>
      <c r="N58" s="50">
        <v>0</v>
      </c>
      <c r="O58" s="15">
        <f t="shared" si="0"/>
        <v>173</v>
      </c>
      <c r="P58" s="15">
        <f t="shared" si="1"/>
        <v>247</v>
      </c>
      <c r="R58" s="8"/>
      <c r="T58"/>
    </row>
    <row r="59" spans="2:20" ht="23.1" customHeight="1" x14ac:dyDescent="0.25">
      <c r="B59" s="45" t="s">
        <v>100</v>
      </c>
      <c r="C59" s="50">
        <v>75</v>
      </c>
      <c r="D59" s="50">
        <v>26</v>
      </c>
      <c r="E59" s="50">
        <v>17</v>
      </c>
      <c r="F59" s="50">
        <v>34</v>
      </c>
      <c r="G59" s="50">
        <v>3</v>
      </c>
      <c r="H59" s="50">
        <v>6</v>
      </c>
      <c r="I59" s="50">
        <v>11</v>
      </c>
      <c r="J59" s="50">
        <v>7</v>
      </c>
      <c r="K59" s="50">
        <v>4</v>
      </c>
      <c r="L59" s="50">
        <v>3</v>
      </c>
      <c r="M59" s="50">
        <v>75</v>
      </c>
      <c r="N59" s="50">
        <v>0</v>
      </c>
      <c r="O59" s="15">
        <f t="shared" si="0"/>
        <v>186</v>
      </c>
      <c r="P59" s="15">
        <f t="shared" si="1"/>
        <v>261</v>
      </c>
      <c r="R59" s="8"/>
      <c r="T59"/>
    </row>
    <row r="60" spans="2:20" ht="23.1" customHeight="1" x14ac:dyDescent="0.25">
      <c r="B60" s="45" t="s">
        <v>101</v>
      </c>
      <c r="C60" s="50">
        <v>80</v>
      </c>
      <c r="D60" s="50">
        <v>10</v>
      </c>
      <c r="E60" s="50">
        <v>10</v>
      </c>
      <c r="F60" s="50">
        <v>26</v>
      </c>
      <c r="G60" s="50">
        <v>1</v>
      </c>
      <c r="H60" s="50">
        <v>3</v>
      </c>
      <c r="I60" s="50">
        <v>11</v>
      </c>
      <c r="J60" s="50">
        <v>8</v>
      </c>
      <c r="K60" s="50">
        <v>2</v>
      </c>
      <c r="L60" s="50">
        <v>3</v>
      </c>
      <c r="M60" s="50">
        <v>102</v>
      </c>
      <c r="N60" s="50">
        <v>0</v>
      </c>
      <c r="O60" s="15">
        <f t="shared" si="0"/>
        <v>154</v>
      </c>
      <c r="P60" s="15">
        <f t="shared" si="1"/>
        <v>256</v>
      </c>
      <c r="R60" s="8"/>
      <c r="T60"/>
    </row>
    <row r="61" spans="2:20" ht="23.1" customHeight="1" x14ac:dyDescent="0.25">
      <c r="B61" s="45" t="s">
        <v>102</v>
      </c>
      <c r="C61" s="50">
        <v>60</v>
      </c>
      <c r="D61" s="50">
        <v>8</v>
      </c>
      <c r="E61" s="50">
        <v>7</v>
      </c>
      <c r="F61" s="50">
        <v>35</v>
      </c>
      <c r="G61" s="50">
        <v>1</v>
      </c>
      <c r="H61" s="50">
        <v>0</v>
      </c>
      <c r="I61" s="50">
        <v>4</v>
      </c>
      <c r="J61" s="50">
        <v>10</v>
      </c>
      <c r="K61" s="50">
        <v>2</v>
      </c>
      <c r="L61" s="50">
        <v>4</v>
      </c>
      <c r="M61" s="50">
        <v>100</v>
      </c>
      <c r="N61" s="50">
        <v>0</v>
      </c>
      <c r="O61" s="15">
        <f t="shared" si="0"/>
        <v>131</v>
      </c>
      <c r="P61" s="15">
        <f t="shared" si="1"/>
        <v>231</v>
      </c>
      <c r="R61" s="8"/>
      <c r="T61"/>
    </row>
    <row r="62" spans="2:20" ht="23.1" customHeight="1" x14ac:dyDescent="0.25">
      <c r="B62" s="45" t="s">
        <v>107</v>
      </c>
      <c r="C62" s="50">
        <v>65</v>
      </c>
      <c r="D62" s="50">
        <v>10</v>
      </c>
      <c r="E62" s="50">
        <v>5</v>
      </c>
      <c r="F62" s="50">
        <v>35</v>
      </c>
      <c r="G62" s="50">
        <v>2</v>
      </c>
      <c r="H62" s="50">
        <v>2</v>
      </c>
      <c r="I62" s="50">
        <v>9</v>
      </c>
      <c r="J62" s="50">
        <v>11</v>
      </c>
      <c r="K62" s="50">
        <v>0</v>
      </c>
      <c r="L62" s="50">
        <v>3</v>
      </c>
      <c r="M62" s="50">
        <v>90</v>
      </c>
      <c r="N62" s="50">
        <v>0</v>
      </c>
      <c r="O62" s="15">
        <f t="shared" si="0"/>
        <v>142</v>
      </c>
      <c r="P62" s="15">
        <f t="shared" si="1"/>
        <v>232</v>
      </c>
      <c r="R62" s="8"/>
      <c r="T62"/>
    </row>
    <row r="63" spans="2:20" ht="23.1" customHeight="1" x14ac:dyDescent="0.25">
      <c r="B63" s="45" t="s">
        <v>108</v>
      </c>
      <c r="C63" s="50">
        <v>54</v>
      </c>
      <c r="D63" s="50">
        <v>9</v>
      </c>
      <c r="E63" s="50">
        <v>3</v>
      </c>
      <c r="F63" s="50">
        <v>17</v>
      </c>
      <c r="G63" s="50">
        <v>2</v>
      </c>
      <c r="H63" s="50">
        <v>0</v>
      </c>
      <c r="I63" s="50">
        <v>4</v>
      </c>
      <c r="J63" s="50">
        <v>8</v>
      </c>
      <c r="K63" s="50">
        <v>0</v>
      </c>
      <c r="L63" s="50">
        <v>2</v>
      </c>
      <c r="M63" s="50">
        <v>85</v>
      </c>
      <c r="N63" s="50">
        <v>0</v>
      </c>
      <c r="O63" s="15">
        <f t="shared" si="0"/>
        <v>99</v>
      </c>
      <c r="P63" s="15">
        <f t="shared" si="1"/>
        <v>184</v>
      </c>
      <c r="R63" s="8"/>
      <c r="T63"/>
    </row>
    <row r="64" spans="2:20" ht="23.1" customHeight="1" x14ac:dyDescent="0.25">
      <c r="B64" s="45" t="s">
        <v>109</v>
      </c>
      <c r="C64" s="50">
        <v>85</v>
      </c>
      <c r="D64" s="50">
        <v>12</v>
      </c>
      <c r="E64" s="50">
        <v>7</v>
      </c>
      <c r="F64" s="50">
        <v>40</v>
      </c>
      <c r="G64" s="50">
        <v>3</v>
      </c>
      <c r="H64" s="50">
        <v>1</v>
      </c>
      <c r="I64" s="50">
        <v>14</v>
      </c>
      <c r="J64" s="50">
        <v>9</v>
      </c>
      <c r="K64" s="50">
        <v>1</v>
      </c>
      <c r="L64" s="50">
        <v>0</v>
      </c>
      <c r="M64" s="50">
        <v>120</v>
      </c>
      <c r="N64" s="50">
        <v>0</v>
      </c>
      <c r="O64" s="15">
        <f t="shared" si="0"/>
        <v>172</v>
      </c>
      <c r="P64" s="15">
        <f t="shared" si="1"/>
        <v>292</v>
      </c>
      <c r="R64" s="8"/>
      <c r="T64"/>
    </row>
    <row r="65" spans="2:20" ht="23.1" customHeight="1" x14ac:dyDescent="0.25">
      <c r="B65" s="45" t="s">
        <v>158</v>
      </c>
      <c r="C65" s="50">
        <v>70</v>
      </c>
      <c r="D65" s="50">
        <v>10</v>
      </c>
      <c r="E65" s="50">
        <v>6</v>
      </c>
      <c r="F65" s="50">
        <v>22</v>
      </c>
      <c r="G65" s="50">
        <v>0</v>
      </c>
      <c r="H65" s="50">
        <v>2</v>
      </c>
      <c r="I65" s="50">
        <v>8</v>
      </c>
      <c r="J65" s="50">
        <v>7</v>
      </c>
      <c r="K65" s="50">
        <v>6</v>
      </c>
      <c r="L65" s="50">
        <v>5</v>
      </c>
      <c r="M65" s="50">
        <v>100</v>
      </c>
      <c r="N65" s="50">
        <v>0</v>
      </c>
      <c r="O65" s="15">
        <f t="shared" si="0"/>
        <v>136</v>
      </c>
      <c r="P65" s="15">
        <f t="shared" si="1"/>
        <v>236</v>
      </c>
      <c r="R65" s="8"/>
      <c r="T65"/>
    </row>
    <row r="66" spans="2:20" ht="23.1" customHeight="1" x14ac:dyDescent="0.25">
      <c r="B66" s="45" t="s">
        <v>103</v>
      </c>
      <c r="C66" s="50">
        <v>70</v>
      </c>
      <c r="D66" s="50">
        <v>15</v>
      </c>
      <c r="E66" s="50">
        <v>8</v>
      </c>
      <c r="F66" s="50">
        <v>30</v>
      </c>
      <c r="G66" s="50">
        <v>3</v>
      </c>
      <c r="H66" s="50">
        <v>0</v>
      </c>
      <c r="I66" s="50">
        <v>13</v>
      </c>
      <c r="J66" s="50">
        <v>9</v>
      </c>
      <c r="K66" s="50">
        <v>3</v>
      </c>
      <c r="L66" s="50">
        <v>4</v>
      </c>
      <c r="M66" s="50">
        <v>97</v>
      </c>
      <c r="N66" s="50">
        <v>0</v>
      </c>
      <c r="O66" s="15">
        <f t="shared" si="0"/>
        <v>155</v>
      </c>
      <c r="P66" s="15">
        <f t="shared" si="1"/>
        <v>252</v>
      </c>
      <c r="R66" s="8"/>
      <c r="T66"/>
    </row>
    <row r="67" spans="2:20" ht="23.1" customHeight="1" x14ac:dyDescent="0.25">
      <c r="B67" s="45" t="s">
        <v>104</v>
      </c>
      <c r="C67" s="50">
        <v>68</v>
      </c>
      <c r="D67" s="50">
        <v>19</v>
      </c>
      <c r="E67" s="50">
        <v>13</v>
      </c>
      <c r="F67" s="50">
        <v>37</v>
      </c>
      <c r="G67" s="50">
        <v>0</v>
      </c>
      <c r="H67" s="50">
        <v>0</v>
      </c>
      <c r="I67" s="50">
        <v>9</v>
      </c>
      <c r="J67" s="50">
        <v>10</v>
      </c>
      <c r="K67" s="50">
        <v>1</v>
      </c>
      <c r="L67" s="50">
        <v>1</v>
      </c>
      <c r="M67" s="50">
        <v>82</v>
      </c>
      <c r="N67" s="50">
        <v>0</v>
      </c>
      <c r="O67" s="15">
        <f t="shared" si="0"/>
        <v>158</v>
      </c>
      <c r="P67" s="15">
        <f t="shared" si="1"/>
        <v>240</v>
      </c>
      <c r="R67" s="8"/>
      <c r="T67"/>
    </row>
    <row r="68" spans="2:20" ht="23.1" customHeight="1" x14ac:dyDescent="0.25">
      <c r="B68" s="45" t="s">
        <v>105</v>
      </c>
      <c r="C68" s="50">
        <v>30</v>
      </c>
      <c r="D68" s="50">
        <v>7</v>
      </c>
      <c r="E68" s="50">
        <v>0</v>
      </c>
      <c r="F68" s="50">
        <v>23</v>
      </c>
      <c r="G68" s="50">
        <v>1</v>
      </c>
      <c r="H68" s="50">
        <v>0</v>
      </c>
      <c r="I68" s="50">
        <v>5</v>
      </c>
      <c r="J68" s="50">
        <v>5</v>
      </c>
      <c r="K68" s="50">
        <v>5</v>
      </c>
      <c r="L68" s="50">
        <v>0</v>
      </c>
      <c r="M68" s="50">
        <v>100</v>
      </c>
      <c r="N68" s="50">
        <v>0</v>
      </c>
      <c r="O68" s="15">
        <f t="shared" si="0"/>
        <v>76</v>
      </c>
      <c r="P68" s="15">
        <f t="shared" si="1"/>
        <v>176</v>
      </c>
      <c r="R68" s="8"/>
      <c r="T68"/>
    </row>
    <row r="69" spans="2:20" ht="23.1" customHeight="1" x14ac:dyDescent="0.25">
      <c r="B69" s="45" t="s">
        <v>106</v>
      </c>
      <c r="C69" s="50">
        <v>59</v>
      </c>
      <c r="D69" s="50">
        <v>10</v>
      </c>
      <c r="E69" s="50">
        <v>4</v>
      </c>
      <c r="F69" s="50">
        <v>21</v>
      </c>
      <c r="G69" s="50">
        <v>0</v>
      </c>
      <c r="H69" s="50">
        <v>2</v>
      </c>
      <c r="I69" s="50">
        <v>6</v>
      </c>
      <c r="J69" s="50">
        <v>5</v>
      </c>
      <c r="K69" s="50">
        <v>0</v>
      </c>
      <c r="L69" s="50">
        <v>3</v>
      </c>
      <c r="M69" s="50">
        <v>75</v>
      </c>
      <c r="N69" s="50">
        <v>0</v>
      </c>
      <c r="O69" s="15">
        <f t="shared" si="0"/>
        <v>110</v>
      </c>
      <c r="P69" s="15">
        <f t="shared" si="1"/>
        <v>185</v>
      </c>
      <c r="R69" s="8"/>
      <c r="T69"/>
    </row>
    <row r="70" spans="2:20" ht="23.1" customHeight="1" x14ac:dyDescent="0.25">
      <c r="B70" s="45" t="s">
        <v>110</v>
      </c>
      <c r="C70" s="50">
        <v>62</v>
      </c>
      <c r="D70" s="50">
        <v>6</v>
      </c>
      <c r="E70" s="50">
        <v>10</v>
      </c>
      <c r="F70" s="50">
        <v>21</v>
      </c>
      <c r="G70" s="50">
        <v>0</v>
      </c>
      <c r="H70" s="50">
        <v>0</v>
      </c>
      <c r="I70" s="50">
        <v>1</v>
      </c>
      <c r="J70" s="50">
        <v>5</v>
      </c>
      <c r="K70" s="50">
        <v>6</v>
      </c>
      <c r="L70" s="50">
        <v>2</v>
      </c>
      <c r="M70" s="50">
        <v>55</v>
      </c>
      <c r="N70" s="50">
        <v>0</v>
      </c>
      <c r="O70" s="15">
        <f t="shared" si="0"/>
        <v>113</v>
      </c>
      <c r="P70" s="15">
        <f t="shared" si="1"/>
        <v>168</v>
      </c>
      <c r="R70" s="8"/>
      <c r="T70"/>
    </row>
    <row r="71" spans="2:20" ht="23.1" customHeight="1" x14ac:dyDescent="0.25">
      <c r="B71" s="45" t="s">
        <v>111</v>
      </c>
      <c r="C71" s="50">
        <v>62</v>
      </c>
      <c r="D71" s="50">
        <v>13</v>
      </c>
      <c r="E71" s="50">
        <v>8</v>
      </c>
      <c r="F71" s="50">
        <v>22</v>
      </c>
      <c r="G71" s="50">
        <v>1</v>
      </c>
      <c r="H71" s="50">
        <v>0</v>
      </c>
      <c r="I71" s="50">
        <v>8</v>
      </c>
      <c r="J71" s="50">
        <v>9</v>
      </c>
      <c r="K71" s="50">
        <v>3</v>
      </c>
      <c r="L71" s="50">
        <v>3</v>
      </c>
      <c r="M71" s="50">
        <v>72</v>
      </c>
      <c r="N71" s="50">
        <v>0</v>
      </c>
      <c r="O71" s="15">
        <f t="shared" si="0"/>
        <v>129</v>
      </c>
      <c r="P71" s="15">
        <f t="shared" si="1"/>
        <v>201</v>
      </c>
      <c r="R71" s="8"/>
      <c r="T71"/>
    </row>
    <row r="72" spans="2:20" ht="23.1" customHeight="1" x14ac:dyDescent="0.25">
      <c r="B72" s="45" t="s">
        <v>112</v>
      </c>
      <c r="C72" s="50">
        <v>52</v>
      </c>
      <c r="D72" s="50">
        <v>11</v>
      </c>
      <c r="E72" s="50">
        <v>8</v>
      </c>
      <c r="F72" s="50">
        <v>19</v>
      </c>
      <c r="G72" s="50">
        <v>0</v>
      </c>
      <c r="H72" s="50">
        <v>0</v>
      </c>
      <c r="I72" s="50">
        <v>8</v>
      </c>
      <c r="J72" s="50">
        <v>6</v>
      </c>
      <c r="K72" s="50">
        <v>8</v>
      </c>
      <c r="L72" s="50">
        <v>2</v>
      </c>
      <c r="M72" s="50">
        <v>75</v>
      </c>
      <c r="N72" s="50">
        <v>0</v>
      </c>
      <c r="O72" s="15">
        <f t="shared" si="0"/>
        <v>114</v>
      </c>
      <c r="P72" s="15">
        <f t="shared" si="1"/>
        <v>189</v>
      </c>
      <c r="R72" s="8"/>
      <c r="T72"/>
    </row>
    <row r="73" spans="2:20" ht="23.1" customHeight="1" x14ac:dyDescent="0.25">
      <c r="B73" s="45" t="s">
        <v>113</v>
      </c>
      <c r="C73" s="50">
        <v>38</v>
      </c>
      <c r="D73" s="50">
        <v>9</v>
      </c>
      <c r="E73" s="50">
        <v>6</v>
      </c>
      <c r="F73" s="50">
        <v>18</v>
      </c>
      <c r="G73" s="50">
        <v>0</v>
      </c>
      <c r="H73" s="50">
        <v>0</v>
      </c>
      <c r="I73" s="50">
        <v>1</v>
      </c>
      <c r="J73" s="50">
        <v>10</v>
      </c>
      <c r="K73" s="50">
        <v>5</v>
      </c>
      <c r="L73" s="50">
        <v>3</v>
      </c>
      <c r="M73" s="50">
        <v>65</v>
      </c>
      <c r="N73" s="50">
        <v>0</v>
      </c>
      <c r="O73" s="15">
        <f t="shared" si="0"/>
        <v>90</v>
      </c>
      <c r="P73" s="15">
        <f t="shared" si="1"/>
        <v>155</v>
      </c>
      <c r="R73" s="8"/>
      <c r="T73"/>
    </row>
    <row r="74" spans="2:20" ht="23.1" customHeight="1" x14ac:dyDescent="0.25">
      <c r="B74" s="45" t="s">
        <v>114</v>
      </c>
      <c r="C74" s="50">
        <v>49</v>
      </c>
      <c r="D74" s="50">
        <v>8</v>
      </c>
      <c r="E74" s="50">
        <v>8</v>
      </c>
      <c r="F74" s="50">
        <v>14</v>
      </c>
      <c r="G74" s="50">
        <v>0</v>
      </c>
      <c r="H74" s="50">
        <v>0</v>
      </c>
      <c r="I74" s="50">
        <v>2</v>
      </c>
      <c r="J74" s="50">
        <v>9</v>
      </c>
      <c r="K74" s="50">
        <v>2</v>
      </c>
      <c r="L74" s="50">
        <v>3</v>
      </c>
      <c r="M74" s="50">
        <v>56</v>
      </c>
      <c r="N74" s="50">
        <v>0</v>
      </c>
      <c r="O74" s="15">
        <f t="shared" ref="O74:O105" si="35">SUM(C74:L74,N74)</f>
        <v>95</v>
      </c>
      <c r="P74" s="15">
        <f t="shared" ref="P74:P105" si="36">SUM(C74:N74)</f>
        <v>151</v>
      </c>
      <c r="R74" s="8"/>
      <c r="T74"/>
    </row>
    <row r="75" spans="2:20" ht="23.1" customHeight="1" x14ac:dyDescent="0.25">
      <c r="B75" s="45" t="s">
        <v>115</v>
      </c>
      <c r="C75" s="50">
        <v>40</v>
      </c>
      <c r="D75" s="50">
        <v>5</v>
      </c>
      <c r="E75" s="50">
        <v>2</v>
      </c>
      <c r="F75" s="50">
        <v>16</v>
      </c>
      <c r="G75" s="50">
        <v>1</v>
      </c>
      <c r="H75" s="50">
        <v>0</v>
      </c>
      <c r="I75" s="50">
        <v>4</v>
      </c>
      <c r="J75" s="50">
        <v>6</v>
      </c>
      <c r="K75" s="50">
        <v>0</v>
      </c>
      <c r="L75" s="50">
        <v>5</v>
      </c>
      <c r="M75" s="50">
        <v>43</v>
      </c>
      <c r="N75" s="50">
        <v>0</v>
      </c>
      <c r="O75" s="15">
        <f t="shared" si="35"/>
        <v>79</v>
      </c>
      <c r="P75" s="15">
        <f t="shared" si="36"/>
        <v>122</v>
      </c>
      <c r="R75" s="8"/>
      <c r="T75"/>
    </row>
    <row r="76" spans="2:20" ht="23.1" customHeight="1" x14ac:dyDescent="0.25">
      <c r="B76" s="45" t="s">
        <v>116</v>
      </c>
      <c r="C76" s="50">
        <v>41</v>
      </c>
      <c r="D76" s="50">
        <v>4</v>
      </c>
      <c r="E76" s="50">
        <v>8</v>
      </c>
      <c r="F76" s="50">
        <v>8</v>
      </c>
      <c r="G76" s="50">
        <v>0</v>
      </c>
      <c r="H76" s="50">
        <v>0</v>
      </c>
      <c r="I76" s="50">
        <v>3</v>
      </c>
      <c r="J76" s="50">
        <v>14</v>
      </c>
      <c r="K76" s="50">
        <v>0</v>
      </c>
      <c r="L76" s="50">
        <v>2</v>
      </c>
      <c r="M76" s="50">
        <v>52</v>
      </c>
      <c r="N76" s="50">
        <v>0</v>
      </c>
      <c r="O76" s="15">
        <f t="shared" si="35"/>
        <v>80</v>
      </c>
      <c r="P76" s="15">
        <f t="shared" si="36"/>
        <v>132</v>
      </c>
      <c r="R76" s="8"/>
      <c r="T76"/>
    </row>
    <row r="77" spans="2:20" ht="23.1" customHeight="1" x14ac:dyDescent="0.25">
      <c r="B77" s="45" t="s">
        <v>117</v>
      </c>
      <c r="C77" s="50">
        <v>37</v>
      </c>
      <c r="D77" s="50">
        <v>5</v>
      </c>
      <c r="E77" s="50">
        <v>5</v>
      </c>
      <c r="F77" s="50">
        <v>5</v>
      </c>
      <c r="G77" s="50">
        <v>0</v>
      </c>
      <c r="H77" s="50">
        <v>0</v>
      </c>
      <c r="I77" s="50">
        <v>2</v>
      </c>
      <c r="J77" s="50">
        <v>7</v>
      </c>
      <c r="K77" s="50">
        <v>2</v>
      </c>
      <c r="L77" s="50">
        <v>4</v>
      </c>
      <c r="M77" s="50">
        <v>44</v>
      </c>
      <c r="N77" s="50">
        <v>0</v>
      </c>
      <c r="O77" s="15">
        <f t="shared" si="35"/>
        <v>67</v>
      </c>
      <c r="P77" s="15">
        <f t="shared" si="36"/>
        <v>111</v>
      </c>
      <c r="R77" s="8"/>
      <c r="T77"/>
    </row>
    <row r="78" spans="2:20" ht="23.1" customHeight="1" x14ac:dyDescent="0.25">
      <c r="B78" s="46" t="s">
        <v>118</v>
      </c>
      <c r="C78" s="50">
        <v>22</v>
      </c>
      <c r="D78" s="50">
        <v>4</v>
      </c>
      <c r="E78" s="50">
        <v>2</v>
      </c>
      <c r="F78" s="50">
        <v>5</v>
      </c>
      <c r="G78" s="50">
        <v>2</v>
      </c>
      <c r="H78" s="50">
        <v>0</v>
      </c>
      <c r="I78" s="50">
        <v>4</v>
      </c>
      <c r="J78" s="50">
        <v>4</v>
      </c>
      <c r="K78" s="50">
        <v>3</v>
      </c>
      <c r="L78" s="50">
        <v>4</v>
      </c>
      <c r="M78" s="50">
        <v>42</v>
      </c>
      <c r="N78" s="50">
        <v>0</v>
      </c>
      <c r="O78" s="15">
        <f t="shared" si="35"/>
        <v>50</v>
      </c>
      <c r="P78" s="15">
        <f t="shared" si="36"/>
        <v>92</v>
      </c>
      <c r="R78" s="8"/>
      <c r="T78"/>
    </row>
    <row r="79" spans="2:20" ht="23.1" customHeight="1" x14ac:dyDescent="0.25">
      <c r="B79" s="45" t="s">
        <v>119</v>
      </c>
      <c r="C79" s="50">
        <v>28</v>
      </c>
      <c r="D79" s="50">
        <v>1</v>
      </c>
      <c r="E79" s="50">
        <v>5</v>
      </c>
      <c r="F79" s="50">
        <v>5</v>
      </c>
      <c r="G79" s="50">
        <v>2</v>
      </c>
      <c r="H79" s="50">
        <v>0</v>
      </c>
      <c r="I79" s="50">
        <v>5</v>
      </c>
      <c r="J79" s="50">
        <v>5</v>
      </c>
      <c r="K79" s="50">
        <v>1</v>
      </c>
      <c r="L79" s="50">
        <v>2</v>
      </c>
      <c r="M79" s="50">
        <v>31</v>
      </c>
      <c r="N79" s="50">
        <v>0</v>
      </c>
      <c r="O79" s="15">
        <f t="shared" si="35"/>
        <v>54</v>
      </c>
      <c r="P79" s="15">
        <f t="shared" si="36"/>
        <v>85</v>
      </c>
      <c r="R79" s="8"/>
      <c r="T79"/>
    </row>
    <row r="80" spans="2:20" ht="23.1" customHeight="1" x14ac:dyDescent="0.25">
      <c r="B80" s="47" t="s">
        <v>120</v>
      </c>
      <c r="C80" s="50">
        <v>25</v>
      </c>
      <c r="D80" s="50">
        <v>0</v>
      </c>
      <c r="E80" s="50">
        <v>7</v>
      </c>
      <c r="F80" s="50">
        <v>11</v>
      </c>
      <c r="G80" s="50">
        <v>1</v>
      </c>
      <c r="H80" s="50">
        <v>0</v>
      </c>
      <c r="I80" s="50">
        <v>1</v>
      </c>
      <c r="J80" s="50">
        <v>3</v>
      </c>
      <c r="K80" s="50">
        <v>4</v>
      </c>
      <c r="L80" s="50">
        <v>4</v>
      </c>
      <c r="M80" s="50">
        <v>24</v>
      </c>
      <c r="N80" s="50">
        <v>0</v>
      </c>
      <c r="O80" s="15">
        <f t="shared" si="35"/>
        <v>56</v>
      </c>
      <c r="P80" s="15">
        <f t="shared" si="36"/>
        <v>80</v>
      </c>
      <c r="R80" s="8"/>
      <c r="T80"/>
    </row>
    <row r="81" spans="2:20" ht="23.1" customHeight="1" x14ac:dyDescent="0.25">
      <c r="B81" s="45" t="s">
        <v>121</v>
      </c>
      <c r="C81" s="50">
        <v>25</v>
      </c>
      <c r="D81" s="50">
        <v>1</v>
      </c>
      <c r="E81" s="50">
        <v>2</v>
      </c>
      <c r="F81" s="50">
        <v>3</v>
      </c>
      <c r="G81" s="50">
        <v>0</v>
      </c>
      <c r="H81" s="50">
        <v>0</v>
      </c>
      <c r="I81" s="50">
        <v>1</v>
      </c>
      <c r="J81" s="50">
        <v>9</v>
      </c>
      <c r="K81" s="50">
        <v>5</v>
      </c>
      <c r="L81" s="50">
        <v>3</v>
      </c>
      <c r="M81" s="50">
        <v>33</v>
      </c>
      <c r="N81" s="50">
        <v>0</v>
      </c>
      <c r="O81" s="15">
        <f t="shared" si="35"/>
        <v>49</v>
      </c>
      <c r="P81" s="15">
        <f t="shared" si="36"/>
        <v>82</v>
      </c>
      <c r="R81" s="8"/>
      <c r="T81"/>
    </row>
    <row r="82" spans="2:20" ht="23.1" customHeight="1" x14ac:dyDescent="0.25">
      <c r="B82" s="46" t="s">
        <v>122</v>
      </c>
      <c r="C82" s="50">
        <v>16</v>
      </c>
      <c r="D82" s="50">
        <v>1</v>
      </c>
      <c r="E82" s="50">
        <v>3</v>
      </c>
      <c r="F82" s="50">
        <v>1</v>
      </c>
      <c r="G82" s="50">
        <v>0</v>
      </c>
      <c r="H82" s="50">
        <v>0</v>
      </c>
      <c r="I82" s="50">
        <v>2</v>
      </c>
      <c r="J82" s="50">
        <v>3</v>
      </c>
      <c r="K82" s="50">
        <v>3</v>
      </c>
      <c r="L82" s="50">
        <v>3</v>
      </c>
      <c r="M82" s="50">
        <v>23</v>
      </c>
      <c r="N82" s="50">
        <v>0</v>
      </c>
      <c r="O82" s="15">
        <f t="shared" si="35"/>
        <v>32</v>
      </c>
      <c r="P82" s="15">
        <f t="shared" si="36"/>
        <v>55</v>
      </c>
      <c r="R82" s="8"/>
      <c r="T82"/>
    </row>
    <row r="83" spans="2:20" ht="23.1" customHeight="1" x14ac:dyDescent="0.25">
      <c r="B83" s="45" t="s">
        <v>123</v>
      </c>
      <c r="C83" s="50">
        <v>8</v>
      </c>
      <c r="D83" s="50">
        <v>2</v>
      </c>
      <c r="E83" s="50">
        <v>0</v>
      </c>
      <c r="F83" s="50">
        <v>3</v>
      </c>
      <c r="G83" s="50">
        <v>0</v>
      </c>
      <c r="H83" s="50">
        <v>0</v>
      </c>
      <c r="I83" s="50">
        <v>1</v>
      </c>
      <c r="J83" s="50">
        <v>4</v>
      </c>
      <c r="K83" s="50">
        <v>0</v>
      </c>
      <c r="L83" s="50">
        <v>0</v>
      </c>
      <c r="M83" s="50">
        <v>12</v>
      </c>
      <c r="N83" s="50">
        <v>0</v>
      </c>
      <c r="O83" s="15">
        <f t="shared" si="35"/>
        <v>18</v>
      </c>
      <c r="P83" s="15">
        <f t="shared" si="36"/>
        <v>30</v>
      </c>
      <c r="R83" s="8"/>
      <c r="T83"/>
    </row>
    <row r="84" spans="2:20" ht="23.1" customHeight="1" x14ac:dyDescent="0.25">
      <c r="B84" s="47" t="s">
        <v>124</v>
      </c>
      <c r="C84" s="50">
        <v>10</v>
      </c>
      <c r="D84" s="50">
        <v>0</v>
      </c>
      <c r="E84" s="50">
        <v>1</v>
      </c>
      <c r="F84" s="50">
        <v>2</v>
      </c>
      <c r="G84" s="50">
        <v>0</v>
      </c>
      <c r="H84" s="50">
        <v>0</v>
      </c>
      <c r="I84" s="50">
        <v>5</v>
      </c>
      <c r="J84" s="50">
        <v>2</v>
      </c>
      <c r="K84" s="50">
        <v>1</v>
      </c>
      <c r="L84" s="50">
        <v>2</v>
      </c>
      <c r="M84" s="50">
        <v>12</v>
      </c>
      <c r="N84" s="50">
        <v>0</v>
      </c>
      <c r="O84" s="15">
        <f t="shared" si="35"/>
        <v>23</v>
      </c>
      <c r="P84" s="15">
        <f t="shared" si="36"/>
        <v>35</v>
      </c>
      <c r="R84" s="8"/>
      <c r="T84"/>
    </row>
    <row r="85" spans="2:20" ht="23.1" customHeight="1" x14ac:dyDescent="0.25">
      <c r="B85" s="45" t="s">
        <v>125</v>
      </c>
      <c r="C85" s="50">
        <v>9</v>
      </c>
      <c r="D85" s="50">
        <v>1</v>
      </c>
      <c r="E85" s="50">
        <v>0</v>
      </c>
      <c r="F85" s="50">
        <v>3</v>
      </c>
      <c r="G85" s="50">
        <v>0</v>
      </c>
      <c r="H85" s="50">
        <v>0</v>
      </c>
      <c r="I85" s="50">
        <v>1</v>
      </c>
      <c r="J85" s="50">
        <v>6</v>
      </c>
      <c r="K85" s="50">
        <v>3</v>
      </c>
      <c r="L85" s="50">
        <v>4</v>
      </c>
      <c r="M85" s="50">
        <v>11</v>
      </c>
      <c r="N85" s="50">
        <v>0</v>
      </c>
      <c r="O85" s="15">
        <f t="shared" si="35"/>
        <v>27</v>
      </c>
      <c r="P85" s="15">
        <f t="shared" si="36"/>
        <v>38</v>
      </c>
      <c r="R85" s="8"/>
      <c r="T85"/>
    </row>
    <row r="86" spans="2:20" ht="23.1" customHeight="1" x14ac:dyDescent="0.25">
      <c r="B86" s="46" t="s">
        <v>126</v>
      </c>
      <c r="C86" s="50">
        <v>8</v>
      </c>
      <c r="D86" s="50">
        <v>3</v>
      </c>
      <c r="E86" s="50">
        <v>1</v>
      </c>
      <c r="F86" s="50">
        <v>2</v>
      </c>
      <c r="G86" s="50">
        <v>1</v>
      </c>
      <c r="H86" s="50">
        <v>0</v>
      </c>
      <c r="I86" s="50">
        <v>4</v>
      </c>
      <c r="J86" s="50">
        <v>1</v>
      </c>
      <c r="K86" s="50">
        <v>0</v>
      </c>
      <c r="L86" s="50">
        <v>1</v>
      </c>
      <c r="M86" s="50">
        <v>13</v>
      </c>
      <c r="N86" s="50">
        <v>0</v>
      </c>
      <c r="O86" s="15">
        <f t="shared" si="35"/>
        <v>21</v>
      </c>
      <c r="P86" s="15">
        <f t="shared" si="36"/>
        <v>34</v>
      </c>
      <c r="R86" s="8"/>
      <c r="T86"/>
    </row>
    <row r="87" spans="2:20" ht="23.1" customHeight="1" x14ac:dyDescent="0.25">
      <c r="B87" s="45" t="s">
        <v>127</v>
      </c>
      <c r="C87" s="50">
        <v>4</v>
      </c>
      <c r="D87" s="50">
        <v>0</v>
      </c>
      <c r="E87" s="50">
        <v>0</v>
      </c>
      <c r="F87" s="50">
        <v>2</v>
      </c>
      <c r="G87" s="50">
        <v>0</v>
      </c>
      <c r="H87" s="50">
        <v>0</v>
      </c>
      <c r="I87" s="50">
        <v>3</v>
      </c>
      <c r="J87" s="50">
        <v>4</v>
      </c>
      <c r="K87" s="50">
        <v>1</v>
      </c>
      <c r="L87" s="50">
        <v>0</v>
      </c>
      <c r="M87" s="50">
        <v>13</v>
      </c>
      <c r="N87" s="50">
        <v>0</v>
      </c>
      <c r="O87" s="15">
        <f t="shared" si="35"/>
        <v>14</v>
      </c>
      <c r="P87" s="15">
        <f t="shared" si="36"/>
        <v>27</v>
      </c>
      <c r="R87" s="8"/>
      <c r="T87"/>
    </row>
    <row r="88" spans="2:20" ht="23.1" customHeight="1" x14ac:dyDescent="0.25">
      <c r="B88" s="47" t="s">
        <v>128</v>
      </c>
      <c r="C88" s="50">
        <v>7</v>
      </c>
      <c r="D88" s="50">
        <v>1</v>
      </c>
      <c r="E88" s="50">
        <v>3</v>
      </c>
      <c r="F88" s="50">
        <v>3</v>
      </c>
      <c r="G88" s="50">
        <v>0</v>
      </c>
      <c r="H88" s="50">
        <v>0</v>
      </c>
      <c r="I88" s="50">
        <v>4</v>
      </c>
      <c r="J88" s="50">
        <v>4</v>
      </c>
      <c r="K88" s="50">
        <v>1</v>
      </c>
      <c r="L88" s="50">
        <v>2</v>
      </c>
      <c r="M88" s="50">
        <v>15</v>
      </c>
      <c r="N88" s="50">
        <v>0</v>
      </c>
      <c r="O88" s="15">
        <f t="shared" si="35"/>
        <v>25</v>
      </c>
      <c r="P88" s="15">
        <f t="shared" si="36"/>
        <v>40</v>
      </c>
      <c r="R88" s="8"/>
      <c r="T88"/>
    </row>
    <row r="89" spans="2:20" ht="23.1" customHeight="1" x14ac:dyDescent="0.25">
      <c r="B89" s="45" t="s">
        <v>129</v>
      </c>
      <c r="C89" s="50">
        <v>8</v>
      </c>
      <c r="D89" s="50">
        <v>0</v>
      </c>
      <c r="E89" s="50">
        <v>2</v>
      </c>
      <c r="F89" s="50">
        <v>0</v>
      </c>
      <c r="G89" s="50">
        <v>0</v>
      </c>
      <c r="H89" s="50">
        <v>0</v>
      </c>
      <c r="I89" s="50">
        <v>2</v>
      </c>
      <c r="J89" s="50">
        <v>2</v>
      </c>
      <c r="K89" s="50">
        <v>1</v>
      </c>
      <c r="L89" s="50">
        <v>0</v>
      </c>
      <c r="M89" s="50">
        <v>5</v>
      </c>
      <c r="N89" s="50">
        <v>0</v>
      </c>
      <c r="O89" s="15">
        <f t="shared" si="35"/>
        <v>15</v>
      </c>
      <c r="P89" s="15">
        <f t="shared" si="36"/>
        <v>20</v>
      </c>
      <c r="R89" s="8"/>
      <c r="T89"/>
    </row>
    <row r="90" spans="2:20" ht="23.1" customHeight="1" x14ac:dyDescent="0.25">
      <c r="B90" s="46" t="s">
        <v>130</v>
      </c>
      <c r="C90" s="50">
        <v>5</v>
      </c>
      <c r="D90" s="50">
        <v>1</v>
      </c>
      <c r="E90" s="50">
        <v>2</v>
      </c>
      <c r="F90" s="50">
        <v>1</v>
      </c>
      <c r="G90" s="50">
        <v>0</v>
      </c>
      <c r="H90" s="50">
        <v>0</v>
      </c>
      <c r="I90" s="50">
        <v>5</v>
      </c>
      <c r="J90" s="50">
        <v>4</v>
      </c>
      <c r="K90" s="50">
        <v>0</v>
      </c>
      <c r="L90" s="50">
        <v>2</v>
      </c>
      <c r="M90" s="50">
        <v>10</v>
      </c>
      <c r="N90" s="50">
        <v>0</v>
      </c>
      <c r="O90" s="15">
        <f t="shared" si="35"/>
        <v>20</v>
      </c>
      <c r="P90" s="15">
        <f t="shared" si="36"/>
        <v>30</v>
      </c>
      <c r="R90" s="8"/>
      <c r="T90"/>
    </row>
    <row r="91" spans="2:20" ht="23.1" customHeight="1" x14ac:dyDescent="0.25">
      <c r="B91" s="45" t="s">
        <v>131</v>
      </c>
      <c r="C91" s="50">
        <v>8</v>
      </c>
      <c r="D91" s="50">
        <v>2</v>
      </c>
      <c r="E91" s="50">
        <v>1</v>
      </c>
      <c r="F91" s="50">
        <v>3</v>
      </c>
      <c r="G91" s="50">
        <v>0</v>
      </c>
      <c r="H91" s="50">
        <v>0</v>
      </c>
      <c r="I91" s="50">
        <v>3</v>
      </c>
      <c r="J91" s="50">
        <v>4</v>
      </c>
      <c r="K91" s="50">
        <v>4</v>
      </c>
      <c r="L91" s="50">
        <v>1</v>
      </c>
      <c r="M91" s="50">
        <v>6</v>
      </c>
      <c r="N91" s="50">
        <v>0</v>
      </c>
      <c r="O91" s="15">
        <f t="shared" si="35"/>
        <v>26</v>
      </c>
      <c r="P91" s="15">
        <f t="shared" si="36"/>
        <v>32</v>
      </c>
      <c r="R91" s="8"/>
      <c r="T91"/>
    </row>
    <row r="92" spans="2:20" ht="23.1" customHeight="1" x14ac:dyDescent="0.25">
      <c r="B92" s="47" t="s">
        <v>132</v>
      </c>
      <c r="C92" s="50">
        <v>4</v>
      </c>
      <c r="D92" s="50">
        <v>1</v>
      </c>
      <c r="E92" s="50">
        <v>3</v>
      </c>
      <c r="F92" s="50">
        <v>0</v>
      </c>
      <c r="G92" s="50">
        <v>0</v>
      </c>
      <c r="H92" s="50">
        <v>0</v>
      </c>
      <c r="I92" s="50">
        <v>2</v>
      </c>
      <c r="J92" s="50">
        <v>4</v>
      </c>
      <c r="K92" s="50">
        <v>1</v>
      </c>
      <c r="L92" s="50">
        <v>1</v>
      </c>
      <c r="M92" s="50">
        <v>8</v>
      </c>
      <c r="N92" s="50">
        <v>0</v>
      </c>
      <c r="O92" s="15">
        <f t="shared" si="35"/>
        <v>16</v>
      </c>
      <c r="P92" s="15">
        <f t="shared" si="36"/>
        <v>24</v>
      </c>
      <c r="R92" s="8"/>
      <c r="T92"/>
    </row>
    <row r="93" spans="2:20" ht="23.1" customHeight="1" x14ac:dyDescent="0.25">
      <c r="B93" s="45" t="s">
        <v>133</v>
      </c>
      <c r="C93" s="50">
        <v>8</v>
      </c>
      <c r="D93" s="50">
        <v>1</v>
      </c>
      <c r="E93" s="50">
        <v>3</v>
      </c>
      <c r="F93" s="50">
        <v>0</v>
      </c>
      <c r="G93" s="50">
        <v>0</v>
      </c>
      <c r="H93" s="50">
        <v>0</v>
      </c>
      <c r="I93" s="50">
        <v>4</v>
      </c>
      <c r="J93" s="50">
        <v>2</v>
      </c>
      <c r="K93" s="50">
        <v>0</v>
      </c>
      <c r="L93" s="50">
        <v>3</v>
      </c>
      <c r="M93" s="50">
        <v>3</v>
      </c>
      <c r="N93" s="50">
        <v>0</v>
      </c>
      <c r="O93" s="15">
        <f t="shared" si="35"/>
        <v>21</v>
      </c>
      <c r="P93" s="15">
        <f t="shared" si="36"/>
        <v>24</v>
      </c>
      <c r="R93" s="8"/>
      <c r="T93"/>
    </row>
    <row r="94" spans="2:20" ht="23.1" customHeight="1" x14ac:dyDescent="0.25">
      <c r="B94" s="46" t="s">
        <v>134</v>
      </c>
      <c r="C94" s="50">
        <v>17</v>
      </c>
      <c r="D94" s="50">
        <v>6</v>
      </c>
      <c r="E94" s="50">
        <v>4</v>
      </c>
      <c r="F94" s="50">
        <v>2</v>
      </c>
      <c r="G94" s="50">
        <v>0</v>
      </c>
      <c r="H94" s="50">
        <v>0</v>
      </c>
      <c r="I94" s="50">
        <v>5</v>
      </c>
      <c r="J94" s="50">
        <v>3</v>
      </c>
      <c r="K94" s="50">
        <v>1</v>
      </c>
      <c r="L94" s="50">
        <v>2</v>
      </c>
      <c r="M94" s="50">
        <v>9</v>
      </c>
      <c r="N94" s="50">
        <v>0</v>
      </c>
      <c r="O94" s="15">
        <f t="shared" si="35"/>
        <v>40</v>
      </c>
      <c r="P94" s="15">
        <f t="shared" si="36"/>
        <v>49</v>
      </c>
      <c r="R94" s="8"/>
      <c r="T94"/>
    </row>
    <row r="95" spans="2:20" ht="23.1" customHeight="1" x14ac:dyDescent="0.25">
      <c r="B95" s="45" t="s">
        <v>135</v>
      </c>
      <c r="C95" s="50">
        <v>11</v>
      </c>
      <c r="D95" s="50">
        <v>3</v>
      </c>
      <c r="E95" s="50">
        <v>2</v>
      </c>
      <c r="F95" s="50">
        <v>3</v>
      </c>
      <c r="G95" s="50">
        <v>0</v>
      </c>
      <c r="H95" s="50">
        <v>0</v>
      </c>
      <c r="I95" s="50">
        <v>4</v>
      </c>
      <c r="J95" s="50">
        <v>4</v>
      </c>
      <c r="K95" s="50">
        <v>2</v>
      </c>
      <c r="L95" s="50">
        <v>3</v>
      </c>
      <c r="M95" s="50">
        <v>17</v>
      </c>
      <c r="N95" s="50">
        <v>0</v>
      </c>
      <c r="O95" s="15">
        <f t="shared" si="35"/>
        <v>32</v>
      </c>
      <c r="P95" s="15">
        <f t="shared" si="36"/>
        <v>49</v>
      </c>
      <c r="R95" s="8"/>
      <c r="T95"/>
    </row>
    <row r="96" spans="2:20" ht="23.1" customHeight="1" x14ac:dyDescent="0.25">
      <c r="B96" s="47" t="s">
        <v>136</v>
      </c>
      <c r="C96" s="50">
        <v>10</v>
      </c>
      <c r="D96" s="50">
        <v>4</v>
      </c>
      <c r="E96" s="50">
        <v>3</v>
      </c>
      <c r="F96" s="50">
        <v>2</v>
      </c>
      <c r="G96" s="50">
        <v>0</v>
      </c>
      <c r="H96" s="50">
        <v>2</v>
      </c>
      <c r="I96" s="50">
        <v>1</v>
      </c>
      <c r="J96" s="50">
        <v>4</v>
      </c>
      <c r="K96" s="50">
        <v>1</v>
      </c>
      <c r="L96" s="50">
        <v>2</v>
      </c>
      <c r="M96" s="50">
        <v>21</v>
      </c>
      <c r="N96" s="50">
        <v>0</v>
      </c>
      <c r="O96" s="15">
        <f t="shared" si="35"/>
        <v>29</v>
      </c>
      <c r="P96" s="15">
        <f t="shared" si="36"/>
        <v>50</v>
      </c>
      <c r="R96" s="8"/>
      <c r="T96"/>
    </row>
    <row r="97" spans="2:20" ht="23.1" customHeight="1" x14ac:dyDescent="0.25">
      <c r="B97" s="45" t="s">
        <v>137</v>
      </c>
      <c r="C97" s="50">
        <v>13</v>
      </c>
      <c r="D97" s="50">
        <v>3</v>
      </c>
      <c r="E97" s="50">
        <v>3</v>
      </c>
      <c r="F97" s="50">
        <v>5</v>
      </c>
      <c r="G97" s="50">
        <v>0</v>
      </c>
      <c r="H97" s="50">
        <v>0</v>
      </c>
      <c r="I97" s="50">
        <v>3</v>
      </c>
      <c r="J97" s="50">
        <v>3</v>
      </c>
      <c r="K97" s="50">
        <v>4</v>
      </c>
      <c r="L97" s="50">
        <v>3</v>
      </c>
      <c r="M97" s="50">
        <v>18</v>
      </c>
      <c r="N97" s="50">
        <v>0</v>
      </c>
      <c r="O97" s="15">
        <f t="shared" si="35"/>
        <v>37</v>
      </c>
      <c r="P97" s="15">
        <f t="shared" si="36"/>
        <v>55</v>
      </c>
      <c r="R97" s="8"/>
      <c r="T97"/>
    </row>
    <row r="98" spans="2:20" ht="23.1" customHeight="1" x14ac:dyDescent="0.25">
      <c r="B98" s="46" t="s">
        <v>138</v>
      </c>
      <c r="C98" s="50">
        <v>24</v>
      </c>
      <c r="D98" s="50">
        <v>9</v>
      </c>
      <c r="E98" s="50">
        <v>3</v>
      </c>
      <c r="F98" s="50">
        <v>6</v>
      </c>
      <c r="G98" s="50">
        <v>0</v>
      </c>
      <c r="H98" s="50">
        <v>0</v>
      </c>
      <c r="I98" s="50">
        <v>1</v>
      </c>
      <c r="J98" s="50">
        <v>7</v>
      </c>
      <c r="K98" s="50">
        <v>1</v>
      </c>
      <c r="L98" s="50">
        <v>0</v>
      </c>
      <c r="M98" s="50">
        <v>28</v>
      </c>
      <c r="N98" s="50">
        <v>0</v>
      </c>
      <c r="O98" s="15">
        <f t="shared" si="35"/>
        <v>51</v>
      </c>
      <c r="P98" s="15">
        <f t="shared" si="36"/>
        <v>79</v>
      </c>
      <c r="R98" s="8"/>
      <c r="T98"/>
    </row>
    <row r="99" spans="2:20" ht="23.1" customHeight="1" x14ac:dyDescent="0.25">
      <c r="B99" s="45" t="s">
        <v>139</v>
      </c>
      <c r="C99" s="50">
        <v>23</v>
      </c>
      <c r="D99" s="50">
        <v>8</v>
      </c>
      <c r="E99" s="50">
        <v>5</v>
      </c>
      <c r="F99" s="50">
        <v>18</v>
      </c>
      <c r="G99" s="50">
        <v>0</v>
      </c>
      <c r="H99" s="50">
        <v>0</v>
      </c>
      <c r="I99" s="50">
        <v>6</v>
      </c>
      <c r="J99" s="50">
        <v>6</v>
      </c>
      <c r="K99" s="50">
        <v>0</v>
      </c>
      <c r="L99" s="50">
        <v>4</v>
      </c>
      <c r="M99" s="50">
        <v>21</v>
      </c>
      <c r="N99" s="50">
        <v>0</v>
      </c>
      <c r="O99" s="15">
        <f t="shared" si="35"/>
        <v>70</v>
      </c>
      <c r="P99" s="15">
        <f t="shared" si="36"/>
        <v>91</v>
      </c>
      <c r="R99" s="8"/>
      <c r="T99"/>
    </row>
    <row r="100" spans="2:20" ht="23.1" customHeight="1" x14ac:dyDescent="0.25">
      <c r="B100" s="47" t="s">
        <v>140</v>
      </c>
      <c r="C100" s="50">
        <v>18</v>
      </c>
      <c r="D100" s="50">
        <v>3</v>
      </c>
      <c r="E100" s="50">
        <v>9</v>
      </c>
      <c r="F100" s="50">
        <v>9</v>
      </c>
      <c r="G100" s="50">
        <v>1</v>
      </c>
      <c r="H100" s="50">
        <v>0</v>
      </c>
      <c r="I100" s="50">
        <v>3</v>
      </c>
      <c r="J100" s="50">
        <v>9</v>
      </c>
      <c r="K100" s="50">
        <v>1</v>
      </c>
      <c r="L100" s="50">
        <v>1</v>
      </c>
      <c r="M100" s="50">
        <v>30</v>
      </c>
      <c r="N100" s="50">
        <v>0</v>
      </c>
      <c r="O100" s="15">
        <f t="shared" si="35"/>
        <v>54</v>
      </c>
      <c r="P100" s="15">
        <f t="shared" si="36"/>
        <v>84</v>
      </c>
      <c r="R100" s="8"/>
      <c r="T100"/>
    </row>
    <row r="101" spans="2:20" ht="23.1" customHeight="1" x14ac:dyDescent="0.25">
      <c r="B101" s="45" t="s">
        <v>141</v>
      </c>
      <c r="C101" s="50">
        <v>28</v>
      </c>
      <c r="D101" s="50">
        <v>5</v>
      </c>
      <c r="E101" s="50">
        <v>13</v>
      </c>
      <c r="F101" s="50">
        <v>12</v>
      </c>
      <c r="G101" s="50">
        <v>3</v>
      </c>
      <c r="H101" s="50">
        <v>0</v>
      </c>
      <c r="I101" s="50">
        <v>11</v>
      </c>
      <c r="J101" s="50">
        <v>4</v>
      </c>
      <c r="K101" s="50">
        <v>3</v>
      </c>
      <c r="L101" s="50">
        <v>2</v>
      </c>
      <c r="M101" s="50">
        <v>25</v>
      </c>
      <c r="N101" s="50">
        <v>0</v>
      </c>
      <c r="O101" s="15">
        <f t="shared" si="35"/>
        <v>81</v>
      </c>
      <c r="P101" s="15">
        <f t="shared" si="36"/>
        <v>106</v>
      </c>
      <c r="R101" s="8"/>
      <c r="T101"/>
    </row>
    <row r="102" spans="2:20" ht="23.1" customHeight="1" x14ac:dyDescent="0.25">
      <c r="B102" s="46" t="s">
        <v>142</v>
      </c>
      <c r="C102" s="50">
        <v>20</v>
      </c>
      <c r="D102" s="50">
        <v>4</v>
      </c>
      <c r="E102" s="50">
        <v>4</v>
      </c>
      <c r="F102" s="50">
        <v>25</v>
      </c>
      <c r="G102" s="50">
        <v>0</v>
      </c>
      <c r="H102" s="50">
        <v>0</v>
      </c>
      <c r="I102" s="50">
        <v>3</v>
      </c>
      <c r="J102" s="50">
        <v>3</v>
      </c>
      <c r="K102" s="50">
        <v>4</v>
      </c>
      <c r="L102" s="50">
        <v>5</v>
      </c>
      <c r="M102" s="50">
        <v>24</v>
      </c>
      <c r="N102" s="50">
        <v>0</v>
      </c>
      <c r="O102" s="15">
        <f t="shared" si="35"/>
        <v>68</v>
      </c>
      <c r="P102" s="15">
        <f t="shared" si="36"/>
        <v>92</v>
      </c>
      <c r="R102" s="8"/>
      <c r="T102"/>
    </row>
    <row r="103" spans="2:20" ht="23.1" customHeight="1" x14ac:dyDescent="0.25">
      <c r="B103" s="45" t="s">
        <v>143</v>
      </c>
      <c r="C103" s="50">
        <v>37</v>
      </c>
      <c r="D103" s="50">
        <v>12</v>
      </c>
      <c r="E103" s="50">
        <v>7</v>
      </c>
      <c r="F103" s="50">
        <v>14</v>
      </c>
      <c r="G103" s="50">
        <v>0</v>
      </c>
      <c r="H103" s="50">
        <v>0</v>
      </c>
      <c r="I103" s="50">
        <v>5</v>
      </c>
      <c r="J103" s="50">
        <v>9</v>
      </c>
      <c r="K103" s="50">
        <v>2</v>
      </c>
      <c r="L103" s="50">
        <v>2</v>
      </c>
      <c r="M103" s="50">
        <v>55</v>
      </c>
      <c r="N103" s="50">
        <v>0</v>
      </c>
      <c r="O103" s="15">
        <f t="shared" si="35"/>
        <v>88</v>
      </c>
      <c r="P103" s="15">
        <f t="shared" si="36"/>
        <v>143</v>
      </c>
      <c r="R103" s="8"/>
      <c r="T103"/>
    </row>
    <row r="104" spans="2:20" ht="23.1" customHeight="1" x14ac:dyDescent="0.25">
      <c r="B104" s="47" t="s">
        <v>144</v>
      </c>
      <c r="C104" s="50">
        <v>49</v>
      </c>
      <c r="D104" s="50">
        <v>10</v>
      </c>
      <c r="E104" s="50">
        <v>14</v>
      </c>
      <c r="F104" s="50">
        <v>32</v>
      </c>
      <c r="G104" s="50">
        <v>1</v>
      </c>
      <c r="H104" s="50">
        <v>0</v>
      </c>
      <c r="I104" s="50">
        <v>9</v>
      </c>
      <c r="J104" s="50">
        <v>6</v>
      </c>
      <c r="K104" s="50">
        <v>2</v>
      </c>
      <c r="L104" s="50">
        <v>3</v>
      </c>
      <c r="M104" s="50">
        <v>77</v>
      </c>
      <c r="N104" s="50">
        <v>0</v>
      </c>
      <c r="O104" s="15">
        <f t="shared" si="35"/>
        <v>126</v>
      </c>
      <c r="P104" s="15">
        <f t="shared" si="36"/>
        <v>203</v>
      </c>
      <c r="R104" s="8"/>
      <c r="T104"/>
    </row>
    <row r="105" spans="2:20" ht="23.1" customHeight="1" x14ac:dyDescent="0.25">
      <c r="B105" s="45" t="s">
        <v>145</v>
      </c>
      <c r="C105" s="50">
        <v>44</v>
      </c>
      <c r="D105" s="50">
        <v>16</v>
      </c>
      <c r="E105" s="50">
        <v>8</v>
      </c>
      <c r="F105" s="50">
        <v>24</v>
      </c>
      <c r="G105" s="50">
        <v>0</v>
      </c>
      <c r="H105" s="50">
        <v>0</v>
      </c>
      <c r="I105" s="50">
        <v>7</v>
      </c>
      <c r="J105" s="50">
        <v>5</v>
      </c>
      <c r="K105" s="50">
        <v>2</v>
      </c>
      <c r="L105" s="50">
        <v>5</v>
      </c>
      <c r="M105" s="50">
        <v>66</v>
      </c>
      <c r="N105" s="50">
        <v>0</v>
      </c>
      <c r="O105" s="15">
        <f t="shared" si="35"/>
        <v>111</v>
      </c>
      <c r="P105" s="15">
        <f t="shared" si="36"/>
        <v>177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6027</v>
      </c>
      <c r="D106" s="16">
        <f t="shared" ref="D106:P106" si="37">SUM(D10:D105)</f>
        <v>823</v>
      </c>
      <c r="E106" s="16">
        <f t="shared" si="37"/>
        <v>742</v>
      </c>
      <c r="F106" s="16">
        <f t="shared" si="37"/>
        <v>2584</v>
      </c>
      <c r="G106" s="16">
        <f t="shared" si="37"/>
        <v>160</v>
      </c>
      <c r="H106" s="16">
        <f t="shared" si="37"/>
        <v>62</v>
      </c>
      <c r="I106" s="16">
        <f t="shared" si="37"/>
        <v>996</v>
      </c>
      <c r="J106" s="16">
        <f t="shared" si="37"/>
        <v>582</v>
      </c>
      <c r="K106" s="16">
        <f t="shared" si="37"/>
        <v>297</v>
      </c>
      <c r="L106" s="16">
        <f t="shared" si="37"/>
        <v>389</v>
      </c>
      <c r="M106" s="16">
        <f t="shared" si="37"/>
        <v>7237</v>
      </c>
      <c r="N106" s="16">
        <f t="shared" si="37"/>
        <v>0</v>
      </c>
      <c r="O106" s="16">
        <f t="shared" si="37"/>
        <v>12662</v>
      </c>
      <c r="P106" s="16">
        <f t="shared" si="37"/>
        <v>19899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0.30287954168551184</v>
      </c>
      <c r="D107" s="43">
        <f t="shared" si="38"/>
        <v>4.1358862254384642E-2</v>
      </c>
      <c r="E107" s="43">
        <f t="shared" si="38"/>
        <v>3.728830594502236E-2</v>
      </c>
      <c r="F107" s="43">
        <f t="shared" si="38"/>
        <v>0.12985577164681641</v>
      </c>
      <c r="G107" s="43">
        <f t="shared" si="38"/>
        <v>8.0406050555304285E-3</v>
      </c>
      <c r="H107" s="43">
        <f t="shared" si="38"/>
        <v>3.1157344590180412E-3</v>
      </c>
      <c r="I107" s="43">
        <f t="shared" si="38"/>
        <v>5.005276647067692E-2</v>
      </c>
      <c r="J107" s="43">
        <f t="shared" si="38"/>
        <v>2.9247700889491933E-2</v>
      </c>
      <c r="K107" s="43">
        <f t="shared" si="38"/>
        <v>1.4925373134328358E-2</v>
      </c>
      <c r="L107" s="43">
        <f t="shared" si="38"/>
        <v>1.9548721041258356E-2</v>
      </c>
      <c r="M107" s="43">
        <f t="shared" si="38"/>
        <v>0.36368661741796071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0.47599115463591851</v>
      </c>
      <c r="D108" s="44">
        <f t="shared" ref="D108:N108" si="39">D106/$O$106</f>
        <v>6.4997630706049594E-2</v>
      </c>
      <c r="E108" s="44">
        <f t="shared" si="39"/>
        <v>5.860053703996209E-2</v>
      </c>
      <c r="F108" s="44">
        <f t="shared" si="39"/>
        <v>0.20407518559469279</v>
      </c>
      <c r="G108" s="44">
        <f t="shared" si="39"/>
        <v>1.263623440214816E-2</v>
      </c>
      <c r="H108" s="44">
        <f t="shared" si="39"/>
        <v>4.896540830832412E-3</v>
      </c>
      <c r="I108" s="44">
        <f t="shared" si="39"/>
        <v>7.8660559153372292E-2</v>
      </c>
      <c r="J108" s="44">
        <f t="shared" si="39"/>
        <v>4.5964302637813932E-2</v>
      </c>
      <c r="K108" s="44">
        <f t="shared" si="39"/>
        <v>2.3456010108987523E-2</v>
      </c>
      <c r="L108" s="44">
        <f t="shared" si="39"/>
        <v>3.0721844890222713E-2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50" zoomScale="78" zoomScaleSheetLayoutView="78" workbookViewId="0">
      <selection activeCell="B58" sqref="B58:B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'22.07 Busega-Masanafu'!C3:G3</f>
        <v>MCC - C1 - STN13 - NORTHERN BYPASS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64" t="str">
        <f>'26.07 Masanafu-Busega-24h'!G5:H5</f>
        <v>NORTHERN BYPASS</v>
      </c>
      <c r="H5" s="65"/>
      <c r="I5" s="14"/>
      <c r="J5" s="2" t="s">
        <v>5</v>
      </c>
      <c r="K5" s="64" t="str">
        <f>'26.07 Masanafu-Busega-24h'!K5:L5</f>
        <v>SSEMUKO SAMUEL JUNIOR W/MUTEBI CHRISTOPHER/SSEMWOGERERE FREDRICK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'22.07 Busega-Masanafu'!D6:E6</f>
        <v>BUSEGA</v>
      </c>
      <c r="E6" s="65"/>
      <c r="F6" s="2" t="s">
        <v>2</v>
      </c>
      <c r="G6" s="64" t="str">
        <f>'22.07 Busega-Masanafu'!G6:H6</f>
        <v>MASANAFU</v>
      </c>
      <c r="H6" s="65"/>
      <c r="J6" s="2" t="s">
        <v>21</v>
      </c>
      <c r="K6" s="64" t="str">
        <f>'26.07 Masanafu-Busega-24h'!K6:L6</f>
        <v>ANDY/ANDREW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48</v>
      </c>
      <c r="D10" s="50">
        <v>6</v>
      </c>
      <c r="E10" s="50">
        <v>7</v>
      </c>
      <c r="F10" s="50">
        <v>22</v>
      </c>
      <c r="G10" s="50">
        <v>3</v>
      </c>
      <c r="H10" s="50">
        <v>0</v>
      </c>
      <c r="I10" s="50">
        <v>9</v>
      </c>
      <c r="J10" s="50">
        <v>10</v>
      </c>
      <c r="K10" s="50">
        <v>0</v>
      </c>
      <c r="L10" s="50">
        <v>1</v>
      </c>
      <c r="M10" s="50">
        <v>76</v>
      </c>
      <c r="N10" s="50">
        <v>0</v>
      </c>
      <c r="O10" s="15">
        <f t="shared" ref="O10:O73" si="0">SUM(C10:L10,N10)</f>
        <v>106</v>
      </c>
      <c r="P10" s="15">
        <f t="shared" ref="P10:P73" si="1">SUM(C10:N10)</f>
        <v>182</v>
      </c>
      <c r="R10" s="1" t="s">
        <v>6</v>
      </c>
      <c r="S10" s="17">
        <f t="shared" ref="S10:AF10" si="2">SUM(C10:C13)</f>
        <v>206</v>
      </c>
      <c r="T10" s="17">
        <f t="shared" si="2"/>
        <v>34</v>
      </c>
      <c r="U10" s="17">
        <f t="shared" si="2"/>
        <v>22</v>
      </c>
      <c r="V10" s="17">
        <f t="shared" si="2"/>
        <v>94</v>
      </c>
      <c r="W10" s="17">
        <f t="shared" si="2"/>
        <v>6</v>
      </c>
      <c r="X10" s="17">
        <f t="shared" si="2"/>
        <v>0</v>
      </c>
      <c r="Y10" s="17">
        <f t="shared" si="2"/>
        <v>33</v>
      </c>
      <c r="Z10" s="17">
        <f t="shared" si="2"/>
        <v>46</v>
      </c>
      <c r="AA10" s="17">
        <f t="shared" si="2"/>
        <v>11</v>
      </c>
      <c r="AB10" s="17">
        <f t="shared" si="2"/>
        <v>5</v>
      </c>
      <c r="AC10" s="17">
        <f t="shared" si="2"/>
        <v>495</v>
      </c>
      <c r="AD10" s="17">
        <f t="shared" si="2"/>
        <v>0</v>
      </c>
      <c r="AE10" s="31">
        <f t="shared" si="2"/>
        <v>457</v>
      </c>
      <c r="AF10" s="31">
        <f t="shared" si="2"/>
        <v>952</v>
      </c>
    </row>
    <row r="11" spans="2:32" s="6" customFormat="1" ht="23.1" customHeight="1" x14ac:dyDescent="0.25">
      <c r="B11" s="45" t="s">
        <v>38</v>
      </c>
      <c r="C11" s="50">
        <v>61</v>
      </c>
      <c r="D11" s="50">
        <v>8</v>
      </c>
      <c r="E11" s="50">
        <v>5</v>
      </c>
      <c r="F11" s="50">
        <v>31</v>
      </c>
      <c r="G11" s="50">
        <v>2</v>
      </c>
      <c r="H11" s="50">
        <v>0</v>
      </c>
      <c r="I11" s="50">
        <v>10</v>
      </c>
      <c r="J11" s="50">
        <v>18</v>
      </c>
      <c r="K11" s="50">
        <v>4</v>
      </c>
      <c r="L11" s="50">
        <v>2</v>
      </c>
      <c r="M11" s="50">
        <v>125</v>
      </c>
      <c r="N11" s="50">
        <v>0</v>
      </c>
      <c r="O11" s="15">
        <f t="shared" si="0"/>
        <v>141</v>
      </c>
      <c r="P11" s="15">
        <f t="shared" si="1"/>
        <v>266</v>
      </c>
      <c r="R11" s="1" t="s">
        <v>7</v>
      </c>
      <c r="S11" s="17">
        <f t="shared" ref="S11:AF11" si="3">SUM(C14:C17)</f>
        <v>306</v>
      </c>
      <c r="T11" s="17">
        <f t="shared" si="3"/>
        <v>38</v>
      </c>
      <c r="U11" s="17">
        <f t="shared" si="3"/>
        <v>23</v>
      </c>
      <c r="V11" s="17">
        <f t="shared" si="3"/>
        <v>104</v>
      </c>
      <c r="W11" s="17">
        <f t="shared" si="3"/>
        <v>7</v>
      </c>
      <c r="X11" s="17">
        <f t="shared" si="3"/>
        <v>1</v>
      </c>
      <c r="Y11" s="17">
        <f t="shared" si="3"/>
        <v>41</v>
      </c>
      <c r="Z11" s="17">
        <f t="shared" si="3"/>
        <v>42</v>
      </c>
      <c r="AA11" s="17">
        <f t="shared" si="3"/>
        <v>7</v>
      </c>
      <c r="AB11" s="17">
        <f t="shared" si="3"/>
        <v>8</v>
      </c>
      <c r="AC11" s="17">
        <f t="shared" si="3"/>
        <v>633</v>
      </c>
      <c r="AD11" s="17">
        <f t="shared" si="3"/>
        <v>0</v>
      </c>
      <c r="AE11" s="31">
        <f t="shared" si="3"/>
        <v>577</v>
      </c>
      <c r="AF11" s="31">
        <f t="shared" si="3"/>
        <v>1210</v>
      </c>
    </row>
    <row r="12" spans="2:32" ht="23.1" customHeight="1" x14ac:dyDescent="0.25">
      <c r="B12" s="45" t="s">
        <v>39</v>
      </c>
      <c r="C12" s="50">
        <v>53</v>
      </c>
      <c r="D12" s="50">
        <v>10</v>
      </c>
      <c r="E12" s="50">
        <v>6</v>
      </c>
      <c r="F12" s="50">
        <v>21</v>
      </c>
      <c r="G12" s="50">
        <v>0</v>
      </c>
      <c r="H12" s="50">
        <v>0</v>
      </c>
      <c r="I12" s="50">
        <v>5</v>
      </c>
      <c r="J12" s="50">
        <v>8</v>
      </c>
      <c r="K12" s="50">
        <v>4</v>
      </c>
      <c r="L12" s="50">
        <v>0</v>
      </c>
      <c r="M12" s="50">
        <v>140</v>
      </c>
      <c r="N12" s="50">
        <v>0</v>
      </c>
      <c r="O12" s="15">
        <f t="shared" si="0"/>
        <v>107</v>
      </c>
      <c r="P12" s="15">
        <f t="shared" si="1"/>
        <v>247</v>
      </c>
      <c r="R12" s="1" t="s">
        <v>8</v>
      </c>
      <c r="S12" s="17">
        <f t="shared" ref="S12:AF12" si="4">SUM(C18:C21)</f>
        <v>327</v>
      </c>
      <c r="T12" s="17">
        <f t="shared" si="4"/>
        <v>52</v>
      </c>
      <c r="U12" s="17">
        <f t="shared" si="4"/>
        <v>45</v>
      </c>
      <c r="V12" s="17">
        <f t="shared" si="4"/>
        <v>108</v>
      </c>
      <c r="W12" s="17">
        <f t="shared" si="4"/>
        <v>9</v>
      </c>
      <c r="X12" s="17">
        <f t="shared" si="4"/>
        <v>0</v>
      </c>
      <c r="Y12" s="17">
        <f t="shared" si="4"/>
        <v>53</v>
      </c>
      <c r="Z12" s="17">
        <f t="shared" si="4"/>
        <v>43</v>
      </c>
      <c r="AA12" s="17">
        <f t="shared" si="4"/>
        <v>9</v>
      </c>
      <c r="AB12" s="17">
        <f t="shared" si="4"/>
        <v>13</v>
      </c>
      <c r="AC12" s="17">
        <f t="shared" si="4"/>
        <v>623</v>
      </c>
      <c r="AD12" s="17">
        <f t="shared" si="4"/>
        <v>0</v>
      </c>
      <c r="AE12" s="31">
        <f t="shared" si="4"/>
        <v>659</v>
      </c>
      <c r="AF12" s="31">
        <f t="shared" si="4"/>
        <v>1282</v>
      </c>
    </row>
    <row r="13" spans="2:32" ht="23.1" customHeight="1" x14ac:dyDescent="0.25">
      <c r="B13" s="45" t="s">
        <v>40</v>
      </c>
      <c r="C13" s="50">
        <v>44</v>
      </c>
      <c r="D13" s="50">
        <v>10</v>
      </c>
      <c r="E13" s="50">
        <v>4</v>
      </c>
      <c r="F13" s="50">
        <v>20</v>
      </c>
      <c r="G13" s="50">
        <v>1</v>
      </c>
      <c r="H13" s="50">
        <v>0</v>
      </c>
      <c r="I13" s="50">
        <v>9</v>
      </c>
      <c r="J13" s="50">
        <v>10</v>
      </c>
      <c r="K13" s="50">
        <v>3</v>
      </c>
      <c r="L13" s="50">
        <v>2</v>
      </c>
      <c r="M13" s="50">
        <v>154</v>
      </c>
      <c r="N13" s="50">
        <v>0</v>
      </c>
      <c r="O13" s="15">
        <f t="shared" si="0"/>
        <v>103</v>
      </c>
      <c r="P13" s="15">
        <f t="shared" si="1"/>
        <v>257</v>
      </c>
      <c r="R13" s="1" t="s">
        <v>9</v>
      </c>
      <c r="S13" s="17">
        <f t="shared" ref="S13:AF13" si="5">SUM(C22:C25)</f>
        <v>381</v>
      </c>
      <c r="T13" s="17">
        <f t="shared" si="5"/>
        <v>53</v>
      </c>
      <c r="U13" s="17">
        <f t="shared" si="5"/>
        <v>41</v>
      </c>
      <c r="V13" s="17">
        <f t="shared" si="5"/>
        <v>121</v>
      </c>
      <c r="W13" s="17">
        <f t="shared" si="5"/>
        <v>6</v>
      </c>
      <c r="X13" s="17">
        <f t="shared" si="5"/>
        <v>4</v>
      </c>
      <c r="Y13" s="17">
        <f t="shared" si="5"/>
        <v>56</v>
      </c>
      <c r="Z13" s="17">
        <f t="shared" si="5"/>
        <v>38</v>
      </c>
      <c r="AA13" s="17">
        <f t="shared" si="5"/>
        <v>17</v>
      </c>
      <c r="AB13" s="17">
        <f t="shared" si="5"/>
        <v>11</v>
      </c>
      <c r="AC13" s="17">
        <f t="shared" si="5"/>
        <v>534</v>
      </c>
      <c r="AD13" s="17">
        <f t="shared" si="5"/>
        <v>0</v>
      </c>
      <c r="AE13" s="31">
        <f t="shared" si="5"/>
        <v>728</v>
      </c>
      <c r="AF13" s="31">
        <f t="shared" si="5"/>
        <v>1262</v>
      </c>
    </row>
    <row r="14" spans="2:32" ht="23.1" customHeight="1" x14ac:dyDescent="0.25">
      <c r="B14" s="45" t="s">
        <v>41</v>
      </c>
      <c r="C14" s="50">
        <v>66</v>
      </c>
      <c r="D14" s="50">
        <v>16</v>
      </c>
      <c r="E14" s="50">
        <v>3</v>
      </c>
      <c r="F14" s="50">
        <v>24</v>
      </c>
      <c r="G14" s="50">
        <v>1</v>
      </c>
      <c r="H14" s="50">
        <v>1</v>
      </c>
      <c r="I14" s="50">
        <v>10</v>
      </c>
      <c r="J14" s="50">
        <v>8</v>
      </c>
      <c r="K14" s="50">
        <v>1</v>
      </c>
      <c r="L14" s="50">
        <v>2</v>
      </c>
      <c r="M14" s="50">
        <v>172</v>
      </c>
      <c r="N14" s="50">
        <v>0</v>
      </c>
      <c r="O14" s="15">
        <f t="shared" si="0"/>
        <v>132</v>
      </c>
      <c r="P14" s="15">
        <f t="shared" si="1"/>
        <v>304</v>
      </c>
      <c r="R14" s="1" t="s">
        <v>10</v>
      </c>
      <c r="S14" s="17">
        <f t="shared" ref="S14:AF14" si="6">SUM(C26:C29)</f>
        <v>387</v>
      </c>
      <c r="T14" s="17">
        <f t="shared" si="6"/>
        <v>58</v>
      </c>
      <c r="U14" s="17">
        <f t="shared" si="6"/>
        <v>36</v>
      </c>
      <c r="V14" s="17">
        <f t="shared" si="6"/>
        <v>133</v>
      </c>
      <c r="W14" s="17">
        <f t="shared" si="6"/>
        <v>5</v>
      </c>
      <c r="X14" s="17">
        <f t="shared" si="6"/>
        <v>2</v>
      </c>
      <c r="Y14" s="17">
        <f t="shared" si="6"/>
        <v>47</v>
      </c>
      <c r="Z14" s="17">
        <f t="shared" si="6"/>
        <v>35</v>
      </c>
      <c r="AA14" s="17">
        <f t="shared" si="6"/>
        <v>20</v>
      </c>
      <c r="AB14" s="17">
        <f t="shared" si="6"/>
        <v>15</v>
      </c>
      <c r="AC14" s="17">
        <f t="shared" si="6"/>
        <v>531</v>
      </c>
      <c r="AD14" s="17">
        <f t="shared" si="6"/>
        <v>0</v>
      </c>
      <c r="AE14" s="31">
        <f t="shared" si="6"/>
        <v>738</v>
      </c>
      <c r="AF14" s="31">
        <f t="shared" si="6"/>
        <v>1269</v>
      </c>
    </row>
    <row r="15" spans="2:32" ht="23.1" customHeight="1" x14ac:dyDescent="0.25">
      <c r="B15" s="45" t="s">
        <v>42</v>
      </c>
      <c r="C15" s="50">
        <v>67</v>
      </c>
      <c r="D15" s="50">
        <v>4</v>
      </c>
      <c r="E15" s="50">
        <v>2</v>
      </c>
      <c r="F15" s="50">
        <v>23</v>
      </c>
      <c r="G15" s="50">
        <v>0</v>
      </c>
      <c r="H15" s="50">
        <v>0</v>
      </c>
      <c r="I15" s="50">
        <v>7</v>
      </c>
      <c r="J15" s="50">
        <v>15</v>
      </c>
      <c r="K15" s="50">
        <v>2</v>
      </c>
      <c r="L15" s="50">
        <v>1</v>
      </c>
      <c r="M15" s="50">
        <v>198</v>
      </c>
      <c r="N15" s="50">
        <v>0</v>
      </c>
      <c r="O15" s="15">
        <f t="shared" si="0"/>
        <v>121</v>
      </c>
      <c r="P15" s="15">
        <f t="shared" si="1"/>
        <v>319</v>
      </c>
      <c r="R15" s="1" t="s">
        <v>11</v>
      </c>
      <c r="S15" s="17">
        <f t="shared" ref="S15:AF15" si="7">SUM(C30:C33)</f>
        <v>409</v>
      </c>
      <c r="T15" s="17">
        <f t="shared" si="7"/>
        <v>57</v>
      </c>
      <c r="U15" s="17">
        <f t="shared" si="7"/>
        <v>28</v>
      </c>
      <c r="V15" s="17">
        <f t="shared" si="7"/>
        <v>122</v>
      </c>
      <c r="W15" s="17">
        <f t="shared" si="7"/>
        <v>5</v>
      </c>
      <c r="X15" s="17">
        <f t="shared" si="7"/>
        <v>0</v>
      </c>
      <c r="Y15" s="17">
        <f t="shared" si="7"/>
        <v>39</v>
      </c>
      <c r="Z15" s="17">
        <f t="shared" si="7"/>
        <v>38</v>
      </c>
      <c r="AA15" s="17">
        <f t="shared" si="7"/>
        <v>11</v>
      </c>
      <c r="AB15" s="17">
        <f t="shared" si="7"/>
        <v>25</v>
      </c>
      <c r="AC15" s="17">
        <f t="shared" si="7"/>
        <v>449</v>
      </c>
      <c r="AD15" s="17">
        <f t="shared" si="7"/>
        <v>0</v>
      </c>
      <c r="AE15" s="31">
        <f t="shared" si="7"/>
        <v>734</v>
      </c>
      <c r="AF15" s="31">
        <f t="shared" si="7"/>
        <v>1183</v>
      </c>
    </row>
    <row r="16" spans="2:32" ht="23.1" customHeight="1" x14ac:dyDescent="0.25">
      <c r="B16" s="45" t="s">
        <v>43</v>
      </c>
      <c r="C16" s="50">
        <v>97</v>
      </c>
      <c r="D16" s="50">
        <v>10</v>
      </c>
      <c r="E16" s="50">
        <v>11</v>
      </c>
      <c r="F16" s="50">
        <v>36</v>
      </c>
      <c r="G16" s="50">
        <v>1</v>
      </c>
      <c r="H16" s="50">
        <v>0</v>
      </c>
      <c r="I16" s="50">
        <v>16</v>
      </c>
      <c r="J16" s="50">
        <v>13</v>
      </c>
      <c r="K16" s="50">
        <v>3</v>
      </c>
      <c r="L16" s="50">
        <v>2</v>
      </c>
      <c r="M16" s="50">
        <v>106</v>
      </c>
      <c r="N16" s="50">
        <v>0</v>
      </c>
      <c r="O16" s="15">
        <f t="shared" si="0"/>
        <v>189</v>
      </c>
      <c r="P16" s="15">
        <f t="shared" si="1"/>
        <v>295</v>
      </c>
      <c r="R16" s="1" t="s">
        <v>12</v>
      </c>
      <c r="S16" s="17">
        <f t="shared" ref="S16:AF16" si="8">SUM(C34:C37)</f>
        <v>300</v>
      </c>
      <c r="T16" s="17">
        <f t="shared" si="8"/>
        <v>59</v>
      </c>
      <c r="U16" s="17">
        <f t="shared" si="8"/>
        <v>31</v>
      </c>
      <c r="V16" s="17">
        <f t="shared" si="8"/>
        <v>97</v>
      </c>
      <c r="W16" s="17">
        <f t="shared" si="8"/>
        <v>4</v>
      </c>
      <c r="X16" s="17">
        <f t="shared" si="8"/>
        <v>1</v>
      </c>
      <c r="Y16" s="17">
        <f t="shared" si="8"/>
        <v>46</v>
      </c>
      <c r="Z16" s="17">
        <f t="shared" si="8"/>
        <v>42</v>
      </c>
      <c r="AA16" s="17">
        <f t="shared" si="8"/>
        <v>9</v>
      </c>
      <c r="AB16" s="17">
        <f t="shared" si="8"/>
        <v>18</v>
      </c>
      <c r="AC16" s="17">
        <f t="shared" si="8"/>
        <v>482</v>
      </c>
      <c r="AD16" s="17">
        <f t="shared" si="8"/>
        <v>0</v>
      </c>
      <c r="AE16" s="31">
        <f t="shared" si="8"/>
        <v>607</v>
      </c>
      <c r="AF16" s="31">
        <f t="shared" si="8"/>
        <v>1089</v>
      </c>
    </row>
    <row r="17" spans="2:32" ht="23.1" customHeight="1" x14ac:dyDescent="0.25">
      <c r="B17" s="45" t="s">
        <v>44</v>
      </c>
      <c r="C17" s="50">
        <v>76</v>
      </c>
      <c r="D17" s="50">
        <v>8</v>
      </c>
      <c r="E17" s="50">
        <v>7</v>
      </c>
      <c r="F17" s="50">
        <v>21</v>
      </c>
      <c r="G17" s="50">
        <v>5</v>
      </c>
      <c r="H17" s="50">
        <v>0</v>
      </c>
      <c r="I17" s="50">
        <v>8</v>
      </c>
      <c r="J17" s="50">
        <v>6</v>
      </c>
      <c r="K17" s="50">
        <v>1</v>
      </c>
      <c r="L17" s="50">
        <v>3</v>
      </c>
      <c r="M17" s="50">
        <v>157</v>
      </c>
      <c r="N17" s="50">
        <v>0</v>
      </c>
      <c r="O17" s="15">
        <f t="shared" si="0"/>
        <v>135</v>
      </c>
      <c r="P17" s="15">
        <f t="shared" si="1"/>
        <v>292</v>
      </c>
      <c r="R17" s="1" t="s">
        <v>13</v>
      </c>
      <c r="S17" s="17">
        <f t="shared" ref="S17:AF17" si="9">SUM(C38:C41)</f>
        <v>321</v>
      </c>
      <c r="T17" s="17">
        <f t="shared" si="9"/>
        <v>60</v>
      </c>
      <c r="U17" s="17">
        <f t="shared" si="9"/>
        <v>35</v>
      </c>
      <c r="V17" s="17">
        <f t="shared" si="9"/>
        <v>99</v>
      </c>
      <c r="W17" s="17">
        <f t="shared" si="9"/>
        <v>3</v>
      </c>
      <c r="X17" s="17">
        <f t="shared" si="9"/>
        <v>2</v>
      </c>
      <c r="Y17" s="17">
        <f t="shared" si="9"/>
        <v>42</v>
      </c>
      <c r="Z17" s="17">
        <f t="shared" si="9"/>
        <v>40</v>
      </c>
      <c r="AA17" s="17">
        <f t="shared" si="9"/>
        <v>19</v>
      </c>
      <c r="AB17" s="17">
        <f t="shared" si="9"/>
        <v>24</v>
      </c>
      <c r="AC17" s="17">
        <f t="shared" si="9"/>
        <v>408</v>
      </c>
      <c r="AD17" s="17">
        <f t="shared" si="9"/>
        <v>0</v>
      </c>
      <c r="AE17" s="31">
        <f t="shared" si="9"/>
        <v>645</v>
      </c>
      <c r="AF17" s="31">
        <f t="shared" si="9"/>
        <v>1053</v>
      </c>
    </row>
    <row r="18" spans="2:32" ht="23.1" customHeight="1" x14ac:dyDescent="0.25">
      <c r="B18" s="45" t="s">
        <v>45</v>
      </c>
      <c r="C18" s="50">
        <v>84</v>
      </c>
      <c r="D18" s="50">
        <v>14</v>
      </c>
      <c r="E18" s="50">
        <v>13</v>
      </c>
      <c r="F18" s="50">
        <v>32</v>
      </c>
      <c r="G18" s="50">
        <v>5</v>
      </c>
      <c r="H18" s="50">
        <v>0</v>
      </c>
      <c r="I18" s="50">
        <v>19</v>
      </c>
      <c r="J18" s="50">
        <v>12</v>
      </c>
      <c r="K18" s="50">
        <v>2</v>
      </c>
      <c r="L18" s="50">
        <v>2</v>
      </c>
      <c r="M18" s="50">
        <v>174</v>
      </c>
      <c r="N18" s="50">
        <v>0</v>
      </c>
      <c r="O18" s="15">
        <f t="shared" si="0"/>
        <v>183</v>
      </c>
      <c r="P18" s="15">
        <f t="shared" si="1"/>
        <v>357</v>
      </c>
      <c r="R18" s="1" t="s">
        <v>14</v>
      </c>
      <c r="S18" s="17">
        <f t="shared" ref="S18:AF18" si="10">SUM(C42:C45)</f>
        <v>326</v>
      </c>
      <c r="T18" s="17">
        <f t="shared" si="10"/>
        <v>73</v>
      </c>
      <c r="U18" s="17">
        <f t="shared" si="10"/>
        <v>47</v>
      </c>
      <c r="V18" s="17">
        <f t="shared" si="10"/>
        <v>100</v>
      </c>
      <c r="W18" s="17">
        <f t="shared" si="10"/>
        <v>2</v>
      </c>
      <c r="X18" s="17">
        <f t="shared" si="10"/>
        <v>1</v>
      </c>
      <c r="Y18" s="17">
        <f t="shared" si="10"/>
        <v>43</v>
      </c>
      <c r="Z18" s="17">
        <f t="shared" si="10"/>
        <v>31</v>
      </c>
      <c r="AA18" s="17">
        <f t="shared" si="10"/>
        <v>41</v>
      </c>
      <c r="AB18" s="17">
        <f t="shared" si="10"/>
        <v>20</v>
      </c>
      <c r="AC18" s="17">
        <f t="shared" si="10"/>
        <v>436</v>
      </c>
      <c r="AD18" s="17">
        <f t="shared" si="10"/>
        <v>0</v>
      </c>
      <c r="AE18" s="31">
        <f t="shared" si="10"/>
        <v>684</v>
      </c>
      <c r="AF18" s="31">
        <f t="shared" si="10"/>
        <v>1120</v>
      </c>
    </row>
    <row r="19" spans="2:32" ht="23.1" customHeight="1" x14ac:dyDescent="0.25">
      <c r="B19" s="45" t="s">
        <v>46</v>
      </c>
      <c r="C19" s="50">
        <v>90</v>
      </c>
      <c r="D19" s="50">
        <v>12</v>
      </c>
      <c r="E19" s="50">
        <v>10</v>
      </c>
      <c r="F19" s="50">
        <v>26</v>
      </c>
      <c r="G19" s="50">
        <v>1</v>
      </c>
      <c r="H19" s="50">
        <v>0</v>
      </c>
      <c r="I19" s="50">
        <v>9</v>
      </c>
      <c r="J19" s="50">
        <v>13</v>
      </c>
      <c r="K19" s="50">
        <v>3</v>
      </c>
      <c r="L19" s="50">
        <v>4</v>
      </c>
      <c r="M19" s="50">
        <v>172</v>
      </c>
      <c r="N19" s="50">
        <v>0</v>
      </c>
      <c r="O19" s="15">
        <f t="shared" si="0"/>
        <v>168</v>
      </c>
      <c r="P19" s="15">
        <f t="shared" si="1"/>
        <v>340</v>
      </c>
      <c r="R19" s="1" t="s">
        <v>15</v>
      </c>
      <c r="S19" s="17">
        <f t="shared" ref="S19:AF19" si="11">SUM(C46:C49)</f>
        <v>354</v>
      </c>
      <c r="T19" s="17">
        <f t="shared" si="11"/>
        <v>72</v>
      </c>
      <c r="U19" s="17">
        <f t="shared" si="11"/>
        <v>38</v>
      </c>
      <c r="V19" s="17">
        <f t="shared" si="11"/>
        <v>99</v>
      </c>
      <c r="W19" s="17">
        <f t="shared" si="11"/>
        <v>2</v>
      </c>
      <c r="X19" s="17">
        <f t="shared" si="11"/>
        <v>1</v>
      </c>
      <c r="Y19" s="17">
        <f t="shared" si="11"/>
        <v>50</v>
      </c>
      <c r="Z19" s="17">
        <f t="shared" si="11"/>
        <v>36</v>
      </c>
      <c r="AA19" s="17">
        <f t="shared" si="11"/>
        <v>16</v>
      </c>
      <c r="AB19" s="17">
        <f t="shared" si="11"/>
        <v>23</v>
      </c>
      <c r="AC19" s="17">
        <f t="shared" si="11"/>
        <v>362</v>
      </c>
      <c r="AD19" s="17">
        <f t="shared" si="11"/>
        <v>0</v>
      </c>
      <c r="AE19" s="31">
        <f t="shared" si="11"/>
        <v>691</v>
      </c>
      <c r="AF19" s="31">
        <f t="shared" si="11"/>
        <v>1053</v>
      </c>
    </row>
    <row r="20" spans="2:32" ht="23.1" customHeight="1" x14ac:dyDescent="0.25">
      <c r="B20" s="45" t="s">
        <v>47</v>
      </c>
      <c r="C20" s="50">
        <v>72</v>
      </c>
      <c r="D20" s="50">
        <v>12</v>
      </c>
      <c r="E20" s="50">
        <v>13</v>
      </c>
      <c r="F20" s="50">
        <v>25</v>
      </c>
      <c r="G20" s="50">
        <v>0</v>
      </c>
      <c r="H20" s="50">
        <v>0</v>
      </c>
      <c r="I20" s="50">
        <v>13</v>
      </c>
      <c r="J20" s="50">
        <v>12</v>
      </c>
      <c r="K20" s="50">
        <v>2</v>
      </c>
      <c r="L20" s="50">
        <v>2</v>
      </c>
      <c r="M20" s="50">
        <v>142</v>
      </c>
      <c r="N20" s="50">
        <v>0</v>
      </c>
      <c r="O20" s="15">
        <f t="shared" si="0"/>
        <v>151</v>
      </c>
      <c r="P20" s="15">
        <f t="shared" si="1"/>
        <v>293</v>
      </c>
      <c r="R20" s="1" t="s">
        <v>16</v>
      </c>
      <c r="S20" s="17">
        <f t="shared" ref="S20:AF20" si="12">SUM(C50:C53)</f>
        <v>330</v>
      </c>
      <c r="T20" s="17">
        <f t="shared" si="12"/>
        <v>58</v>
      </c>
      <c r="U20" s="17">
        <f t="shared" si="12"/>
        <v>28</v>
      </c>
      <c r="V20" s="17">
        <f t="shared" si="12"/>
        <v>102</v>
      </c>
      <c r="W20" s="17">
        <f t="shared" si="12"/>
        <v>5</v>
      </c>
      <c r="X20" s="17">
        <f t="shared" si="12"/>
        <v>1</v>
      </c>
      <c r="Y20" s="17">
        <f t="shared" si="12"/>
        <v>51</v>
      </c>
      <c r="Z20" s="17">
        <f t="shared" si="12"/>
        <v>42</v>
      </c>
      <c r="AA20" s="17">
        <f t="shared" si="12"/>
        <v>16</v>
      </c>
      <c r="AB20" s="17">
        <f t="shared" si="12"/>
        <v>23</v>
      </c>
      <c r="AC20" s="17">
        <f t="shared" si="12"/>
        <v>436</v>
      </c>
      <c r="AD20" s="17">
        <f t="shared" si="12"/>
        <v>0</v>
      </c>
      <c r="AE20" s="31">
        <f t="shared" si="12"/>
        <v>656</v>
      </c>
      <c r="AF20" s="31">
        <f t="shared" si="12"/>
        <v>1092</v>
      </c>
    </row>
    <row r="21" spans="2:32" ht="23.1" customHeight="1" x14ac:dyDescent="0.25">
      <c r="B21" s="45" t="s">
        <v>48</v>
      </c>
      <c r="C21" s="50">
        <v>81</v>
      </c>
      <c r="D21" s="50">
        <v>14</v>
      </c>
      <c r="E21" s="50">
        <v>9</v>
      </c>
      <c r="F21" s="50">
        <v>25</v>
      </c>
      <c r="G21" s="50">
        <v>3</v>
      </c>
      <c r="H21" s="50">
        <v>0</v>
      </c>
      <c r="I21" s="50">
        <v>12</v>
      </c>
      <c r="J21" s="50">
        <v>6</v>
      </c>
      <c r="K21" s="50">
        <v>2</v>
      </c>
      <c r="L21" s="50">
        <v>5</v>
      </c>
      <c r="M21" s="50">
        <v>135</v>
      </c>
      <c r="N21" s="50">
        <v>0</v>
      </c>
      <c r="O21" s="15">
        <f t="shared" si="0"/>
        <v>157</v>
      </c>
      <c r="P21" s="15">
        <f t="shared" si="1"/>
        <v>292</v>
      </c>
      <c r="R21" s="36" t="s">
        <v>20</v>
      </c>
      <c r="S21" s="34">
        <f t="shared" ref="S21:AF21" si="13">SUM(C54:C57)</f>
        <v>230</v>
      </c>
      <c r="T21" s="17">
        <f t="shared" si="13"/>
        <v>62</v>
      </c>
      <c r="U21" s="17">
        <f t="shared" si="13"/>
        <v>41</v>
      </c>
      <c r="V21" s="17">
        <f t="shared" si="13"/>
        <v>145</v>
      </c>
      <c r="W21" s="17">
        <f t="shared" si="13"/>
        <v>8</v>
      </c>
      <c r="X21" s="17">
        <f t="shared" si="13"/>
        <v>1</v>
      </c>
      <c r="Y21" s="17">
        <f t="shared" si="13"/>
        <v>31</v>
      </c>
      <c r="Z21" s="17">
        <f t="shared" si="13"/>
        <v>20</v>
      </c>
      <c r="AA21" s="17">
        <f t="shared" si="13"/>
        <v>7</v>
      </c>
      <c r="AB21" s="17">
        <f t="shared" si="13"/>
        <v>11</v>
      </c>
      <c r="AC21" s="17">
        <f t="shared" si="13"/>
        <v>452</v>
      </c>
      <c r="AD21" s="17">
        <f t="shared" si="13"/>
        <v>0</v>
      </c>
      <c r="AE21" s="31">
        <f t="shared" si="13"/>
        <v>556</v>
      </c>
      <c r="AF21" s="31">
        <f t="shared" si="13"/>
        <v>1008</v>
      </c>
    </row>
    <row r="22" spans="2:32" ht="23.1" customHeight="1" x14ac:dyDescent="0.25">
      <c r="B22" s="45" t="s">
        <v>49</v>
      </c>
      <c r="C22" s="50">
        <v>95</v>
      </c>
      <c r="D22" s="50">
        <v>10</v>
      </c>
      <c r="E22" s="50">
        <v>14</v>
      </c>
      <c r="F22" s="50">
        <v>41</v>
      </c>
      <c r="G22" s="50">
        <v>3</v>
      </c>
      <c r="H22" s="50">
        <v>3</v>
      </c>
      <c r="I22" s="50">
        <v>10</v>
      </c>
      <c r="J22" s="50">
        <v>6</v>
      </c>
      <c r="K22" s="50">
        <v>8</v>
      </c>
      <c r="L22" s="50">
        <v>6</v>
      </c>
      <c r="M22" s="50">
        <v>151</v>
      </c>
      <c r="N22" s="50">
        <v>0</v>
      </c>
      <c r="O22" s="15">
        <f t="shared" si="0"/>
        <v>196</v>
      </c>
      <c r="P22" s="15">
        <f t="shared" si="1"/>
        <v>347</v>
      </c>
      <c r="R22" s="36" t="s">
        <v>146</v>
      </c>
      <c r="S22" s="34">
        <f>SUM(C58:C61)</f>
        <v>257</v>
      </c>
      <c r="T22" s="34">
        <f t="shared" ref="T22:AF22" si="14">SUM(D58:D61)</f>
        <v>36</v>
      </c>
      <c r="U22" s="34">
        <f t="shared" si="14"/>
        <v>41</v>
      </c>
      <c r="V22" s="34">
        <f t="shared" si="14"/>
        <v>88</v>
      </c>
      <c r="W22" s="34">
        <f t="shared" si="14"/>
        <v>6</v>
      </c>
      <c r="X22" s="34">
        <f t="shared" si="14"/>
        <v>2</v>
      </c>
      <c r="Y22" s="34">
        <f t="shared" si="14"/>
        <v>35</v>
      </c>
      <c r="Z22" s="34">
        <f t="shared" si="14"/>
        <v>17</v>
      </c>
      <c r="AA22" s="34">
        <f t="shared" si="14"/>
        <v>13</v>
      </c>
      <c r="AB22" s="34">
        <f t="shared" si="14"/>
        <v>29</v>
      </c>
      <c r="AC22" s="34">
        <f t="shared" si="14"/>
        <v>385</v>
      </c>
      <c r="AD22" s="34">
        <f t="shared" si="14"/>
        <v>0</v>
      </c>
      <c r="AE22" s="31">
        <f t="shared" si="14"/>
        <v>524</v>
      </c>
      <c r="AF22" s="31">
        <f t="shared" si="14"/>
        <v>909</v>
      </c>
    </row>
    <row r="23" spans="2:32" ht="23.1" customHeight="1" x14ac:dyDescent="0.25">
      <c r="B23" s="45" t="s">
        <v>50</v>
      </c>
      <c r="C23" s="50">
        <v>84</v>
      </c>
      <c r="D23" s="50">
        <v>13</v>
      </c>
      <c r="E23" s="50">
        <v>6</v>
      </c>
      <c r="F23" s="50">
        <v>24</v>
      </c>
      <c r="G23" s="50">
        <v>0</v>
      </c>
      <c r="H23" s="50">
        <v>0</v>
      </c>
      <c r="I23" s="50">
        <v>11</v>
      </c>
      <c r="J23" s="50">
        <v>11</v>
      </c>
      <c r="K23" s="50">
        <v>1</v>
      </c>
      <c r="L23" s="50">
        <v>4</v>
      </c>
      <c r="M23" s="50">
        <v>131</v>
      </c>
      <c r="N23" s="50">
        <v>0</v>
      </c>
      <c r="O23" s="15">
        <f t="shared" si="0"/>
        <v>154</v>
      </c>
      <c r="P23" s="15">
        <f t="shared" si="1"/>
        <v>285</v>
      </c>
      <c r="R23" s="36" t="s">
        <v>147</v>
      </c>
      <c r="S23" s="34">
        <f>SUM(C62:C65)</f>
        <v>363</v>
      </c>
      <c r="T23" s="34">
        <f t="shared" ref="T23:AF23" si="15">SUM(D62:D65)</f>
        <v>49</v>
      </c>
      <c r="U23" s="34">
        <f t="shared" si="15"/>
        <v>55</v>
      </c>
      <c r="V23" s="34">
        <f t="shared" si="15"/>
        <v>139</v>
      </c>
      <c r="W23" s="34">
        <f t="shared" si="15"/>
        <v>11</v>
      </c>
      <c r="X23" s="34">
        <f t="shared" si="15"/>
        <v>4</v>
      </c>
      <c r="Y23" s="34">
        <f t="shared" si="15"/>
        <v>36</v>
      </c>
      <c r="Z23" s="34">
        <f t="shared" si="15"/>
        <v>13</v>
      </c>
      <c r="AA23" s="34">
        <f t="shared" si="15"/>
        <v>14</v>
      </c>
      <c r="AB23" s="34">
        <f t="shared" si="15"/>
        <v>30</v>
      </c>
      <c r="AC23" s="34">
        <f t="shared" si="15"/>
        <v>413</v>
      </c>
      <c r="AD23" s="34">
        <f t="shared" si="15"/>
        <v>0</v>
      </c>
      <c r="AE23" s="31">
        <f t="shared" si="15"/>
        <v>714</v>
      </c>
      <c r="AF23" s="31">
        <f t="shared" si="15"/>
        <v>1127</v>
      </c>
    </row>
    <row r="24" spans="2:32" ht="23.1" customHeight="1" x14ac:dyDescent="0.25">
      <c r="B24" s="45" t="s">
        <v>51</v>
      </c>
      <c r="C24" s="50">
        <v>103</v>
      </c>
      <c r="D24" s="50">
        <v>18</v>
      </c>
      <c r="E24" s="50">
        <v>11</v>
      </c>
      <c r="F24" s="50">
        <v>27</v>
      </c>
      <c r="G24" s="50">
        <v>0</v>
      </c>
      <c r="H24" s="50">
        <v>1</v>
      </c>
      <c r="I24" s="50">
        <v>17</v>
      </c>
      <c r="J24" s="50">
        <v>14</v>
      </c>
      <c r="K24" s="50">
        <v>4</v>
      </c>
      <c r="L24" s="50">
        <v>1</v>
      </c>
      <c r="M24" s="50">
        <v>128</v>
      </c>
      <c r="N24" s="50">
        <v>0</v>
      </c>
      <c r="O24" s="15">
        <f t="shared" si="0"/>
        <v>196</v>
      </c>
      <c r="P24" s="15">
        <f t="shared" si="1"/>
        <v>324</v>
      </c>
      <c r="R24" s="36" t="s">
        <v>148</v>
      </c>
      <c r="S24" s="34">
        <f>SUM(C66:C69)</f>
        <v>275</v>
      </c>
      <c r="T24" s="34">
        <f t="shared" ref="T24:AF24" si="16">SUM(D66:D69)</f>
        <v>31</v>
      </c>
      <c r="U24" s="34">
        <f t="shared" si="16"/>
        <v>40</v>
      </c>
      <c r="V24" s="34">
        <f t="shared" si="16"/>
        <v>84</v>
      </c>
      <c r="W24" s="34">
        <f t="shared" si="16"/>
        <v>6</v>
      </c>
      <c r="X24" s="34">
        <f t="shared" si="16"/>
        <v>3</v>
      </c>
      <c r="Y24" s="34">
        <f t="shared" si="16"/>
        <v>17</v>
      </c>
      <c r="Z24" s="34">
        <f t="shared" si="16"/>
        <v>12</v>
      </c>
      <c r="AA24" s="34">
        <f t="shared" si="16"/>
        <v>6</v>
      </c>
      <c r="AB24" s="34">
        <f t="shared" si="16"/>
        <v>21</v>
      </c>
      <c r="AC24" s="34">
        <f t="shared" si="16"/>
        <v>289</v>
      </c>
      <c r="AD24" s="34">
        <f t="shared" si="16"/>
        <v>0</v>
      </c>
      <c r="AE24" s="31">
        <f t="shared" si="16"/>
        <v>495</v>
      </c>
      <c r="AF24" s="31">
        <f t="shared" si="16"/>
        <v>784</v>
      </c>
    </row>
    <row r="25" spans="2:32" ht="23.1" customHeight="1" x14ac:dyDescent="0.25">
      <c r="B25" s="45" t="s">
        <v>52</v>
      </c>
      <c r="C25" s="50">
        <v>99</v>
      </c>
      <c r="D25" s="50">
        <v>12</v>
      </c>
      <c r="E25" s="50">
        <v>10</v>
      </c>
      <c r="F25" s="50">
        <v>29</v>
      </c>
      <c r="G25" s="50">
        <v>3</v>
      </c>
      <c r="H25" s="50">
        <v>0</v>
      </c>
      <c r="I25" s="50">
        <v>18</v>
      </c>
      <c r="J25" s="50">
        <v>7</v>
      </c>
      <c r="K25" s="50">
        <v>4</v>
      </c>
      <c r="L25" s="50">
        <v>0</v>
      </c>
      <c r="M25" s="50">
        <v>124</v>
      </c>
      <c r="N25" s="50">
        <v>0</v>
      </c>
      <c r="O25" s="15">
        <f t="shared" si="0"/>
        <v>182</v>
      </c>
      <c r="P25" s="15">
        <f t="shared" si="1"/>
        <v>306</v>
      </c>
      <c r="R25" s="36" t="s">
        <v>149</v>
      </c>
      <c r="S25" s="34">
        <f>SUM(C70:C73)</f>
        <v>189</v>
      </c>
      <c r="T25" s="34">
        <f t="shared" ref="T25:AF25" si="17">SUM(D70:D73)</f>
        <v>7</v>
      </c>
      <c r="U25" s="34">
        <f t="shared" si="17"/>
        <v>36</v>
      </c>
      <c r="V25" s="34">
        <f t="shared" si="17"/>
        <v>57</v>
      </c>
      <c r="W25" s="34">
        <f t="shared" si="17"/>
        <v>9</v>
      </c>
      <c r="X25" s="34">
        <f t="shared" si="17"/>
        <v>2</v>
      </c>
      <c r="Y25" s="34">
        <f t="shared" si="17"/>
        <v>22</v>
      </c>
      <c r="Z25" s="34">
        <f t="shared" si="17"/>
        <v>21</v>
      </c>
      <c r="AA25" s="34">
        <f t="shared" si="17"/>
        <v>3</v>
      </c>
      <c r="AB25" s="34">
        <f t="shared" si="17"/>
        <v>13</v>
      </c>
      <c r="AC25" s="34">
        <f t="shared" si="17"/>
        <v>176</v>
      </c>
      <c r="AD25" s="34">
        <f t="shared" si="17"/>
        <v>0</v>
      </c>
      <c r="AE25" s="31">
        <f t="shared" si="17"/>
        <v>359</v>
      </c>
      <c r="AF25" s="31">
        <f t="shared" si="17"/>
        <v>535</v>
      </c>
    </row>
    <row r="26" spans="2:32" ht="23.1" customHeight="1" x14ac:dyDescent="0.25">
      <c r="B26" s="45" t="s">
        <v>53</v>
      </c>
      <c r="C26" s="50">
        <v>123</v>
      </c>
      <c r="D26" s="50">
        <v>18</v>
      </c>
      <c r="E26" s="50">
        <v>12</v>
      </c>
      <c r="F26" s="50">
        <v>29</v>
      </c>
      <c r="G26" s="50">
        <v>1</v>
      </c>
      <c r="H26" s="50">
        <v>1</v>
      </c>
      <c r="I26" s="50">
        <v>11</v>
      </c>
      <c r="J26" s="50">
        <v>3</v>
      </c>
      <c r="K26" s="50">
        <v>8</v>
      </c>
      <c r="L26" s="50">
        <v>3</v>
      </c>
      <c r="M26" s="50">
        <v>140</v>
      </c>
      <c r="N26" s="50">
        <v>0</v>
      </c>
      <c r="O26" s="15">
        <f t="shared" si="0"/>
        <v>209</v>
      </c>
      <c r="P26" s="15">
        <f t="shared" si="1"/>
        <v>349</v>
      </c>
      <c r="R26" s="36" t="s">
        <v>150</v>
      </c>
      <c r="S26" s="34">
        <f>SUM(C74:C77)</f>
        <v>106</v>
      </c>
      <c r="T26" s="34">
        <f t="shared" ref="T26:AF26" si="18">SUM(D74:D77)</f>
        <v>9</v>
      </c>
      <c r="U26" s="34">
        <f t="shared" si="18"/>
        <v>16</v>
      </c>
      <c r="V26" s="34">
        <f t="shared" si="18"/>
        <v>52</v>
      </c>
      <c r="W26" s="34">
        <f t="shared" si="18"/>
        <v>10</v>
      </c>
      <c r="X26" s="34">
        <f t="shared" si="18"/>
        <v>1</v>
      </c>
      <c r="Y26" s="34">
        <f t="shared" si="18"/>
        <v>19</v>
      </c>
      <c r="Z26" s="34">
        <f t="shared" si="18"/>
        <v>9</v>
      </c>
      <c r="AA26" s="34">
        <f t="shared" si="18"/>
        <v>19</v>
      </c>
      <c r="AB26" s="34">
        <f t="shared" si="18"/>
        <v>1</v>
      </c>
      <c r="AC26" s="34">
        <f t="shared" si="18"/>
        <v>136</v>
      </c>
      <c r="AD26" s="34">
        <f t="shared" si="18"/>
        <v>0</v>
      </c>
      <c r="AE26" s="31">
        <f t="shared" si="18"/>
        <v>242</v>
      </c>
      <c r="AF26" s="31">
        <f t="shared" si="18"/>
        <v>378</v>
      </c>
    </row>
    <row r="27" spans="2:32" ht="23.1" customHeight="1" x14ac:dyDescent="0.25">
      <c r="B27" s="45" t="s">
        <v>54</v>
      </c>
      <c r="C27" s="50">
        <v>79</v>
      </c>
      <c r="D27" s="50">
        <v>9</v>
      </c>
      <c r="E27" s="50">
        <v>8</v>
      </c>
      <c r="F27" s="50">
        <v>25</v>
      </c>
      <c r="G27" s="50">
        <v>0</v>
      </c>
      <c r="H27" s="50">
        <v>0</v>
      </c>
      <c r="I27" s="50">
        <v>7</v>
      </c>
      <c r="J27" s="50">
        <v>11</v>
      </c>
      <c r="K27" s="50">
        <v>3</v>
      </c>
      <c r="L27" s="50">
        <v>2</v>
      </c>
      <c r="M27" s="50">
        <v>116</v>
      </c>
      <c r="N27" s="50">
        <v>0</v>
      </c>
      <c r="O27" s="15">
        <f t="shared" si="0"/>
        <v>144</v>
      </c>
      <c r="P27" s="15">
        <f t="shared" si="1"/>
        <v>260</v>
      </c>
      <c r="R27" s="36" t="s">
        <v>151</v>
      </c>
      <c r="S27" s="34">
        <f>SUM(C78:C81)</f>
        <v>59</v>
      </c>
      <c r="T27" s="34">
        <f t="shared" ref="T27:AF27" si="19">SUM(D78:D81)</f>
        <v>9</v>
      </c>
      <c r="U27" s="34">
        <f t="shared" si="19"/>
        <v>10</v>
      </c>
      <c r="V27" s="34">
        <f t="shared" si="19"/>
        <v>14</v>
      </c>
      <c r="W27" s="34">
        <f t="shared" si="19"/>
        <v>0</v>
      </c>
      <c r="X27" s="34">
        <f t="shared" si="19"/>
        <v>2</v>
      </c>
      <c r="Y27" s="34">
        <f t="shared" si="19"/>
        <v>21</v>
      </c>
      <c r="Z27" s="34">
        <f t="shared" si="19"/>
        <v>21</v>
      </c>
      <c r="AA27" s="34">
        <f t="shared" si="19"/>
        <v>9</v>
      </c>
      <c r="AB27" s="34">
        <f t="shared" si="19"/>
        <v>6</v>
      </c>
      <c r="AC27" s="34">
        <f t="shared" si="19"/>
        <v>38</v>
      </c>
      <c r="AD27" s="34">
        <f t="shared" si="19"/>
        <v>0</v>
      </c>
      <c r="AE27" s="31">
        <f t="shared" si="19"/>
        <v>151</v>
      </c>
      <c r="AF27" s="31">
        <f t="shared" si="19"/>
        <v>189</v>
      </c>
    </row>
    <row r="28" spans="2:32" ht="23.1" customHeight="1" x14ac:dyDescent="0.25">
      <c r="B28" s="45" t="s">
        <v>55</v>
      </c>
      <c r="C28" s="50">
        <v>104</v>
      </c>
      <c r="D28" s="50">
        <v>14</v>
      </c>
      <c r="E28" s="50">
        <v>7</v>
      </c>
      <c r="F28" s="50">
        <v>48</v>
      </c>
      <c r="G28" s="50">
        <v>2</v>
      </c>
      <c r="H28" s="50">
        <v>1</v>
      </c>
      <c r="I28" s="50">
        <v>12</v>
      </c>
      <c r="J28" s="50">
        <v>13</v>
      </c>
      <c r="K28" s="50">
        <v>9</v>
      </c>
      <c r="L28" s="50">
        <v>5</v>
      </c>
      <c r="M28" s="50">
        <v>151</v>
      </c>
      <c r="N28" s="50">
        <v>0</v>
      </c>
      <c r="O28" s="15">
        <f t="shared" si="0"/>
        <v>215</v>
      </c>
      <c r="P28" s="15">
        <f t="shared" si="1"/>
        <v>366</v>
      </c>
      <c r="R28" s="36" t="s">
        <v>152</v>
      </c>
      <c r="S28" s="34">
        <f>SUM(C82:C85)</f>
        <v>47</v>
      </c>
      <c r="T28" s="34">
        <f t="shared" ref="T28:AF28" si="20">SUM(D82:D85)</f>
        <v>10</v>
      </c>
      <c r="U28" s="34">
        <f t="shared" si="20"/>
        <v>19</v>
      </c>
      <c r="V28" s="34">
        <f t="shared" si="20"/>
        <v>26</v>
      </c>
      <c r="W28" s="34">
        <f t="shared" si="20"/>
        <v>4</v>
      </c>
      <c r="X28" s="34">
        <f t="shared" si="20"/>
        <v>1</v>
      </c>
      <c r="Y28" s="34">
        <f t="shared" si="20"/>
        <v>34</v>
      </c>
      <c r="Z28" s="34">
        <f t="shared" si="20"/>
        <v>6</v>
      </c>
      <c r="AA28" s="34">
        <f t="shared" si="20"/>
        <v>4</v>
      </c>
      <c r="AB28" s="34">
        <f t="shared" si="20"/>
        <v>14</v>
      </c>
      <c r="AC28" s="34">
        <f t="shared" si="20"/>
        <v>47</v>
      </c>
      <c r="AD28" s="34">
        <f t="shared" si="20"/>
        <v>0</v>
      </c>
      <c r="AE28" s="31">
        <f t="shared" si="20"/>
        <v>165</v>
      </c>
      <c r="AF28" s="31">
        <f t="shared" si="20"/>
        <v>212</v>
      </c>
    </row>
    <row r="29" spans="2:32" ht="23.1" customHeight="1" x14ac:dyDescent="0.25">
      <c r="B29" s="45" t="s">
        <v>56</v>
      </c>
      <c r="C29" s="50">
        <v>81</v>
      </c>
      <c r="D29" s="50">
        <v>17</v>
      </c>
      <c r="E29" s="50">
        <v>9</v>
      </c>
      <c r="F29" s="50">
        <v>31</v>
      </c>
      <c r="G29" s="50">
        <v>2</v>
      </c>
      <c r="H29" s="50">
        <v>0</v>
      </c>
      <c r="I29" s="50">
        <v>17</v>
      </c>
      <c r="J29" s="50">
        <v>8</v>
      </c>
      <c r="K29" s="50">
        <v>0</v>
      </c>
      <c r="L29" s="50">
        <v>5</v>
      </c>
      <c r="M29" s="50">
        <v>124</v>
      </c>
      <c r="N29" s="50">
        <v>0</v>
      </c>
      <c r="O29" s="15">
        <f t="shared" si="0"/>
        <v>170</v>
      </c>
      <c r="P29" s="15">
        <f t="shared" si="1"/>
        <v>294</v>
      </c>
      <c r="R29" s="36" t="s">
        <v>153</v>
      </c>
      <c r="S29" s="34">
        <f>SUM(C86:C89)</f>
        <v>52</v>
      </c>
      <c r="T29" s="34">
        <f t="shared" ref="T29:AF29" si="21">SUM(D86:D89)</f>
        <v>5</v>
      </c>
      <c r="U29" s="34">
        <f t="shared" si="21"/>
        <v>17</v>
      </c>
      <c r="V29" s="34">
        <f t="shared" si="21"/>
        <v>15</v>
      </c>
      <c r="W29" s="34">
        <f t="shared" si="21"/>
        <v>1</v>
      </c>
      <c r="X29" s="34">
        <f t="shared" si="21"/>
        <v>0</v>
      </c>
      <c r="Y29" s="34">
        <f t="shared" si="21"/>
        <v>27</v>
      </c>
      <c r="Z29" s="34">
        <f t="shared" si="21"/>
        <v>29</v>
      </c>
      <c r="AA29" s="34">
        <f t="shared" si="21"/>
        <v>23</v>
      </c>
      <c r="AB29" s="34">
        <f t="shared" si="21"/>
        <v>9</v>
      </c>
      <c r="AC29" s="34">
        <f t="shared" si="21"/>
        <v>37</v>
      </c>
      <c r="AD29" s="34">
        <f t="shared" si="21"/>
        <v>0</v>
      </c>
      <c r="AE29" s="31">
        <f t="shared" si="21"/>
        <v>178</v>
      </c>
      <c r="AF29" s="31">
        <f t="shared" si="21"/>
        <v>215</v>
      </c>
    </row>
    <row r="30" spans="2:32" ht="23.1" customHeight="1" x14ac:dyDescent="0.25">
      <c r="B30" s="45" t="s">
        <v>57</v>
      </c>
      <c r="C30" s="50">
        <v>106</v>
      </c>
      <c r="D30" s="50">
        <v>21</v>
      </c>
      <c r="E30" s="50">
        <v>6</v>
      </c>
      <c r="F30" s="50">
        <v>32</v>
      </c>
      <c r="G30" s="50">
        <v>2</v>
      </c>
      <c r="H30" s="50">
        <v>0</v>
      </c>
      <c r="I30" s="50">
        <v>10</v>
      </c>
      <c r="J30" s="50">
        <v>14</v>
      </c>
      <c r="K30" s="50">
        <v>3</v>
      </c>
      <c r="L30" s="50">
        <v>4</v>
      </c>
      <c r="M30" s="50">
        <v>119</v>
      </c>
      <c r="N30" s="50">
        <v>0</v>
      </c>
      <c r="O30" s="15">
        <f t="shared" si="0"/>
        <v>198</v>
      </c>
      <c r="P30" s="15">
        <f t="shared" si="1"/>
        <v>317</v>
      </c>
      <c r="R30" s="36" t="s">
        <v>154</v>
      </c>
      <c r="S30" s="34">
        <f>SUM(C90:C93)</f>
        <v>35</v>
      </c>
      <c r="T30" s="34">
        <f t="shared" ref="T30:AF30" si="22">SUM(D90:D93)</f>
        <v>8</v>
      </c>
      <c r="U30" s="34">
        <f t="shared" si="22"/>
        <v>17</v>
      </c>
      <c r="V30" s="34">
        <f t="shared" si="22"/>
        <v>8</v>
      </c>
      <c r="W30" s="34">
        <f t="shared" si="22"/>
        <v>2</v>
      </c>
      <c r="X30" s="34">
        <f t="shared" si="22"/>
        <v>4</v>
      </c>
      <c r="Y30" s="34">
        <f t="shared" si="22"/>
        <v>40</v>
      </c>
      <c r="Z30" s="34">
        <f t="shared" si="22"/>
        <v>44</v>
      </c>
      <c r="AA30" s="34">
        <f t="shared" si="22"/>
        <v>23</v>
      </c>
      <c r="AB30" s="34">
        <f t="shared" si="22"/>
        <v>15</v>
      </c>
      <c r="AC30" s="34">
        <f t="shared" si="22"/>
        <v>46</v>
      </c>
      <c r="AD30" s="34">
        <f t="shared" si="22"/>
        <v>0</v>
      </c>
      <c r="AE30" s="31">
        <f t="shared" si="22"/>
        <v>196</v>
      </c>
      <c r="AF30" s="31">
        <f t="shared" si="22"/>
        <v>242</v>
      </c>
    </row>
    <row r="31" spans="2:32" ht="23.1" customHeight="1" x14ac:dyDescent="0.25">
      <c r="B31" s="46" t="s">
        <v>58</v>
      </c>
      <c r="C31" s="50">
        <v>94</v>
      </c>
      <c r="D31" s="50">
        <v>10</v>
      </c>
      <c r="E31" s="50">
        <v>6</v>
      </c>
      <c r="F31" s="50">
        <v>27</v>
      </c>
      <c r="G31" s="50">
        <v>0</v>
      </c>
      <c r="H31" s="50">
        <v>0</v>
      </c>
      <c r="I31" s="50">
        <v>9</v>
      </c>
      <c r="J31" s="50">
        <v>7</v>
      </c>
      <c r="K31" s="50">
        <v>2</v>
      </c>
      <c r="L31" s="50">
        <v>5</v>
      </c>
      <c r="M31" s="50">
        <v>132</v>
      </c>
      <c r="N31" s="50">
        <v>0</v>
      </c>
      <c r="O31" s="15">
        <f t="shared" si="0"/>
        <v>160</v>
      </c>
      <c r="P31" s="15">
        <f t="shared" si="1"/>
        <v>292</v>
      </c>
      <c r="R31" s="36" t="s">
        <v>155</v>
      </c>
      <c r="S31" s="34">
        <f>SUM(C94:C97)</f>
        <v>52</v>
      </c>
      <c r="T31" s="34">
        <f t="shared" ref="T31:AF31" si="23">SUM(D94:D97)</f>
        <v>16</v>
      </c>
      <c r="U31" s="34">
        <f t="shared" si="23"/>
        <v>9</v>
      </c>
      <c r="V31" s="34">
        <f t="shared" si="23"/>
        <v>20</v>
      </c>
      <c r="W31" s="34">
        <f t="shared" si="23"/>
        <v>1</v>
      </c>
      <c r="X31" s="34">
        <f t="shared" si="23"/>
        <v>4</v>
      </c>
      <c r="Y31" s="34">
        <f t="shared" si="23"/>
        <v>28</v>
      </c>
      <c r="Z31" s="34">
        <f t="shared" si="23"/>
        <v>26</v>
      </c>
      <c r="AA31" s="34">
        <f t="shared" si="23"/>
        <v>13</v>
      </c>
      <c r="AB31" s="34">
        <f t="shared" si="23"/>
        <v>5</v>
      </c>
      <c r="AC31" s="34">
        <f t="shared" si="23"/>
        <v>59</v>
      </c>
      <c r="AD31" s="34">
        <f t="shared" si="23"/>
        <v>0</v>
      </c>
      <c r="AE31" s="31">
        <f t="shared" si="23"/>
        <v>174</v>
      </c>
      <c r="AF31" s="31">
        <f t="shared" si="23"/>
        <v>233</v>
      </c>
    </row>
    <row r="32" spans="2:32" ht="23.1" customHeight="1" x14ac:dyDescent="0.25">
      <c r="B32" s="46" t="s">
        <v>59</v>
      </c>
      <c r="C32" s="50">
        <v>118</v>
      </c>
      <c r="D32" s="50">
        <v>17</v>
      </c>
      <c r="E32" s="50">
        <v>5</v>
      </c>
      <c r="F32" s="50">
        <v>29</v>
      </c>
      <c r="G32" s="50">
        <v>2</v>
      </c>
      <c r="H32" s="50">
        <v>0</v>
      </c>
      <c r="I32" s="50">
        <v>7</v>
      </c>
      <c r="J32" s="50">
        <v>6</v>
      </c>
      <c r="K32" s="50">
        <v>3</v>
      </c>
      <c r="L32" s="50">
        <v>11</v>
      </c>
      <c r="M32" s="50">
        <v>105</v>
      </c>
      <c r="N32" s="50">
        <v>0</v>
      </c>
      <c r="O32" s="15">
        <f t="shared" si="0"/>
        <v>198</v>
      </c>
      <c r="P32" s="15">
        <f t="shared" si="1"/>
        <v>303</v>
      </c>
      <c r="R32" s="33" t="s">
        <v>156</v>
      </c>
      <c r="S32" s="34">
        <f>SUM(C98:C101)</f>
        <v>59</v>
      </c>
      <c r="T32" s="34">
        <f t="shared" ref="T32:AF32" si="24">SUM(D98:D101)</f>
        <v>8</v>
      </c>
      <c r="U32" s="34">
        <f t="shared" si="24"/>
        <v>13</v>
      </c>
      <c r="V32" s="34">
        <f t="shared" si="24"/>
        <v>26</v>
      </c>
      <c r="W32" s="34">
        <f t="shared" si="24"/>
        <v>3</v>
      </c>
      <c r="X32" s="34">
        <f t="shared" si="24"/>
        <v>1</v>
      </c>
      <c r="Y32" s="34">
        <f t="shared" si="24"/>
        <v>28</v>
      </c>
      <c r="Z32" s="34">
        <f t="shared" si="24"/>
        <v>17</v>
      </c>
      <c r="AA32" s="34">
        <f t="shared" si="24"/>
        <v>8</v>
      </c>
      <c r="AB32" s="34">
        <f t="shared" si="24"/>
        <v>8</v>
      </c>
      <c r="AC32" s="34">
        <f t="shared" si="24"/>
        <v>56</v>
      </c>
      <c r="AD32" s="34">
        <f t="shared" si="24"/>
        <v>0</v>
      </c>
      <c r="AE32" s="31">
        <f t="shared" si="24"/>
        <v>171</v>
      </c>
      <c r="AF32" s="31">
        <f t="shared" si="24"/>
        <v>227</v>
      </c>
    </row>
    <row r="33" spans="2:32" ht="23.1" customHeight="1" x14ac:dyDescent="0.25">
      <c r="B33" s="45" t="s">
        <v>60</v>
      </c>
      <c r="C33" s="50">
        <v>91</v>
      </c>
      <c r="D33" s="50">
        <v>9</v>
      </c>
      <c r="E33" s="50">
        <v>11</v>
      </c>
      <c r="F33" s="50">
        <v>34</v>
      </c>
      <c r="G33" s="50">
        <v>1</v>
      </c>
      <c r="H33" s="50">
        <v>0</v>
      </c>
      <c r="I33" s="50">
        <v>13</v>
      </c>
      <c r="J33" s="50">
        <v>11</v>
      </c>
      <c r="K33" s="50">
        <v>3</v>
      </c>
      <c r="L33" s="50">
        <v>5</v>
      </c>
      <c r="M33" s="50">
        <v>93</v>
      </c>
      <c r="N33" s="50">
        <v>0</v>
      </c>
      <c r="O33" s="15">
        <f t="shared" si="0"/>
        <v>178</v>
      </c>
      <c r="P33" s="15">
        <f t="shared" si="1"/>
        <v>271</v>
      </c>
      <c r="R33" s="33" t="s">
        <v>157</v>
      </c>
      <c r="S33" s="34">
        <f>SUM(C102:C105)</f>
        <v>107</v>
      </c>
      <c r="T33" s="34">
        <f t="shared" ref="T33:AF33" si="25">SUM(D102:D105)</f>
        <v>12</v>
      </c>
      <c r="U33" s="34">
        <f t="shared" si="25"/>
        <v>24</v>
      </c>
      <c r="V33" s="34">
        <f t="shared" si="25"/>
        <v>60</v>
      </c>
      <c r="W33" s="34">
        <f t="shared" si="25"/>
        <v>1</v>
      </c>
      <c r="X33" s="34">
        <f t="shared" si="25"/>
        <v>1</v>
      </c>
      <c r="Y33" s="34">
        <f t="shared" si="25"/>
        <v>28</v>
      </c>
      <c r="Z33" s="34">
        <f t="shared" si="25"/>
        <v>17</v>
      </c>
      <c r="AA33" s="34">
        <f t="shared" si="25"/>
        <v>1</v>
      </c>
      <c r="AB33" s="34">
        <f t="shared" si="25"/>
        <v>16</v>
      </c>
      <c r="AC33" s="34">
        <f t="shared" si="25"/>
        <v>168</v>
      </c>
      <c r="AD33" s="34">
        <f t="shared" si="25"/>
        <v>0</v>
      </c>
      <c r="AE33" s="31">
        <f t="shared" si="25"/>
        <v>267</v>
      </c>
      <c r="AF33" s="31">
        <f t="shared" si="25"/>
        <v>435</v>
      </c>
    </row>
    <row r="34" spans="2:32" ht="23.1" customHeight="1" x14ac:dyDescent="0.25">
      <c r="B34" s="46" t="s">
        <v>61</v>
      </c>
      <c r="C34" s="50">
        <v>75</v>
      </c>
      <c r="D34" s="50">
        <v>18</v>
      </c>
      <c r="E34" s="50">
        <v>8</v>
      </c>
      <c r="F34" s="50">
        <v>24</v>
      </c>
      <c r="G34" s="50">
        <v>1</v>
      </c>
      <c r="H34" s="50">
        <v>1</v>
      </c>
      <c r="I34" s="50">
        <v>10</v>
      </c>
      <c r="J34" s="50">
        <v>11</v>
      </c>
      <c r="K34" s="50">
        <v>4</v>
      </c>
      <c r="L34" s="50">
        <v>2</v>
      </c>
      <c r="M34" s="50">
        <v>121</v>
      </c>
      <c r="N34" s="50">
        <v>0</v>
      </c>
      <c r="O34" s="15">
        <f t="shared" si="0"/>
        <v>154</v>
      </c>
      <c r="P34" s="15">
        <f t="shared" si="1"/>
        <v>275</v>
      </c>
      <c r="R34" s="38" t="s">
        <v>90</v>
      </c>
      <c r="S34" s="39">
        <f t="shared" ref="S34:AF34" si="26">MAX(S10:S12)</f>
        <v>327</v>
      </c>
      <c r="T34" s="39">
        <f t="shared" si="26"/>
        <v>52</v>
      </c>
      <c r="U34" s="39">
        <f t="shared" si="26"/>
        <v>45</v>
      </c>
      <c r="V34" s="39">
        <f t="shared" si="26"/>
        <v>108</v>
      </c>
      <c r="W34" s="39">
        <f t="shared" si="26"/>
        <v>9</v>
      </c>
      <c r="X34" s="39">
        <f t="shared" si="26"/>
        <v>1</v>
      </c>
      <c r="Y34" s="39">
        <f t="shared" si="26"/>
        <v>53</v>
      </c>
      <c r="Z34" s="39">
        <f t="shared" si="26"/>
        <v>46</v>
      </c>
      <c r="AA34" s="39">
        <f t="shared" si="26"/>
        <v>11</v>
      </c>
      <c r="AB34" s="39">
        <f t="shared" si="26"/>
        <v>13</v>
      </c>
      <c r="AC34" s="39">
        <f t="shared" si="26"/>
        <v>633</v>
      </c>
      <c r="AD34" s="39">
        <f t="shared" si="26"/>
        <v>0</v>
      </c>
      <c r="AE34" s="40">
        <f t="shared" si="26"/>
        <v>659</v>
      </c>
      <c r="AF34" s="40">
        <f t="shared" si="26"/>
        <v>1282</v>
      </c>
    </row>
    <row r="35" spans="2:32" ht="23.1" customHeight="1" x14ac:dyDescent="0.25">
      <c r="B35" s="46" t="s">
        <v>62</v>
      </c>
      <c r="C35" s="50">
        <v>75</v>
      </c>
      <c r="D35" s="50">
        <v>16</v>
      </c>
      <c r="E35" s="50">
        <v>8</v>
      </c>
      <c r="F35" s="50">
        <v>26</v>
      </c>
      <c r="G35" s="50">
        <v>0</v>
      </c>
      <c r="H35" s="50">
        <v>0</v>
      </c>
      <c r="I35" s="50">
        <v>20</v>
      </c>
      <c r="J35" s="50">
        <v>9</v>
      </c>
      <c r="K35" s="50">
        <v>1</v>
      </c>
      <c r="L35" s="50">
        <v>6</v>
      </c>
      <c r="M35" s="50">
        <v>132</v>
      </c>
      <c r="N35" s="50">
        <v>0</v>
      </c>
      <c r="O35" s="15">
        <f t="shared" si="0"/>
        <v>161</v>
      </c>
      <c r="P35" s="15">
        <f t="shared" si="1"/>
        <v>293</v>
      </c>
      <c r="R35" s="38" t="s">
        <v>91</v>
      </c>
      <c r="S35" s="39">
        <f t="shared" ref="S35:AF35" si="27">MAX(S13:S18)</f>
        <v>409</v>
      </c>
      <c r="T35" s="39">
        <f t="shared" si="27"/>
        <v>73</v>
      </c>
      <c r="U35" s="39">
        <f t="shared" si="27"/>
        <v>47</v>
      </c>
      <c r="V35" s="39">
        <f t="shared" si="27"/>
        <v>133</v>
      </c>
      <c r="W35" s="39">
        <f t="shared" si="27"/>
        <v>6</v>
      </c>
      <c r="X35" s="39">
        <f t="shared" si="27"/>
        <v>4</v>
      </c>
      <c r="Y35" s="39">
        <f t="shared" si="27"/>
        <v>56</v>
      </c>
      <c r="Z35" s="39">
        <f t="shared" si="27"/>
        <v>42</v>
      </c>
      <c r="AA35" s="39">
        <f t="shared" si="27"/>
        <v>41</v>
      </c>
      <c r="AB35" s="39">
        <f t="shared" si="27"/>
        <v>25</v>
      </c>
      <c r="AC35" s="39">
        <f t="shared" si="27"/>
        <v>534</v>
      </c>
      <c r="AD35" s="39">
        <f t="shared" si="27"/>
        <v>0</v>
      </c>
      <c r="AE35" s="40">
        <f t="shared" si="27"/>
        <v>738</v>
      </c>
      <c r="AF35" s="40">
        <f t="shared" si="27"/>
        <v>1269</v>
      </c>
    </row>
    <row r="36" spans="2:32" ht="23.1" customHeight="1" x14ac:dyDescent="0.25">
      <c r="B36" s="46" t="s">
        <v>63</v>
      </c>
      <c r="C36" s="50">
        <v>76</v>
      </c>
      <c r="D36" s="50">
        <v>18</v>
      </c>
      <c r="E36" s="50">
        <v>6</v>
      </c>
      <c r="F36" s="50">
        <v>26</v>
      </c>
      <c r="G36" s="50">
        <v>1</v>
      </c>
      <c r="H36" s="50">
        <v>0</v>
      </c>
      <c r="I36" s="50">
        <v>9</v>
      </c>
      <c r="J36" s="50">
        <v>13</v>
      </c>
      <c r="K36" s="50">
        <v>4</v>
      </c>
      <c r="L36" s="50">
        <v>4</v>
      </c>
      <c r="M36" s="50">
        <v>135</v>
      </c>
      <c r="N36" s="50">
        <v>0</v>
      </c>
      <c r="O36" s="15">
        <f t="shared" si="0"/>
        <v>157</v>
      </c>
      <c r="P36" s="15">
        <f t="shared" si="1"/>
        <v>292</v>
      </c>
      <c r="R36" s="38" t="s">
        <v>92</v>
      </c>
      <c r="S36" s="39">
        <f t="shared" ref="S36:AF36" si="28">MAX(S19:S21)</f>
        <v>354</v>
      </c>
      <c r="T36" s="39">
        <f t="shared" si="28"/>
        <v>72</v>
      </c>
      <c r="U36" s="39">
        <f t="shared" si="28"/>
        <v>41</v>
      </c>
      <c r="V36" s="39">
        <f t="shared" si="28"/>
        <v>145</v>
      </c>
      <c r="W36" s="39">
        <f t="shared" si="28"/>
        <v>8</v>
      </c>
      <c r="X36" s="39">
        <f t="shared" si="28"/>
        <v>1</v>
      </c>
      <c r="Y36" s="39">
        <f t="shared" si="28"/>
        <v>51</v>
      </c>
      <c r="Z36" s="39">
        <f t="shared" si="28"/>
        <v>42</v>
      </c>
      <c r="AA36" s="39">
        <f t="shared" si="28"/>
        <v>16</v>
      </c>
      <c r="AB36" s="39">
        <f t="shared" si="28"/>
        <v>23</v>
      </c>
      <c r="AC36" s="39">
        <f t="shared" si="28"/>
        <v>452</v>
      </c>
      <c r="AD36" s="39">
        <f t="shared" si="28"/>
        <v>0</v>
      </c>
      <c r="AE36" s="40">
        <f t="shared" si="28"/>
        <v>691</v>
      </c>
      <c r="AF36" s="40">
        <f t="shared" si="28"/>
        <v>1092</v>
      </c>
    </row>
    <row r="37" spans="2:32" ht="23.1" customHeight="1" x14ac:dyDescent="0.25">
      <c r="B37" s="45" t="s">
        <v>64</v>
      </c>
      <c r="C37" s="50">
        <v>74</v>
      </c>
      <c r="D37" s="50">
        <v>7</v>
      </c>
      <c r="E37" s="50">
        <v>9</v>
      </c>
      <c r="F37" s="50">
        <v>21</v>
      </c>
      <c r="G37" s="50">
        <v>2</v>
      </c>
      <c r="H37" s="50">
        <v>0</v>
      </c>
      <c r="I37" s="50">
        <v>7</v>
      </c>
      <c r="J37" s="50">
        <v>9</v>
      </c>
      <c r="K37" s="50">
        <v>0</v>
      </c>
      <c r="L37" s="50">
        <v>6</v>
      </c>
      <c r="M37" s="50">
        <v>94</v>
      </c>
      <c r="N37" s="50">
        <v>0</v>
      </c>
      <c r="O37" s="15">
        <f t="shared" si="0"/>
        <v>135</v>
      </c>
      <c r="P37" s="15">
        <f t="shared" si="1"/>
        <v>229</v>
      </c>
      <c r="R37" s="37" t="s">
        <v>85</v>
      </c>
      <c r="S37" s="35">
        <f t="shared" ref="S37:AF37" si="29">SUM(S10:S12)</f>
        <v>839</v>
      </c>
      <c r="T37" s="16">
        <f t="shared" si="29"/>
        <v>124</v>
      </c>
      <c r="U37" s="16">
        <f t="shared" si="29"/>
        <v>90</v>
      </c>
      <c r="V37" s="16">
        <f t="shared" si="29"/>
        <v>306</v>
      </c>
      <c r="W37" s="16">
        <f t="shared" si="29"/>
        <v>22</v>
      </c>
      <c r="X37" s="16">
        <f t="shared" si="29"/>
        <v>1</v>
      </c>
      <c r="Y37" s="16">
        <f t="shared" si="29"/>
        <v>127</v>
      </c>
      <c r="Z37" s="16">
        <f t="shared" si="29"/>
        <v>131</v>
      </c>
      <c r="AA37" s="16">
        <f t="shared" si="29"/>
        <v>27</v>
      </c>
      <c r="AB37" s="16">
        <f t="shared" si="29"/>
        <v>26</v>
      </c>
      <c r="AC37" s="16">
        <f t="shared" si="29"/>
        <v>1751</v>
      </c>
      <c r="AD37" s="16">
        <f t="shared" si="29"/>
        <v>0</v>
      </c>
      <c r="AE37" s="32">
        <f t="shared" si="29"/>
        <v>1693</v>
      </c>
      <c r="AF37" s="32">
        <f t="shared" si="29"/>
        <v>3444</v>
      </c>
    </row>
    <row r="38" spans="2:32" ht="23.1" customHeight="1" x14ac:dyDescent="0.25">
      <c r="B38" s="46" t="s">
        <v>65</v>
      </c>
      <c r="C38" s="50">
        <v>101</v>
      </c>
      <c r="D38" s="50">
        <v>9</v>
      </c>
      <c r="E38" s="50">
        <v>9</v>
      </c>
      <c r="F38" s="50">
        <v>27</v>
      </c>
      <c r="G38" s="50">
        <v>1</v>
      </c>
      <c r="H38" s="50">
        <v>2</v>
      </c>
      <c r="I38" s="50">
        <v>15</v>
      </c>
      <c r="J38" s="50">
        <v>13</v>
      </c>
      <c r="K38" s="50">
        <v>1</v>
      </c>
      <c r="L38" s="50">
        <v>11</v>
      </c>
      <c r="M38" s="50">
        <v>96</v>
      </c>
      <c r="N38" s="50">
        <v>0</v>
      </c>
      <c r="O38" s="15">
        <f t="shared" si="0"/>
        <v>189</v>
      </c>
      <c r="P38" s="15">
        <f t="shared" si="1"/>
        <v>285</v>
      </c>
      <c r="R38" s="28" t="s">
        <v>86</v>
      </c>
      <c r="S38" s="16">
        <f t="shared" ref="S38:AF38" si="30">SUM(S13:S18)</f>
        <v>2124</v>
      </c>
      <c r="T38" s="16">
        <f t="shared" si="30"/>
        <v>360</v>
      </c>
      <c r="U38" s="16">
        <f t="shared" si="30"/>
        <v>218</v>
      </c>
      <c r="V38" s="16">
        <f t="shared" si="30"/>
        <v>672</v>
      </c>
      <c r="W38" s="16">
        <f t="shared" si="30"/>
        <v>25</v>
      </c>
      <c r="X38" s="16">
        <f t="shared" si="30"/>
        <v>10</v>
      </c>
      <c r="Y38" s="16">
        <f t="shared" si="30"/>
        <v>273</v>
      </c>
      <c r="Z38" s="16">
        <f t="shared" si="30"/>
        <v>224</v>
      </c>
      <c r="AA38" s="16">
        <f t="shared" si="30"/>
        <v>117</v>
      </c>
      <c r="AB38" s="16">
        <f t="shared" si="30"/>
        <v>113</v>
      </c>
      <c r="AC38" s="16">
        <f t="shared" si="30"/>
        <v>2840</v>
      </c>
      <c r="AD38" s="16">
        <f t="shared" si="30"/>
        <v>0</v>
      </c>
      <c r="AE38" s="32">
        <f t="shared" si="30"/>
        <v>4136</v>
      </c>
      <c r="AF38" s="32">
        <f t="shared" si="30"/>
        <v>6976</v>
      </c>
    </row>
    <row r="39" spans="2:32" ht="23.1" customHeight="1" x14ac:dyDescent="0.25">
      <c r="B39" s="46" t="s">
        <v>66</v>
      </c>
      <c r="C39" s="50">
        <v>76</v>
      </c>
      <c r="D39" s="50">
        <v>14</v>
      </c>
      <c r="E39" s="50">
        <v>4</v>
      </c>
      <c r="F39" s="50">
        <v>27</v>
      </c>
      <c r="G39" s="50">
        <v>0</v>
      </c>
      <c r="H39" s="50">
        <v>0</v>
      </c>
      <c r="I39" s="50">
        <v>11</v>
      </c>
      <c r="J39" s="50">
        <v>11</v>
      </c>
      <c r="K39" s="50">
        <v>7</v>
      </c>
      <c r="L39" s="50">
        <v>4</v>
      </c>
      <c r="M39" s="50">
        <v>93</v>
      </c>
      <c r="N39" s="50">
        <v>0</v>
      </c>
      <c r="O39" s="15">
        <f t="shared" si="0"/>
        <v>154</v>
      </c>
      <c r="P39" s="15">
        <f t="shared" si="1"/>
        <v>247</v>
      </c>
      <c r="R39" s="29" t="s">
        <v>87</v>
      </c>
      <c r="S39" s="16">
        <f t="shared" ref="S39:AF39" si="31">SUM(S19:S21)</f>
        <v>914</v>
      </c>
      <c r="T39" s="16">
        <f t="shared" si="31"/>
        <v>192</v>
      </c>
      <c r="U39" s="16">
        <f t="shared" si="31"/>
        <v>107</v>
      </c>
      <c r="V39" s="16">
        <f t="shared" si="31"/>
        <v>346</v>
      </c>
      <c r="W39" s="16">
        <f t="shared" si="31"/>
        <v>15</v>
      </c>
      <c r="X39" s="16">
        <f t="shared" si="31"/>
        <v>3</v>
      </c>
      <c r="Y39" s="16">
        <f t="shared" si="31"/>
        <v>132</v>
      </c>
      <c r="Z39" s="16">
        <f t="shared" si="31"/>
        <v>98</v>
      </c>
      <c r="AA39" s="16">
        <f t="shared" si="31"/>
        <v>39</v>
      </c>
      <c r="AB39" s="16">
        <f t="shared" si="31"/>
        <v>57</v>
      </c>
      <c r="AC39" s="16">
        <f t="shared" si="31"/>
        <v>1250</v>
      </c>
      <c r="AD39" s="16">
        <f t="shared" si="31"/>
        <v>0</v>
      </c>
      <c r="AE39" s="32">
        <f t="shared" si="31"/>
        <v>1903</v>
      </c>
      <c r="AF39" s="32">
        <f t="shared" si="31"/>
        <v>3153</v>
      </c>
    </row>
    <row r="40" spans="2:32" ht="23.1" customHeight="1" x14ac:dyDescent="0.25">
      <c r="B40" s="46" t="s">
        <v>67</v>
      </c>
      <c r="C40" s="50">
        <v>68</v>
      </c>
      <c r="D40" s="50">
        <v>18</v>
      </c>
      <c r="E40" s="50">
        <v>14</v>
      </c>
      <c r="F40" s="50">
        <v>19</v>
      </c>
      <c r="G40" s="50">
        <v>0</v>
      </c>
      <c r="H40" s="50">
        <v>0</v>
      </c>
      <c r="I40" s="50">
        <v>9</v>
      </c>
      <c r="J40" s="50">
        <v>11</v>
      </c>
      <c r="K40" s="50">
        <v>4</v>
      </c>
      <c r="L40" s="50">
        <v>5</v>
      </c>
      <c r="M40" s="50">
        <v>119</v>
      </c>
      <c r="N40" s="50">
        <v>0</v>
      </c>
      <c r="O40" s="15">
        <f t="shared" si="0"/>
        <v>148</v>
      </c>
      <c r="P40" s="15">
        <f t="shared" si="1"/>
        <v>267</v>
      </c>
      <c r="R40" s="5" t="s">
        <v>17</v>
      </c>
      <c r="S40" s="16">
        <f t="shared" ref="S40:AF40" si="32">SUM(S10:S21)</f>
        <v>3877</v>
      </c>
      <c r="T40" s="16">
        <f t="shared" si="32"/>
        <v>676</v>
      </c>
      <c r="U40" s="16">
        <f t="shared" si="32"/>
        <v>415</v>
      </c>
      <c r="V40" s="16">
        <f t="shared" si="32"/>
        <v>1324</v>
      </c>
      <c r="W40" s="16">
        <f t="shared" si="32"/>
        <v>62</v>
      </c>
      <c r="X40" s="16">
        <f t="shared" si="32"/>
        <v>14</v>
      </c>
      <c r="Y40" s="16">
        <f t="shared" si="32"/>
        <v>532</v>
      </c>
      <c r="Z40" s="16">
        <f t="shared" si="32"/>
        <v>453</v>
      </c>
      <c r="AA40" s="16">
        <f t="shared" si="32"/>
        <v>183</v>
      </c>
      <c r="AB40" s="16">
        <f t="shared" si="32"/>
        <v>196</v>
      </c>
      <c r="AC40" s="16">
        <f t="shared" si="32"/>
        <v>5841</v>
      </c>
      <c r="AD40" s="16">
        <f t="shared" si="32"/>
        <v>0</v>
      </c>
      <c r="AE40" s="32">
        <f t="shared" si="32"/>
        <v>7732</v>
      </c>
      <c r="AF40" s="32">
        <f t="shared" si="32"/>
        <v>13573</v>
      </c>
    </row>
    <row r="41" spans="2:32" ht="23.1" customHeight="1" x14ac:dyDescent="0.25">
      <c r="B41" s="45" t="s">
        <v>68</v>
      </c>
      <c r="C41" s="50">
        <v>76</v>
      </c>
      <c r="D41" s="50">
        <v>19</v>
      </c>
      <c r="E41" s="50">
        <v>8</v>
      </c>
      <c r="F41" s="50">
        <v>26</v>
      </c>
      <c r="G41" s="50">
        <v>2</v>
      </c>
      <c r="H41" s="50">
        <v>0</v>
      </c>
      <c r="I41" s="50">
        <v>7</v>
      </c>
      <c r="J41" s="50">
        <v>5</v>
      </c>
      <c r="K41" s="50">
        <v>7</v>
      </c>
      <c r="L41" s="50">
        <v>4</v>
      </c>
      <c r="M41" s="50">
        <v>100</v>
      </c>
      <c r="N41" s="50">
        <v>0</v>
      </c>
      <c r="O41" s="15">
        <f t="shared" si="0"/>
        <v>154</v>
      </c>
      <c r="P41" s="15">
        <f t="shared" si="1"/>
        <v>254</v>
      </c>
      <c r="R41" s="5" t="s">
        <v>159</v>
      </c>
      <c r="S41" s="16">
        <f>SUM(S10:S33)</f>
        <v>5478</v>
      </c>
      <c r="T41" s="16">
        <f t="shared" ref="T41:AF41" si="33">SUM(T10:T33)</f>
        <v>876</v>
      </c>
      <c r="U41" s="16">
        <f t="shared" si="33"/>
        <v>712</v>
      </c>
      <c r="V41" s="16">
        <f t="shared" si="33"/>
        <v>1913</v>
      </c>
      <c r="W41" s="16">
        <f t="shared" si="33"/>
        <v>116</v>
      </c>
      <c r="X41" s="16">
        <f t="shared" si="33"/>
        <v>39</v>
      </c>
      <c r="Y41" s="16">
        <f t="shared" si="33"/>
        <v>867</v>
      </c>
      <c r="Z41" s="16">
        <f t="shared" si="33"/>
        <v>685</v>
      </c>
      <c r="AA41" s="16">
        <f t="shared" si="33"/>
        <v>319</v>
      </c>
      <c r="AB41" s="16">
        <f t="shared" si="33"/>
        <v>363</v>
      </c>
      <c r="AC41" s="16">
        <f t="shared" si="33"/>
        <v>7691</v>
      </c>
      <c r="AD41" s="16">
        <f t="shared" si="33"/>
        <v>0</v>
      </c>
      <c r="AE41" s="32">
        <f t="shared" si="33"/>
        <v>11368</v>
      </c>
      <c r="AF41" s="32">
        <f t="shared" si="33"/>
        <v>19059</v>
      </c>
    </row>
    <row r="42" spans="2:32" ht="23.1" customHeight="1" x14ac:dyDescent="0.25">
      <c r="B42" s="46" t="s">
        <v>69</v>
      </c>
      <c r="C42" s="50">
        <v>64</v>
      </c>
      <c r="D42" s="50">
        <v>13</v>
      </c>
      <c r="E42" s="50">
        <v>9</v>
      </c>
      <c r="F42" s="50">
        <v>28</v>
      </c>
      <c r="G42" s="50">
        <v>1</v>
      </c>
      <c r="H42" s="50">
        <v>1</v>
      </c>
      <c r="I42" s="50">
        <v>18</v>
      </c>
      <c r="J42" s="50">
        <v>10</v>
      </c>
      <c r="K42" s="50">
        <v>7</v>
      </c>
      <c r="L42" s="50">
        <v>6</v>
      </c>
      <c r="M42" s="50">
        <v>98</v>
      </c>
      <c r="N42" s="50">
        <v>0</v>
      </c>
      <c r="O42" s="15">
        <f t="shared" si="0"/>
        <v>157</v>
      </c>
      <c r="P42" s="15">
        <f t="shared" si="1"/>
        <v>255</v>
      </c>
      <c r="R42" s="5" t="s">
        <v>160</v>
      </c>
      <c r="S42" s="48">
        <f>S41/S40</f>
        <v>1.4129481557905597</v>
      </c>
      <c r="T42" s="48">
        <f t="shared" ref="T42:AF42" si="34">T41/T40</f>
        <v>1.2958579881656804</v>
      </c>
      <c r="U42" s="48">
        <f t="shared" si="34"/>
        <v>1.7156626506024097</v>
      </c>
      <c r="V42" s="48">
        <f t="shared" si="34"/>
        <v>1.4448640483383686</v>
      </c>
      <c r="W42" s="48">
        <f t="shared" si="34"/>
        <v>1.8709677419354838</v>
      </c>
      <c r="X42" s="48">
        <f t="shared" si="34"/>
        <v>2.7857142857142856</v>
      </c>
      <c r="Y42" s="48">
        <f t="shared" si="34"/>
        <v>1.6296992481203008</v>
      </c>
      <c r="Z42" s="48">
        <f t="shared" si="34"/>
        <v>1.5121412803532008</v>
      </c>
      <c r="AA42" s="48">
        <f t="shared" si="34"/>
        <v>1.7431693989071038</v>
      </c>
      <c r="AB42" s="48">
        <f t="shared" si="34"/>
        <v>1.8520408163265305</v>
      </c>
      <c r="AC42" s="48">
        <f t="shared" si="34"/>
        <v>1.3167265879130285</v>
      </c>
      <c r="AD42" s="48" t="e">
        <f t="shared" si="34"/>
        <v>#DIV/0!</v>
      </c>
      <c r="AE42" s="48">
        <f t="shared" si="34"/>
        <v>1.4702534919813761</v>
      </c>
      <c r="AF42" s="48">
        <f t="shared" si="34"/>
        <v>1.4041847786045827</v>
      </c>
    </row>
    <row r="43" spans="2:32" ht="23.1" customHeight="1" x14ac:dyDescent="0.25">
      <c r="B43" s="45" t="s">
        <v>70</v>
      </c>
      <c r="C43" s="50">
        <v>76</v>
      </c>
      <c r="D43" s="50">
        <v>17</v>
      </c>
      <c r="E43" s="50">
        <v>17</v>
      </c>
      <c r="F43" s="50">
        <v>27</v>
      </c>
      <c r="G43" s="50">
        <v>0</v>
      </c>
      <c r="H43" s="50">
        <v>0</v>
      </c>
      <c r="I43" s="50">
        <v>6</v>
      </c>
      <c r="J43" s="50">
        <v>5</v>
      </c>
      <c r="K43" s="50">
        <v>21</v>
      </c>
      <c r="L43" s="50">
        <v>5</v>
      </c>
      <c r="M43" s="50">
        <v>129</v>
      </c>
      <c r="N43" s="50">
        <v>0</v>
      </c>
      <c r="O43" s="15">
        <f t="shared" si="0"/>
        <v>174</v>
      </c>
      <c r="P43" s="15">
        <f t="shared" si="1"/>
        <v>303</v>
      </c>
    </row>
    <row r="44" spans="2:32" ht="23.1" customHeight="1" x14ac:dyDescent="0.25">
      <c r="B44" s="47" t="s">
        <v>71</v>
      </c>
      <c r="C44" s="50">
        <v>88</v>
      </c>
      <c r="D44" s="50">
        <v>21</v>
      </c>
      <c r="E44" s="50">
        <v>10</v>
      </c>
      <c r="F44" s="50">
        <v>21</v>
      </c>
      <c r="G44" s="50">
        <v>0</v>
      </c>
      <c r="H44" s="50">
        <v>0</v>
      </c>
      <c r="I44" s="50">
        <v>11</v>
      </c>
      <c r="J44" s="50">
        <v>6</v>
      </c>
      <c r="K44" s="50">
        <v>8</v>
      </c>
      <c r="L44" s="50">
        <v>5</v>
      </c>
      <c r="M44" s="50">
        <v>121</v>
      </c>
      <c r="N44" s="50">
        <v>0</v>
      </c>
      <c r="O44" s="15">
        <f t="shared" si="0"/>
        <v>170</v>
      </c>
      <c r="P44" s="15">
        <f t="shared" si="1"/>
        <v>291</v>
      </c>
    </row>
    <row r="45" spans="2:32" ht="23.1" customHeight="1" x14ac:dyDescent="0.25">
      <c r="B45" s="45" t="s">
        <v>72</v>
      </c>
      <c r="C45" s="50">
        <v>98</v>
      </c>
      <c r="D45" s="50">
        <v>22</v>
      </c>
      <c r="E45" s="50">
        <v>11</v>
      </c>
      <c r="F45" s="50">
        <v>24</v>
      </c>
      <c r="G45" s="50">
        <v>1</v>
      </c>
      <c r="H45" s="50">
        <v>0</v>
      </c>
      <c r="I45" s="50">
        <v>8</v>
      </c>
      <c r="J45" s="50">
        <v>10</v>
      </c>
      <c r="K45" s="50">
        <v>5</v>
      </c>
      <c r="L45" s="50">
        <v>4</v>
      </c>
      <c r="M45" s="50">
        <v>88</v>
      </c>
      <c r="N45" s="50">
        <v>0</v>
      </c>
      <c r="O45" s="15">
        <f t="shared" si="0"/>
        <v>183</v>
      </c>
      <c r="P45" s="15">
        <f t="shared" si="1"/>
        <v>271</v>
      </c>
    </row>
    <row r="46" spans="2:32" ht="23.1" customHeight="1" x14ac:dyDescent="0.25">
      <c r="B46" s="46" t="s">
        <v>73</v>
      </c>
      <c r="C46" s="50">
        <v>68</v>
      </c>
      <c r="D46" s="50">
        <v>7</v>
      </c>
      <c r="E46" s="50">
        <v>10</v>
      </c>
      <c r="F46" s="50">
        <v>18</v>
      </c>
      <c r="G46" s="50">
        <v>1</v>
      </c>
      <c r="H46" s="50">
        <v>0</v>
      </c>
      <c r="I46" s="50">
        <v>11</v>
      </c>
      <c r="J46" s="50">
        <v>3</v>
      </c>
      <c r="K46" s="50">
        <v>6</v>
      </c>
      <c r="L46" s="50">
        <v>6</v>
      </c>
      <c r="M46" s="50">
        <v>95</v>
      </c>
      <c r="N46" s="50">
        <v>0</v>
      </c>
      <c r="O46" s="15">
        <f t="shared" si="0"/>
        <v>130</v>
      </c>
      <c r="P46" s="15">
        <f t="shared" si="1"/>
        <v>225</v>
      </c>
      <c r="R46" s="8"/>
      <c r="T46"/>
    </row>
    <row r="47" spans="2:32" ht="23.1" customHeight="1" x14ac:dyDescent="0.25">
      <c r="B47" s="46" t="s">
        <v>74</v>
      </c>
      <c r="C47" s="50">
        <v>100</v>
      </c>
      <c r="D47" s="50">
        <v>23</v>
      </c>
      <c r="E47" s="50">
        <v>12</v>
      </c>
      <c r="F47" s="50">
        <v>22</v>
      </c>
      <c r="G47" s="50">
        <v>1</v>
      </c>
      <c r="H47" s="50">
        <v>0</v>
      </c>
      <c r="I47" s="50">
        <v>16</v>
      </c>
      <c r="J47" s="50">
        <v>12</v>
      </c>
      <c r="K47" s="50">
        <v>2</v>
      </c>
      <c r="L47" s="50">
        <v>5</v>
      </c>
      <c r="M47" s="50">
        <v>96</v>
      </c>
      <c r="N47" s="50">
        <v>0</v>
      </c>
      <c r="O47" s="15">
        <f t="shared" si="0"/>
        <v>193</v>
      </c>
      <c r="P47" s="15">
        <f t="shared" si="1"/>
        <v>289</v>
      </c>
      <c r="R47" s="8"/>
      <c r="T47"/>
    </row>
    <row r="48" spans="2:32" ht="23.1" customHeight="1" x14ac:dyDescent="0.25">
      <c r="B48" s="46" t="s">
        <v>75</v>
      </c>
      <c r="C48" s="50">
        <v>95</v>
      </c>
      <c r="D48" s="50">
        <v>23</v>
      </c>
      <c r="E48" s="50">
        <v>7</v>
      </c>
      <c r="F48" s="50">
        <v>31</v>
      </c>
      <c r="G48" s="50">
        <v>0</v>
      </c>
      <c r="H48" s="50">
        <v>1</v>
      </c>
      <c r="I48" s="50">
        <v>8</v>
      </c>
      <c r="J48" s="50">
        <v>10</v>
      </c>
      <c r="K48" s="50">
        <v>4</v>
      </c>
      <c r="L48" s="50">
        <v>6</v>
      </c>
      <c r="M48" s="50">
        <v>97</v>
      </c>
      <c r="N48" s="50">
        <v>0</v>
      </c>
      <c r="O48" s="15">
        <f t="shared" si="0"/>
        <v>185</v>
      </c>
      <c r="P48" s="15">
        <f t="shared" si="1"/>
        <v>282</v>
      </c>
      <c r="R48" s="8"/>
      <c r="T48"/>
    </row>
    <row r="49" spans="2:20" ht="23.1" customHeight="1" x14ac:dyDescent="0.25">
      <c r="B49" s="45" t="s">
        <v>76</v>
      </c>
      <c r="C49" s="50">
        <v>91</v>
      </c>
      <c r="D49" s="50">
        <v>19</v>
      </c>
      <c r="E49" s="50">
        <v>9</v>
      </c>
      <c r="F49" s="50">
        <v>28</v>
      </c>
      <c r="G49" s="50">
        <v>0</v>
      </c>
      <c r="H49" s="50">
        <v>0</v>
      </c>
      <c r="I49" s="50">
        <v>15</v>
      </c>
      <c r="J49" s="50">
        <v>11</v>
      </c>
      <c r="K49" s="50">
        <v>4</v>
      </c>
      <c r="L49" s="50">
        <v>6</v>
      </c>
      <c r="M49" s="50">
        <v>74</v>
      </c>
      <c r="N49" s="50">
        <v>0</v>
      </c>
      <c r="O49" s="15">
        <f t="shared" si="0"/>
        <v>183</v>
      </c>
      <c r="P49" s="15">
        <f t="shared" si="1"/>
        <v>257</v>
      </c>
      <c r="R49" s="8"/>
      <c r="T49"/>
    </row>
    <row r="50" spans="2:20" ht="23.1" customHeight="1" x14ac:dyDescent="0.25">
      <c r="B50" s="46" t="s">
        <v>77</v>
      </c>
      <c r="C50" s="50">
        <v>79</v>
      </c>
      <c r="D50" s="50">
        <v>16</v>
      </c>
      <c r="E50" s="50">
        <v>8</v>
      </c>
      <c r="F50" s="50">
        <v>17</v>
      </c>
      <c r="G50" s="50">
        <v>2</v>
      </c>
      <c r="H50" s="50">
        <v>0</v>
      </c>
      <c r="I50" s="50">
        <v>10</v>
      </c>
      <c r="J50" s="50">
        <v>15</v>
      </c>
      <c r="K50" s="50">
        <v>7</v>
      </c>
      <c r="L50" s="50">
        <v>9</v>
      </c>
      <c r="M50" s="50">
        <v>110</v>
      </c>
      <c r="N50" s="50">
        <v>0</v>
      </c>
      <c r="O50" s="15">
        <f t="shared" si="0"/>
        <v>163</v>
      </c>
      <c r="P50" s="15">
        <f t="shared" si="1"/>
        <v>273</v>
      </c>
      <c r="R50" s="8"/>
      <c r="T50"/>
    </row>
    <row r="51" spans="2:20" ht="23.1" customHeight="1" x14ac:dyDescent="0.25">
      <c r="B51" s="46" t="s">
        <v>78</v>
      </c>
      <c r="C51" s="50">
        <v>67</v>
      </c>
      <c r="D51" s="50">
        <v>15</v>
      </c>
      <c r="E51" s="50">
        <v>9</v>
      </c>
      <c r="F51" s="50">
        <v>25</v>
      </c>
      <c r="G51" s="50">
        <v>1</v>
      </c>
      <c r="H51" s="50">
        <v>0</v>
      </c>
      <c r="I51" s="50">
        <v>15</v>
      </c>
      <c r="J51" s="50">
        <v>7</v>
      </c>
      <c r="K51" s="50">
        <v>4</v>
      </c>
      <c r="L51" s="50">
        <v>5</v>
      </c>
      <c r="M51" s="50">
        <v>107</v>
      </c>
      <c r="N51" s="50">
        <v>0</v>
      </c>
      <c r="O51" s="15">
        <f t="shared" si="0"/>
        <v>148</v>
      </c>
      <c r="P51" s="15">
        <f t="shared" si="1"/>
        <v>255</v>
      </c>
      <c r="R51" s="8"/>
      <c r="T51"/>
    </row>
    <row r="52" spans="2:20" ht="23.1" customHeight="1" x14ac:dyDescent="0.25">
      <c r="B52" s="46" t="s">
        <v>79</v>
      </c>
      <c r="C52" s="50">
        <v>83</v>
      </c>
      <c r="D52" s="50">
        <v>12</v>
      </c>
      <c r="E52" s="50">
        <v>6</v>
      </c>
      <c r="F52" s="50">
        <v>29</v>
      </c>
      <c r="G52" s="50">
        <v>2</v>
      </c>
      <c r="H52" s="50">
        <v>0</v>
      </c>
      <c r="I52" s="50">
        <v>11</v>
      </c>
      <c r="J52" s="50">
        <v>12</v>
      </c>
      <c r="K52" s="50">
        <v>2</v>
      </c>
      <c r="L52" s="50">
        <v>6</v>
      </c>
      <c r="M52" s="50">
        <v>107</v>
      </c>
      <c r="N52" s="50">
        <v>0</v>
      </c>
      <c r="O52" s="15">
        <f t="shared" si="0"/>
        <v>163</v>
      </c>
      <c r="P52" s="15">
        <f t="shared" si="1"/>
        <v>270</v>
      </c>
      <c r="R52" s="8"/>
      <c r="T52"/>
    </row>
    <row r="53" spans="2:20" ht="23.1" customHeight="1" x14ac:dyDescent="0.25">
      <c r="B53" s="45" t="s">
        <v>80</v>
      </c>
      <c r="C53" s="50">
        <v>101</v>
      </c>
      <c r="D53" s="50">
        <v>15</v>
      </c>
      <c r="E53" s="50">
        <v>5</v>
      </c>
      <c r="F53" s="50">
        <v>31</v>
      </c>
      <c r="G53" s="50">
        <v>0</v>
      </c>
      <c r="H53" s="50">
        <v>1</v>
      </c>
      <c r="I53" s="50">
        <v>15</v>
      </c>
      <c r="J53" s="50">
        <v>8</v>
      </c>
      <c r="K53" s="50">
        <v>3</v>
      </c>
      <c r="L53" s="50">
        <v>3</v>
      </c>
      <c r="M53" s="50">
        <v>112</v>
      </c>
      <c r="N53" s="50">
        <v>0</v>
      </c>
      <c r="O53" s="15">
        <f t="shared" si="0"/>
        <v>182</v>
      </c>
      <c r="P53" s="15">
        <f t="shared" si="1"/>
        <v>294</v>
      </c>
      <c r="R53" s="8"/>
      <c r="T53"/>
    </row>
    <row r="54" spans="2:20" ht="23.1" customHeight="1" x14ac:dyDescent="0.25">
      <c r="B54" s="45" t="s">
        <v>81</v>
      </c>
      <c r="C54" s="50">
        <v>16</v>
      </c>
      <c r="D54" s="50">
        <v>21</v>
      </c>
      <c r="E54" s="50">
        <v>13</v>
      </c>
      <c r="F54" s="50">
        <v>38</v>
      </c>
      <c r="G54" s="50">
        <v>3</v>
      </c>
      <c r="H54" s="50">
        <v>1</v>
      </c>
      <c r="I54" s="50">
        <v>10</v>
      </c>
      <c r="J54" s="50">
        <v>7</v>
      </c>
      <c r="K54" s="50">
        <v>4</v>
      </c>
      <c r="L54" s="50">
        <v>2</v>
      </c>
      <c r="M54" s="50">
        <v>120</v>
      </c>
      <c r="N54" s="50">
        <v>0</v>
      </c>
      <c r="O54" s="15">
        <f t="shared" si="0"/>
        <v>115</v>
      </c>
      <c r="P54" s="15">
        <f t="shared" si="1"/>
        <v>235</v>
      </c>
      <c r="R54" s="8"/>
      <c r="T54"/>
    </row>
    <row r="55" spans="2:20" ht="23.1" customHeight="1" x14ac:dyDescent="0.25">
      <c r="B55" s="45" t="s">
        <v>82</v>
      </c>
      <c r="C55" s="50">
        <v>54</v>
      </c>
      <c r="D55" s="50">
        <v>16</v>
      </c>
      <c r="E55" s="50">
        <v>12</v>
      </c>
      <c r="F55" s="50">
        <v>40</v>
      </c>
      <c r="G55" s="50">
        <v>2</v>
      </c>
      <c r="H55" s="50">
        <v>0</v>
      </c>
      <c r="I55" s="50">
        <v>10</v>
      </c>
      <c r="J55" s="50">
        <v>3</v>
      </c>
      <c r="K55" s="50">
        <v>2</v>
      </c>
      <c r="L55" s="50">
        <v>3</v>
      </c>
      <c r="M55" s="50">
        <v>96</v>
      </c>
      <c r="N55" s="50">
        <v>0</v>
      </c>
      <c r="O55" s="15">
        <f t="shared" si="0"/>
        <v>142</v>
      </c>
      <c r="P55" s="15">
        <f t="shared" si="1"/>
        <v>238</v>
      </c>
      <c r="R55" s="8"/>
      <c r="T55"/>
    </row>
    <row r="56" spans="2:20" ht="23.1" customHeight="1" x14ac:dyDescent="0.25">
      <c r="B56" s="45" t="s">
        <v>83</v>
      </c>
      <c r="C56" s="50">
        <v>88</v>
      </c>
      <c r="D56" s="50">
        <v>14</v>
      </c>
      <c r="E56" s="50">
        <v>6</v>
      </c>
      <c r="F56" s="50">
        <v>31</v>
      </c>
      <c r="G56" s="50">
        <v>2</v>
      </c>
      <c r="H56" s="50">
        <v>0</v>
      </c>
      <c r="I56" s="50">
        <v>4</v>
      </c>
      <c r="J56" s="50">
        <v>4</v>
      </c>
      <c r="K56" s="50">
        <v>1</v>
      </c>
      <c r="L56" s="50">
        <v>4</v>
      </c>
      <c r="M56" s="50">
        <v>121</v>
      </c>
      <c r="N56" s="50">
        <v>0</v>
      </c>
      <c r="O56" s="15">
        <f t="shared" si="0"/>
        <v>154</v>
      </c>
      <c r="P56" s="15">
        <f t="shared" si="1"/>
        <v>275</v>
      </c>
      <c r="R56" s="8"/>
      <c r="T56"/>
    </row>
    <row r="57" spans="2:20" ht="23.1" customHeight="1" x14ac:dyDescent="0.25">
      <c r="B57" s="45" t="s">
        <v>84</v>
      </c>
      <c r="C57" s="50">
        <v>72</v>
      </c>
      <c r="D57" s="50">
        <v>11</v>
      </c>
      <c r="E57" s="50">
        <v>10</v>
      </c>
      <c r="F57" s="50">
        <v>36</v>
      </c>
      <c r="G57" s="50">
        <v>1</v>
      </c>
      <c r="H57" s="50">
        <v>0</v>
      </c>
      <c r="I57" s="50">
        <v>7</v>
      </c>
      <c r="J57" s="50">
        <v>6</v>
      </c>
      <c r="K57" s="50">
        <v>0</v>
      </c>
      <c r="L57" s="50">
        <v>2</v>
      </c>
      <c r="M57" s="50">
        <v>115</v>
      </c>
      <c r="N57" s="50">
        <v>0</v>
      </c>
      <c r="O57" s="15">
        <f t="shared" si="0"/>
        <v>145</v>
      </c>
      <c r="P57" s="15">
        <f t="shared" si="1"/>
        <v>260</v>
      </c>
      <c r="R57" s="8"/>
      <c r="T57"/>
    </row>
    <row r="58" spans="2:20" ht="23.1" customHeight="1" x14ac:dyDescent="0.25">
      <c r="B58" s="45" t="s">
        <v>99</v>
      </c>
      <c r="C58" s="50">
        <v>68</v>
      </c>
      <c r="D58" s="50">
        <v>5</v>
      </c>
      <c r="E58" s="50">
        <v>5</v>
      </c>
      <c r="F58" s="50">
        <v>11</v>
      </c>
      <c r="G58" s="50">
        <v>2</v>
      </c>
      <c r="H58" s="50">
        <v>1</v>
      </c>
      <c r="I58" s="50">
        <v>5</v>
      </c>
      <c r="J58" s="50">
        <v>0</v>
      </c>
      <c r="K58" s="50">
        <v>1</v>
      </c>
      <c r="L58" s="50">
        <v>5</v>
      </c>
      <c r="M58" s="50">
        <v>90</v>
      </c>
      <c r="N58" s="50">
        <v>0</v>
      </c>
      <c r="O58" s="15">
        <f t="shared" si="0"/>
        <v>103</v>
      </c>
      <c r="P58" s="15">
        <f t="shared" si="1"/>
        <v>193</v>
      </c>
      <c r="R58" s="8"/>
      <c r="T58"/>
    </row>
    <row r="59" spans="2:20" ht="23.1" customHeight="1" x14ac:dyDescent="0.25">
      <c r="B59" s="45" t="s">
        <v>100</v>
      </c>
      <c r="C59" s="50">
        <v>70</v>
      </c>
      <c r="D59" s="50">
        <v>21</v>
      </c>
      <c r="E59" s="50">
        <v>14</v>
      </c>
      <c r="F59" s="50">
        <v>35</v>
      </c>
      <c r="G59" s="50">
        <v>1</v>
      </c>
      <c r="H59" s="50">
        <v>1</v>
      </c>
      <c r="I59" s="50">
        <v>14</v>
      </c>
      <c r="J59" s="50">
        <v>7</v>
      </c>
      <c r="K59" s="50">
        <v>9</v>
      </c>
      <c r="L59" s="50">
        <v>10</v>
      </c>
      <c r="M59" s="50">
        <v>105</v>
      </c>
      <c r="N59" s="50">
        <v>0</v>
      </c>
      <c r="O59" s="15">
        <f t="shared" si="0"/>
        <v>182</v>
      </c>
      <c r="P59" s="15">
        <f t="shared" si="1"/>
        <v>287</v>
      </c>
      <c r="R59" s="8"/>
      <c r="T59"/>
    </row>
    <row r="60" spans="2:20" ht="23.1" customHeight="1" x14ac:dyDescent="0.25">
      <c r="B60" s="45" t="s">
        <v>101</v>
      </c>
      <c r="C60" s="50">
        <v>85</v>
      </c>
      <c r="D60" s="50">
        <v>9</v>
      </c>
      <c r="E60" s="50">
        <v>11</v>
      </c>
      <c r="F60" s="50">
        <v>30</v>
      </c>
      <c r="G60" s="50">
        <v>1</v>
      </c>
      <c r="H60" s="50">
        <v>0</v>
      </c>
      <c r="I60" s="50">
        <v>8</v>
      </c>
      <c r="J60" s="50">
        <v>8</v>
      </c>
      <c r="K60" s="50">
        <v>2</v>
      </c>
      <c r="L60" s="50">
        <v>8</v>
      </c>
      <c r="M60" s="50">
        <v>95</v>
      </c>
      <c r="N60" s="50">
        <v>0</v>
      </c>
      <c r="O60" s="15">
        <f t="shared" si="0"/>
        <v>162</v>
      </c>
      <c r="P60" s="15">
        <f t="shared" si="1"/>
        <v>257</v>
      </c>
      <c r="R60" s="8"/>
      <c r="T60"/>
    </row>
    <row r="61" spans="2:20" ht="23.1" customHeight="1" x14ac:dyDescent="0.25">
      <c r="B61" s="45" t="s">
        <v>102</v>
      </c>
      <c r="C61" s="50">
        <v>34</v>
      </c>
      <c r="D61" s="50">
        <v>1</v>
      </c>
      <c r="E61" s="50">
        <v>11</v>
      </c>
      <c r="F61" s="50">
        <v>12</v>
      </c>
      <c r="G61" s="50">
        <v>2</v>
      </c>
      <c r="H61" s="50">
        <v>0</v>
      </c>
      <c r="I61" s="50">
        <v>8</v>
      </c>
      <c r="J61" s="50">
        <v>2</v>
      </c>
      <c r="K61" s="50">
        <v>1</v>
      </c>
      <c r="L61" s="50">
        <v>6</v>
      </c>
      <c r="M61" s="50">
        <v>95</v>
      </c>
      <c r="N61" s="50">
        <v>0</v>
      </c>
      <c r="O61" s="15">
        <f t="shared" si="0"/>
        <v>77</v>
      </c>
      <c r="P61" s="15">
        <f t="shared" si="1"/>
        <v>172</v>
      </c>
      <c r="R61" s="8"/>
      <c r="T61"/>
    </row>
    <row r="62" spans="2:20" ht="23.1" customHeight="1" x14ac:dyDescent="0.25">
      <c r="B62" s="45" t="s">
        <v>107</v>
      </c>
      <c r="C62" s="50">
        <v>93</v>
      </c>
      <c r="D62" s="50">
        <v>4</v>
      </c>
      <c r="E62" s="50">
        <v>11</v>
      </c>
      <c r="F62" s="50">
        <v>34</v>
      </c>
      <c r="G62" s="50">
        <v>6</v>
      </c>
      <c r="H62" s="50">
        <v>2</v>
      </c>
      <c r="I62" s="50">
        <v>9</v>
      </c>
      <c r="J62" s="50">
        <v>4</v>
      </c>
      <c r="K62" s="50">
        <v>2</v>
      </c>
      <c r="L62" s="50">
        <v>4</v>
      </c>
      <c r="M62" s="50">
        <v>113</v>
      </c>
      <c r="N62" s="50">
        <v>0</v>
      </c>
      <c r="O62" s="15">
        <f t="shared" si="0"/>
        <v>169</v>
      </c>
      <c r="P62" s="15">
        <f t="shared" si="1"/>
        <v>282</v>
      </c>
      <c r="R62" s="8"/>
      <c r="T62"/>
    </row>
    <row r="63" spans="2:20" ht="23.1" customHeight="1" x14ac:dyDescent="0.25">
      <c r="B63" s="45" t="s">
        <v>108</v>
      </c>
      <c r="C63" s="50">
        <v>100</v>
      </c>
      <c r="D63" s="50">
        <v>9</v>
      </c>
      <c r="E63" s="50">
        <v>18</v>
      </c>
      <c r="F63" s="50">
        <v>30</v>
      </c>
      <c r="G63" s="50">
        <v>1</v>
      </c>
      <c r="H63" s="50">
        <v>2</v>
      </c>
      <c r="I63" s="50">
        <v>6</v>
      </c>
      <c r="J63" s="50">
        <v>1</v>
      </c>
      <c r="K63" s="50">
        <v>5</v>
      </c>
      <c r="L63" s="50">
        <v>10</v>
      </c>
      <c r="M63" s="50">
        <v>120</v>
      </c>
      <c r="N63" s="50">
        <v>0</v>
      </c>
      <c r="O63" s="15">
        <f t="shared" si="0"/>
        <v>182</v>
      </c>
      <c r="P63" s="15">
        <f t="shared" si="1"/>
        <v>302</v>
      </c>
      <c r="R63" s="8"/>
      <c r="T63"/>
    </row>
    <row r="64" spans="2:20" ht="23.1" customHeight="1" x14ac:dyDescent="0.25">
      <c r="B64" s="45" t="s">
        <v>109</v>
      </c>
      <c r="C64" s="50">
        <v>80</v>
      </c>
      <c r="D64" s="50">
        <v>14</v>
      </c>
      <c r="E64" s="50">
        <v>12</v>
      </c>
      <c r="F64" s="50">
        <v>35</v>
      </c>
      <c r="G64" s="50">
        <v>4</v>
      </c>
      <c r="H64" s="50">
        <v>0</v>
      </c>
      <c r="I64" s="50">
        <v>7</v>
      </c>
      <c r="J64" s="50">
        <v>2</v>
      </c>
      <c r="K64" s="50">
        <v>3</v>
      </c>
      <c r="L64" s="50">
        <v>8</v>
      </c>
      <c r="M64" s="50">
        <v>100</v>
      </c>
      <c r="N64" s="50">
        <v>0</v>
      </c>
      <c r="O64" s="15">
        <f t="shared" si="0"/>
        <v>165</v>
      </c>
      <c r="P64" s="15">
        <f t="shared" si="1"/>
        <v>265</v>
      </c>
      <c r="R64" s="8"/>
      <c r="T64"/>
    </row>
    <row r="65" spans="2:20" ht="23.1" customHeight="1" x14ac:dyDescent="0.25">
      <c r="B65" s="45" t="s">
        <v>158</v>
      </c>
      <c r="C65" s="50">
        <v>90</v>
      </c>
      <c r="D65" s="50">
        <v>22</v>
      </c>
      <c r="E65" s="50">
        <v>14</v>
      </c>
      <c r="F65" s="50">
        <v>40</v>
      </c>
      <c r="G65" s="50">
        <v>0</v>
      </c>
      <c r="H65" s="50">
        <v>0</v>
      </c>
      <c r="I65" s="50">
        <v>14</v>
      </c>
      <c r="J65" s="50">
        <v>6</v>
      </c>
      <c r="K65" s="50">
        <v>4</v>
      </c>
      <c r="L65" s="50">
        <v>8</v>
      </c>
      <c r="M65" s="50">
        <v>80</v>
      </c>
      <c r="N65" s="50">
        <v>0</v>
      </c>
      <c r="O65" s="15">
        <f t="shared" si="0"/>
        <v>198</v>
      </c>
      <c r="P65" s="15">
        <f t="shared" si="1"/>
        <v>278</v>
      </c>
      <c r="R65" s="8"/>
      <c r="T65"/>
    </row>
    <row r="66" spans="2:20" ht="23.1" customHeight="1" x14ac:dyDescent="0.25">
      <c r="B66" s="45" t="s">
        <v>103</v>
      </c>
      <c r="C66" s="50">
        <v>78</v>
      </c>
      <c r="D66" s="50">
        <v>0</v>
      </c>
      <c r="E66" s="50">
        <v>7</v>
      </c>
      <c r="F66" s="50">
        <v>22</v>
      </c>
      <c r="G66" s="50">
        <v>3</v>
      </c>
      <c r="H66" s="50">
        <v>1</v>
      </c>
      <c r="I66" s="50">
        <v>7</v>
      </c>
      <c r="J66" s="50">
        <v>4</v>
      </c>
      <c r="K66" s="50">
        <v>2</v>
      </c>
      <c r="L66" s="50">
        <v>7</v>
      </c>
      <c r="M66" s="50">
        <v>85</v>
      </c>
      <c r="N66" s="50">
        <v>0</v>
      </c>
      <c r="O66" s="15">
        <f t="shared" si="0"/>
        <v>131</v>
      </c>
      <c r="P66" s="15">
        <f t="shared" si="1"/>
        <v>216</v>
      </c>
      <c r="R66" s="8"/>
      <c r="T66"/>
    </row>
    <row r="67" spans="2:20" ht="23.1" customHeight="1" x14ac:dyDescent="0.25">
      <c r="B67" s="45" t="s">
        <v>104</v>
      </c>
      <c r="C67" s="50">
        <v>75</v>
      </c>
      <c r="D67" s="50">
        <v>14</v>
      </c>
      <c r="E67" s="50">
        <v>7</v>
      </c>
      <c r="F67" s="50">
        <v>20</v>
      </c>
      <c r="G67" s="50">
        <v>1</v>
      </c>
      <c r="H67" s="50">
        <v>1</v>
      </c>
      <c r="I67" s="50">
        <v>4</v>
      </c>
      <c r="J67" s="50">
        <v>1</v>
      </c>
      <c r="K67" s="50">
        <v>1</v>
      </c>
      <c r="L67" s="50">
        <v>7</v>
      </c>
      <c r="M67" s="50">
        <v>80</v>
      </c>
      <c r="N67" s="50">
        <v>0</v>
      </c>
      <c r="O67" s="15">
        <f t="shared" si="0"/>
        <v>131</v>
      </c>
      <c r="P67" s="15">
        <f t="shared" si="1"/>
        <v>211</v>
      </c>
      <c r="R67" s="8"/>
      <c r="T67"/>
    </row>
    <row r="68" spans="2:20" ht="23.1" customHeight="1" x14ac:dyDescent="0.25">
      <c r="B68" s="45" t="s">
        <v>105</v>
      </c>
      <c r="C68" s="50">
        <v>65</v>
      </c>
      <c r="D68" s="50">
        <v>9</v>
      </c>
      <c r="E68" s="50">
        <v>18</v>
      </c>
      <c r="F68" s="50">
        <v>28</v>
      </c>
      <c r="G68" s="50">
        <v>1</v>
      </c>
      <c r="H68" s="50">
        <v>0</v>
      </c>
      <c r="I68" s="50">
        <v>3</v>
      </c>
      <c r="J68" s="50">
        <v>5</v>
      </c>
      <c r="K68" s="50">
        <v>3</v>
      </c>
      <c r="L68" s="50">
        <v>2</v>
      </c>
      <c r="M68" s="50">
        <v>74</v>
      </c>
      <c r="N68" s="50">
        <v>0</v>
      </c>
      <c r="O68" s="15">
        <f t="shared" si="0"/>
        <v>134</v>
      </c>
      <c r="P68" s="15">
        <f t="shared" si="1"/>
        <v>208</v>
      </c>
      <c r="R68" s="8"/>
      <c r="T68"/>
    </row>
    <row r="69" spans="2:20" ht="23.1" customHeight="1" x14ac:dyDescent="0.25">
      <c r="B69" s="45" t="s">
        <v>106</v>
      </c>
      <c r="C69" s="50">
        <v>57</v>
      </c>
      <c r="D69" s="50">
        <v>8</v>
      </c>
      <c r="E69" s="50">
        <v>8</v>
      </c>
      <c r="F69" s="50">
        <v>14</v>
      </c>
      <c r="G69" s="50">
        <v>1</v>
      </c>
      <c r="H69" s="50">
        <v>1</v>
      </c>
      <c r="I69" s="50">
        <v>3</v>
      </c>
      <c r="J69" s="50">
        <v>2</v>
      </c>
      <c r="K69" s="50">
        <v>0</v>
      </c>
      <c r="L69" s="50">
        <v>5</v>
      </c>
      <c r="M69" s="50">
        <v>50</v>
      </c>
      <c r="N69" s="50">
        <v>0</v>
      </c>
      <c r="O69" s="15">
        <f t="shared" si="0"/>
        <v>99</v>
      </c>
      <c r="P69" s="15">
        <f t="shared" si="1"/>
        <v>149</v>
      </c>
      <c r="R69" s="8"/>
      <c r="T69"/>
    </row>
    <row r="70" spans="2:20" ht="23.1" customHeight="1" x14ac:dyDescent="0.25">
      <c r="B70" s="45" t="s">
        <v>110</v>
      </c>
      <c r="C70" s="50">
        <v>55</v>
      </c>
      <c r="D70" s="50">
        <v>2</v>
      </c>
      <c r="E70" s="50">
        <v>8</v>
      </c>
      <c r="F70" s="50">
        <v>21</v>
      </c>
      <c r="G70" s="50">
        <v>2</v>
      </c>
      <c r="H70" s="50">
        <v>0</v>
      </c>
      <c r="I70" s="50">
        <v>6</v>
      </c>
      <c r="J70" s="50">
        <v>4</v>
      </c>
      <c r="K70" s="50">
        <v>0</v>
      </c>
      <c r="L70" s="50">
        <v>0</v>
      </c>
      <c r="M70" s="50">
        <v>52</v>
      </c>
      <c r="N70" s="50">
        <v>0</v>
      </c>
      <c r="O70" s="15">
        <f t="shared" si="0"/>
        <v>98</v>
      </c>
      <c r="P70" s="15">
        <f t="shared" si="1"/>
        <v>150</v>
      </c>
      <c r="R70" s="8"/>
      <c r="T70"/>
    </row>
    <row r="71" spans="2:20" ht="23.1" customHeight="1" x14ac:dyDescent="0.25">
      <c r="B71" s="45" t="s">
        <v>111</v>
      </c>
      <c r="C71" s="50">
        <v>41</v>
      </c>
      <c r="D71" s="50">
        <v>1</v>
      </c>
      <c r="E71" s="50">
        <v>6</v>
      </c>
      <c r="F71" s="50">
        <v>11</v>
      </c>
      <c r="G71" s="50">
        <v>2</v>
      </c>
      <c r="H71" s="50">
        <v>2</v>
      </c>
      <c r="I71" s="50">
        <v>4</v>
      </c>
      <c r="J71" s="50">
        <v>2</v>
      </c>
      <c r="K71" s="50">
        <v>0</v>
      </c>
      <c r="L71" s="50">
        <v>6</v>
      </c>
      <c r="M71" s="50">
        <v>51</v>
      </c>
      <c r="N71" s="50">
        <v>0</v>
      </c>
      <c r="O71" s="15">
        <f t="shared" si="0"/>
        <v>75</v>
      </c>
      <c r="P71" s="15">
        <f t="shared" si="1"/>
        <v>126</v>
      </c>
      <c r="R71" s="8"/>
      <c r="T71"/>
    </row>
    <row r="72" spans="2:20" ht="23.1" customHeight="1" x14ac:dyDescent="0.25">
      <c r="B72" s="45" t="s">
        <v>112</v>
      </c>
      <c r="C72" s="50">
        <v>33</v>
      </c>
      <c r="D72" s="50">
        <v>0</v>
      </c>
      <c r="E72" s="50">
        <v>9</v>
      </c>
      <c r="F72" s="50">
        <v>10</v>
      </c>
      <c r="G72" s="50">
        <v>1</v>
      </c>
      <c r="H72" s="50">
        <v>0</v>
      </c>
      <c r="I72" s="50">
        <v>7</v>
      </c>
      <c r="J72" s="50">
        <v>5</v>
      </c>
      <c r="K72" s="50">
        <v>3</v>
      </c>
      <c r="L72" s="50">
        <v>2</v>
      </c>
      <c r="M72" s="50">
        <v>39</v>
      </c>
      <c r="N72" s="50">
        <v>0</v>
      </c>
      <c r="O72" s="15">
        <f t="shared" si="0"/>
        <v>70</v>
      </c>
      <c r="P72" s="15">
        <f t="shared" si="1"/>
        <v>109</v>
      </c>
      <c r="R72" s="8"/>
      <c r="T72"/>
    </row>
    <row r="73" spans="2:20" ht="23.1" customHeight="1" x14ac:dyDescent="0.25">
      <c r="B73" s="45" t="s">
        <v>113</v>
      </c>
      <c r="C73" s="50">
        <v>60</v>
      </c>
      <c r="D73" s="50">
        <v>4</v>
      </c>
      <c r="E73" s="50">
        <v>13</v>
      </c>
      <c r="F73" s="50">
        <v>15</v>
      </c>
      <c r="G73" s="50">
        <v>4</v>
      </c>
      <c r="H73" s="50">
        <v>0</v>
      </c>
      <c r="I73" s="50">
        <v>5</v>
      </c>
      <c r="J73" s="50">
        <v>10</v>
      </c>
      <c r="K73" s="50">
        <v>0</v>
      </c>
      <c r="L73" s="50">
        <v>5</v>
      </c>
      <c r="M73" s="50">
        <v>34</v>
      </c>
      <c r="N73" s="50">
        <v>0</v>
      </c>
      <c r="O73" s="15">
        <f t="shared" si="0"/>
        <v>116</v>
      </c>
      <c r="P73" s="15">
        <f t="shared" si="1"/>
        <v>150</v>
      </c>
      <c r="R73" s="8"/>
      <c r="T73"/>
    </row>
    <row r="74" spans="2:20" ht="23.1" customHeight="1" x14ac:dyDescent="0.25">
      <c r="B74" s="45" t="s">
        <v>114</v>
      </c>
      <c r="C74" s="50">
        <v>33</v>
      </c>
      <c r="D74" s="50">
        <v>1</v>
      </c>
      <c r="E74" s="50">
        <v>5</v>
      </c>
      <c r="F74" s="50">
        <v>8</v>
      </c>
      <c r="G74" s="50">
        <v>1</v>
      </c>
      <c r="H74" s="50">
        <v>0</v>
      </c>
      <c r="I74" s="50">
        <v>1</v>
      </c>
      <c r="J74" s="50">
        <v>2</v>
      </c>
      <c r="K74" s="50">
        <v>2</v>
      </c>
      <c r="L74" s="50">
        <v>0</v>
      </c>
      <c r="M74" s="50">
        <v>36</v>
      </c>
      <c r="N74" s="50">
        <v>0</v>
      </c>
      <c r="O74" s="15">
        <f t="shared" ref="O74:O105" si="35">SUM(C74:L74,N74)</f>
        <v>53</v>
      </c>
      <c r="P74" s="15">
        <f t="shared" ref="P74:P105" si="36">SUM(C74:N74)</f>
        <v>89</v>
      </c>
      <c r="R74" s="8"/>
      <c r="T74"/>
    </row>
    <row r="75" spans="2:20" ht="23.1" customHeight="1" x14ac:dyDescent="0.25">
      <c r="B75" s="45" t="s">
        <v>115</v>
      </c>
      <c r="C75" s="50">
        <v>25</v>
      </c>
      <c r="D75" s="50">
        <v>5</v>
      </c>
      <c r="E75" s="50">
        <v>3</v>
      </c>
      <c r="F75" s="50">
        <v>14</v>
      </c>
      <c r="G75" s="50">
        <v>1</v>
      </c>
      <c r="H75" s="50">
        <v>0</v>
      </c>
      <c r="I75" s="50">
        <v>0</v>
      </c>
      <c r="J75" s="50">
        <v>5</v>
      </c>
      <c r="K75" s="50">
        <v>10</v>
      </c>
      <c r="L75" s="50">
        <v>0</v>
      </c>
      <c r="M75" s="50">
        <v>25</v>
      </c>
      <c r="N75" s="50">
        <v>0</v>
      </c>
      <c r="O75" s="15">
        <f t="shared" si="35"/>
        <v>63</v>
      </c>
      <c r="P75" s="15">
        <f t="shared" si="36"/>
        <v>88</v>
      </c>
      <c r="R75" s="8"/>
      <c r="T75"/>
    </row>
    <row r="76" spans="2:20" ht="23.1" customHeight="1" x14ac:dyDescent="0.25">
      <c r="B76" s="45" t="s">
        <v>116</v>
      </c>
      <c r="C76" s="50">
        <v>23</v>
      </c>
      <c r="D76" s="50">
        <v>3</v>
      </c>
      <c r="E76" s="50">
        <v>5</v>
      </c>
      <c r="F76" s="50">
        <v>17</v>
      </c>
      <c r="G76" s="50">
        <v>3</v>
      </c>
      <c r="H76" s="50">
        <v>1</v>
      </c>
      <c r="I76" s="50">
        <v>8</v>
      </c>
      <c r="J76" s="50">
        <v>0</v>
      </c>
      <c r="K76" s="50">
        <v>2</v>
      </c>
      <c r="L76" s="50">
        <v>0</v>
      </c>
      <c r="M76" s="50">
        <v>30</v>
      </c>
      <c r="N76" s="50">
        <v>0</v>
      </c>
      <c r="O76" s="15">
        <f t="shared" si="35"/>
        <v>62</v>
      </c>
      <c r="P76" s="15">
        <f t="shared" si="36"/>
        <v>92</v>
      </c>
      <c r="R76" s="8"/>
      <c r="T76"/>
    </row>
    <row r="77" spans="2:20" ht="23.1" customHeight="1" x14ac:dyDescent="0.25">
      <c r="B77" s="45" t="s">
        <v>117</v>
      </c>
      <c r="C77" s="50">
        <v>25</v>
      </c>
      <c r="D77" s="50">
        <v>0</v>
      </c>
      <c r="E77" s="50">
        <v>3</v>
      </c>
      <c r="F77" s="50">
        <v>13</v>
      </c>
      <c r="G77" s="50">
        <v>5</v>
      </c>
      <c r="H77" s="50">
        <v>0</v>
      </c>
      <c r="I77" s="50">
        <v>10</v>
      </c>
      <c r="J77" s="50">
        <v>2</v>
      </c>
      <c r="K77" s="50">
        <v>5</v>
      </c>
      <c r="L77" s="50">
        <v>1</v>
      </c>
      <c r="M77" s="50">
        <v>45</v>
      </c>
      <c r="N77" s="50">
        <v>0</v>
      </c>
      <c r="O77" s="15">
        <f t="shared" si="35"/>
        <v>64</v>
      </c>
      <c r="P77" s="15">
        <f t="shared" si="36"/>
        <v>109</v>
      </c>
      <c r="R77" s="8"/>
      <c r="T77"/>
    </row>
    <row r="78" spans="2:20" ht="23.1" customHeight="1" x14ac:dyDescent="0.25">
      <c r="B78" s="46" t="s">
        <v>118</v>
      </c>
      <c r="C78" s="50">
        <v>17</v>
      </c>
      <c r="D78" s="50">
        <v>0</v>
      </c>
      <c r="E78" s="50">
        <v>3</v>
      </c>
      <c r="F78" s="50">
        <v>3</v>
      </c>
      <c r="G78" s="50">
        <v>0</v>
      </c>
      <c r="H78" s="50">
        <v>1</v>
      </c>
      <c r="I78" s="50">
        <v>2</v>
      </c>
      <c r="J78" s="50">
        <v>5</v>
      </c>
      <c r="K78" s="50">
        <v>7</v>
      </c>
      <c r="L78" s="50">
        <v>2</v>
      </c>
      <c r="M78" s="50">
        <v>12</v>
      </c>
      <c r="N78" s="50">
        <v>0</v>
      </c>
      <c r="O78" s="15">
        <f t="shared" si="35"/>
        <v>40</v>
      </c>
      <c r="P78" s="15">
        <f t="shared" si="36"/>
        <v>52</v>
      </c>
      <c r="R78" s="8"/>
      <c r="T78"/>
    </row>
    <row r="79" spans="2:20" ht="23.1" customHeight="1" x14ac:dyDescent="0.25">
      <c r="B79" s="45" t="s">
        <v>119</v>
      </c>
      <c r="C79" s="50">
        <v>15</v>
      </c>
      <c r="D79" s="50">
        <v>3</v>
      </c>
      <c r="E79" s="50">
        <v>1</v>
      </c>
      <c r="F79" s="50">
        <v>5</v>
      </c>
      <c r="G79" s="50">
        <v>0</v>
      </c>
      <c r="H79" s="50">
        <v>0</v>
      </c>
      <c r="I79" s="50">
        <v>6</v>
      </c>
      <c r="J79" s="50">
        <v>8</v>
      </c>
      <c r="K79" s="50">
        <v>2</v>
      </c>
      <c r="L79" s="50">
        <v>0</v>
      </c>
      <c r="M79" s="50">
        <v>7</v>
      </c>
      <c r="N79" s="50">
        <v>0</v>
      </c>
      <c r="O79" s="15">
        <f t="shared" si="35"/>
        <v>40</v>
      </c>
      <c r="P79" s="15">
        <f t="shared" si="36"/>
        <v>47</v>
      </c>
      <c r="R79" s="8"/>
      <c r="T79"/>
    </row>
    <row r="80" spans="2:20" ht="23.1" customHeight="1" x14ac:dyDescent="0.25">
      <c r="B80" s="47" t="s">
        <v>120</v>
      </c>
      <c r="C80" s="50">
        <v>15</v>
      </c>
      <c r="D80" s="50">
        <v>5</v>
      </c>
      <c r="E80" s="50">
        <v>2</v>
      </c>
      <c r="F80" s="50">
        <v>3</v>
      </c>
      <c r="G80" s="50">
        <v>0</v>
      </c>
      <c r="H80" s="50">
        <v>0</v>
      </c>
      <c r="I80" s="50">
        <v>6</v>
      </c>
      <c r="J80" s="50">
        <v>4</v>
      </c>
      <c r="K80" s="50">
        <v>0</v>
      </c>
      <c r="L80" s="50">
        <v>0</v>
      </c>
      <c r="M80" s="50">
        <v>9</v>
      </c>
      <c r="N80" s="50">
        <v>0</v>
      </c>
      <c r="O80" s="15">
        <f t="shared" si="35"/>
        <v>35</v>
      </c>
      <c r="P80" s="15">
        <f t="shared" si="36"/>
        <v>44</v>
      </c>
      <c r="R80" s="8"/>
      <c r="T80"/>
    </row>
    <row r="81" spans="2:20" ht="23.1" customHeight="1" x14ac:dyDescent="0.25">
      <c r="B81" s="45" t="s">
        <v>121</v>
      </c>
      <c r="C81" s="50">
        <v>12</v>
      </c>
      <c r="D81" s="50">
        <v>1</v>
      </c>
      <c r="E81" s="50">
        <v>4</v>
      </c>
      <c r="F81" s="50">
        <v>3</v>
      </c>
      <c r="G81" s="50">
        <v>0</v>
      </c>
      <c r="H81" s="50">
        <v>1</v>
      </c>
      <c r="I81" s="50">
        <v>7</v>
      </c>
      <c r="J81" s="50">
        <v>4</v>
      </c>
      <c r="K81" s="50">
        <v>0</v>
      </c>
      <c r="L81" s="50">
        <v>4</v>
      </c>
      <c r="M81" s="50">
        <v>10</v>
      </c>
      <c r="N81" s="50">
        <v>0</v>
      </c>
      <c r="O81" s="15">
        <f t="shared" si="35"/>
        <v>36</v>
      </c>
      <c r="P81" s="15">
        <f t="shared" si="36"/>
        <v>46</v>
      </c>
      <c r="R81" s="8"/>
      <c r="T81"/>
    </row>
    <row r="82" spans="2:20" ht="23.1" customHeight="1" x14ac:dyDescent="0.25">
      <c r="B82" s="46" t="s">
        <v>122</v>
      </c>
      <c r="C82" s="50">
        <v>12</v>
      </c>
      <c r="D82" s="50">
        <v>1</v>
      </c>
      <c r="E82" s="50">
        <v>8</v>
      </c>
      <c r="F82" s="50">
        <v>3</v>
      </c>
      <c r="G82" s="50">
        <v>1</v>
      </c>
      <c r="H82" s="50">
        <v>0</v>
      </c>
      <c r="I82" s="50">
        <v>9</v>
      </c>
      <c r="J82" s="50">
        <v>1</v>
      </c>
      <c r="K82" s="50">
        <v>2</v>
      </c>
      <c r="L82" s="50">
        <v>7</v>
      </c>
      <c r="M82" s="50">
        <v>13</v>
      </c>
      <c r="N82" s="50">
        <v>0</v>
      </c>
      <c r="O82" s="15">
        <f t="shared" si="35"/>
        <v>44</v>
      </c>
      <c r="P82" s="15">
        <f t="shared" si="36"/>
        <v>57</v>
      </c>
      <c r="R82" s="8"/>
      <c r="T82"/>
    </row>
    <row r="83" spans="2:20" ht="23.1" customHeight="1" x14ac:dyDescent="0.25">
      <c r="B83" s="45" t="s">
        <v>123</v>
      </c>
      <c r="C83" s="50">
        <v>15</v>
      </c>
      <c r="D83" s="50">
        <v>2</v>
      </c>
      <c r="E83" s="50">
        <v>3</v>
      </c>
      <c r="F83" s="50">
        <v>8</v>
      </c>
      <c r="G83" s="50">
        <v>0</v>
      </c>
      <c r="H83" s="50">
        <v>0</v>
      </c>
      <c r="I83" s="50">
        <v>10</v>
      </c>
      <c r="J83" s="50">
        <v>0</v>
      </c>
      <c r="K83" s="50">
        <v>0</v>
      </c>
      <c r="L83" s="50">
        <v>2</v>
      </c>
      <c r="M83" s="50">
        <v>10</v>
      </c>
      <c r="N83" s="50">
        <v>0</v>
      </c>
      <c r="O83" s="15">
        <f t="shared" si="35"/>
        <v>40</v>
      </c>
      <c r="P83" s="15">
        <f t="shared" si="36"/>
        <v>50</v>
      </c>
      <c r="R83" s="8"/>
      <c r="T83"/>
    </row>
    <row r="84" spans="2:20" ht="23.1" customHeight="1" x14ac:dyDescent="0.25">
      <c r="B84" s="47" t="s">
        <v>124</v>
      </c>
      <c r="C84" s="50">
        <v>9</v>
      </c>
      <c r="D84" s="50">
        <v>4</v>
      </c>
      <c r="E84" s="50">
        <v>2</v>
      </c>
      <c r="F84" s="50">
        <v>10</v>
      </c>
      <c r="G84" s="50">
        <v>1</v>
      </c>
      <c r="H84" s="50">
        <v>0</v>
      </c>
      <c r="I84" s="50">
        <v>8</v>
      </c>
      <c r="J84" s="50">
        <v>1</v>
      </c>
      <c r="K84" s="50">
        <v>1</v>
      </c>
      <c r="L84" s="50">
        <v>3</v>
      </c>
      <c r="M84" s="50">
        <v>15</v>
      </c>
      <c r="N84" s="50">
        <v>0</v>
      </c>
      <c r="O84" s="15">
        <f t="shared" si="35"/>
        <v>39</v>
      </c>
      <c r="P84" s="15">
        <f t="shared" si="36"/>
        <v>54</v>
      </c>
      <c r="R84" s="8"/>
      <c r="T84"/>
    </row>
    <row r="85" spans="2:20" ht="23.1" customHeight="1" x14ac:dyDescent="0.25">
      <c r="B85" s="45" t="s">
        <v>125</v>
      </c>
      <c r="C85" s="50">
        <v>11</v>
      </c>
      <c r="D85" s="50">
        <v>3</v>
      </c>
      <c r="E85" s="50">
        <v>6</v>
      </c>
      <c r="F85" s="50">
        <v>5</v>
      </c>
      <c r="G85" s="50">
        <v>2</v>
      </c>
      <c r="H85" s="50">
        <v>1</v>
      </c>
      <c r="I85" s="50">
        <v>7</v>
      </c>
      <c r="J85" s="50">
        <v>4</v>
      </c>
      <c r="K85" s="50">
        <v>1</v>
      </c>
      <c r="L85" s="50">
        <v>2</v>
      </c>
      <c r="M85" s="50">
        <v>9</v>
      </c>
      <c r="N85" s="50">
        <v>0</v>
      </c>
      <c r="O85" s="15">
        <f t="shared" si="35"/>
        <v>42</v>
      </c>
      <c r="P85" s="15">
        <f t="shared" si="36"/>
        <v>51</v>
      </c>
      <c r="R85" s="8"/>
      <c r="T85"/>
    </row>
    <row r="86" spans="2:20" ht="23.1" customHeight="1" x14ac:dyDescent="0.25">
      <c r="B86" s="46" t="s">
        <v>126</v>
      </c>
      <c r="C86" s="50">
        <v>15</v>
      </c>
      <c r="D86" s="50">
        <v>3</v>
      </c>
      <c r="E86" s="50">
        <v>7</v>
      </c>
      <c r="F86" s="50">
        <v>3</v>
      </c>
      <c r="G86" s="50">
        <v>0</v>
      </c>
      <c r="H86" s="50">
        <v>0</v>
      </c>
      <c r="I86" s="50">
        <v>8</v>
      </c>
      <c r="J86" s="50">
        <v>4</v>
      </c>
      <c r="K86" s="50">
        <v>5</v>
      </c>
      <c r="L86" s="50">
        <v>3</v>
      </c>
      <c r="M86" s="50">
        <v>7</v>
      </c>
      <c r="N86" s="50">
        <v>0</v>
      </c>
      <c r="O86" s="15">
        <f t="shared" si="35"/>
        <v>48</v>
      </c>
      <c r="P86" s="15">
        <f t="shared" si="36"/>
        <v>55</v>
      </c>
      <c r="R86" s="8"/>
      <c r="T86"/>
    </row>
    <row r="87" spans="2:20" ht="23.1" customHeight="1" x14ac:dyDescent="0.25">
      <c r="B87" s="45" t="s">
        <v>127</v>
      </c>
      <c r="C87" s="50">
        <v>17</v>
      </c>
      <c r="D87" s="50">
        <v>1</v>
      </c>
      <c r="E87" s="50">
        <v>4</v>
      </c>
      <c r="F87" s="50">
        <v>6</v>
      </c>
      <c r="G87" s="50">
        <v>0</v>
      </c>
      <c r="H87" s="50">
        <v>0</v>
      </c>
      <c r="I87" s="50">
        <v>8</v>
      </c>
      <c r="J87" s="50">
        <v>9</v>
      </c>
      <c r="K87" s="50">
        <v>7</v>
      </c>
      <c r="L87" s="50">
        <v>2</v>
      </c>
      <c r="M87" s="50">
        <v>7</v>
      </c>
      <c r="N87" s="50">
        <v>0</v>
      </c>
      <c r="O87" s="15">
        <f t="shared" si="35"/>
        <v>54</v>
      </c>
      <c r="P87" s="15">
        <f t="shared" si="36"/>
        <v>61</v>
      </c>
      <c r="R87" s="8"/>
      <c r="T87"/>
    </row>
    <row r="88" spans="2:20" ht="23.1" customHeight="1" x14ac:dyDescent="0.25">
      <c r="B88" s="47" t="s">
        <v>128</v>
      </c>
      <c r="C88" s="50">
        <v>9</v>
      </c>
      <c r="D88" s="50">
        <v>0</v>
      </c>
      <c r="E88" s="50">
        <v>2</v>
      </c>
      <c r="F88" s="50">
        <v>2</v>
      </c>
      <c r="G88" s="50">
        <v>0</v>
      </c>
      <c r="H88" s="50">
        <v>0</v>
      </c>
      <c r="I88" s="50">
        <v>8</v>
      </c>
      <c r="J88" s="50">
        <v>9</v>
      </c>
      <c r="K88" s="50">
        <v>4</v>
      </c>
      <c r="L88" s="50">
        <v>4</v>
      </c>
      <c r="M88" s="50">
        <v>12</v>
      </c>
      <c r="N88" s="50">
        <v>0</v>
      </c>
      <c r="O88" s="15">
        <f t="shared" si="35"/>
        <v>38</v>
      </c>
      <c r="P88" s="15">
        <f t="shared" si="36"/>
        <v>50</v>
      </c>
      <c r="R88" s="8"/>
      <c r="T88"/>
    </row>
    <row r="89" spans="2:20" ht="23.1" customHeight="1" x14ac:dyDescent="0.25">
      <c r="B89" s="45" t="s">
        <v>129</v>
      </c>
      <c r="C89" s="50">
        <v>11</v>
      </c>
      <c r="D89" s="50">
        <v>1</v>
      </c>
      <c r="E89" s="50">
        <v>4</v>
      </c>
      <c r="F89" s="50">
        <v>4</v>
      </c>
      <c r="G89" s="50">
        <v>1</v>
      </c>
      <c r="H89" s="50">
        <v>0</v>
      </c>
      <c r="I89" s="50">
        <v>3</v>
      </c>
      <c r="J89" s="50">
        <v>7</v>
      </c>
      <c r="K89" s="50">
        <v>7</v>
      </c>
      <c r="L89" s="50">
        <v>0</v>
      </c>
      <c r="M89" s="50">
        <v>11</v>
      </c>
      <c r="N89" s="50">
        <v>0</v>
      </c>
      <c r="O89" s="15">
        <f t="shared" si="35"/>
        <v>38</v>
      </c>
      <c r="P89" s="15">
        <f t="shared" si="36"/>
        <v>49</v>
      </c>
      <c r="R89" s="8"/>
      <c r="T89"/>
    </row>
    <row r="90" spans="2:20" ht="23.1" customHeight="1" x14ac:dyDescent="0.25">
      <c r="B90" s="46" t="s">
        <v>130</v>
      </c>
      <c r="C90" s="50">
        <v>13</v>
      </c>
      <c r="D90" s="50">
        <v>1</v>
      </c>
      <c r="E90" s="50">
        <v>3</v>
      </c>
      <c r="F90" s="50">
        <v>2</v>
      </c>
      <c r="G90" s="50">
        <v>0</v>
      </c>
      <c r="H90" s="50">
        <v>1</v>
      </c>
      <c r="I90" s="50">
        <v>7</v>
      </c>
      <c r="J90" s="50">
        <v>15</v>
      </c>
      <c r="K90" s="50">
        <v>8</v>
      </c>
      <c r="L90" s="50">
        <v>4</v>
      </c>
      <c r="M90" s="50">
        <v>7</v>
      </c>
      <c r="N90" s="50">
        <v>0</v>
      </c>
      <c r="O90" s="15">
        <f t="shared" si="35"/>
        <v>54</v>
      </c>
      <c r="P90" s="15">
        <f t="shared" si="36"/>
        <v>61</v>
      </c>
      <c r="R90" s="8"/>
      <c r="T90"/>
    </row>
    <row r="91" spans="2:20" ht="23.1" customHeight="1" x14ac:dyDescent="0.25">
      <c r="B91" s="45" t="s">
        <v>131</v>
      </c>
      <c r="C91" s="50">
        <v>4</v>
      </c>
      <c r="D91" s="50">
        <v>2</v>
      </c>
      <c r="E91" s="50">
        <v>3</v>
      </c>
      <c r="F91" s="50">
        <v>2</v>
      </c>
      <c r="G91" s="50">
        <v>1</v>
      </c>
      <c r="H91" s="50">
        <v>1</v>
      </c>
      <c r="I91" s="50">
        <v>10</v>
      </c>
      <c r="J91" s="50">
        <v>8</v>
      </c>
      <c r="K91" s="50">
        <v>7</v>
      </c>
      <c r="L91" s="50">
        <v>5</v>
      </c>
      <c r="M91" s="50">
        <v>13</v>
      </c>
      <c r="N91" s="50">
        <v>0</v>
      </c>
      <c r="O91" s="15">
        <f t="shared" si="35"/>
        <v>43</v>
      </c>
      <c r="P91" s="15">
        <f t="shared" si="36"/>
        <v>56</v>
      </c>
      <c r="R91" s="8"/>
      <c r="T91"/>
    </row>
    <row r="92" spans="2:20" ht="23.1" customHeight="1" x14ac:dyDescent="0.25">
      <c r="B92" s="47" t="s">
        <v>132</v>
      </c>
      <c r="C92" s="50">
        <v>6</v>
      </c>
      <c r="D92" s="50">
        <v>2</v>
      </c>
      <c r="E92" s="50">
        <v>5</v>
      </c>
      <c r="F92" s="50">
        <v>1</v>
      </c>
      <c r="G92" s="50">
        <v>1</v>
      </c>
      <c r="H92" s="50">
        <v>0</v>
      </c>
      <c r="I92" s="50">
        <v>13</v>
      </c>
      <c r="J92" s="50">
        <v>10</v>
      </c>
      <c r="K92" s="50">
        <v>5</v>
      </c>
      <c r="L92" s="50">
        <v>1</v>
      </c>
      <c r="M92" s="50">
        <v>13</v>
      </c>
      <c r="N92" s="50">
        <v>0</v>
      </c>
      <c r="O92" s="15">
        <f t="shared" si="35"/>
        <v>44</v>
      </c>
      <c r="P92" s="15">
        <f t="shared" si="36"/>
        <v>57</v>
      </c>
      <c r="R92" s="8"/>
      <c r="T92"/>
    </row>
    <row r="93" spans="2:20" ht="23.1" customHeight="1" x14ac:dyDescent="0.25">
      <c r="B93" s="45" t="s">
        <v>133</v>
      </c>
      <c r="C93" s="50">
        <v>12</v>
      </c>
      <c r="D93" s="50">
        <v>3</v>
      </c>
      <c r="E93" s="50">
        <v>6</v>
      </c>
      <c r="F93" s="50">
        <v>3</v>
      </c>
      <c r="G93" s="50">
        <v>0</v>
      </c>
      <c r="H93" s="50">
        <v>2</v>
      </c>
      <c r="I93" s="50">
        <v>10</v>
      </c>
      <c r="J93" s="50">
        <v>11</v>
      </c>
      <c r="K93" s="50">
        <v>3</v>
      </c>
      <c r="L93" s="50">
        <v>5</v>
      </c>
      <c r="M93" s="50">
        <v>13</v>
      </c>
      <c r="N93" s="50">
        <v>0</v>
      </c>
      <c r="O93" s="15">
        <f t="shared" si="35"/>
        <v>55</v>
      </c>
      <c r="P93" s="15">
        <f t="shared" si="36"/>
        <v>68</v>
      </c>
      <c r="R93" s="8"/>
      <c r="T93"/>
    </row>
    <row r="94" spans="2:20" ht="23.1" customHeight="1" x14ac:dyDescent="0.25">
      <c r="B94" s="46" t="s">
        <v>134</v>
      </c>
      <c r="C94" s="50">
        <v>13</v>
      </c>
      <c r="D94" s="50">
        <v>3</v>
      </c>
      <c r="E94" s="50">
        <v>2</v>
      </c>
      <c r="F94" s="50">
        <v>5</v>
      </c>
      <c r="G94" s="50">
        <v>0</v>
      </c>
      <c r="H94" s="50">
        <v>2</v>
      </c>
      <c r="I94" s="50">
        <v>8</v>
      </c>
      <c r="J94" s="50">
        <v>6</v>
      </c>
      <c r="K94" s="50">
        <v>2</v>
      </c>
      <c r="L94" s="50">
        <v>1</v>
      </c>
      <c r="M94" s="50">
        <v>17</v>
      </c>
      <c r="N94" s="50">
        <v>0</v>
      </c>
      <c r="O94" s="15">
        <f t="shared" si="35"/>
        <v>42</v>
      </c>
      <c r="P94" s="15">
        <f t="shared" si="36"/>
        <v>59</v>
      </c>
      <c r="R94" s="8"/>
      <c r="T94"/>
    </row>
    <row r="95" spans="2:20" ht="23.1" customHeight="1" x14ac:dyDescent="0.25">
      <c r="B95" s="45" t="s">
        <v>135</v>
      </c>
      <c r="C95" s="50">
        <v>12</v>
      </c>
      <c r="D95" s="50">
        <v>5</v>
      </c>
      <c r="E95" s="50">
        <v>0</v>
      </c>
      <c r="F95" s="50">
        <v>3</v>
      </c>
      <c r="G95" s="50">
        <v>1</v>
      </c>
      <c r="H95" s="50">
        <v>0</v>
      </c>
      <c r="I95" s="50">
        <v>5</v>
      </c>
      <c r="J95" s="50">
        <v>8</v>
      </c>
      <c r="K95" s="50">
        <v>1</v>
      </c>
      <c r="L95" s="50">
        <v>2</v>
      </c>
      <c r="M95" s="50">
        <v>15</v>
      </c>
      <c r="N95" s="50">
        <v>0</v>
      </c>
      <c r="O95" s="15">
        <f t="shared" si="35"/>
        <v>37</v>
      </c>
      <c r="P95" s="15">
        <f t="shared" si="36"/>
        <v>52</v>
      </c>
      <c r="R95" s="8"/>
      <c r="T95"/>
    </row>
    <row r="96" spans="2:20" ht="23.1" customHeight="1" x14ac:dyDescent="0.25">
      <c r="B96" s="47" t="s">
        <v>136</v>
      </c>
      <c r="C96" s="50">
        <v>20</v>
      </c>
      <c r="D96" s="50">
        <v>3</v>
      </c>
      <c r="E96" s="50">
        <v>4</v>
      </c>
      <c r="F96" s="50">
        <v>7</v>
      </c>
      <c r="G96" s="50">
        <v>0</v>
      </c>
      <c r="H96" s="50">
        <v>1</v>
      </c>
      <c r="I96" s="50">
        <v>6</v>
      </c>
      <c r="J96" s="50">
        <v>7</v>
      </c>
      <c r="K96" s="50">
        <v>8</v>
      </c>
      <c r="L96" s="50">
        <v>0</v>
      </c>
      <c r="M96" s="50">
        <v>15</v>
      </c>
      <c r="N96" s="50">
        <v>0</v>
      </c>
      <c r="O96" s="15">
        <f t="shared" si="35"/>
        <v>56</v>
      </c>
      <c r="P96" s="15">
        <f t="shared" si="36"/>
        <v>71</v>
      </c>
      <c r="R96" s="8"/>
      <c r="T96"/>
    </row>
    <row r="97" spans="2:20" ht="23.1" customHeight="1" x14ac:dyDescent="0.25">
      <c r="B97" s="45" t="s">
        <v>137</v>
      </c>
      <c r="C97" s="50">
        <v>7</v>
      </c>
      <c r="D97" s="50">
        <v>5</v>
      </c>
      <c r="E97" s="50">
        <v>3</v>
      </c>
      <c r="F97" s="50">
        <v>5</v>
      </c>
      <c r="G97" s="50">
        <v>0</v>
      </c>
      <c r="H97" s="50">
        <v>1</v>
      </c>
      <c r="I97" s="50">
        <v>9</v>
      </c>
      <c r="J97" s="50">
        <v>5</v>
      </c>
      <c r="K97" s="50">
        <v>2</v>
      </c>
      <c r="L97" s="50">
        <v>2</v>
      </c>
      <c r="M97" s="50">
        <v>12</v>
      </c>
      <c r="N97" s="50">
        <v>0</v>
      </c>
      <c r="O97" s="15">
        <f t="shared" si="35"/>
        <v>39</v>
      </c>
      <c r="P97" s="15">
        <f t="shared" si="36"/>
        <v>51</v>
      </c>
      <c r="R97" s="8"/>
      <c r="T97"/>
    </row>
    <row r="98" spans="2:20" ht="23.1" customHeight="1" x14ac:dyDescent="0.25">
      <c r="B98" s="46" t="s">
        <v>138</v>
      </c>
      <c r="C98" s="50">
        <v>13</v>
      </c>
      <c r="D98" s="50">
        <v>2</v>
      </c>
      <c r="E98" s="50">
        <v>5</v>
      </c>
      <c r="F98" s="50">
        <v>8</v>
      </c>
      <c r="G98" s="50">
        <v>1</v>
      </c>
      <c r="H98" s="50">
        <v>0</v>
      </c>
      <c r="I98" s="50">
        <v>8</v>
      </c>
      <c r="J98" s="50">
        <v>4</v>
      </c>
      <c r="K98" s="50">
        <v>2</v>
      </c>
      <c r="L98" s="50">
        <v>1</v>
      </c>
      <c r="M98" s="50">
        <v>22</v>
      </c>
      <c r="N98" s="50">
        <v>0</v>
      </c>
      <c r="O98" s="15">
        <f t="shared" si="35"/>
        <v>44</v>
      </c>
      <c r="P98" s="15">
        <f t="shared" si="36"/>
        <v>66</v>
      </c>
      <c r="R98" s="8"/>
      <c r="T98"/>
    </row>
    <row r="99" spans="2:20" ht="23.1" customHeight="1" x14ac:dyDescent="0.25">
      <c r="B99" s="45" t="s">
        <v>139</v>
      </c>
      <c r="C99" s="50">
        <v>21</v>
      </c>
      <c r="D99" s="50">
        <v>0</v>
      </c>
      <c r="E99" s="50">
        <v>2</v>
      </c>
      <c r="F99" s="50">
        <v>6</v>
      </c>
      <c r="G99" s="50">
        <v>0</v>
      </c>
      <c r="H99" s="50">
        <v>1</v>
      </c>
      <c r="I99" s="50">
        <v>9</v>
      </c>
      <c r="J99" s="50">
        <v>6</v>
      </c>
      <c r="K99" s="50">
        <v>0</v>
      </c>
      <c r="L99" s="50">
        <v>3</v>
      </c>
      <c r="M99" s="50">
        <v>15</v>
      </c>
      <c r="N99" s="50">
        <v>0</v>
      </c>
      <c r="O99" s="15">
        <f t="shared" si="35"/>
        <v>48</v>
      </c>
      <c r="P99" s="15">
        <f t="shared" si="36"/>
        <v>63</v>
      </c>
      <c r="R99" s="8"/>
      <c r="T99"/>
    </row>
    <row r="100" spans="2:20" ht="23.1" customHeight="1" x14ac:dyDescent="0.25">
      <c r="B100" s="47" t="s">
        <v>140</v>
      </c>
      <c r="C100" s="50">
        <v>12</v>
      </c>
      <c r="D100" s="50">
        <v>3</v>
      </c>
      <c r="E100" s="50">
        <v>1</v>
      </c>
      <c r="F100" s="50">
        <v>5</v>
      </c>
      <c r="G100" s="50">
        <v>0</v>
      </c>
      <c r="H100" s="50">
        <v>0</v>
      </c>
      <c r="I100" s="50">
        <v>8</v>
      </c>
      <c r="J100" s="50">
        <v>5</v>
      </c>
      <c r="K100" s="50">
        <v>3</v>
      </c>
      <c r="L100" s="50">
        <v>2</v>
      </c>
      <c r="M100" s="50">
        <v>7</v>
      </c>
      <c r="N100" s="50">
        <v>0</v>
      </c>
      <c r="O100" s="15">
        <f t="shared" si="35"/>
        <v>39</v>
      </c>
      <c r="P100" s="15">
        <f t="shared" si="36"/>
        <v>46</v>
      </c>
      <c r="R100" s="8"/>
      <c r="T100"/>
    </row>
    <row r="101" spans="2:20" ht="23.1" customHeight="1" x14ac:dyDescent="0.25">
      <c r="B101" s="45" t="s">
        <v>141</v>
      </c>
      <c r="C101" s="50">
        <v>13</v>
      </c>
      <c r="D101" s="50">
        <v>3</v>
      </c>
      <c r="E101" s="50">
        <v>5</v>
      </c>
      <c r="F101" s="50">
        <v>7</v>
      </c>
      <c r="G101" s="50">
        <v>2</v>
      </c>
      <c r="H101" s="50">
        <v>0</v>
      </c>
      <c r="I101" s="50">
        <v>3</v>
      </c>
      <c r="J101" s="50">
        <v>2</v>
      </c>
      <c r="K101" s="50">
        <v>3</v>
      </c>
      <c r="L101" s="50">
        <v>2</v>
      </c>
      <c r="M101" s="50">
        <v>12</v>
      </c>
      <c r="N101" s="50">
        <v>0</v>
      </c>
      <c r="O101" s="15">
        <f t="shared" si="35"/>
        <v>40</v>
      </c>
      <c r="P101" s="15">
        <f t="shared" si="36"/>
        <v>52</v>
      </c>
      <c r="R101" s="8"/>
      <c r="T101"/>
    </row>
    <row r="102" spans="2:20" ht="23.1" customHeight="1" x14ac:dyDescent="0.25">
      <c r="B102" s="46" t="s">
        <v>142</v>
      </c>
      <c r="C102" s="50">
        <v>20</v>
      </c>
      <c r="D102" s="50">
        <v>5</v>
      </c>
      <c r="E102" s="50">
        <v>10</v>
      </c>
      <c r="F102" s="50">
        <v>15</v>
      </c>
      <c r="G102" s="50">
        <v>0</v>
      </c>
      <c r="H102" s="50">
        <v>0</v>
      </c>
      <c r="I102" s="50">
        <v>5</v>
      </c>
      <c r="J102" s="50">
        <v>0</v>
      </c>
      <c r="K102" s="50">
        <v>0</v>
      </c>
      <c r="L102" s="50">
        <v>4</v>
      </c>
      <c r="M102" s="50">
        <v>20</v>
      </c>
      <c r="N102" s="50">
        <v>0</v>
      </c>
      <c r="O102" s="15">
        <f t="shared" si="35"/>
        <v>59</v>
      </c>
      <c r="P102" s="15">
        <f t="shared" si="36"/>
        <v>79</v>
      </c>
      <c r="R102" s="8"/>
      <c r="T102"/>
    </row>
    <row r="103" spans="2:20" ht="23.1" customHeight="1" x14ac:dyDescent="0.25">
      <c r="B103" s="45" t="s">
        <v>143</v>
      </c>
      <c r="C103" s="50">
        <v>22</v>
      </c>
      <c r="D103" s="50">
        <v>1</v>
      </c>
      <c r="E103" s="50">
        <v>6</v>
      </c>
      <c r="F103" s="50">
        <v>11</v>
      </c>
      <c r="G103" s="50">
        <v>1</v>
      </c>
      <c r="H103" s="50">
        <v>1</v>
      </c>
      <c r="I103" s="50">
        <v>7</v>
      </c>
      <c r="J103" s="50">
        <v>10</v>
      </c>
      <c r="K103" s="50">
        <v>1</v>
      </c>
      <c r="L103" s="50">
        <v>3</v>
      </c>
      <c r="M103" s="50">
        <v>31</v>
      </c>
      <c r="N103" s="50">
        <v>0</v>
      </c>
      <c r="O103" s="15">
        <f t="shared" si="35"/>
        <v>63</v>
      </c>
      <c r="P103" s="15">
        <f t="shared" si="36"/>
        <v>94</v>
      </c>
      <c r="R103" s="8"/>
      <c r="T103"/>
    </row>
    <row r="104" spans="2:20" ht="23.1" customHeight="1" x14ac:dyDescent="0.25">
      <c r="B104" s="47" t="s">
        <v>144</v>
      </c>
      <c r="C104" s="50">
        <v>33</v>
      </c>
      <c r="D104" s="50">
        <v>3</v>
      </c>
      <c r="E104" s="50">
        <v>6</v>
      </c>
      <c r="F104" s="50">
        <v>17</v>
      </c>
      <c r="G104" s="50">
        <v>0</v>
      </c>
      <c r="H104" s="50">
        <v>0</v>
      </c>
      <c r="I104" s="50">
        <v>10</v>
      </c>
      <c r="J104" s="50">
        <v>4</v>
      </c>
      <c r="K104" s="50">
        <v>0</v>
      </c>
      <c r="L104" s="50">
        <v>6</v>
      </c>
      <c r="M104" s="50">
        <v>55</v>
      </c>
      <c r="N104" s="50">
        <v>0</v>
      </c>
      <c r="O104" s="15">
        <f t="shared" si="35"/>
        <v>79</v>
      </c>
      <c r="P104" s="15">
        <f t="shared" si="36"/>
        <v>134</v>
      </c>
      <c r="R104" s="8"/>
      <c r="T104"/>
    </row>
    <row r="105" spans="2:20" ht="23.1" customHeight="1" x14ac:dyDescent="0.25">
      <c r="B105" s="45" t="s">
        <v>145</v>
      </c>
      <c r="C105" s="50">
        <v>32</v>
      </c>
      <c r="D105" s="50">
        <v>3</v>
      </c>
      <c r="E105" s="50">
        <v>2</v>
      </c>
      <c r="F105" s="50">
        <v>17</v>
      </c>
      <c r="G105" s="50">
        <v>0</v>
      </c>
      <c r="H105" s="50">
        <v>0</v>
      </c>
      <c r="I105" s="50">
        <v>6</v>
      </c>
      <c r="J105" s="50">
        <v>3</v>
      </c>
      <c r="K105" s="50">
        <v>0</v>
      </c>
      <c r="L105" s="50">
        <v>3</v>
      </c>
      <c r="M105" s="50">
        <v>62</v>
      </c>
      <c r="N105" s="50">
        <v>0</v>
      </c>
      <c r="O105" s="15">
        <f t="shared" si="35"/>
        <v>66</v>
      </c>
      <c r="P105" s="15">
        <f t="shared" si="36"/>
        <v>128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5478</v>
      </c>
      <c r="D106" s="16">
        <f t="shared" ref="D106:P106" si="37">SUM(D10:D105)</f>
        <v>876</v>
      </c>
      <c r="E106" s="16">
        <f t="shared" si="37"/>
        <v>712</v>
      </c>
      <c r="F106" s="16">
        <f t="shared" si="37"/>
        <v>1913</v>
      </c>
      <c r="G106" s="16">
        <f t="shared" si="37"/>
        <v>116</v>
      </c>
      <c r="H106" s="16">
        <f t="shared" si="37"/>
        <v>39</v>
      </c>
      <c r="I106" s="16">
        <f t="shared" si="37"/>
        <v>867</v>
      </c>
      <c r="J106" s="16">
        <f t="shared" si="37"/>
        <v>685</v>
      </c>
      <c r="K106" s="16">
        <f t="shared" si="37"/>
        <v>319</v>
      </c>
      <c r="L106" s="16">
        <f t="shared" si="37"/>
        <v>363</v>
      </c>
      <c r="M106" s="16">
        <f t="shared" si="37"/>
        <v>7691</v>
      </c>
      <c r="N106" s="16">
        <f t="shared" si="37"/>
        <v>0</v>
      </c>
      <c r="O106" s="16">
        <f t="shared" si="37"/>
        <v>11368</v>
      </c>
      <c r="P106" s="16">
        <f t="shared" si="37"/>
        <v>19059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0.28742326459940187</v>
      </c>
      <c r="D107" s="43">
        <f t="shared" si="38"/>
        <v>4.5962537383913114E-2</v>
      </c>
      <c r="E107" s="43">
        <f t="shared" si="38"/>
        <v>3.7357678786924815E-2</v>
      </c>
      <c r="F107" s="43">
        <f t="shared" si="38"/>
        <v>0.10037252741486961</v>
      </c>
      <c r="G107" s="43">
        <f t="shared" si="38"/>
        <v>6.0863633978697727E-3</v>
      </c>
      <c r="H107" s="43">
        <f t="shared" si="38"/>
        <v>2.0462773492838028E-3</v>
      </c>
      <c r="I107" s="43">
        <f t="shared" si="38"/>
        <v>4.5490319534078387E-2</v>
      </c>
      <c r="J107" s="43">
        <f t="shared" si="38"/>
        <v>3.594102523742064E-2</v>
      </c>
      <c r="K107" s="43">
        <f t="shared" si="38"/>
        <v>1.6737499344141874E-2</v>
      </c>
      <c r="L107" s="43">
        <f t="shared" si="38"/>
        <v>1.9046119943333859E-2</v>
      </c>
      <c r="M107" s="43">
        <f t="shared" si="38"/>
        <v>0.40353638700876227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0.48187895847994372</v>
      </c>
      <c r="D108" s="44">
        <f t="shared" ref="D108:N108" si="39">D106/$O$106</f>
        <v>7.7058409570724837E-2</v>
      </c>
      <c r="E108" s="44">
        <f t="shared" si="39"/>
        <v>6.2631949331456716E-2</v>
      </c>
      <c r="F108" s="44">
        <f t="shared" si="39"/>
        <v>0.16827938071780435</v>
      </c>
      <c r="G108" s="44">
        <f t="shared" si="39"/>
        <v>1.020408163265306E-2</v>
      </c>
      <c r="H108" s="44">
        <f t="shared" si="39"/>
        <v>3.4306826178747362E-3</v>
      </c>
      <c r="I108" s="44">
        <f t="shared" si="39"/>
        <v>7.6266713581984516E-2</v>
      </c>
      <c r="J108" s="44">
        <f t="shared" si="39"/>
        <v>6.0256861365235746E-2</v>
      </c>
      <c r="K108" s="44">
        <f t="shared" si="39"/>
        <v>2.8061224489795918E-2</v>
      </c>
      <c r="L108" s="44">
        <f t="shared" si="39"/>
        <v>3.1931738212526387E-2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>
        <v>1</v>
      </c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D19" zoomScale="77" zoomScaleSheetLayoutView="77" workbookViewId="0">
      <selection activeCell="P40" sqref="P4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'22.07 Busega-Masanafu'!C3:G3</f>
        <v>MCC - C1 - STN13 - NORTHERN BYPASS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'27.07 Busega-Masanafu-24h'!D5</f>
        <v>27.07.19</v>
      </c>
      <c r="E5" s="3"/>
      <c r="F5" s="41" t="s">
        <v>1</v>
      </c>
      <c r="G5" s="64" t="str">
        <f>'27.07 Busega-Masanafu-24h'!G5:H5</f>
        <v>NORTHERN BYPASS</v>
      </c>
      <c r="H5" s="65"/>
      <c r="I5" s="14"/>
      <c r="J5" s="2" t="s">
        <v>5</v>
      </c>
      <c r="K5" s="64" t="str">
        <f>'27.07 Busega-Masanafu-24h'!K5:L5</f>
        <v>SSEMUKO SAMUEL JUNIOR W/MUTEBI CHRISTOPHER/SSEMWOGERERE FREDRICK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'22.07 Masanafu-Busega'!D6:E6</f>
        <v>MASANAFU</v>
      </c>
      <c r="E6" s="65"/>
      <c r="F6" s="2" t="s">
        <v>2</v>
      </c>
      <c r="G6" s="64" t="str">
        <f>'22.07 Masanafu-Busega'!G6:H6</f>
        <v>BUSEGA</v>
      </c>
      <c r="H6" s="65"/>
      <c r="J6" s="2" t="s">
        <v>21</v>
      </c>
      <c r="K6" s="64" t="str">
        <f>'27.07 Busega-Masanafu-24h'!K6:L6</f>
        <v>ANDY/ANDREW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26</v>
      </c>
      <c r="D10" s="50">
        <v>6</v>
      </c>
      <c r="E10" s="50">
        <v>0</v>
      </c>
      <c r="F10" s="50">
        <v>22</v>
      </c>
      <c r="G10" s="50">
        <v>2</v>
      </c>
      <c r="H10" s="50">
        <v>0</v>
      </c>
      <c r="I10" s="50">
        <v>2</v>
      </c>
      <c r="J10" s="50">
        <v>2</v>
      </c>
      <c r="K10" s="50">
        <v>3</v>
      </c>
      <c r="L10" s="50">
        <v>0</v>
      </c>
      <c r="M10" s="50">
        <v>80</v>
      </c>
      <c r="N10" s="50">
        <v>0</v>
      </c>
      <c r="O10" s="15">
        <f>SUM('27.07 Busega-Masanafu-24h'!C10:L10,N10)</f>
        <v>106</v>
      </c>
      <c r="P10" s="15">
        <f t="shared" ref="P10:P28" si="0">SUM(C10:N10)</f>
        <v>143</v>
      </c>
      <c r="R10" s="1" t="s">
        <v>6</v>
      </c>
      <c r="S10" s="17">
        <f>SUM('27.07 Busega-Masanafu-24h'!C10:C13)</f>
        <v>206</v>
      </c>
      <c r="T10" s="17">
        <f>SUM('27.07 Busega-Masanafu-24h'!D10:D13)</f>
        <v>34</v>
      </c>
      <c r="U10" s="17">
        <f>SUM('27.07 Busega-Masanafu-24h'!E10:E13)</f>
        <v>22</v>
      </c>
      <c r="V10" s="17">
        <f>SUM('27.07 Busega-Masanafu-24h'!F10:F13)</f>
        <v>94</v>
      </c>
      <c r="W10" s="17">
        <f>SUM('27.07 Busega-Masanafu-24h'!G10:G13)</f>
        <v>6</v>
      </c>
      <c r="X10" s="17">
        <f>SUM('27.07 Busega-Masanafu-24h'!H10:H13)</f>
        <v>0</v>
      </c>
      <c r="Y10" s="17">
        <f>SUM('27.07 Busega-Masanafu-24h'!I10:I13)</f>
        <v>33</v>
      </c>
      <c r="Z10" s="17">
        <f>SUM('27.07 Busega-Masanafu-24h'!J10:J13)</f>
        <v>46</v>
      </c>
      <c r="AA10" s="17">
        <f>SUM('27.07 Busega-Masanafu-24h'!K10:K13)</f>
        <v>11</v>
      </c>
      <c r="AB10" s="17">
        <f>SUM('27.07 Busega-Masanafu-24h'!L10:L13)</f>
        <v>5</v>
      </c>
      <c r="AC10" s="17">
        <f>SUM('27.07 Busega-Masanafu-24h'!M10:M13)</f>
        <v>495</v>
      </c>
      <c r="AD10" s="17">
        <f>SUM(N10:N13)</f>
        <v>0</v>
      </c>
      <c r="AE10" s="31">
        <f>SUM(O10:O13)</f>
        <v>457</v>
      </c>
      <c r="AF10" s="31">
        <f>SUM(P10:P13)</f>
        <v>890</v>
      </c>
    </row>
    <row r="11" spans="2:32" s="6" customFormat="1" ht="23.1" customHeight="1" x14ac:dyDescent="0.25">
      <c r="B11" s="45" t="s">
        <v>38</v>
      </c>
      <c r="C11" s="50">
        <v>85</v>
      </c>
      <c r="D11" s="50">
        <v>13</v>
      </c>
      <c r="E11" s="50">
        <v>0</v>
      </c>
      <c r="F11" s="50">
        <v>31</v>
      </c>
      <c r="G11" s="50">
        <v>1</v>
      </c>
      <c r="H11" s="50">
        <v>0</v>
      </c>
      <c r="I11" s="50">
        <v>11</v>
      </c>
      <c r="J11" s="50">
        <v>7</v>
      </c>
      <c r="K11" s="50">
        <v>5</v>
      </c>
      <c r="L11" s="50">
        <v>4</v>
      </c>
      <c r="M11" s="50">
        <v>65</v>
      </c>
      <c r="N11" s="50">
        <v>0</v>
      </c>
      <c r="O11" s="15">
        <f>SUM('27.07 Busega-Masanafu-24h'!C11:L11,N11)</f>
        <v>141</v>
      </c>
      <c r="P11" s="15">
        <f t="shared" si="0"/>
        <v>222</v>
      </c>
      <c r="R11" s="1" t="s">
        <v>7</v>
      </c>
      <c r="S11" s="17">
        <f>SUM('27.07 Busega-Masanafu-24h'!C14:C17)</f>
        <v>306</v>
      </c>
      <c r="T11" s="17">
        <f>SUM('27.07 Busega-Masanafu-24h'!D14:D17)</f>
        <v>38</v>
      </c>
      <c r="U11" s="17">
        <f>SUM('27.07 Busega-Masanafu-24h'!E14:E17)</f>
        <v>23</v>
      </c>
      <c r="V11" s="17">
        <f>SUM('27.07 Busega-Masanafu-24h'!F14:F17)</f>
        <v>104</v>
      </c>
      <c r="W11" s="17">
        <f>SUM('27.07 Busega-Masanafu-24h'!G14:G17)</f>
        <v>7</v>
      </c>
      <c r="X11" s="17">
        <f>SUM('27.07 Busega-Masanafu-24h'!H14:H17)</f>
        <v>1</v>
      </c>
      <c r="Y11" s="17">
        <f>SUM('27.07 Busega-Masanafu-24h'!I14:I17)</f>
        <v>41</v>
      </c>
      <c r="Z11" s="17">
        <f>SUM('27.07 Busega-Masanafu-24h'!J14:J17)</f>
        <v>42</v>
      </c>
      <c r="AA11" s="17">
        <f>SUM('27.07 Busega-Masanafu-24h'!K14:K17)</f>
        <v>7</v>
      </c>
      <c r="AB11" s="17">
        <f>SUM('27.07 Busega-Masanafu-24h'!L14:L17)</f>
        <v>8</v>
      </c>
      <c r="AC11" s="17">
        <f>SUM('27.07 Busega-Masanafu-24h'!M14:M17)</f>
        <v>633</v>
      </c>
      <c r="AD11" s="17">
        <f>SUM(N14:N17)</f>
        <v>0</v>
      </c>
      <c r="AE11" s="31">
        <f>SUM(O14:O17)</f>
        <v>577</v>
      </c>
      <c r="AF11" s="31">
        <f>SUM(P14:P17)</f>
        <v>1167</v>
      </c>
    </row>
    <row r="12" spans="2:32" ht="23.1" customHeight="1" x14ac:dyDescent="0.25">
      <c r="B12" s="45" t="s">
        <v>39</v>
      </c>
      <c r="C12" s="50">
        <v>86</v>
      </c>
      <c r="D12" s="50">
        <v>9</v>
      </c>
      <c r="E12" s="50">
        <v>6</v>
      </c>
      <c r="F12" s="50">
        <v>35</v>
      </c>
      <c r="G12" s="50">
        <v>0</v>
      </c>
      <c r="H12" s="50">
        <v>12</v>
      </c>
      <c r="I12" s="50">
        <v>13</v>
      </c>
      <c r="J12" s="50">
        <v>4</v>
      </c>
      <c r="K12" s="50">
        <v>4</v>
      </c>
      <c r="L12" s="50">
        <v>3</v>
      </c>
      <c r="M12" s="50">
        <v>127</v>
      </c>
      <c r="N12" s="50">
        <v>0</v>
      </c>
      <c r="O12" s="15">
        <f>SUM('27.07 Busega-Masanafu-24h'!C12:L12,N12)</f>
        <v>107</v>
      </c>
      <c r="P12" s="15">
        <f t="shared" si="0"/>
        <v>299</v>
      </c>
      <c r="R12" s="1" t="s">
        <v>8</v>
      </c>
      <c r="S12" s="17">
        <f>SUM('27.07 Busega-Masanafu-24h'!C18:C21)</f>
        <v>327</v>
      </c>
      <c r="T12" s="17">
        <f>SUM('27.07 Busega-Masanafu-24h'!D18:D21)</f>
        <v>52</v>
      </c>
      <c r="U12" s="17">
        <f>SUM('27.07 Busega-Masanafu-24h'!E18:E21)</f>
        <v>45</v>
      </c>
      <c r="V12" s="17">
        <f>SUM('27.07 Busega-Masanafu-24h'!F18:F21)</f>
        <v>108</v>
      </c>
      <c r="W12" s="17">
        <f>SUM('27.07 Busega-Masanafu-24h'!G18:G21)</f>
        <v>9</v>
      </c>
      <c r="X12" s="17">
        <f>SUM('27.07 Busega-Masanafu-24h'!H18:H21)</f>
        <v>0</v>
      </c>
      <c r="Y12" s="17">
        <f>SUM('27.07 Busega-Masanafu-24h'!I18:I21)</f>
        <v>53</v>
      </c>
      <c r="Z12" s="17">
        <f>SUM('27.07 Busega-Masanafu-24h'!J18:J21)</f>
        <v>43</v>
      </c>
      <c r="AA12" s="17">
        <f>SUM('27.07 Busega-Masanafu-24h'!K18:K21)</f>
        <v>9</v>
      </c>
      <c r="AB12" s="17">
        <f>SUM('27.07 Busega-Masanafu-24h'!L18:L21)</f>
        <v>13</v>
      </c>
      <c r="AC12" s="17">
        <f>SUM('27.07 Busega-Masanafu-24h'!M18:M21)</f>
        <v>623</v>
      </c>
      <c r="AD12" s="17">
        <f>SUM(N18:N21)</f>
        <v>0</v>
      </c>
      <c r="AE12" s="31">
        <f>SUM(O18:O21)</f>
        <v>659</v>
      </c>
      <c r="AF12" s="31">
        <f>SUM(P18:P21)</f>
        <v>1172</v>
      </c>
    </row>
    <row r="13" spans="2:32" ht="23.1" customHeight="1" x14ac:dyDescent="0.25">
      <c r="B13" s="45" t="s">
        <v>40</v>
      </c>
      <c r="C13" s="50">
        <v>80</v>
      </c>
      <c r="D13" s="50">
        <v>11</v>
      </c>
      <c r="E13" s="50">
        <v>3</v>
      </c>
      <c r="F13" s="50">
        <v>30</v>
      </c>
      <c r="G13" s="50">
        <v>1</v>
      </c>
      <c r="H13" s="50">
        <v>0</v>
      </c>
      <c r="I13" s="50">
        <v>6</v>
      </c>
      <c r="J13" s="50">
        <v>1</v>
      </c>
      <c r="K13" s="50">
        <v>0</v>
      </c>
      <c r="L13" s="50">
        <v>3</v>
      </c>
      <c r="M13" s="50">
        <v>91</v>
      </c>
      <c r="N13" s="50">
        <v>0</v>
      </c>
      <c r="O13" s="15">
        <f>SUM('27.07 Busega-Masanafu-24h'!C13:L13,N13)</f>
        <v>103</v>
      </c>
      <c r="P13" s="15">
        <f t="shared" si="0"/>
        <v>226</v>
      </c>
      <c r="R13" s="1" t="s">
        <v>9</v>
      </c>
      <c r="S13" s="17">
        <f>SUM('27.07 Busega-Masanafu-24h'!C22:C25)</f>
        <v>381</v>
      </c>
      <c r="T13" s="17">
        <f>SUM('27.07 Busega-Masanafu-24h'!D22:D25)</f>
        <v>53</v>
      </c>
      <c r="U13" s="17">
        <f>SUM('27.07 Busega-Masanafu-24h'!E22:E25)</f>
        <v>41</v>
      </c>
      <c r="V13" s="17">
        <f>SUM('27.07 Busega-Masanafu-24h'!F22:F25)</f>
        <v>121</v>
      </c>
      <c r="W13" s="17">
        <f>SUM('27.07 Busega-Masanafu-24h'!G22:G25)</f>
        <v>6</v>
      </c>
      <c r="X13" s="17">
        <f>SUM('27.07 Busega-Masanafu-24h'!H22:H25)</f>
        <v>4</v>
      </c>
      <c r="Y13" s="17">
        <f>SUM('27.07 Busega-Masanafu-24h'!I22:I25)</f>
        <v>56</v>
      </c>
      <c r="Z13" s="17">
        <f>SUM('27.07 Busega-Masanafu-24h'!J22:J25)</f>
        <v>38</v>
      </c>
      <c r="AA13" s="17">
        <f>SUM('27.07 Busega-Masanafu-24h'!K22:K25)</f>
        <v>17</v>
      </c>
      <c r="AB13" s="17">
        <f>SUM('27.07 Busega-Masanafu-24h'!L22:L25)</f>
        <v>11</v>
      </c>
      <c r="AC13" s="17">
        <f>SUM('27.07 Busega-Masanafu-24h'!M22:M25)</f>
        <v>534</v>
      </c>
      <c r="AD13" s="17">
        <f>SUM(N22:N25)</f>
        <v>0</v>
      </c>
      <c r="AE13" s="31">
        <f>SUM(O22:O25)</f>
        <v>728</v>
      </c>
      <c r="AF13" s="31">
        <f>SUM(P22:P25)</f>
        <v>1197</v>
      </c>
    </row>
    <row r="14" spans="2:32" ht="23.1" customHeight="1" x14ac:dyDescent="0.25">
      <c r="B14" s="45" t="s">
        <v>41</v>
      </c>
      <c r="C14" s="50">
        <v>69</v>
      </c>
      <c r="D14" s="50">
        <v>12</v>
      </c>
      <c r="E14" s="50">
        <v>12</v>
      </c>
      <c r="F14" s="50">
        <v>31</v>
      </c>
      <c r="G14" s="50">
        <v>1</v>
      </c>
      <c r="H14" s="50">
        <v>0</v>
      </c>
      <c r="I14" s="50">
        <v>11</v>
      </c>
      <c r="J14" s="50">
        <v>3</v>
      </c>
      <c r="K14" s="50">
        <v>1</v>
      </c>
      <c r="L14" s="50">
        <v>6</v>
      </c>
      <c r="M14" s="50">
        <v>118</v>
      </c>
      <c r="N14" s="50">
        <v>0</v>
      </c>
      <c r="O14" s="15">
        <f>SUM('27.07 Busega-Masanafu-24h'!C14:L14,N14)</f>
        <v>132</v>
      </c>
      <c r="P14" s="15">
        <f t="shared" si="0"/>
        <v>264</v>
      </c>
      <c r="R14" s="1" t="s">
        <v>10</v>
      </c>
      <c r="S14" s="17">
        <f>SUM('27.07 Busega-Masanafu-24h'!C26:C29)</f>
        <v>387</v>
      </c>
      <c r="T14" s="17">
        <f>SUM('27.07 Busega-Masanafu-24h'!D26:D29)</f>
        <v>58</v>
      </c>
      <c r="U14" s="17">
        <f>SUM('27.07 Busega-Masanafu-24h'!E26:E29)</f>
        <v>36</v>
      </c>
      <c r="V14" s="17">
        <f>SUM('27.07 Busega-Masanafu-24h'!F26:F29)</f>
        <v>133</v>
      </c>
      <c r="W14" s="17">
        <f>SUM('27.07 Busega-Masanafu-24h'!G26:G29)</f>
        <v>5</v>
      </c>
      <c r="X14" s="17">
        <f>SUM('27.07 Busega-Masanafu-24h'!H26:H29)</f>
        <v>2</v>
      </c>
      <c r="Y14" s="17">
        <f>SUM('27.07 Busega-Masanafu-24h'!I26:I29)</f>
        <v>47</v>
      </c>
      <c r="Z14" s="17">
        <f>SUM('27.07 Busega-Masanafu-24h'!J26:J29)</f>
        <v>35</v>
      </c>
      <c r="AA14" s="17">
        <f>SUM('27.07 Busega-Masanafu-24h'!K26:K29)</f>
        <v>20</v>
      </c>
      <c r="AB14" s="17">
        <f>SUM('27.07 Busega-Masanafu-24h'!L26:L29)</f>
        <v>15</v>
      </c>
      <c r="AC14" s="17">
        <f>SUM('27.07 Busega-Masanafu-24h'!M26:M29)</f>
        <v>531</v>
      </c>
      <c r="AD14" s="17">
        <f>SUM(N26:N29)</f>
        <v>0</v>
      </c>
      <c r="AE14" s="31">
        <f>SUM(O26:O29)</f>
        <v>738</v>
      </c>
      <c r="AF14" s="31">
        <f>SUM(P26:P29)</f>
        <v>1244</v>
      </c>
    </row>
    <row r="15" spans="2:32" ht="23.1" customHeight="1" x14ac:dyDescent="0.25">
      <c r="B15" s="45" t="s">
        <v>42</v>
      </c>
      <c r="C15" s="50">
        <v>77</v>
      </c>
      <c r="D15" s="50">
        <v>9</v>
      </c>
      <c r="E15" s="50">
        <v>6</v>
      </c>
      <c r="F15" s="50">
        <v>45</v>
      </c>
      <c r="G15" s="50">
        <v>1</v>
      </c>
      <c r="H15" s="50">
        <v>3</v>
      </c>
      <c r="I15" s="50">
        <v>10</v>
      </c>
      <c r="J15" s="50">
        <v>2</v>
      </c>
      <c r="K15" s="50">
        <v>2</v>
      </c>
      <c r="L15" s="50">
        <v>4</v>
      </c>
      <c r="M15" s="50">
        <v>155</v>
      </c>
      <c r="N15" s="50">
        <v>0</v>
      </c>
      <c r="O15" s="15">
        <f>SUM('27.07 Busega-Masanafu-24h'!C15:L15,N15)</f>
        <v>121</v>
      </c>
      <c r="P15" s="15">
        <f t="shared" si="0"/>
        <v>314</v>
      </c>
      <c r="R15" s="1" t="s">
        <v>11</v>
      </c>
      <c r="S15" s="17">
        <f>SUM('27.07 Busega-Masanafu-24h'!C30:C33)</f>
        <v>409</v>
      </c>
      <c r="T15" s="17">
        <f>SUM('27.07 Busega-Masanafu-24h'!D30:D33)</f>
        <v>57</v>
      </c>
      <c r="U15" s="17">
        <f>SUM('27.07 Busega-Masanafu-24h'!E30:E33)</f>
        <v>28</v>
      </c>
      <c r="V15" s="17">
        <f>SUM('27.07 Busega-Masanafu-24h'!F30:F33)</f>
        <v>122</v>
      </c>
      <c r="W15" s="17">
        <f>SUM('27.07 Busega-Masanafu-24h'!G30:G33)</f>
        <v>5</v>
      </c>
      <c r="X15" s="17">
        <f>SUM('27.07 Busega-Masanafu-24h'!H30:H33)</f>
        <v>0</v>
      </c>
      <c r="Y15" s="17">
        <f>SUM('27.07 Busega-Masanafu-24h'!I30:I33)</f>
        <v>39</v>
      </c>
      <c r="Z15" s="17">
        <f>SUM('27.07 Busega-Masanafu-24h'!J30:J33)</f>
        <v>38</v>
      </c>
      <c r="AA15" s="17">
        <f>SUM('27.07 Busega-Masanafu-24h'!K30:K33)</f>
        <v>11</v>
      </c>
      <c r="AB15" s="17">
        <f>SUM('27.07 Busega-Masanafu-24h'!L30:L33)</f>
        <v>25</v>
      </c>
      <c r="AC15" s="17">
        <f>SUM('27.07 Busega-Masanafu-24h'!M30:M33)</f>
        <v>449</v>
      </c>
      <c r="AD15" s="17">
        <f>SUM(N30:N33)</f>
        <v>0</v>
      </c>
      <c r="AE15" s="31">
        <f>SUM(O30:O33)</f>
        <v>734</v>
      </c>
      <c r="AF15" s="31">
        <f>SUM(P30:P33)</f>
        <v>1305</v>
      </c>
    </row>
    <row r="16" spans="2:32" ht="23.1" customHeight="1" x14ac:dyDescent="0.25">
      <c r="B16" s="45" t="s">
        <v>43</v>
      </c>
      <c r="C16" s="50">
        <v>88</v>
      </c>
      <c r="D16" s="50">
        <v>11</v>
      </c>
      <c r="E16" s="50">
        <v>6</v>
      </c>
      <c r="F16" s="50">
        <v>41</v>
      </c>
      <c r="G16" s="50">
        <v>1</v>
      </c>
      <c r="H16" s="50">
        <v>1</v>
      </c>
      <c r="I16" s="50">
        <v>13</v>
      </c>
      <c r="J16" s="50">
        <v>7</v>
      </c>
      <c r="K16" s="50">
        <v>3</v>
      </c>
      <c r="L16" s="50">
        <v>6</v>
      </c>
      <c r="M16" s="50">
        <v>127</v>
      </c>
      <c r="N16" s="50">
        <v>0</v>
      </c>
      <c r="O16" s="15">
        <f>SUM('27.07 Busega-Masanafu-24h'!C16:L16,N16)</f>
        <v>189</v>
      </c>
      <c r="P16" s="15">
        <f t="shared" si="0"/>
        <v>304</v>
      </c>
      <c r="R16" s="1" t="s">
        <v>12</v>
      </c>
      <c r="S16" s="17">
        <f>SUM('27.07 Busega-Masanafu-24h'!C34:C37)</f>
        <v>300</v>
      </c>
      <c r="T16" s="17">
        <f>SUM('27.07 Busega-Masanafu-24h'!D34:D37)</f>
        <v>59</v>
      </c>
      <c r="U16" s="17">
        <f>SUM('27.07 Busega-Masanafu-24h'!E34:E37)</f>
        <v>31</v>
      </c>
      <c r="V16" s="17">
        <f>SUM('27.07 Busega-Masanafu-24h'!F34:F37)</f>
        <v>97</v>
      </c>
      <c r="W16" s="17">
        <f>SUM('27.07 Busega-Masanafu-24h'!G34:G37)</f>
        <v>4</v>
      </c>
      <c r="X16" s="17">
        <f>SUM('27.07 Busega-Masanafu-24h'!H34:H37)</f>
        <v>1</v>
      </c>
      <c r="Y16" s="17">
        <f>SUM('27.07 Busega-Masanafu-24h'!I34:I37)</f>
        <v>46</v>
      </c>
      <c r="Z16" s="17">
        <f>SUM('27.07 Busega-Masanafu-24h'!J34:J37)</f>
        <v>42</v>
      </c>
      <c r="AA16" s="17">
        <f>SUM('27.07 Busega-Masanafu-24h'!K34:K37)</f>
        <v>9</v>
      </c>
      <c r="AB16" s="17">
        <f>SUM('27.07 Busega-Masanafu-24h'!L34:L37)</f>
        <v>18</v>
      </c>
      <c r="AC16" s="17">
        <f>SUM('27.07 Busega-Masanafu-24h'!M34:M37)</f>
        <v>482</v>
      </c>
      <c r="AD16" s="17">
        <f>SUM(N34:N37)</f>
        <v>0</v>
      </c>
      <c r="AE16" s="31">
        <f>SUM(O34:O37)</f>
        <v>607</v>
      </c>
      <c r="AF16" s="31">
        <f>SUM(P34:P37)</f>
        <v>1242</v>
      </c>
    </row>
    <row r="17" spans="2:32" ht="23.1" customHeight="1" x14ac:dyDescent="0.25">
      <c r="B17" s="45" t="s">
        <v>44</v>
      </c>
      <c r="C17" s="50">
        <v>84</v>
      </c>
      <c r="D17" s="50">
        <v>8</v>
      </c>
      <c r="E17" s="50">
        <v>10</v>
      </c>
      <c r="F17" s="50">
        <v>47</v>
      </c>
      <c r="G17" s="50">
        <v>0</v>
      </c>
      <c r="H17" s="50">
        <v>0</v>
      </c>
      <c r="I17" s="50">
        <v>5</v>
      </c>
      <c r="J17" s="50">
        <v>5</v>
      </c>
      <c r="K17" s="50">
        <v>2</v>
      </c>
      <c r="L17" s="50">
        <v>2</v>
      </c>
      <c r="M17" s="50">
        <v>122</v>
      </c>
      <c r="N17" s="50">
        <v>0</v>
      </c>
      <c r="O17" s="15">
        <f>SUM('27.07 Busega-Masanafu-24h'!C17:L17,N17)</f>
        <v>135</v>
      </c>
      <c r="P17" s="15">
        <f t="shared" si="0"/>
        <v>285</v>
      </c>
      <c r="R17" s="1" t="s">
        <v>13</v>
      </c>
      <c r="S17" s="17">
        <f>SUM('27.07 Busega-Masanafu-24h'!C38:C41)</f>
        <v>321</v>
      </c>
      <c r="T17" s="17">
        <f>SUM('27.07 Busega-Masanafu-24h'!D38:D41)</f>
        <v>60</v>
      </c>
      <c r="U17" s="17">
        <f>SUM('27.07 Busega-Masanafu-24h'!E38:E41)</f>
        <v>35</v>
      </c>
      <c r="V17" s="17">
        <f>SUM('27.07 Busega-Masanafu-24h'!F38:F41)</f>
        <v>99</v>
      </c>
      <c r="W17" s="17">
        <f>SUM('27.07 Busega-Masanafu-24h'!G38:G41)</f>
        <v>3</v>
      </c>
      <c r="X17" s="17">
        <f>SUM('27.07 Busega-Masanafu-24h'!H38:H41)</f>
        <v>2</v>
      </c>
      <c r="Y17" s="17">
        <f>SUM('27.07 Busega-Masanafu-24h'!I38:I41)</f>
        <v>42</v>
      </c>
      <c r="Z17" s="17">
        <f>SUM('27.07 Busega-Masanafu-24h'!J38:J41)</f>
        <v>40</v>
      </c>
      <c r="AA17" s="17">
        <f>SUM('27.07 Busega-Masanafu-24h'!K38:K41)</f>
        <v>19</v>
      </c>
      <c r="AB17" s="17">
        <f>SUM('27.07 Busega-Masanafu-24h'!L38:L41)</f>
        <v>24</v>
      </c>
      <c r="AC17" s="17">
        <f>SUM('27.07 Busega-Masanafu-24h'!M38:M41)</f>
        <v>408</v>
      </c>
      <c r="AD17" s="17">
        <f>SUM(N38:N41)</f>
        <v>0</v>
      </c>
      <c r="AE17" s="31">
        <f>SUM(O38:O41)</f>
        <v>645</v>
      </c>
      <c r="AF17" s="31">
        <f>SUM(P38:P41)</f>
        <v>1317</v>
      </c>
    </row>
    <row r="18" spans="2:32" ht="23.1" customHeight="1" x14ac:dyDescent="0.25">
      <c r="B18" s="45" t="s">
        <v>45</v>
      </c>
      <c r="C18" s="50">
        <v>91</v>
      </c>
      <c r="D18" s="50">
        <v>10</v>
      </c>
      <c r="E18" s="50">
        <v>8</v>
      </c>
      <c r="F18" s="50">
        <v>32</v>
      </c>
      <c r="G18" s="50">
        <v>0</v>
      </c>
      <c r="H18" s="50">
        <v>0</v>
      </c>
      <c r="I18" s="50">
        <v>15</v>
      </c>
      <c r="J18" s="50">
        <v>5</v>
      </c>
      <c r="K18" s="50">
        <v>5</v>
      </c>
      <c r="L18" s="50">
        <v>4</v>
      </c>
      <c r="M18" s="50">
        <v>162</v>
      </c>
      <c r="N18" s="50">
        <v>0</v>
      </c>
      <c r="O18" s="15">
        <f>SUM('27.07 Busega-Masanafu-24h'!C18:L18,N18)</f>
        <v>183</v>
      </c>
      <c r="P18" s="15">
        <f t="shared" si="0"/>
        <v>332</v>
      </c>
      <c r="R18" s="1" t="s">
        <v>14</v>
      </c>
      <c r="S18" s="17">
        <f>SUM('27.07 Busega-Masanafu-24h'!C42:C45)</f>
        <v>326</v>
      </c>
      <c r="T18" s="17">
        <f>SUM('27.07 Busega-Masanafu-24h'!D42:D45)</f>
        <v>73</v>
      </c>
      <c r="U18" s="17">
        <f>SUM('27.07 Busega-Masanafu-24h'!E42:E45)</f>
        <v>47</v>
      </c>
      <c r="V18" s="17">
        <f>SUM('27.07 Busega-Masanafu-24h'!F42:F45)</f>
        <v>100</v>
      </c>
      <c r="W18" s="17">
        <f>SUM('27.07 Busega-Masanafu-24h'!G42:G45)</f>
        <v>2</v>
      </c>
      <c r="X18" s="17">
        <f>SUM('27.07 Busega-Masanafu-24h'!H42:H45)</f>
        <v>1</v>
      </c>
      <c r="Y18" s="17">
        <f>SUM('27.07 Busega-Masanafu-24h'!I42:I45)</f>
        <v>43</v>
      </c>
      <c r="Z18" s="17">
        <f>SUM('27.07 Busega-Masanafu-24h'!J42:J45)</f>
        <v>31</v>
      </c>
      <c r="AA18" s="17">
        <f>SUM('27.07 Busega-Masanafu-24h'!K42:K45)</f>
        <v>41</v>
      </c>
      <c r="AB18" s="17">
        <f>SUM('27.07 Busega-Masanafu-24h'!L42:L45)</f>
        <v>20</v>
      </c>
      <c r="AC18" s="17">
        <f>SUM('27.07 Busega-Masanafu-24h'!M42:M45)</f>
        <v>436</v>
      </c>
      <c r="AD18" s="17">
        <f>SUM(N42:N45)</f>
        <v>0</v>
      </c>
      <c r="AE18" s="31">
        <f>SUM(O42:O45)</f>
        <v>684</v>
      </c>
      <c r="AF18" s="31">
        <f>SUM(P42:P45)</f>
        <v>1073</v>
      </c>
    </row>
    <row r="19" spans="2:32" ht="23.1" customHeight="1" x14ac:dyDescent="0.25">
      <c r="B19" s="45" t="s">
        <v>46</v>
      </c>
      <c r="C19" s="50">
        <v>85</v>
      </c>
      <c r="D19" s="50">
        <v>10</v>
      </c>
      <c r="E19" s="50">
        <v>13</v>
      </c>
      <c r="F19" s="50">
        <v>42</v>
      </c>
      <c r="G19" s="50">
        <v>3</v>
      </c>
      <c r="H19" s="50">
        <v>1</v>
      </c>
      <c r="I19" s="50">
        <v>8</v>
      </c>
      <c r="J19" s="50">
        <v>4</v>
      </c>
      <c r="K19" s="50">
        <v>7</v>
      </c>
      <c r="L19" s="50">
        <v>7</v>
      </c>
      <c r="M19" s="50">
        <v>115</v>
      </c>
      <c r="N19" s="50">
        <v>0</v>
      </c>
      <c r="O19" s="15">
        <f>SUM('27.07 Busega-Masanafu-24h'!C19:L19,N19)</f>
        <v>168</v>
      </c>
      <c r="P19" s="15">
        <f t="shared" si="0"/>
        <v>295</v>
      </c>
      <c r="R19" s="1" t="s">
        <v>15</v>
      </c>
      <c r="S19" s="17">
        <f>SUM('27.07 Busega-Masanafu-24h'!C46:C49)</f>
        <v>354</v>
      </c>
      <c r="T19" s="17">
        <f>SUM('27.07 Busega-Masanafu-24h'!D46:D49)</f>
        <v>72</v>
      </c>
      <c r="U19" s="17">
        <f>SUM('27.07 Busega-Masanafu-24h'!E46:E49)</f>
        <v>38</v>
      </c>
      <c r="V19" s="17">
        <f>SUM('27.07 Busega-Masanafu-24h'!F46:F49)</f>
        <v>99</v>
      </c>
      <c r="W19" s="17">
        <f>SUM('27.07 Busega-Masanafu-24h'!G46:G49)</f>
        <v>2</v>
      </c>
      <c r="X19" s="17">
        <f>SUM('27.07 Busega-Masanafu-24h'!H46:H49)</f>
        <v>1</v>
      </c>
      <c r="Y19" s="17">
        <f>SUM('27.07 Busega-Masanafu-24h'!I46:I49)</f>
        <v>50</v>
      </c>
      <c r="Z19" s="17">
        <f>SUM('27.07 Busega-Masanafu-24h'!J46:J49)</f>
        <v>36</v>
      </c>
      <c r="AA19" s="17">
        <f>SUM('27.07 Busega-Masanafu-24h'!K46:K49)</f>
        <v>16</v>
      </c>
      <c r="AB19" s="17">
        <f>SUM('27.07 Busega-Masanafu-24h'!L46:L49)</f>
        <v>23</v>
      </c>
      <c r="AC19" s="17">
        <f>SUM('27.07 Busega-Masanafu-24h'!M46:M49)</f>
        <v>362</v>
      </c>
      <c r="AD19" s="17">
        <f>SUM(N46:N49)</f>
        <v>0</v>
      </c>
      <c r="AE19" s="31">
        <f>SUM(O46:O49)</f>
        <v>691</v>
      </c>
      <c r="AF19" s="31">
        <f>SUM(P46:P49)</f>
        <v>1024</v>
      </c>
    </row>
    <row r="20" spans="2:32" ht="23.1" customHeight="1" x14ac:dyDescent="0.25">
      <c r="B20" s="45" t="s">
        <v>47</v>
      </c>
      <c r="C20" s="50">
        <v>83</v>
      </c>
      <c r="D20" s="50">
        <v>5</v>
      </c>
      <c r="E20" s="50">
        <v>3</v>
      </c>
      <c r="F20" s="50">
        <v>45</v>
      </c>
      <c r="G20" s="50">
        <v>4</v>
      </c>
      <c r="H20" s="50">
        <v>0</v>
      </c>
      <c r="I20" s="50">
        <v>20</v>
      </c>
      <c r="J20" s="50">
        <v>3</v>
      </c>
      <c r="K20" s="50">
        <v>6</v>
      </c>
      <c r="L20" s="50">
        <v>10</v>
      </c>
      <c r="M20" s="50">
        <v>79</v>
      </c>
      <c r="N20" s="50">
        <v>0</v>
      </c>
      <c r="O20" s="15">
        <f>SUM('27.07 Busega-Masanafu-24h'!C20:L20,N20)</f>
        <v>151</v>
      </c>
      <c r="P20" s="15">
        <f t="shared" si="0"/>
        <v>258</v>
      </c>
      <c r="R20" s="1" t="s">
        <v>16</v>
      </c>
      <c r="S20" s="17">
        <f>SUM('27.07 Busega-Masanafu-24h'!C50:C53)</f>
        <v>330</v>
      </c>
      <c r="T20" s="17">
        <f>SUM('27.07 Busega-Masanafu-24h'!D50:D53)</f>
        <v>58</v>
      </c>
      <c r="U20" s="17">
        <f>SUM('27.07 Busega-Masanafu-24h'!E50:E53)</f>
        <v>28</v>
      </c>
      <c r="V20" s="17">
        <f>SUM('27.07 Busega-Masanafu-24h'!F50:F53)</f>
        <v>102</v>
      </c>
      <c r="W20" s="17">
        <f>SUM('27.07 Busega-Masanafu-24h'!G50:G53)</f>
        <v>5</v>
      </c>
      <c r="X20" s="17">
        <f>SUM('27.07 Busega-Masanafu-24h'!H50:H53)</f>
        <v>1</v>
      </c>
      <c r="Y20" s="17">
        <f>SUM('27.07 Busega-Masanafu-24h'!I50:I53)</f>
        <v>51</v>
      </c>
      <c r="Z20" s="17">
        <f>SUM('27.07 Busega-Masanafu-24h'!J50:J53)</f>
        <v>42</v>
      </c>
      <c r="AA20" s="17">
        <f>SUM('27.07 Busega-Masanafu-24h'!K50:K53)</f>
        <v>16</v>
      </c>
      <c r="AB20" s="17">
        <f>SUM('27.07 Busega-Masanafu-24h'!L50:L53)</f>
        <v>23</v>
      </c>
      <c r="AC20" s="17">
        <f>SUM('27.07 Busega-Masanafu-24h'!M50:M53)</f>
        <v>436</v>
      </c>
      <c r="AD20" s="17">
        <f>SUM(N50:N53)</f>
        <v>0</v>
      </c>
      <c r="AE20" s="31">
        <f>SUM(O50:O53)</f>
        <v>656</v>
      </c>
      <c r="AF20" s="31">
        <f>SUM(P50:P53)</f>
        <v>1057</v>
      </c>
    </row>
    <row r="21" spans="2:32" ht="23.1" customHeight="1" x14ac:dyDescent="0.25">
      <c r="B21" s="45" t="s">
        <v>48</v>
      </c>
      <c r="C21" s="50">
        <v>89</v>
      </c>
      <c r="D21" s="50">
        <v>12</v>
      </c>
      <c r="E21" s="50">
        <v>8</v>
      </c>
      <c r="F21" s="50">
        <v>35</v>
      </c>
      <c r="G21" s="50">
        <v>7</v>
      </c>
      <c r="H21" s="50">
        <v>1</v>
      </c>
      <c r="I21" s="50">
        <v>14</v>
      </c>
      <c r="J21" s="50">
        <v>4</v>
      </c>
      <c r="K21" s="50">
        <v>2</v>
      </c>
      <c r="L21" s="50">
        <v>10</v>
      </c>
      <c r="M21" s="50">
        <v>105</v>
      </c>
      <c r="N21" s="50">
        <v>0</v>
      </c>
      <c r="O21" s="15">
        <f>SUM('27.07 Busega-Masanafu-24h'!C21:L21,N21)</f>
        <v>157</v>
      </c>
      <c r="P21" s="15">
        <f t="shared" si="0"/>
        <v>287</v>
      </c>
      <c r="R21" s="36" t="s">
        <v>20</v>
      </c>
      <c r="S21" s="34">
        <f>SUM('27.07 Busega-Masanafu-24h'!C54:C57)</f>
        <v>230</v>
      </c>
      <c r="T21" s="17">
        <f>SUM('27.07 Busega-Masanafu-24h'!D54:D57)</f>
        <v>62</v>
      </c>
      <c r="U21" s="17">
        <f>SUM('27.07 Busega-Masanafu-24h'!E54:E57)</f>
        <v>41</v>
      </c>
      <c r="V21" s="17">
        <f>SUM('27.07 Busega-Masanafu-24h'!F54:F57)</f>
        <v>145</v>
      </c>
      <c r="W21" s="17">
        <f>SUM('27.07 Busega-Masanafu-24h'!G54:G57)</f>
        <v>8</v>
      </c>
      <c r="X21" s="17">
        <f>SUM('27.07 Busega-Masanafu-24h'!H54:H57)</f>
        <v>1</v>
      </c>
      <c r="Y21" s="17">
        <f>SUM('27.07 Busega-Masanafu-24h'!I54:I57)</f>
        <v>31</v>
      </c>
      <c r="Z21" s="17">
        <f>SUM('27.07 Busega-Masanafu-24h'!J54:J57)</f>
        <v>20</v>
      </c>
      <c r="AA21" s="17">
        <f>SUM('27.07 Busega-Masanafu-24h'!K54:K57)</f>
        <v>7</v>
      </c>
      <c r="AB21" s="17">
        <f>SUM('27.07 Busega-Masanafu-24h'!L54:L57)</f>
        <v>11</v>
      </c>
      <c r="AC21" s="17">
        <f>SUM('27.07 Busega-Masanafu-24h'!M54:M57)</f>
        <v>452</v>
      </c>
      <c r="AD21" s="17">
        <f>SUM(N54:N57)</f>
        <v>0</v>
      </c>
      <c r="AE21" s="31">
        <f>SUM(O54:O57)</f>
        <v>556</v>
      </c>
      <c r="AF21" s="31">
        <f>SUM(P54:P57)</f>
        <v>935</v>
      </c>
    </row>
    <row r="22" spans="2:32" ht="23.1" customHeight="1" x14ac:dyDescent="0.25">
      <c r="B22" s="45" t="s">
        <v>49</v>
      </c>
      <c r="C22" s="50">
        <v>80</v>
      </c>
      <c r="D22" s="50">
        <v>8</v>
      </c>
      <c r="E22" s="50">
        <v>16</v>
      </c>
      <c r="F22" s="50">
        <v>53</v>
      </c>
      <c r="G22" s="50">
        <v>4</v>
      </c>
      <c r="H22" s="50">
        <v>0</v>
      </c>
      <c r="I22" s="50">
        <v>13</v>
      </c>
      <c r="J22" s="50">
        <v>7</v>
      </c>
      <c r="K22" s="50">
        <v>5</v>
      </c>
      <c r="L22" s="50">
        <v>8</v>
      </c>
      <c r="M22" s="50">
        <v>103</v>
      </c>
      <c r="N22" s="50">
        <v>0</v>
      </c>
      <c r="O22" s="15">
        <f>SUM('27.07 Busega-Masanafu-24h'!C22:L22,N22)</f>
        <v>196</v>
      </c>
      <c r="P22" s="15">
        <f t="shared" si="0"/>
        <v>297</v>
      </c>
      <c r="R22" s="36" t="s">
        <v>146</v>
      </c>
      <c r="S22" s="34">
        <f>SUM('27.07 Busega-Masanafu-24h'!C58:C61)</f>
        <v>257</v>
      </c>
      <c r="T22" s="34">
        <f>SUM('27.07 Busega-Masanafu-24h'!D58:D61)</f>
        <v>36</v>
      </c>
      <c r="U22" s="34">
        <f>SUM('27.07 Busega-Masanafu-24h'!E58:E61)</f>
        <v>41</v>
      </c>
      <c r="V22" s="34">
        <f>SUM('27.07 Busega-Masanafu-24h'!F58:F61)</f>
        <v>88</v>
      </c>
      <c r="W22" s="34">
        <f>SUM('27.07 Busega-Masanafu-24h'!G58:G61)</f>
        <v>6</v>
      </c>
      <c r="X22" s="34">
        <f>SUM('27.07 Busega-Masanafu-24h'!H58:H61)</f>
        <v>2</v>
      </c>
      <c r="Y22" s="34">
        <f>SUM('27.07 Busega-Masanafu-24h'!I58:I61)</f>
        <v>35</v>
      </c>
      <c r="Z22" s="34">
        <f>SUM('27.07 Busega-Masanafu-24h'!J58:J61)</f>
        <v>17</v>
      </c>
      <c r="AA22" s="34">
        <f>SUM('27.07 Busega-Masanafu-24h'!K58:K61)</f>
        <v>13</v>
      </c>
      <c r="AB22" s="34">
        <f>SUM('27.07 Busega-Masanafu-24h'!L58:L61)</f>
        <v>29</v>
      </c>
      <c r="AC22" s="34">
        <f>SUM('27.07 Busega-Masanafu-24h'!M58:M61)</f>
        <v>385</v>
      </c>
      <c r="AD22" s="34">
        <f>SUM(N58:N61)</f>
        <v>0</v>
      </c>
      <c r="AE22" s="31">
        <f>SUM(O58:O61)</f>
        <v>524</v>
      </c>
      <c r="AF22" s="31">
        <f>SUM(P58:P61)</f>
        <v>965</v>
      </c>
    </row>
    <row r="23" spans="2:32" ht="23.1" customHeight="1" x14ac:dyDescent="0.25">
      <c r="B23" s="45" t="s">
        <v>50</v>
      </c>
      <c r="C23" s="50">
        <v>98</v>
      </c>
      <c r="D23" s="50">
        <v>10</v>
      </c>
      <c r="E23" s="50">
        <v>7</v>
      </c>
      <c r="F23" s="50">
        <v>39</v>
      </c>
      <c r="G23" s="50">
        <v>2</v>
      </c>
      <c r="H23" s="50">
        <v>1</v>
      </c>
      <c r="I23" s="50">
        <v>12</v>
      </c>
      <c r="J23" s="50">
        <v>8</v>
      </c>
      <c r="K23" s="50">
        <v>2</v>
      </c>
      <c r="L23" s="50">
        <v>8</v>
      </c>
      <c r="M23" s="50">
        <v>115</v>
      </c>
      <c r="N23" s="50">
        <v>0</v>
      </c>
      <c r="O23" s="15">
        <f>SUM('27.07 Busega-Masanafu-24h'!C23:L23,N23)</f>
        <v>154</v>
      </c>
      <c r="P23" s="15">
        <f t="shared" si="0"/>
        <v>302</v>
      </c>
      <c r="R23" s="36" t="s">
        <v>147</v>
      </c>
      <c r="S23" s="34">
        <f>SUM('27.07 Busega-Masanafu-24h'!C62:C65)</f>
        <v>363</v>
      </c>
      <c r="T23" s="34">
        <f>SUM('27.07 Busega-Masanafu-24h'!D62:D65)</f>
        <v>49</v>
      </c>
      <c r="U23" s="34">
        <f>SUM('27.07 Busega-Masanafu-24h'!E62:E65)</f>
        <v>55</v>
      </c>
      <c r="V23" s="34">
        <f>SUM('27.07 Busega-Masanafu-24h'!F62:F65)</f>
        <v>139</v>
      </c>
      <c r="W23" s="34">
        <f>SUM('27.07 Busega-Masanafu-24h'!G62:G65)</f>
        <v>11</v>
      </c>
      <c r="X23" s="34">
        <f>SUM('27.07 Busega-Masanafu-24h'!H62:H65)</f>
        <v>4</v>
      </c>
      <c r="Y23" s="34">
        <f>SUM('27.07 Busega-Masanafu-24h'!I62:I65)</f>
        <v>36</v>
      </c>
      <c r="Z23" s="34">
        <f>SUM('27.07 Busega-Masanafu-24h'!J62:J65)</f>
        <v>13</v>
      </c>
      <c r="AA23" s="34">
        <f>SUM('27.07 Busega-Masanafu-24h'!K62:K65)</f>
        <v>14</v>
      </c>
      <c r="AB23" s="34">
        <f>SUM('27.07 Busega-Masanafu-24h'!L62:L65)</f>
        <v>30</v>
      </c>
      <c r="AC23" s="34">
        <f>SUM('27.07 Busega-Masanafu-24h'!M62:M65)</f>
        <v>413</v>
      </c>
      <c r="AD23" s="34">
        <f>SUM(N62:N65)</f>
        <v>0</v>
      </c>
      <c r="AE23" s="31">
        <f>SUM(O62:O65)</f>
        <v>714</v>
      </c>
      <c r="AF23" s="31">
        <f>SUM(P62:P65)</f>
        <v>1403</v>
      </c>
    </row>
    <row r="24" spans="2:32" ht="23.1" customHeight="1" x14ac:dyDescent="0.25">
      <c r="B24" s="45" t="s">
        <v>51</v>
      </c>
      <c r="C24" s="50">
        <v>95</v>
      </c>
      <c r="D24" s="50">
        <v>16</v>
      </c>
      <c r="E24" s="50">
        <v>12</v>
      </c>
      <c r="F24" s="50">
        <v>44</v>
      </c>
      <c r="G24" s="50">
        <v>6</v>
      </c>
      <c r="H24" s="50">
        <v>1</v>
      </c>
      <c r="I24" s="50">
        <v>20</v>
      </c>
      <c r="J24" s="50">
        <v>8</v>
      </c>
      <c r="K24" s="50">
        <v>6</v>
      </c>
      <c r="L24" s="50">
        <v>5</v>
      </c>
      <c r="M24" s="50">
        <v>91</v>
      </c>
      <c r="N24" s="50">
        <v>0</v>
      </c>
      <c r="O24" s="15">
        <f>SUM('27.07 Busega-Masanafu-24h'!C24:L24,N24)</f>
        <v>196</v>
      </c>
      <c r="P24" s="15">
        <f t="shared" si="0"/>
        <v>304</v>
      </c>
      <c r="R24" s="36" t="s">
        <v>148</v>
      </c>
      <c r="S24" s="34">
        <f>SUM('27.07 Busega-Masanafu-24h'!C66:C69)</f>
        <v>275</v>
      </c>
      <c r="T24" s="34">
        <f>SUM('27.07 Busega-Masanafu-24h'!D66:D69)</f>
        <v>31</v>
      </c>
      <c r="U24" s="34">
        <f>SUM('27.07 Busega-Masanafu-24h'!E66:E69)</f>
        <v>40</v>
      </c>
      <c r="V24" s="34">
        <f>SUM('27.07 Busega-Masanafu-24h'!F66:F69)</f>
        <v>84</v>
      </c>
      <c r="W24" s="34">
        <f>SUM('27.07 Busega-Masanafu-24h'!G66:G69)</f>
        <v>6</v>
      </c>
      <c r="X24" s="34">
        <f>SUM('27.07 Busega-Masanafu-24h'!H66:H69)</f>
        <v>3</v>
      </c>
      <c r="Y24" s="34">
        <f>SUM('27.07 Busega-Masanafu-24h'!I66:I69)</f>
        <v>17</v>
      </c>
      <c r="Z24" s="34">
        <f>SUM('27.07 Busega-Masanafu-24h'!J66:J69)</f>
        <v>12</v>
      </c>
      <c r="AA24" s="34">
        <f>SUM('27.07 Busega-Masanafu-24h'!K66:K69)</f>
        <v>6</v>
      </c>
      <c r="AB24" s="34">
        <f>SUM('27.07 Busega-Masanafu-24h'!L66:L69)</f>
        <v>21</v>
      </c>
      <c r="AC24" s="34">
        <f>SUM('27.07 Busega-Masanafu-24h'!M66:M69)</f>
        <v>289</v>
      </c>
      <c r="AD24" s="34">
        <f>SUM(N66:N69)</f>
        <v>0</v>
      </c>
      <c r="AE24" s="31">
        <f>SUM(O66:O69)</f>
        <v>495</v>
      </c>
      <c r="AF24" s="31">
        <f>SUM(P66:P69)</f>
        <v>1036</v>
      </c>
    </row>
    <row r="25" spans="2:32" ht="23.1" customHeight="1" x14ac:dyDescent="0.25">
      <c r="B25" s="45" t="s">
        <v>52</v>
      </c>
      <c r="C25" s="50">
        <v>97</v>
      </c>
      <c r="D25" s="50">
        <v>4</v>
      </c>
      <c r="E25" s="50">
        <v>8</v>
      </c>
      <c r="F25" s="50">
        <v>36</v>
      </c>
      <c r="G25" s="50">
        <v>2</v>
      </c>
      <c r="H25" s="50">
        <v>1</v>
      </c>
      <c r="I25" s="50">
        <v>20</v>
      </c>
      <c r="J25" s="50">
        <v>4</v>
      </c>
      <c r="K25" s="50">
        <v>2</v>
      </c>
      <c r="L25" s="50">
        <v>7</v>
      </c>
      <c r="M25" s="50">
        <v>113</v>
      </c>
      <c r="N25" s="50">
        <v>0</v>
      </c>
      <c r="O25" s="15">
        <f>SUM('27.07 Busega-Masanafu-24h'!C25:L25,N25)</f>
        <v>182</v>
      </c>
      <c r="P25" s="15">
        <f t="shared" si="0"/>
        <v>294</v>
      </c>
      <c r="R25" s="36" t="s">
        <v>149</v>
      </c>
      <c r="S25" s="34">
        <f>SUM('27.07 Busega-Masanafu-24h'!C70:C73)</f>
        <v>189</v>
      </c>
      <c r="T25" s="34">
        <f>SUM('27.07 Busega-Masanafu-24h'!D70:D73)</f>
        <v>7</v>
      </c>
      <c r="U25" s="34">
        <f>SUM('27.07 Busega-Masanafu-24h'!E70:E73)</f>
        <v>36</v>
      </c>
      <c r="V25" s="34">
        <f>SUM('27.07 Busega-Masanafu-24h'!F70:F73)</f>
        <v>57</v>
      </c>
      <c r="W25" s="34">
        <f>SUM('27.07 Busega-Masanafu-24h'!G70:G73)</f>
        <v>9</v>
      </c>
      <c r="X25" s="34">
        <f>SUM('27.07 Busega-Masanafu-24h'!H70:H73)</f>
        <v>2</v>
      </c>
      <c r="Y25" s="34">
        <f>SUM('27.07 Busega-Masanafu-24h'!I70:I73)</f>
        <v>22</v>
      </c>
      <c r="Z25" s="34">
        <f>SUM('27.07 Busega-Masanafu-24h'!J70:J73)</f>
        <v>21</v>
      </c>
      <c r="AA25" s="34">
        <f>SUM('27.07 Busega-Masanafu-24h'!K70:K73)</f>
        <v>3</v>
      </c>
      <c r="AB25" s="34">
        <f>SUM('27.07 Busega-Masanafu-24h'!L70:L73)</f>
        <v>13</v>
      </c>
      <c r="AC25" s="34">
        <f>SUM('27.07 Busega-Masanafu-24h'!M70:M73)</f>
        <v>176</v>
      </c>
      <c r="AD25" s="34">
        <f>SUM(N70:N73)</f>
        <v>0</v>
      </c>
      <c r="AE25" s="31">
        <f>SUM(O70:O73)</f>
        <v>359</v>
      </c>
      <c r="AF25" s="31">
        <f>SUM(P70:P73)</f>
        <v>816</v>
      </c>
    </row>
    <row r="26" spans="2:32" ht="23.1" customHeight="1" x14ac:dyDescent="0.25">
      <c r="B26" s="45" t="s">
        <v>53</v>
      </c>
      <c r="C26" s="50">
        <v>89</v>
      </c>
      <c r="D26" s="50">
        <v>11</v>
      </c>
      <c r="E26" s="50">
        <v>14</v>
      </c>
      <c r="F26" s="50">
        <v>46</v>
      </c>
      <c r="G26" s="50">
        <v>5</v>
      </c>
      <c r="H26" s="50">
        <v>2</v>
      </c>
      <c r="I26" s="50">
        <v>17</v>
      </c>
      <c r="J26" s="50">
        <v>7</v>
      </c>
      <c r="K26" s="50">
        <v>3</v>
      </c>
      <c r="L26" s="50">
        <v>3</v>
      </c>
      <c r="M26" s="50">
        <v>81</v>
      </c>
      <c r="N26" s="50">
        <v>0</v>
      </c>
      <c r="O26" s="15">
        <f>SUM('27.07 Busega-Masanafu-24h'!C26:L26,N26)</f>
        <v>209</v>
      </c>
      <c r="P26" s="15">
        <f t="shared" si="0"/>
        <v>278</v>
      </c>
      <c r="R26" s="36" t="s">
        <v>150</v>
      </c>
      <c r="S26" s="34">
        <f>SUM('27.07 Busega-Masanafu-24h'!C74:C77)</f>
        <v>106</v>
      </c>
      <c r="T26" s="34">
        <f>SUM('27.07 Busega-Masanafu-24h'!D74:D77)</f>
        <v>9</v>
      </c>
      <c r="U26" s="34">
        <f>SUM('27.07 Busega-Masanafu-24h'!E74:E77)</f>
        <v>16</v>
      </c>
      <c r="V26" s="34">
        <f>SUM('27.07 Busega-Masanafu-24h'!F74:F77)</f>
        <v>52</v>
      </c>
      <c r="W26" s="34">
        <f>SUM('27.07 Busega-Masanafu-24h'!G74:G77)</f>
        <v>10</v>
      </c>
      <c r="X26" s="34">
        <f>SUM('27.07 Busega-Masanafu-24h'!H74:H77)</f>
        <v>1</v>
      </c>
      <c r="Y26" s="34">
        <f>SUM('27.07 Busega-Masanafu-24h'!I74:I77)</f>
        <v>19</v>
      </c>
      <c r="Z26" s="34">
        <f>SUM('27.07 Busega-Masanafu-24h'!J74:J77)</f>
        <v>9</v>
      </c>
      <c r="AA26" s="34">
        <f>SUM('27.07 Busega-Masanafu-24h'!K74:K77)</f>
        <v>19</v>
      </c>
      <c r="AB26" s="34">
        <f>SUM('27.07 Busega-Masanafu-24h'!L74:L77)</f>
        <v>1</v>
      </c>
      <c r="AC26" s="34">
        <f>SUM('27.07 Busega-Masanafu-24h'!M74:M77)</f>
        <v>136</v>
      </c>
      <c r="AD26" s="34">
        <f>SUM(N74:N77)</f>
        <v>0</v>
      </c>
      <c r="AE26" s="31">
        <f>SUM(O74:O77)</f>
        <v>242</v>
      </c>
      <c r="AF26" s="31">
        <f>SUM(P74:P77)</f>
        <v>315</v>
      </c>
    </row>
    <row r="27" spans="2:32" ht="23.1" customHeight="1" x14ac:dyDescent="0.25">
      <c r="B27" s="45" t="s">
        <v>54</v>
      </c>
      <c r="C27" s="50">
        <v>100</v>
      </c>
      <c r="D27" s="50">
        <v>13</v>
      </c>
      <c r="E27" s="50">
        <v>15</v>
      </c>
      <c r="F27" s="50">
        <v>40</v>
      </c>
      <c r="G27" s="50">
        <v>9</v>
      </c>
      <c r="H27" s="50">
        <v>1</v>
      </c>
      <c r="I27" s="50">
        <v>13</v>
      </c>
      <c r="J27" s="50">
        <v>9</v>
      </c>
      <c r="K27" s="50">
        <v>4</v>
      </c>
      <c r="L27" s="50">
        <v>6</v>
      </c>
      <c r="M27" s="50">
        <v>101</v>
      </c>
      <c r="N27" s="50">
        <v>0</v>
      </c>
      <c r="O27" s="15">
        <f>SUM('27.07 Busega-Masanafu-24h'!C27:L27,N27)</f>
        <v>144</v>
      </c>
      <c r="P27" s="15">
        <f t="shared" si="0"/>
        <v>311</v>
      </c>
      <c r="R27" s="36" t="s">
        <v>151</v>
      </c>
      <c r="S27" s="34">
        <f>SUM('27.07 Busega-Masanafu-24h'!C78:C81)</f>
        <v>59</v>
      </c>
      <c r="T27" s="34">
        <f>SUM('27.07 Busega-Masanafu-24h'!D78:D81)</f>
        <v>9</v>
      </c>
      <c r="U27" s="34">
        <f>SUM('27.07 Busega-Masanafu-24h'!E78:E81)</f>
        <v>10</v>
      </c>
      <c r="V27" s="34">
        <f>SUM('27.07 Busega-Masanafu-24h'!F78:F81)</f>
        <v>14</v>
      </c>
      <c r="W27" s="34">
        <f>SUM('27.07 Busega-Masanafu-24h'!G78:G81)</f>
        <v>0</v>
      </c>
      <c r="X27" s="34">
        <f>SUM('27.07 Busega-Masanafu-24h'!H78:H81)</f>
        <v>2</v>
      </c>
      <c r="Y27" s="34">
        <f>SUM('27.07 Busega-Masanafu-24h'!I78:I81)</f>
        <v>21</v>
      </c>
      <c r="Z27" s="34">
        <f>SUM('27.07 Busega-Masanafu-24h'!J78:J81)</f>
        <v>21</v>
      </c>
      <c r="AA27" s="34">
        <f>SUM('27.07 Busega-Masanafu-24h'!K78:K81)</f>
        <v>9</v>
      </c>
      <c r="AB27" s="34">
        <f>SUM('27.07 Busega-Masanafu-24h'!L78:L81)</f>
        <v>6</v>
      </c>
      <c r="AC27" s="34">
        <f>SUM('27.07 Busega-Masanafu-24h'!M78:M81)</f>
        <v>38</v>
      </c>
      <c r="AD27" s="34">
        <f>SUM(N78:N81)</f>
        <v>0</v>
      </c>
      <c r="AE27" s="31">
        <f>SUM(O78:O81)</f>
        <v>151</v>
      </c>
      <c r="AF27" s="31">
        <f>SUM(P78:P81)</f>
        <v>249</v>
      </c>
    </row>
    <row r="28" spans="2:32" ht="23.1" customHeight="1" x14ac:dyDescent="0.25">
      <c r="B28" s="45" t="s">
        <v>55</v>
      </c>
      <c r="C28" s="50">
        <v>100</v>
      </c>
      <c r="D28" s="50">
        <v>4</v>
      </c>
      <c r="E28" s="50">
        <v>7</v>
      </c>
      <c r="F28" s="50">
        <v>57</v>
      </c>
      <c r="G28" s="50">
        <v>3</v>
      </c>
      <c r="H28" s="50">
        <v>2</v>
      </c>
      <c r="I28" s="50">
        <v>21</v>
      </c>
      <c r="J28" s="50">
        <v>7</v>
      </c>
      <c r="K28" s="50">
        <v>1</v>
      </c>
      <c r="L28" s="50">
        <v>6</v>
      </c>
      <c r="M28" s="50">
        <v>105</v>
      </c>
      <c r="N28" s="50">
        <v>0</v>
      </c>
      <c r="O28" s="15">
        <f>SUM('27.07 Busega-Masanafu-24h'!C28:L28,N28)</f>
        <v>215</v>
      </c>
      <c r="P28" s="15">
        <f t="shared" si="0"/>
        <v>313</v>
      </c>
      <c r="R28" s="36" t="s">
        <v>152</v>
      </c>
      <c r="S28" s="34">
        <f>SUM('27.07 Busega-Masanafu-24h'!C82:C85)</f>
        <v>47</v>
      </c>
      <c r="T28" s="34">
        <f>SUM('27.07 Busega-Masanafu-24h'!D82:D85)</f>
        <v>10</v>
      </c>
      <c r="U28" s="34">
        <f>SUM('27.07 Busega-Masanafu-24h'!E82:E85)</f>
        <v>19</v>
      </c>
      <c r="V28" s="34">
        <f>SUM('27.07 Busega-Masanafu-24h'!F82:F85)</f>
        <v>26</v>
      </c>
      <c r="W28" s="34">
        <f>SUM('27.07 Busega-Masanafu-24h'!G82:G85)</f>
        <v>4</v>
      </c>
      <c r="X28" s="34">
        <f>SUM('27.07 Busega-Masanafu-24h'!H82:H85)</f>
        <v>1</v>
      </c>
      <c r="Y28" s="34">
        <f>SUM('27.07 Busega-Masanafu-24h'!I82:I85)</f>
        <v>34</v>
      </c>
      <c r="Z28" s="34">
        <f>SUM('27.07 Busega-Masanafu-24h'!J82:J85)</f>
        <v>6</v>
      </c>
      <c r="AA28" s="34">
        <f>SUM('27.07 Busega-Masanafu-24h'!K82:K85)</f>
        <v>4</v>
      </c>
      <c r="AB28" s="34">
        <f>SUM('27.07 Busega-Masanafu-24h'!L82:L85)</f>
        <v>14</v>
      </c>
      <c r="AC28" s="34">
        <f>SUM('27.07 Busega-Masanafu-24h'!M82:M85)</f>
        <v>47</v>
      </c>
      <c r="AD28" s="34">
        <f>SUM(N82:N85)</f>
        <v>0</v>
      </c>
      <c r="AE28" s="31">
        <f>SUM(O82:O85)</f>
        <v>165</v>
      </c>
      <c r="AF28" s="31">
        <f>SUM(P82:P85)</f>
        <v>227</v>
      </c>
    </row>
    <row r="29" spans="2:32" ht="23.1" customHeight="1" x14ac:dyDescent="0.25">
      <c r="B29" s="45" t="s">
        <v>56</v>
      </c>
      <c r="C29" s="50">
        <v>127</v>
      </c>
      <c r="D29" s="50">
        <v>16</v>
      </c>
      <c r="E29" s="50">
        <v>15</v>
      </c>
      <c r="F29" s="50">
        <v>56</v>
      </c>
      <c r="G29" s="50">
        <v>2</v>
      </c>
      <c r="H29" s="50">
        <v>0</v>
      </c>
      <c r="I29" s="50">
        <v>21</v>
      </c>
      <c r="J29" s="50">
        <v>7</v>
      </c>
      <c r="K29" s="50">
        <v>1</v>
      </c>
      <c r="L29" s="50">
        <v>9</v>
      </c>
      <c r="M29" s="50">
        <v>88</v>
      </c>
      <c r="N29" s="50">
        <v>0</v>
      </c>
      <c r="O29" s="15">
        <f>SUM('27.07 Busega-Masanafu-24h'!C29:L29,N29)</f>
        <v>170</v>
      </c>
      <c r="P29" s="15">
        <f t="shared" ref="P29:P92" si="1">SUM(C29:N29)</f>
        <v>342</v>
      </c>
      <c r="R29" s="36" t="s">
        <v>153</v>
      </c>
      <c r="S29" s="34">
        <f>SUM('27.07 Busega-Masanafu-24h'!C86:C89)</f>
        <v>52</v>
      </c>
      <c r="T29" s="34">
        <f>SUM('27.07 Busega-Masanafu-24h'!D86:D89)</f>
        <v>5</v>
      </c>
      <c r="U29" s="34">
        <f>SUM('27.07 Busega-Masanafu-24h'!E86:E89)</f>
        <v>17</v>
      </c>
      <c r="V29" s="34">
        <f>SUM('27.07 Busega-Masanafu-24h'!F86:F89)</f>
        <v>15</v>
      </c>
      <c r="W29" s="34">
        <f>SUM('27.07 Busega-Masanafu-24h'!G86:G89)</f>
        <v>1</v>
      </c>
      <c r="X29" s="34">
        <f>SUM('27.07 Busega-Masanafu-24h'!H86:H89)</f>
        <v>0</v>
      </c>
      <c r="Y29" s="34">
        <f>SUM('27.07 Busega-Masanafu-24h'!I86:I89)</f>
        <v>27</v>
      </c>
      <c r="Z29" s="34">
        <f>SUM('27.07 Busega-Masanafu-24h'!J86:J89)</f>
        <v>29</v>
      </c>
      <c r="AA29" s="34">
        <f>SUM('27.07 Busega-Masanafu-24h'!K86:K89)</f>
        <v>23</v>
      </c>
      <c r="AB29" s="34">
        <f>SUM('27.07 Busega-Masanafu-24h'!L86:L89)</f>
        <v>9</v>
      </c>
      <c r="AC29" s="34">
        <f>SUM('27.07 Busega-Masanafu-24h'!M86:M89)</f>
        <v>37</v>
      </c>
      <c r="AD29" s="34">
        <f>SUM(N86:N89)</f>
        <v>0</v>
      </c>
      <c r="AE29" s="31">
        <f>SUM(O86:O89)</f>
        <v>178</v>
      </c>
      <c r="AF29" s="31">
        <f>SUM(P86:P89)</f>
        <v>155</v>
      </c>
    </row>
    <row r="30" spans="2:32" ht="23.1" customHeight="1" x14ac:dyDescent="0.25">
      <c r="B30" s="45" t="s">
        <v>57</v>
      </c>
      <c r="C30" s="50">
        <v>126</v>
      </c>
      <c r="D30" s="50">
        <v>15</v>
      </c>
      <c r="E30" s="50">
        <v>11</v>
      </c>
      <c r="F30" s="50">
        <v>46</v>
      </c>
      <c r="G30" s="50">
        <v>3</v>
      </c>
      <c r="H30" s="50">
        <v>2</v>
      </c>
      <c r="I30" s="50">
        <v>22</v>
      </c>
      <c r="J30" s="50">
        <v>5</v>
      </c>
      <c r="K30" s="50">
        <v>2</v>
      </c>
      <c r="L30" s="50">
        <v>4</v>
      </c>
      <c r="M30" s="50">
        <v>110</v>
      </c>
      <c r="N30" s="50">
        <v>0</v>
      </c>
      <c r="O30" s="15">
        <f>SUM('27.07 Busega-Masanafu-24h'!C30:L30,N30)</f>
        <v>198</v>
      </c>
      <c r="P30" s="15">
        <f t="shared" si="1"/>
        <v>346</v>
      </c>
      <c r="R30" s="36" t="s">
        <v>154</v>
      </c>
      <c r="S30" s="34">
        <f>SUM('27.07 Busega-Masanafu-24h'!C90:C93)</f>
        <v>35</v>
      </c>
      <c r="T30" s="34">
        <f>SUM('27.07 Busega-Masanafu-24h'!D90:D93)</f>
        <v>8</v>
      </c>
      <c r="U30" s="34">
        <f>SUM('27.07 Busega-Masanafu-24h'!E90:E93)</f>
        <v>17</v>
      </c>
      <c r="V30" s="34">
        <f>SUM('27.07 Busega-Masanafu-24h'!F90:F93)</f>
        <v>8</v>
      </c>
      <c r="W30" s="34">
        <f>SUM('27.07 Busega-Masanafu-24h'!G90:G93)</f>
        <v>2</v>
      </c>
      <c r="X30" s="34">
        <f>SUM('27.07 Busega-Masanafu-24h'!H90:H93)</f>
        <v>4</v>
      </c>
      <c r="Y30" s="34">
        <f>SUM('27.07 Busega-Masanafu-24h'!I90:I93)</f>
        <v>40</v>
      </c>
      <c r="Z30" s="34">
        <f>SUM('27.07 Busega-Masanafu-24h'!J90:J93)</f>
        <v>44</v>
      </c>
      <c r="AA30" s="34">
        <f>SUM('27.07 Busega-Masanafu-24h'!K90:K93)</f>
        <v>23</v>
      </c>
      <c r="AB30" s="34">
        <f>SUM('27.07 Busega-Masanafu-24h'!L90:L93)</f>
        <v>15</v>
      </c>
      <c r="AC30" s="34">
        <f>SUM('27.07 Busega-Masanafu-24h'!M90:M93)</f>
        <v>46</v>
      </c>
      <c r="AD30" s="34">
        <f>SUM(N90:N93)</f>
        <v>0</v>
      </c>
      <c r="AE30" s="31">
        <f>SUM(O90:O93)</f>
        <v>196</v>
      </c>
      <c r="AF30" s="31">
        <f>SUM(P90:P93)</f>
        <v>121</v>
      </c>
    </row>
    <row r="31" spans="2:32" ht="23.1" customHeight="1" x14ac:dyDescent="0.25">
      <c r="B31" s="46" t="s">
        <v>58</v>
      </c>
      <c r="C31" s="50">
        <v>109</v>
      </c>
      <c r="D31" s="50">
        <v>10</v>
      </c>
      <c r="E31" s="50">
        <v>14</v>
      </c>
      <c r="F31" s="50">
        <v>53</v>
      </c>
      <c r="G31" s="50">
        <v>3</v>
      </c>
      <c r="H31" s="50">
        <v>3</v>
      </c>
      <c r="I31" s="50">
        <v>14</v>
      </c>
      <c r="J31" s="50">
        <v>9</v>
      </c>
      <c r="K31" s="50">
        <v>6</v>
      </c>
      <c r="L31" s="50">
        <v>6</v>
      </c>
      <c r="M31" s="50">
        <v>102</v>
      </c>
      <c r="N31" s="50">
        <v>0</v>
      </c>
      <c r="O31" s="15">
        <f>SUM('27.07 Busega-Masanafu-24h'!C31:L31,N31)</f>
        <v>160</v>
      </c>
      <c r="P31" s="15">
        <f t="shared" si="1"/>
        <v>329</v>
      </c>
      <c r="R31" s="36" t="s">
        <v>155</v>
      </c>
      <c r="S31" s="34">
        <f>SUM('27.07 Busega-Masanafu-24h'!C94:C97)</f>
        <v>52</v>
      </c>
      <c r="T31" s="34">
        <f>SUM('27.07 Busega-Masanafu-24h'!D94:D97)</f>
        <v>16</v>
      </c>
      <c r="U31" s="34">
        <f>SUM('27.07 Busega-Masanafu-24h'!E94:E97)</f>
        <v>9</v>
      </c>
      <c r="V31" s="34">
        <f>SUM('27.07 Busega-Masanafu-24h'!F94:F97)</f>
        <v>20</v>
      </c>
      <c r="W31" s="34">
        <f>SUM('27.07 Busega-Masanafu-24h'!G94:G97)</f>
        <v>1</v>
      </c>
      <c r="X31" s="34">
        <f>SUM('27.07 Busega-Masanafu-24h'!H94:H97)</f>
        <v>4</v>
      </c>
      <c r="Y31" s="34">
        <f>SUM('27.07 Busega-Masanafu-24h'!I94:I97)</f>
        <v>28</v>
      </c>
      <c r="Z31" s="34">
        <f>SUM('27.07 Busega-Masanafu-24h'!J94:J97)</f>
        <v>26</v>
      </c>
      <c r="AA31" s="34">
        <f>SUM('27.07 Busega-Masanafu-24h'!K94:K97)</f>
        <v>13</v>
      </c>
      <c r="AB31" s="34">
        <f>SUM('27.07 Busega-Masanafu-24h'!L94:L97)</f>
        <v>5</v>
      </c>
      <c r="AC31" s="34">
        <f>SUM('27.07 Busega-Masanafu-24h'!M94:M97)</f>
        <v>59</v>
      </c>
      <c r="AD31" s="34">
        <f>SUM(N94:N97)</f>
        <v>0</v>
      </c>
      <c r="AE31" s="31">
        <f>SUM(O94:O97)</f>
        <v>174</v>
      </c>
      <c r="AF31" s="31">
        <f>SUM(P94:P97)</f>
        <v>134</v>
      </c>
    </row>
    <row r="32" spans="2:32" ht="23.1" customHeight="1" x14ac:dyDescent="0.25">
      <c r="B32" s="46" t="s">
        <v>59</v>
      </c>
      <c r="C32" s="50">
        <v>134</v>
      </c>
      <c r="D32" s="50">
        <v>18</v>
      </c>
      <c r="E32" s="50">
        <v>11</v>
      </c>
      <c r="F32" s="50">
        <v>50</v>
      </c>
      <c r="G32" s="50">
        <v>0</v>
      </c>
      <c r="H32" s="50">
        <v>1</v>
      </c>
      <c r="I32" s="50">
        <v>20</v>
      </c>
      <c r="J32" s="50">
        <v>11</v>
      </c>
      <c r="K32" s="50">
        <v>4</v>
      </c>
      <c r="L32" s="50">
        <v>7</v>
      </c>
      <c r="M32" s="50">
        <v>60</v>
      </c>
      <c r="N32" s="50">
        <v>0</v>
      </c>
      <c r="O32" s="15">
        <f>SUM('27.07 Busega-Masanafu-24h'!C32:L32,N32)</f>
        <v>198</v>
      </c>
      <c r="P32" s="15">
        <f t="shared" si="1"/>
        <v>316</v>
      </c>
      <c r="R32" s="33" t="s">
        <v>156</v>
      </c>
      <c r="S32" s="34">
        <f>SUM('27.07 Busega-Masanafu-24h'!C98:C101)</f>
        <v>59</v>
      </c>
      <c r="T32" s="34">
        <f>SUM('27.07 Busega-Masanafu-24h'!D98:D101)</f>
        <v>8</v>
      </c>
      <c r="U32" s="34">
        <f>SUM('27.07 Busega-Masanafu-24h'!E98:E101)</f>
        <v>13</v>
      </c>
      <c r="V32" s="34">
        <f>SUM('27.07 Busega-Masanafu-24h'!F98:F101)</f>
        <v>26</v>
      </c>
      <c r="W32" s="34">
        <f>SUM('27.07 Busega-Masanafu-24h'!G98:G101)</f>
        <v>3</v>
      </c>
      <c r="X32" s="34">
        <f>SUM('27.07 Busega-Masanafu-24h'!H98:H101)</f>
        <v>1</v>
      </c>
      <c r="Y32" s="34">
        <f>SUM('27.07 Busega-Masanafu-24h'!I98:I101)</f>
        <v>28</v>
      </c>
      <c r="Z32" s="34">
        <f>SUM('27.07 Busega-Masanafu-24h'!J98:J101)</f>
        <v>17</v>
      </c>
      <c r="AA32" s="34">
        <f>SUM('27.07 Busega-Masanafu-24h'!K98:K101)</f>
        <v>8</v>
      </c>
      <c r="AB32" s="34">
        <f>SUM('27.07 Busega-Masanafu-24h'!L98:L101)</f>
        <v>8</v>
      </c>
      <c r="AC32" s="34">
        <f>SUM('27.07 Busega-Masanafu-24h'!M98:M101)</f>
        <v>56</v>
      </c>
      <c r="AD32" s="34">
        <f>SUM(N98:N101)</f>
        <v>0</v>
      </c>
      <c r="AE32" s="31">
        <f>SUM(O98:O101)</f>
        <v>171</v>
      </c>
      <c r="AF32" s="31">
        <f>SUM(P98:P101)</f>
        <v>229</v>
      </c>
    </row>
    <row r="33" spans="2:32" ht="23.1" customHeight="1" x14ac:dyDescent="0.25">
      <c r="B33" s="45" t="s">
        <v>60</v>
      </c>
      <c r="C33" s="50">
        <v>110</v>
      </c>
      <c r="D33" s="50">
        <v>10</v>
      </c>
      <c r="E33" s="50">
        <v>13</v>
      </c>
      <c r="F33" s="50">
        <v>59</v>
      </c>
      <c r="G33" s="50">
        <v>2</v>
      </c>
      <c r="H33" s="50">
        <v>0</v>
      </c>
      <c r="I33" s="50">
        <v>15</v>
      </c>
      <c r="J33" s="50">
        <v>6</v>
      </c>
      <c r="K33" s="50">
        <v>4</v>
      </c>
      <c r="L33" s="50">
        <v>10</v>
      </c>
      <c r="M33" s="50">
        <v>85</v>
      </c>
      <c r="N33" s="50">
        <v>0</v>
      </c>
      <c r="O33" s="15">
        <f>SUM('27.07 Busega-Masanafu-24h'!C33:L33,N33)</f>
        <v>178</v>
      </c>
      <c r="P33" s="15">
        <f t="shared" si="1"/>
        <v>314</v>
      </c>
      <c r="R33" s="33" t="s">
        <v>157</v>
      </c>
      <c r="S33" s="34">
        <f>SUM('27.07 Busega-Masanafu-24h'!C102:C105)</f>
        <v>107</v>
      </c>
      <c r="T33" s="34">
        <f>SUM('27.07 Busega-Masanafu-24h'!D102:D105)</f>
        <v>12</v>
      </c>
      <c r="U33" s="34">
        <f>SUM('27.07 Busega-Masanafu-24h'!E102:E105)</f>
        <v>24</v>
      </c>
      <c r="V33" s="34">
        <f>SUM('27.07 Busega-Masanafu-24h'!F102:F105)</f>
        <v>60</v>
      </c>
      <c r="W33" s="34">
        <f>SUM('27.07 Busega-Masanafu-24h'!G102:G105)</f>
        <v>1</v>
      </c>
      <c r="X33" s="34">
        <f>SUM('27.07 Busega-Masanafu-24h'!H102:H105)</f>
        <v>1</v>
      </c>
      <c r="Y33" s="34">
        <f>SUM('27.07 Busega-Masanafu-24h'!I102:I105)</f>
        <v>28</v>
      </c>
      <c r="Z33" s="34">
        <f>SUM('27.07 Busega-Masanafu-24h'!J102:J105)</f>
        <v>17</v>
      </c>
      <c r="AA33" s="34">
        <f>SUM('27.07 Busega-Masanafu-24h'!K102:K105)</f>
        <v>1</v>
      </c>
      <c r="AB33" s="34">
        <f>SUM('27.07 Busega-Masanafu-24h'!L102:L105)</f>
        <v>16</v>
      </c>
      <c r="AC33" s="34">
        <f>SUM('27.07 Busega-Masanafu-24h'!M102:M105)</f>
        <v>168</v>
      </c>
      <c r="AD33" s="34">
        <f>SUM(N102:N105)</f>
        <v>0</v>
      </c>
      <c r="AE33" s="31">
        <f>SUM(O102:O105)</f>
        <v>267</v>
      </c>
      <c r="AF33" s="31">
        <f>SUM(P102:P105)</f>
        <v>445</v>
      </c>
    </row>
    <row r="34" spans="2:32" ht="23.1" customHeight="1" x14ac:dyDescent="0.25">
      <c r="B34" s="46" t="s">
        <v>61</v>
      </c>
      <c r="C34" s="50">
        <v>113</v>
      </c>
      <c r="D34" s="50">
        <v>27</v>
      </c>
      <c r="E34" s="50">
        <v>9</v>
      </c>
      <c r="F34" s="50">
        <v>50</v>
      </c>
      <c r="G34" s="50">
        <v>3</v>
      </c>
      <c r="H34" s="50">
        <v>2</v>
      </c>
      <c r="I34" s="50">
        <v>16</v>
      </c>
      <c r="J34" s="50">
        <v>2</v>
      </c>
      <c r="K34" s="50">
        <v>3</v>
      </c>
      <c r="L34" s="50">
        <v>4</v>
      </c>
      <c r="M34" s="50">
        <v>102</v>
      </c>
      <c r="N34" s="50">
        <v>0</v>
      </c>
      <c r="O34" s="15">
        <f>SUM('27.07 Busega-Masanafu-24h'!C34:L34,N34)</f>
        <v>154</v>
      </c>
      <c r="P34" s="15">
        <f t="shared" si="1"/>
        <v>331</v>
      </c>
      <c r="R34" s="38" t="s">
        <v>90</v>
      </c>
      <c r="S34" s="39">
        <f t="shared" ref="S34:AF34" si="2">MAX(S10:S12)</f>
        <v>327</v>
      </c>
      <c r="T34" s="39">
        <f t="shared" si="2"/>
        <v>52</v>
      </c>
      <c r="U34" s="39">
        <f t="shared" si="2"/>
        <v>45</v>
      </c>
      <c r="V34" s="39">
        <f t="shared" si="2"/>
        <v>108</v>
      </c>
      <c r="W34" s="39">
        <f t="shared" si="2"/>
        <v>9</v>
      </c>
      <c r="X34" s="39">
        <f t="shared" si="2"/>
        <v>1</v>
      </c>
      <c r="Y34" s="39">
        <f t="shared" si="2"/>
        <v>53</v>
      </c>
      <c r="Z34" s="39">
        <f t="shared" si="2"/>
        <v>46</v>
      </c>
      <c r="AA34" s="39">
        <f t="shared" si="2"/>
        <v>11</v>
      </c>
      <c r="AB34" s="39">
        <f t="shared" si="2"/>
        <v>13</v>
      </c>
      <c r="AC34" s="39">
        <f t="shared" si="2"/>
        <v>633</v>
      </c>
      <c r="AD34" s="39">
        <f t="shared" si="2"/>
        <v>0</v>
      </c>
      <c r="AE34" s="40">
        <f t="shared" si="2"/>
        <v>659</v>
      </c>
      <c r="AF34" s="40">
        <f t="shared" si="2"/>
        <v>1172</v>
      </c>
    </row>
    <row r="35" spans="2:32" ht="23.1" customHeight="1" x14ac:dyDescent="0.25">
      <c r="B35" s="46" t="s">
        <v>62</v>
      </c>
      <c r="C35" s="50">
        <v>106</v>
      </c>
      <c r="D35" s="50">
        <v>11</v>
      </c>
      <c r="E35" s="50">
        <v>7</v>
      </c>
      <c r="F35" s="50">
        <v>42</v>
      </c>
      <c r="G35" s="50">
        <v>3</v>
      </c>
      <c r="H35" s="50">
        <v>1</v>
      </c>
      <c r="I35" s="50">
        <v>23</v>
      </c>
      <c r="J35" s="50">
        <v>7</v>
      </c>
      <c r="K35" s="50">
        <v>3</v>
      </c>
      <c r="L35" s="50">
        <v>11</v>
      </c>
      <c r="M35" s="50">
        <v>79</v>
      </c>
      <c r="N35" s="50">
        <v>0</v>
      </c>
      <c r="O35" s="15">
        <f>SUM('27.07 Busega-Masanafu-24h'!C35:L35,N35)</f>
        <v>161</v>
      </c>
      <c r="P35" s="15">
        <f t="shared" si="1"/>
        <v>293</v>
      </c>
      <c r="R35" s="38" t="s">
        <v>91</v>
      </c>
      <c r="S35" s="39">
        <f t="shared" ref="S35:AF35" si="3">MAX(S13:S18)</f>
        <v>409</v>
      </c>
      <c r="T35" s="39">
        <f t="shared" si="3"/>
        <v>73</v>
      </c>
      <c r="U35" s="39">
        <f t="shared" si="3"/>
        <v>47</v>
      </c>
      <c r="V35" s="39">
        <f t="shared" si="3"/>
        <v>133</v>
      </c>
      <c r="W35" s="39">
        <f t="shared" si="3"/>
        <v>6</v>
      </c>
      <c r="X35" s="39">
        <f t="shared" si="3"/>
        <v>4</v>
      </c>
      <c r="Y35" s="39">
        <f t="shared" si="3"/>
        <v>56</v>
      </c>
      <c r="Z35" s="39">
        <f t="shared" si="3"/>
        <v>42</v>
      </c>
      <c r="AA35" s="39">
        <f t="shared" si="3"/>
        <v>41</v>
      </c>
      <c r="AB35" s="39">
        <f t="shared" si="3"/>
        <v>25</v>
      </c>
      <c r="AC35" s="39">
        <f t="shared" si="3"/>
        <v>534</v>
      </c>
      <c r="AD35" s="39">
        <f t="shared" si="3"/>
        <v>0</v>
      </c>
      <c r="AE35" s="40">
        <f t="shared" si="3"/>
        <v>738</v>
      </c>
      <c r="AF35" s="40">
        <f t="shared" si="3"/>
        <v>1317</v>
      </c>
    </row>
    <row r="36" spans="2:32" ht="23.1" customHeight="1" x14ac:dyDescent="0.25">
      <c r="B36" s="46" t="s">
        <v>63</v>
      </c>
      <c r="C36" s="50">
        <v>122</v>
      </c>
      <c r="D36" s="50">
        <v>7</v>
      </c>
      <c r="E36" s="50">
        <v>9</v>
      </c>
      <c r="F36" s="50">
        <v>44</v>
      </c>
      <c r="G36" s="50">
        <v>1</v>
      </c>
      <c r="H36" s="50">
        <v>0</v>
      </c>
      <c r="I36" s="50">
        <v>24</v>
      </c>
      <c r="J36" s="50">
        <v>6</v>
      </c>
      <c r="K36" s="50">
        <v>0</v>
      </c>
      <c r="L36" s="50">
        <v>6</v>
      </c>
      <c r="M36" s="50">
        <v>97</v>
      </c>
      <c r="N36" s="50">
        <v>0</v>
      </c>
      <c r="O36" s="15">
        <f>SUM('27.07 Busega-Masanafu-24h'!C36:L36,N36)</f>
        <v>157</v>
      </c>
      <c r="P36" s="15">
        <f t="shared" si="1"/>
        <v>316</v>
      </c>
      <c r="R36" s="38" t="s">
        <v>92</v>
      </c>
      <c r="S36" s="39">
        <f t="shared" ref="S36:AF36" si="4">MAX(S19:S21)</f>
        <v>354</v>
      </c>
      <c r="T36" s="39">
        <f t="shared" si="4"/>
        <v>72</v>
      </c>
      <c r="U36" s="39">
        <f t="shared" si="4"/>
        <v>41</v>
      </c>
      <c r="V36" s="39">
        <f t="shared" si="4"/>
        <v>145</v>
      </c>
      <c r="W36" s="39">
        <f t="shared" si="4"/>
        <v>8</v>
      </c>
      <c r="X36" s="39">
        <f t="shared" si="4"/>
        <v>1</v>
      </c>
      <c r="Y36" s="39">
        <f t="shared" si="4"/>
        <v>51</v>
      </c>
      <c r="Z36" s="39">
        <f t="shared" si="4"/>
        <v>42</v>
      </c>
      <c r="AA36" s="39">
        <f t="shared" si="4"/>
        <v>16</v>
      </c>
      <c r="AB36" s="39">
        <f t="shared" si="4"/>
        <v>23</v>
      </c>
      <c r="AC36" s="39">
        <f t="shared" si="4"/>
        <v>452</v>
      </c>
      <c r="AD36" s="39">
        <f t="shared" si="4"/>
        <v>0</v>
      </c>
      <c r="AE36" s="40">
        <f t="shared" si="4"/>
        <v>691</v>
      </c>
      <c r="AF36" s="40">
        <f t="shared" si="4"/>
        <v>1057</v>
      </c>
    </row>
    <row r="37" spans="2:32" ht="23.1" customHeight="1" x14ac:dyDescent="0.25">
      <c r="B37" s="45" t="s">
        <v>64</v>
      </c>
      <c r="C37" s="50">
        <v>111</v>
      </c>
      <c r="D37" s="50">
        <v>14</v>
      </c>
      <c r="E37" s="50">
        <v>12</v>
      </c>
      <c r="F37" s="50">
        <v>43</v>
      </c>
      <c r="G37" s="50">
        <v>1</v>
      </c>
      <c r="H37" s="50">
        <v>1</v>
      </c>
      <c r="I37" s="50">
        <v>13</v>
      </c>
      <c r="J37" s="50">
        <v>12</v>
      </c>
      <c r="K37" s="50">
        <v>3</v>
      </c>
      <c r="L37" s="50">
        <v>2</v>
      </c>
      <c r="M37" s="50">
        <v>90</v>
      </c>
      <c r="N37" s="50">
        <v>0</v>
      </c>
      <c r="O37" s="15">
        <f>SUM('27.07 Busega-Masanafu-24h'!C37:L37,N37)</f>
        <v>135</v>
      </c>
      <c r="P37" s="15">
        <f t="shared" si="1"/>
        <v>302</v>
      </c>
      <c r="R37" s="37" t="s">
        <v>85</v>
      </c>
      <c r="S37" s="35">
        <f t="shared" ref="S37:AF37" si="5">SUM(S10:S12)</f>
        <v>839</v>
      </c>
      <c r="T37" s="16">
        <f t="shared" si="5"/>
        <v>124</v>
      </c>
      <c r="U37" s="16">
        <f t="shared" si="5"/>
        <v>90</v>
      </c>
      <c r="V37" s="16">
        <f t="shared" si="5"/>
        <v>306</v>
      </c>
      <c r="W37" s="16">
        <f t="shared" si="5"/>
        <v>22</v>
      </c>
      <c r="X37" s="16">
        <f t="shared" si="5"/>
        <v>1</v>
      </c>
      <c r="Y37" s="16">
        <f t="shared" si="5"/>
        <v>127</v>
      </c>
      <c r="Z37" s="16">
        <f t="shared" si="5"/>
        <v>131</v>
      </c>
      <c r="AA37" s="16">
        <f t="shared" si="5"/>
        <v>27</v>
      </c>
      <c r="AB37" s="16">
        <f t="shared" si="5"/>
        <v>26</v>
      </c>
      <c r="AC37" s="16">
        <f t="shared" si="5"/>
        <v>1751</v>
      </c>
      <c r="AD37" s="16">
        <f t="shared" si="5"/>
        <v>0</v>
      </c>
      <c r="AE37" s="32">
        <f t="shared" si="5"/>
        <v>1693</v>
      </c>
      <c r="AF37" s="32">
        <f t="shared" si="5"/>
        <v>3229</v>
      </c>
    </row>
    <row r="38" spans="2:32" ht="23.1" customHeight="1" x14ac:dyDescent="0.25">
      <c r="B38" s="46" t="s">
        <v>65</v>
      </c>
      <c r="C38" s="50">
        <v>149</v>
      </c>
      <c r="D38" s="50">
        <v>11</v>
      </c>
      <c r="E38" s="50">
        <v>9</v>
      </c>
      <c r="F38" s="50">
        <v>55</v>
      </c>
      <c r="G38" s="50">
        <v>0</v>
      </c>
      <c r="H38" s="50">
        <v>0</v>
      </c>
      <c r="I38" s="50">
        <v>23</v>
      </c>
      <c r="J38" s="50">
        <v>8</v>
      </c>
      <c r="K38" s="50">
        <v>2</v>
      </c>
      <c r="L38" s="50">
        <v>5</v>
      </c>
      <c r="M38" s="50">
        <v>155</v>
      </c>
      <c r="N38" s="50">
        <v>0</v>
      </c>
      <c r="O38" s="15">
        <f>SUM('27.07 Busega-Masanafu-24h'!C38:L38,N38)</f>
        <v>189</v>
      </c>
      <c r="P38" s="15">
        <f t="shared" si="1"/>
        <v>417</v>
      </c>
      <c r="R38" s="28" t="s">
        <v>86</v>
      </c>
      <c r="S38" s="16">
        <f t="shared" ref="S38:AF38" si="6">SUM(S13:S18)</f>
        <v>2124</v>
      </c>
      <c r="T38" s="16">
        <f t="shared" si="6"/>
        <v>360</v>
      </c>
      <c r="U38" s="16">
        <f t="shared" si="6"/>
        <v>218</v>
      </c>
      <c r="V38" s="16">
        <f t="shared" si="6"/>
        <v>672</v>
      </c>
      <c r="W38" s="16">
        <f t="shared" si="6"/>
        <v>25</v>
      </c>
      <c r="X38" s="16">
        <f t="shared" si="6"/>
        <v>10</v>
      </c>
      <c r="Y38" s="16">
        <f t="shared" si="6"/>
        <v>273</v>
      </c>
      <c r="Z38" s="16">
        <f t="shared" si="6"/>
        <v>224</v>
      </c>
      <c r="AA38" s="16">
        <f t="shared" si="6"/>
        <v>117</v>
      </c>
      <c r="AB38" s="16">
        <f t="shared" si="6"/>
        <v>113</v>
      </c>
      <c r="AC38" s="16">
        <f t="shared" si="6"/>
        <v>2840</v>
      </c>
      <c r="AD38" s="16">
        <f t="shared" si="6"/>
        <v>0</v>
      </c>
      <c r="AE38" s="32">
        <f t="shared" si="6"/>
        <v>4136</v>
      </c>
      <c r="AF38" s="32">
        <f t="shared" si="6"/>
        <v>7378</v>
      </c>
    </row>
    <row r="39" spans="2:32" ht="23.1" customHeight="1" x14ac:dyDescent="0.25">
      <c r="B39" s="46" t="s">
        <v>66</v>
      </c>
      <c r="C39" s="50">
        <v>122</v>
      </c>
      <c r="D39" s="50">
        <v>11</v>
      </c>
      <c r="E39" s="50">
        <v>19</v>
      </c>
      <c r="F39" s="50">
        <v>42</v>
      </c>
      <c r="G39" s="50">
        <v>1</v>
      </c>
      <c r="H39" s="50">
        <v>0</v>
      </c>
      <c r="I39" s="50">
        <v>19</v>
      </c>
      <c r="J39" s="50">
        <v>8</v>
      </c>
      <c r="K39" s="50">
        <v>5</v>
      </c>
      <c r="L39" s="50">
        <v>8</v>
      </c>
      <c r="M39" s="50">
        <v>89</v>
      </c>
      <c r="N39" s="50">
        <v>0</v>
      </c>
      <c r="O39" s="15">
        <f>SUM('27.07 Busega-Masanafu-24h'!C39:L39,N39)</f>
        <v>154</v>
      </c>
      <c r="P39" s="15">
        <f t="shared" si="1"/>
        <v>324</v>
      </c>
      <c r="R39" s="29" t="s">
        <v>87</v>
      </c>
      <c r="S39" s="16">
        <f t="shared" ref="S39:AF39" si="7">SUM(S19:S21)</f>
        <v>914</v>
      </c>
      <c r="T39" s="16">
        <f t="shared" si="7"/>
        <v>192</v>
      </c>
      <c r="U39" s="16">
        <f t="shared" si="7"/>
        <v>107</v>
      </c>
      <c r="V39" s="16">
        <f t="shared" si="7"/>
        <v>346</v>
      </c>
      <c r="W39" s="16">
        <f t="shared" si="7"/>
        <v>15</v>
      </c>
      <c r="X39" s="16">
        <f t="shared" si="7"/>
        <v>3</v>
      </c>
      <c r="Y39" s="16">
        <f t="shared" si="7"/>
        <v>132</v>
      </c>
      <c r="Z39" s="16">
        <f t="shared" si="7"/>
        <v>98</v>
      </c>
      <c r="AA39" s="16">
        <f t="shared" si="7"/>
        <v>39</v>
      </c>
      <c r="AB39" s="16">
        <f t="shared" si="7"/>
        <v>57</v>
      </c>
      <c r="AC39" s="16">
        <f t="shared" si="7"/>
        <v>1250</v>
      </c>
      <c r="AD39" s="16">
        <f t="shared" si="7"/>
        <v>0</v>
      </c>
      <c r="AE39" s="32">
        <f t="shared" si="7"/>
        <v>1903</v>
      </c>
      <c r="AF39" s="32">
        <f t="shared" si="7"/>
        <v>3016</v>
      </c>
    </row>
    <row r="40" spans="2:32" ht="23.1" customHeight="1" x14ac:dyDescent="0.25">
      <c r="B40" s="46" t="s">
        <v>67</v>
      </c>
      <c r="C40" s="50">
        <v>110</v>
      </c>
      <c r="D40" s="50">
        <v>11</v>
      </c>
      <c r="E40" s="50">
        <v>16</v>
      </c>
      <c r="F40" s="50">
        <v>47</v>
      </c>
      <c r="G40" s="50">
        <v>0</v>
      </c>
      <c r="H40" s="50">
        <v>1</v>
      </c>
      <c r="I40" s="50">
        <v>17</v>
      </c>
      <c r="J40" s="50">
        <v>8</v>
      </c>
      <c r="K40" s="50">
        <v>7</v>
      </c>
      <c r="L40" s="50">
        <v>5</v>
      </c>
      <c r="M40" s="50">
        <v>105</v>
      </c>
      <c r="N40" s="50">
        <v>0</v>
      </c>
      <c r="O40" s="15">
        <f>SUM('27.07 Busega-Masanafu-24h'!C40:L40,N40)</f>
        <v>148</v>
      </c>
      <c r="P40" s="15">
        <f t="shared" si="1"/>
        <v>327</v>
      </c>
      <c r="R40" s="5" t="s">
        <v>17</v>
      </c>
      <c r="S40" s="16">
        <f t="shared" ref="S40:AF40" si="8">SUM(S10:S21)</f>
        <v>3877</v>
      </c>
      <c r="T40" s="16">
        <f t="shared" si="8"/>
        <v>676</v>
      </c>
      <c r="U40" s="16">
        <f t="shared" si="8"/>
        <v>415</v>
      </c>
      <c r="V40" s="16">
        <f t="shared" si="8"/>
        <v>1324</v>
      </c>
      <c r="W40" s="16">
        <f t="shared" si="8"/>
        <v>62</v>
      </c>
      <c r="X40" s="16">
        <f t="shared" si="8"/>
        <v>14</v>
      </c>
      <c r="Y40" s="16">
        <f t="shared" si="8"/>
        <v>532</v>
      </c>
      <c r="Z40" s="16">
        <f t="shared" si="8"/>
        <v>453</v>
      </c>
      <c r="AA40" s="16">
        <f t="shared" si="8"/>
        <v>183</v>
      </c>
      <c r="AB40" s="16">
        <f t="shared" si="8"/>
        <v>196</v>
      </c>
      <c r="AC40" s="16">
        <f t="shared" si="8"/>
        <v>5841</v>
      </c>
      <c r="AD40" s="16">
        <f t="shared" si="8"/>
        <v>0</v>
      </c>
      <c r="AE40" s="32">
        <f t="shared" si="8"/>
        <v>7732</v>
      </c>
      <c r="AF40" s="32">
        <f t="shared" si="8"/>
        <v>13623</v>
      </c>
    </row>
    <row r="41" spans="2:32" ht="23.1" customHeight="1" x14ac:dyDescent="0.25">
      <c r="B41" s="45" t="s">
        <v>68</v>
      </c>
      <c r="C41" s="50">
        <v>102</v>
      </c>
      <c r="D41" s="50">
        <v>5</v>
      </c>
      <c r="E41" s="50">
        <v>18</v>
      </c>
      <c r="F41" s="50">
        <v>35</v>
      </c>
      <c r="G41" s="50">
        <v>1</v>
      </c>
      <c r="H41" s="50">
        <v>1</v>
      </c>
      <c r="I41" s="50">
        <v>11</v>
      </c>
      <c r="J41" s="50">
        <v>5</v>
      </c>
      <c r="K41" s="50">
        <v>5</v>
      </c>
      <c r="L41" s="50">
        <v>13</v>
      </c>
      <c r="M41" s="50">
        <v>53</v>
      </c>
      <c r="N41" s="50">
        <v>0</v>
      </c>
      <c r="O41" s="15">
        <f>SUM('27.07 Busega-Masanafu-24h'!C41:L41,N41)</f>
        <v>154</v>
      </c>
      <c r="P41" s="15">
        <f t="shared" si="1"/>
        <v>249</v>
      </c>
      <c r="R41" s="5" t="s">
        <v>159</v>
      </c>
      <c r="S41" s="16">
        <f>SUM(S10:S33)</f>
        <v>5478</v>
      </c>
      <c r="T41" s="16">
        <f t="shared" ref="T41:AF41" si="9">SUM(T10:T33)</f>
        <v>876</v>
      </c>
      <c r="U41" s="16">
        <f t="shared" si="9"/>
        <v>712</v>
      </c>
      <c r="V41" s="16">
        <f t="shared" si="9"/>
        <v>1913</v>
      </c>
      <c r="W41" s="16">
        <f t="shared" si="9"/>
        <v>116</v>
      </c>
      <c r="X41" s="16">
        <f t="shared" si="9"/>
        <v>39</v>
      </c>
      <c r="Y41" s="16">
        <f t="shared" si="9"/>
        <v>867</v>
      </c>
      <c r="Z41" s="16">
        <f t="shared" si="9"/>
        <v>685</v>
      </c>
      <c r="AA41" s="16">
        <f t="shared" si="9"/>
        <v>319</v>
      </c>
      <c r="AB41" s="16">
        <f t="shared" si="9"/>
        <v>363</v>
      </c>
      <c r="AC41" s="16">
        <f t="shared" si="9"/>
        <v>7691</v>
      </c>
      <c r="AD41" s="16">
        <f t="shared" si="9"/>
        <v>0</v>
      </c>
      <c r="AE41" s="32">
        <f t="shared" si="9"/>
        <v>11368</v>
      </c>
      <c r="AF41" s="32">
        <f t="shared" si="9"/>
        <v>19718</v>
      </c>
    </row>
    <row r="42" spans="2:32" ht="23.1" customHeight="1" x14ac:dyDescent="0.25">
      <c r="B42" s="46" t="s">
        <v>69</v>
      </c>
      <c r="C42" s="50">
        <v>95</v>
      </c>
      <c r="D42" s="50">
        <v>13</v>
      </c>
      <c r="E42" s="50">
        <v>7</v>
      </c>
      <c r="F42" s="50">
        <v>45</v>
      </c>
      <c r="G42" s="50">
        <v>0</v>
      </c>
      <c r="H42" s="50">
        <v>0</v>
      </c>
      <c r="I42" s="50">
        <v>16</v>
      </c>
      <c r="J42" s="50">
        <v>9</v>
      </c>
      <c r="K42" s="50">
        <v>2</v>
      </c>
      <c r="L42" s="50">
        <v>4</v>
      </c>
      <c r="M42" s="50">
        <v>60</v>
      </c>
      <c r="N42" s="50">
        <v>0</v>
      </c>
      <c r="O42" s="15">
        <f>SUM('27.07 Busega-Masanafu-24h'!C42:L42,N42)</f>
        <v>157</v>
      </c>
      <c r="P42" s="15">
        <f t="shared" si="1"/>
        <v>251</v>
      </c>
      <c r="R42" s="5" t="s">
        <v>160</v>
      </c>
      <c r="S42" s="48">
        <f>S41/S40</f>
        <v>1.4129481557905597</v>
      </c>
      <c r="T42" s="48">
        <f t="shared" ref="T42:AF42" si="10">T41/T40</f>
        <v>1.2958579881656804</v>
      </c>
      <c r="U42" s="48">
        <f t="shared" si="10"/>
        <v>1.7156626506024097</v>
      </c>
      <c r="V42" s="48">
        <f t="shared" si="10"/>
        <v>1.4448640483383686</v>
      </c>
      <c r="W42" s="48">
        <f t="shared" si="10"/>
        <v>1.8709677419354838</v>
      </c>
      <c r="X42" s="48">
        <f t="shared" si="10"/>
        <v>2.7857142857142856</v>
      </c>
      <c r="Y42" s="48">
        <f t="shared" si="10"/>
        <v>1.6296992481203008</v>
      </c>
      <c r="Z42" s="48">
        <f t="shared" si="10"/>
        <v>1.5121412803532008</v>
      </c>
      <c r="AA42" s="48">
        <f t="shared" si="10"/>
        <v>1.7431693989071038</v>
      </c>
      <c r="AB42" s="48">
        <f t="shared" si="10"/>
        <v>1.8520408163265305</v>
      </c>
      <c r="AC42" s="48">
        <f t="shared" si="10"/>
        <v>1.3167265879130285</v>
      </c>
      <c r="AD42" s="48" t="e">
        <f t="shared" si="10"/>
        <v>#DIV/0!</v>
      </c>
      <c r="AE42" s="48">
        <f t="shared" si="10"/>
        <v>1.4702534919813761</v>
      </c>
      <c r="AF42" s="48">
        <f t="shared" si="10"/>
        <v>1.4474051236878809</v>
      </c>
    </row>
    <row r="43" spans="2:32" ht="23.1" customHeight="1" x14ac:dyDescent="0.25">
      <c r="B43" s="45" t="s">
        <v>70</v>
      </c>
      <c r="C43" s="50">
        <v>93</v>
      </c>
      <c r="D43" s="50">
        <v>15</v>
      </c>
      <c r="E43" s="50">
        <v>10</v>
      </c>
      <c r="F43" s="50">
        <v>39</v>
      </c>
      <c r="G43" s="50">
        <v>1</v>
      </c>
      <c r="H43" s="50">
        <v>0</v>
      </c>
      <c r="I43" s="50">
        <v>7</v>
      </c>
      <c r="J43" s="50">
        <v>8</v>
      </c>
      <c r="K43" s="50">
        <v>9</v>
      </c>
      <c r="L43" s="50">
        <v>12</v>
      </c>
      <c r="M43" s="50">
        <v>63</v>
      </c>
      <c r="N43" s="50">
        <v>0</v>
      </c>
      <c r="O43" s="15">
        <f>SUM('27.07 Busega-Masanafu-24h'!C43:L43,N43)</f>
        <v>174</v>
      </c>
      <c r="P43" s="15">
        <f t="shared" si="1"/>
        <v>257</v>
      </c>
    </row>
    <row r="44" spans="2:32" ht="23.1" customHeight="1" x14ac:dyDescent="0.25">
      <c r="B44" s="47" t="s">
        <v>71</v>
      </c>
      <c r="C44" s="50">
        <v>118</v>
      </c>
      <c r="D44" s="50">
        <v>13</v>
      </c>
      <c r="E44" s="50">
        <v>14</v>
      </c>
      <c r="F44" s="50">
        <v>27</v>
      </c>
      <c r="G44" s="50">
        <v>1</v>
      </c>
      <c r="H44" s="50">
        <v>1</v>
      </c>
      <c r="I44" s="50">
        <v>16</v>
      </c>
      <c r="J44" s="50">
        <v>14</v>
      </c>
      <c r="K44" s="50">
        <v>8</v>
      </c>
      <c r="L44" s="50">
        <v>9</v>
      </c>
      <c r="M44" s="50">
        <v>65</v>
      </c>
      <c r="N44" s="50">
        <v>0</v>
      </c>
      <c r="O44" s="15">
        <f>SUM('27.07 Busega-Masanafu-24h'!C44:L44,N44)</f>
        <v>170</v>
      </c>
      <c r="P44" s="15">
        <f t="shared" si="1"/>
        <v>286</v>
      </c>
    </row>
    <row r="45" spans="2:32" ht="23.1" customHeight="1" x14ac:dyDescent="0.25">
      <c r="B45" s="45" t="s">
        <v>72</v>
      </c>
      <c r="C45" s="50">
        <v>134</v>
      </c>
      <c r="D45" s="50">
        <v>13</v>
      </c>
      <c r="E45" s="50">
        <v>6</v>
      </c>
      <c r="F45" s="50">
        <v>46</v>
      </c>
      <c r="G45" s="50">
        <v>0</v>
      </c>
      <c r="H45" s="50">
        <v>1</v>
      </c>
      <c r="I45" s="50">
        <v>16</v>
      </c>
      <c r="J45" s="50">
        <v>5</v>
      </c>
      <c r="K45" s="50">
        <v>6</v>
      </c>
      <c r="L45" s="50">
        <v>2</v>
      </c>
      <c r="M45" s="50">
        <v>50</v>
      </c>
      <c r="N45" s="50">
        <v>0</v>
      </c>
      <c r="O45" s="15">
        <f>SUM('27.07 Busega-Masanafu-24h'!C45:L45,N45)</f>
        <v>183</v>
      </c>
      <c r="P45" s="15">
        <f t="shared" si="1"/>
        <v>279</v>
      </c>
    </row>
    <row r="46" spans="2:32" ht="23.1" customHeight="1" x14ac:dyDescent="0.25">
      <c r="B46" s="46" t="s">
        <v>73</v>
      </c>
      <c r="C46" s="50">
        <v>105</v>
      </c>
      <c r="D46" s="50">
        <v>6</v>
      </c>
      <c r="E46" s="50">
        <v>12</v>
      </c>
      <c r="F46" s="50">
        <v>32</v>
      </c>
      <c r="G46" s="50">
        <v>1</v>
      </c>
      <c r="H46" s="50">
        <v>1</v>
      </c>
      <c r="I46" s="50">
        <v>13</v>
      </c>
      <c r="J46" s="50">
        <v>12</v>
      </c>
      <c r="K46" s="50">
        <v>7</v>
      </c>
      <c r="L46" s="50">
        <v>0</v>
      </c>
      <c r="M46" s="50">
        <v>30</v>
      </c>
      <c r="N46" s="50">
        <v>0</v>
      </c>
      <c r="O46" s="15">
        <f>SUM('27.07 Busega-Masanafu-24h'!C46:L46,N46)</f>
        <v>130</v>
      </c>
      <c r="P46" s="15">
        <f t="shared" si="1"/>
        <v>219</v>
      </c>
      <c r="R46" s="8"/>
      <c r="T46"/>
    </row>
    <row r="47" spans="2:32" ht="23.1" customHeight="1" x14ac:dyDescent="0.25">
      <c r="B47" s="46" t="s">
        <v>74</v>
      </c>
      <c r="C47" s="50">
        <v>130</v>
      </c>
      <c r="D47" s="50">
        <v>15</v>
      </c>
      <c r="E47" s="50">
        <v>10</v>
      </c>
      <c r="F47" s="50">
        <v>41</v>
      </c>
      <c r="G47" s="50">
        <v>0</v>
      </c>
      <c r="H47" s="50">
        <v>1</v>
      </c>
      <c r="I47" s="50">
        <v>17</v>
      </c>
      <c r="J47" s="50">
        <v>11</v>
      </c>
      <c r="K47" s="50">
        <v>4</v>
      </c>
      <c r="L47" s="50">
        <v>2</v>
      </c>
      <c r="M47" s="50">
        <v>67</v>
      </c>
      <c r="N47" s="50">
        <v>0</v>
      </c>
      <c r="O47" s="15">
        <f>SUM('27.07 Busega-Masanafu-24h'!C47:L47,N47)</f>
        <v>193</v>
      </c>
      <c r="P47" s="15">
        <f t="shared" si="1"/>
        <v>298</v>
      </c>
      <c r="R47" s="8"/>
      <c r="T47"/>
    </row>
    <row r="48" spans="2:32" ht="23.1" customHeight="1" x14ac:dyDescent="0.25">
      <c r="B48" s="46" t="s">
        <v>75</v>
      </c>
      <c r="C48" s="50">
        <v>82</v>
      </c>
      <c r="D48" s="50">
        <v>11</v>
      </c>
      <c r="E48" s="50">
        <v>9</v>
      </c>
      <c r="F48" s="50">
        <v>42</v>
      </c>
      <c r="G48" s="50">
        <v>2</v>
      </c>
      <c r="H48" s="50">
        <v>0</v>
      </c>
      <c r="I48" s="50">
        <v>19</v>
      </c>
      <c r="J48" s="50">
        <v>10</v>
      </c>
      <c r="K48" s="50">
        <v>5</v>
      </c>
      <c r="L48" s="50">
        <v>2</v>
      </c>
      <c r="M48" s="50">
        <v>50</v>
      </c>
      <c r="N48" s="50">
        <v>0</v>
      </c>
      <c r="O48" s="15">
        <f>SUM('27.07 Busega-Masanafu-24h'!C48:L48,N48)</f>
        <v>185</v>
      </c>
      <c r="P48" s="15">
        <f t="shared" si="1"/>
        <v>232</v>
      </c>
      <c r="R48" s="8"/>
      <c r="T48"/>
    </row>
    <row r="49" spans="2:20" ht="23.1" customHeight="1" x14ac:dyDescent="0.25">
      <c r="B49" s="45" t="s">
        <v>76</v>
      </c>
      <c r="C49" s="50">
        <v>104</v>
      </c>
      <c r="D49" s="50">
        <v>8</v>
      </c>
      <c r="E49" s="50">
        <v>4</v>
      </c>
      <c r="F49" s="50">
        <v>47</v>
      </c>
      <c r="G49" s="50">
        <v>2</v>
      </c>
      <c r="H49" s="50">
        <v>2</v>
      </c>
      <c r="I49" s="50">
        <v>10</v>
      </c>
      <c r="J49" s="50">
        <v>13</v>
      </c>
      <c r="K49" s="50">
        <v>6</v>
      </c>
      <c r="L49" s="50">
        <v>7</v>
      </c>
      <c r="M49" s="50">
        <v>72</v>
      </c>
      <c r="N49" s="50">
        <v>0</v>
      </c>
      <c r="O49" s="15">
        <f>SUM('27.07 Busega-Masanafu-24h'!C49:L49,N49)</f>
        <v>183</v>
      </c>
      <c r="P49" s="15">
        <f t="shared" si="1"/>
        <v>275</v>
      </c>
      <c r="R49" s="8"/>
      <c r="T49"/>
    </row>
    <row r="50" spans="2:20" ht="23.1" customHeight="1" x14ac:dyDescent="0.25">
      <c r="B50" s="46" t="s">
        <v>77</v>
      </c>
      <c r="C50" s="50">
        <v>101</v>
      </c>
      <c r="D50" s="50">
        <v>10</v>
      </c>
      <c r="E50" s="50">
        <v>10</v>
      </c>
      <c r="F50" s="50">
        <v>29</v>
      </c>
      <c r="G50" s="50">
        <v>3</v>
      </c>
      <c r="H50" s="50">
        <v>1</v>
      </c>
      <c r="I50" s="50">
        <v>11</v>
      </c>
      <c r="J50" s="50">
        <v>10</v>
      </c>
      <c r="K50" s="50">
        <v>1</v>
      </c>
      <c r="L50" s="50">
        <v>8</v>
      </c>
      <c r="M50" s="50">
        <v>59</v>
      </c>
      <c r="N50" s="50">
        <v>0</v>
      </c>
      <c r="O50" s="15">
        <f>SUM('27.07 Busega-Masanafu-24h'!C50:L50,N50)</f>
        <v>163</v>
      </c>
      <c r="P50" s="15">
        <f t="shared" si="1"/>
        <v>243</v>
      </c>
      <c r="R50" s="8"/>
      <c r="T50"/>
    </row>
    <row r="51" spans="2:20" ht="23.1" customHeight="1" x14ac:dyDescent="0.25">
      <c r="B51" s="46" t="s">
        <v>78</v>
      </c>
      <c r="C51" s="50">
        <v>102</v>
      </c>
      <c r="D51" s="50">
        <v>9</v>
      </c>
      <c r="E51" s="50">
        <v>11</v>
      </c>
      <c r="F51" s="50">
        <v>43</v>
      </c>
      <c r="G51" s="50">
        <v>1</v>
      </c>
      <c r="H51" s="50">
        <v>0</v>
      </c>
      <c r="I51" s="50">
        <v>13</v>
      </c>
      <c r="J51" s="50">
        <v>6</v>
      </c>
      <c r="K51" s="50">
        <v>4</v>
      </c>
      <c r="L51" s="50">
        <v>5</v>
      </c>
      <c r="M51" s="50">
        <v>70</v>
      </c>
      <c r="N51" s="50">
        <v>0</v>
      </c>
      <c r="O51" s="15">
        <f>SUM('27.07 Busega-Masanafu-24h'!C51:L51,N51)</f>
        <v>148</v>
      </c>
      <c r="P51" s="15">
        <f t="shared" si="1"/>
        <v>264</v>
      </c>
      <c r="R51" s="8"/>
      <c r="T51"/>
    </row>
    <row r="52" spans="2:20" ht="23.1" customHeight="1" x14ac:dyDescent="0.25">
      <c r="B52" s="46" t="s">
        <v>79</v>
      </c>
      <c r="C52" s="50">
        <v>102</v>
      </c>
      <c r="D52" s="50">
        <v>12</v>
      </c>
      <c r="E52" s="50">
        <v>7</v>
      </c>
      <c r="F52" s="50">
        <v>29</v>
      </c>
      <c r="G52" s="50">
        <v>2</v>
      </c>
      <c r="H52" s="50">
        <v>0</v>
      </c>
      <c r="I52" s="50">
        <v>19</v>
      </c>
      <c r="J52" s="50">
        <v>13</v>
      </c>
      <c r="K52" s="50">
        <v>2</v>
      </c>
      <c r="L52" s="50">
        <v>10</v>
      </c>
      <c r="M52" s="50">
        <v>90</v>
      </c>
      <c r="N52" s="50">
        <v>0</v>
      </c>
      <c r="O52" s="15">
        <f>SUM('27.07 Busega-Masanafu-24h'!C52:L52,N52)</f>
        <v>163</v>
      </c>
      <c r="P52" s="15">
        <f t="shared" si="1"/>
        <v>286</v>
      </c>
      <c r="R52" s="8"/>
      <c r="T52"/>
    </row>
    <row r="53" spans="2:20" ht="23.1" customHeight="1" x14ac:dyDescent="0.25">
      <c r="B53" s="45" t="s">
        <v>80</v>
      </c>
      <c r="C53" s="50">
        <v>115</v>
      </c>
      <c r="D53" s="50">
        <v>10</v>
      </c>
      <c r="E53" s="50">
        <v>0</v>
      </c>
      <c r="F53" s="50">
        <v>48</v>
      </c>
      <c r="G53" s="50">
        <v>2</v>
      </c>
      <c r="H53" s="50">
        <v>0</v>
      </c>
      <c r="I53" s="50">
        <v>7</v>
      </c>
      <c r="J53" s="50">
        <v>5</v>
      </c>
      <c r="K53" s="50">
        <v>4</v>
      </c>
      <c r="L53" s="50">
        <v>8</v>
      </c>
      <c r="M53" s="50">
        <v>65</v>
      </c>
      <c r="N53" s="50">
        <v>0</v>
      </c>
      <c r="O53" s="15">
        <f>SUM('27.07 Busega-Masanafu-24h'!C53:L53,N53)</f>
        <v>182</v>
      </c>
      <c r="P53" s="15">
        <f t="shared" si="1"/>
        <v>264</v>
      </c>
      <c r="R53" s="8"/>
      <c r="T53"/>
    </row>
    <row r="54" spans="2:20" ht="23.1" customHeight="1" x14ac:dyDescent="0.25">
      <c r="B54" s="45" t="s">
        <v>81</v>
      </c>
      <c r="C54" s="50">
        <v>111</v>
      </c>
      <c r="D54" s="50">
        <v>9</v>
      </c>
      <c r="E54" s="50">
        <v>9</v>
      </c>
      <c r="F54" s="50">
        <v>44</v>
      </c>
      <c r="G54" s="50">
        <v>0</v>
      </c>
      <c r="H54" s="50">
        <v>4</v>
      </c>
      <c r="I54" s="50">
        <v>9</v>
      </c>
      <c r="J54" s="50">
        <v>8</v>
      </c>
      <c r="K54" s="50">
        <v>3</v>
      </c>
      <c r="L54" s="50">
        <v>7</v>
      </c>
      <c r="M54" s="50">
        <v>57</v>
      </c>
      <c r="N54" s="50">
        <v>0</v>
      </c>
      <c r="O54" s="15">
        <f>SUM('27.07 Busega-Masanafu-24h'!C54:L54,N54)</f>
        <v>115</v>
      </c>
      <c r="P54" s="15">
        <f t="shared" si="1"/>
        <v>261</v>
      </c>
      <c r="R54" s="8"/>
      <c r="T54"/>
    </row>
    <row r="55" spans="2:20" ht="23.1" customHeight="1" x14ac:dyDescent="0.25">
      <c r="B55" s="45" t="s">
        <v>82</v>
      </c>
      <c r="C55" s="50">
        <v>58</v>
      </c>
      <c r="D55" s="50">
        <v>1</v>
      </c>
      <c r="E55" s="50">
        <v>3</v>
      </c>
      <c r="F55" s="50">
        <v>20</v>
      </c>
      <c r="G55" s="50">
        <v>0</v>
      </c>
      <c r="H55" s="50">
        <v>0</v>
      </c>
      <c r="I55" s="50">
        <v>5</v>
      </c>
      <c r="J55" s="50">
        <v>4</v>
      </c>
      <c r="K55" s="50">
        <v>2</v>
      </c>
      <c r="L55" s="50">
        <v>5</v>
      </c>
      <c r="M55" s="50">
        <v>125</v>
      </c>
      <c r="N55" s="50">
        <v>0</v>
      </c>
      <c r="O55" s="15">
        <f>SUM('27.07 Busega-Masanafu-24h'!C55:L55,N55)</f>
        <v>142</v>
      </c>
      <c r="P55" s="15">
        <f t="shared" si="1"/>
        <v>223</v>
      </c>
      <c r="R55" s="8"/>
      <c r="T55"/>
    </row>
    <row r="56" spans="2:20" ht="23.1" customHeight="1" x14ac:dyDescent="0.25">
      <c r="B56" s="45" t="s">
        <v>83</v>
      </c>
      <c r="C56" s="50">
        <v>50</v>
      </c>
      <c r="D56" s="50">
        <v>9</v>
      </c>
      <c r="E56" s="50">
        <v>4</v>
      </c>
      <c r="F56" s="50">
        <v>29</v>
      </c>
      <c r="G56" s="50">
        <v>7</v>
      </c>
      <c r="H56" s="50">
        <v>1</v>
      </c>
      <c r="I56" s="50">
        <v>7</v>
      </c>
      <c r="J56" s="50">
        <v>3</v>
      </c>
      <c r="K56" s="50">
        <v>2</v>
      </c>
      <c r="L56" s="50">
        <v>2</v>
      </c>
      <c r="M56" s="50">
        <v>70</v>
      </c>
      <c r="N56" s="50">
        <v>0</v>
      </c>
      <c r="O56" s="15">
        <f>SUM('27.07 Busega-Masanafu-24h'!C56:L56,N56)</f>
        <v>154</v>
      </c>
      <c r="P56" s="15">
        <f t="shared" si="1"/>
        <v>184</v>
      </c>
      <c r="R56" s="8"/>
      <c r="T56"/>
    </row>
    <row r="57" spans="2:20" ht="23.1" customHeight="1" x14ac:dyDescent="0.25">
      <c r="B57" s="45" t="s">
        <v>84</v>
      </c>
      <c r="C57" s="50">
        <v>68</v>
      </c>
      <c r="D57" s="50">
        <v>5</v>
      </c>
      <c r="E57" s="50">
        <v>3</v>
      </c>
      <c r="F57" s="50">
        <v>43</v>
      </c>
      <c r="G57" s="50">
        <v>1</v>
      </c>
      <c r="H57" s="50">
        <v>0</v>
      </c>
      <c r="I57" s="50">
        <v>7</v>
      </c>
      <c r="J57" s="50">
        <v>5</v>
      </c>
      <c r="K57" s="50">
        <v>0</v>
      </c>
      <c r="L57" s="50">
        <v>3</v>
      </c>
      <c r="M57" s="50">
        <v>132</v>
      </c>
      <c r="N57" s="50">
        <v>0</v>
      </c>
      <c r="O57" s="15">
        <f>SUM('27.07 Busega-Masanafu-24h'!C57:L57,N57)</f>
        <v>145</v>
      </c>
      <c r="P57" s="15">
        <f t="shared" si="1"/>
        <v>267</v>
      </c>
      <c r="R57" s="8"/>
      <c r="T57"/>
    </row>
    <row r="58" spans="2:20" ht="23.1" customHeight="1" x14ac:dyDescent="0.25">
      <c r="B58" s="45" t="s">
        <v>99</v>
      </c>
      <c r="C58" s="50">
        <v>88</v>
      </c>
      <c r="D58" s="50">
        <v>11</v>
      </c>
      <c r="E58" s="50">
        <v>11</v>
      </c>
      <c r="F58" s="50">
        <v>28</v>
      </c>
      <c r="G58" s="50">
        <v>1</v>
      </c>
      <c r="H58" s="50">
        <v>1</v>
      </c>
      <c r="I58" s="50">
        <v>6</v>
      </c>
      <c r="J58" s="50">
        <v>8</v>
      </c>
      <c r="K58" s="50">
        <v>3</v>
      </c>
      <c r="L58" s="50">
        <v>3</v>
      </c>
      <c r="M58" s="50">
        <v>63</v>
      </c>
      <c r="N58" s="50">
        <v>0</v>
      </c>
      <c r="O58" s="15">
        <f>SUM('27.07 Busega-Masanafu-24h'!C58:L58,N58)</f>
        <v>103</v>
      </c>
      <c r="P58" s="15">
        <f t="shared" si="1"/>
        <v>223</v>
      </c>
      <c r="R58" s="8"/>
      <c r="T58"/>
    </row>
    <row r="59" spans="2:20" ht="23.1" customHeight="1" x14ac:dyDescent="0.25">
      <c r="B59" s="45" t="s">
        <v>100</v>
      </c>
      <c r="C59" s="50">
        <v>68</v>
      </c>
      <c r="D59" s="50">
        <v>5</v>
      </c>
      <c r="E59" s="50">
        <v>12</v>
      </c>
      <c r="F59" s="50">
        <v>46</v>
      </c>
      <c r="G59" s="50">
        <v>2</v>
      </c>
      <c r="H59" s="50">
        <v>3</v>
      </c>
      <c r="I59" s="50">
        <v>8</v>
      </c>
      <c r="J59" s="50">
        <v>6</v>
      </c>
      <c r="K59" s="50">
        <v>2</v>
      </c>
      <c r="L59" s="50">
        <v>2</v>
      </c>
      <c r="M59" s="50">
        <v>139</v>
      </c>
      <c r="N59" s="50">
        <v>0</v>
      </c>
      <c r="O59" s="15">
        <f>SUM('27.07 Busega-Masanafu-24h'!C59:L59,N59)</f>
        <v>182</v>
      </c>
      <c r="P59" s="15">
        <f t="shared" si="1"/>
        <v>293</v>
      </c>
      <c r="R59" s="8"/>
      <c r="T59"/>
    </row>
    <row r="60" spans="2:20" ht="23.1" customHeight="1" x14ac:dyDescent="0.25">
      <c r="B60" s="45" t="s">
        <v>101</v>
      </c>
      <c r="C60" s="50">
        <v>52</v>
      </c>
      <c r="D60" s="50">
        <v>11</v>
      </c>
      <c r="E60" s="50">
        <v>11</v>
      </c>
      <c r="F60" s="50">
        <v>24</v>
      </c>
      <c r="G60" s="50">
        <v>1</v>
      </c>
      <c r="H60" s="50">
        <v>2</v>
      </c>
      <c r="I60" s="50">
        <v>1</v>
      </c>
      <c r="J60" s="50">
        <v>4</v>
      </c>
      <c r="K60" s="50">
        <v>2</v>
      </c>
      <c r="L60" s="50">
        <v>7</v>
      </c>
      <c r="M60" s="50">
        <v>95</v>
      </c>
      <c r="N60" s="50">
        <v>0</v>
      </c>
      <c r="O60" s="15">
        <f>SUM('27.07 Busega-Masanafu-24h'!C60:L60,N60)</f>
        <v>162</v>
      </c>
      <c r="P60" s="15">
        <f t="shared" si="1"/>
        <v>210</v>
      </c>
      <c r="R60" s="8"/>
      <c r="T60"/>
    </row>
    <row r="61" spans="2:20" ht="23.1" customHeight="1" x14ac:dyDescent="0.25">
      <c r="B61" s="45" t="s">
        <v>102</v>
      </c>
      <c r="C61" s="50">
        <v>48</v>
      </c>
      <c r="D61" s="50">
        <v>14</v>
      </c>
      <c r="E61" s="50">
        <v>5</v>
      </c>
      <c r="F61" s="50">
        <v>30</v>
      </c>
      <c r="G61" s="50">
        <v>2</v>
      </c>
      <c r="H61" s="50">
        <v>0</v>
      </c>
      <c r="I61" s="50">
        <v>4</v>
      </c>
      <c r="J61" s="50">
        <v>7</v>
      </c>
      <c r="K61" s="50">
        <v>3</v>
      </c>
      <c r="L61" s="50">
        <v>1</v>
      </c>
      <c r="M61" s="50">
        <v>125</v>
      </c>
      <c r="N61" s="50">
        <v>0</v>
      </c>
      <c r="O61" s="15">
        <f>SUM('27.07 Busega-Masanafu-24h'!C61:L61,N61)</f>
        <v>77</v>
      </c>
      <c r="P61" s="15">
        <f t="shared" si="1"/>
        <v>239</v>
      </c>
      <c r="R61" s="8"/>
      <c r="T61"/>
    </row>
    <row r="62" spans="2:20" ht="23.1" customHeight="1" x14ac:dyDescent="0.25">
      <c r="B62" s="45" t="s">
        <v>107</v>
      </c>
      <c r="C62" s="50">
        <v>85</v>
      </c>
      <c r="D62" s="50">
        <v>10</v>
      </c>
      <c r="E62" s="50">
        <v>48</v>
      </c>
      <c r="F62" s="50">
        <v>48</v>
      </c>
      <c r="G62" s="50">
        <v>2</v>
      </c>
      <c r="H62" s="50">
        <v>1</v>
      </c>
      <c r="I62" s="50">
        <v>19</v>
      </c>
      <c r="J62" s="50">
        <v>8</v>
      </c>
      <c r="K62" s="50">
        <v>3</v>
      </c>
      <c r="L62" s="50">
        <v>4</v>
      </c>
      <c r="M62" s="50">
        <v>150</v>
      </c>
      <c r="N62" s="50">
        <v>0</v>
      </c>
      <c r="O62" s="15">
        <f>SUM('27.07 Busega-Masanafu-24h'!C62:L62,N62)</f>
        <v>169</v>
      </c>
      <c r="P62" s="15">
        <f t="shared" si="1"/>
        <v>378</v>
      </c>
      <c r="R62" s="8"/>
      <c r="T62"/>
    </row>
    <row r="63" spans="2:20" ht="23.1" customHeight="1" x14ac:dyDescent="0.25">
      <c r="B63" s="45" t="s">
        <v>108</v>
      </c>
      <c r="C63" s="50">
        <v>100</v>
      </c>
      <c r="D63" s="50">
        <v>10</v>
      </c>
      <c r="E63" s="50">
        <v>35</v>
      </c>
      <c r="F63" s="50">
        <v>35</v>
      </c>
      <c r="G63" s="50">
        <v>2</v>
      </c>
      <c r="H63" s="50">
        <v>2</v>
      </c>
      <c r="I63" s="50">
        <v>6</v>
      </c>
      <c r="J63" s="50">
        <v>8</v>
      </c>
      <c r="K63" s="50">
        <v>2</v>
      </c>
      <c r="L63" s="50">
        <v>2</v>
      </c>
      <c r="M63" s="50">
        <v>170</v>
      </c>
      <c r="N63" s="50">
        <v>0</v>
      </c>
      <c r="O63" s="15">
        <f>SUM('27.07 Busega-Masanafu-24h'!C63:L63,N63)</f>
        <v>182</v>
      </c>
      <c r="P63" s="15">
        <f t="shared" si="1"/>
        <v>372</v>
      </c>
      <c r="R63" s="8"/>
      <c r="T63"/>
    </row>
    <row r="64" spans="2:20" ht="23.1" customHeight="1" x14ac:dyDescent="0.25">
      <c r="B64" s="45" t="s">
        <v>109</v>
      </c>
      <c r="C64" s="50">
        <v>83</v>
      </c>
      <c r="D64" s="50">
        <v>10</v>
      </c>
      <c r="E64" s="50">
        <v>10</v>
      </c>
      <c r="F64" s="50">
        <v>10</v>
      </c>
      <c r="G64" s="50">
        <v>1</v>
      </c>
      <c r="H64" s="50">
        <v>0</v>
      </c>
      <c r="I64" s="50">
        <v>3</v>
      </c>
      <c r="J64" s="50">
        <v>4</v>
      </c>
      <c r="K64" s="50">
        <v>5</v>
      </c>
      <c r="L64" s="50">
        <v>3</v>
      </c>
      <c r="M64" s="50">
        <v>165</v>
      </c>
      <c r="N64" s="50">
        <v>0</v>
      </c>
      <c r="O64" s="15">
        <f>SUM('27.07 Busega-Masanafu-24h'!C64:L64,N64)</f>
        <v>165</v>
      </c>
      <c r="P64" s="15">
        <f t="shared" si="1"/>
        <v>294</v>
      </c>
      <c r="R64" s="8"/>
      <c r="T64"/>
    </row>
    <row r="65" spans="2:20" ht="23.1" customHeight="1" x14ac:dyDescent="0.25">
      <c r="B65" s="45" t="s">
        <v>158</v>
      </c>
      <c r="C65" s="50">
        <v>110</v>
      </c>
      <c r="D65" s="50">
        <v>15</v>
      </c>
      <c r="E65" s="50">
        <v>12</v>
      </c>
      <c r="F65" s="50">
        <v>34</v>
      </c>
      <c r="G65" s="50">
        <v>1</v>
      </c>
      <c r="H65" s="50">
        <v>0</v>
      </c>
      <c r="I65" s="50">
        <v>12</v>
      </c>
      <c r="J65" s="50">
        <v>8</v>
      </c>
      <c r="K65" s="50">
        <v>4</v>
      </c>
      <c r="L65" s="50">
        <v>3</v>
      </c>
      <c r="M65" s="50">
        <v>160</v>
      </c>
      <c r="N65" s="50">
        <v>0</v>
      </c>
      <c r="O65" s="15">
        <f>SUM('27.07 Busega-Masanafu-24h'!C65:L65,N65)</f>
        <v>198</v>
      </c>
      <c r="P65" s="15">
        <f t="shared" si="1"/>
        <v>359</v>
      </c>
      <c r="R65" s="8"/>
      <c r="T65"/>
    </row>
    <row r="66" spans="2:20" ht="23.1" customHeight="1" x14ac:dyDescent="0.25">
      <c r="B66" s="45" t="s">
        <v>103</v>
      </c>
      <c r="C66" s="50">
        <v>59</v>
      </c>
      <c r="D66" s="50">
        <v>12</v>
      </c>
      <c r="E66" s="50">
        <v>5</v>
      </c>
      <c r="F66" s="50">
        <v>31</v>
      </c>
      <c r="G66" s="50">
        <v>1</v>
      </c>
      <c r="H66" s="50">
        <v>0</v>
      </c>
      <c r="I66" s="50">
        <v>3</v>
      </c>
      <c r="J66" s="50">
        <v>4</v>
      </c>
      <c r="K66" s="50">
        <v>4</v>
      </c>
      <c r="L66" s="50">
        <v>2</v>
      </c>
      <c r="M66" s="50">
        <v>170</v>
      </c>
      <c r="N66" s="50">
        <v>0</v>
      </c>
      <c r="O66" s="15">
        <f>SUM('27.07 Busega-Masanafu-24h'!C66:L66,N66)</f>
        <v>131</v>
      </c>
      <c r="P66" s="15">
        <f t="shared" si="1"/>
        <v>291</v>
      </c>
      <c r="R66" s="8"/>
      <c r="T66"/>
    </row>
    <row r="67" spans="2:20" ht="23.1" customHeight="1" x14ac:dyDescent="0.25">
      <c r="B67" s="45" t="s">
        <v>104</v>
      </c>
      <c r="C67" s="50">
        <v>62</v>
      </c>
      <c r="D67" s="50">
        <v>6</v>
      </c>
      <c r="E67" s="50">
        <v>6</v>
      </c>
      <c r="F67" s="50">
        <v>23</v>
      </c>
      <c r="G67" s="50">
        <v>2</v>
      </c>
      <c r="H67" s="50">
        <v>0</v>
      </c>
      <c r="I67" s="50">
        <v>3</v>
      </c>
      <c r="J67" s="50">
        <v>8</v>
      </c>
      <c r="K67" s="50">
        <v>6</v>
      </c>
      <c r="L67" s="50">
        <v>1</v>
      </c>
      <c r="M67" s="50">
        <v>96</v>
      </c>
      <c r="N67" s="50">
        <v>0</v>
      </c>
      <c r="O67" s="15">
        <f>SUM('27.07 Busega-Masanafu-24h'!C67:L67,N67)</f>
        <v>131</v>
      </c>
      <c r="P67" s="15">
        <f t="shared" si="1"/>
        <v>213</v>
      </c>
      <c r="R67" s="8"/>
      <c r="T67"/>
    </row>
    <row r="68" spans="2:20" ht="23.1" customHeight="1" x14ac:dyDescent="0.25">
      <c r="B68" s="45" t="s">
        <v>105</v>
      </c>
      <c r="C68" s="50">
        <v>75</v>
      </c>
      <c r="D68" s="50">
        <v>14</v>
      </c>
      <c r="E68" s="50">
        <v>9</v>
      </c>
      <c r="F68" s="50">
        <v>35</v>
      </c>
      <c r="G68" s="50">
        <v>1</v>
      </c>
      <c r="H68" s="50">
        <v>0</v>
      </c>
      <c r="I68" s="50">
        <v>4</v>
      </c>
      <c r="J68" s="50">
        <v>6</v>
      </c>
      <c r="K68" s="50">
        <v>1</v>
      </c>
      <c r="L68" s="50">
        <v>1</v>
      </c>
      <c r="M68" s="50">
        <v>115</v>
      </c>
      <c r="N68" s="50">
        <v>0</v>
      </c>
      <c r="O68" s="15">
        <f>SUM('27.07 Busega-Masanafu-24h'!C68:L68,N68)</f>
        <v>134</v>
      </c>
      <c r="P68" s="15">
        <f t="shared" si="1"/>
        <v>261</v>
      </c>
      <c r="R68" s="8"/>
      <c r="T68"/>
    </row>
    <row r="69" spans="2:20" ht="23.1" customHeight="1" x14ac:dyDescent="0.25">
      <c r="B69" s="45" t="s">
        <v>106</v>
      </c>
      <c r="C69" s="50">
        <v>85</v>
      </c>
      <c r="D69" s="50">
        <v>9</v>
      </c>
      <c r="E69" s="50">
        <v>5</v>
      </c>
      <c r="F69" s="50">
        <v>27</v>
      </c>
      <c r="G69" s="50">
        <v>1</v>
      </c>
      <c r="H69" s="50">
        <v>0</v>
      </c>
      <c r="I69" s="50">
        <v>5</v>
      </c>
      <c r="J69" s="50">
        <v>6</v>
      </c>
      <c r="K69" s="50">
        <v>4</v>
      </c>
      <c r="L69" s="50">
        <v>4</v>
      </c>
      <c r="M69" s="50">
        <v>125</v>
      </c>
      <c r="N69" s="50">
        <v>0</v>
      </c>
      <c r="O69" s="15">
        <f>SUM('27.07 Busega-Masanafu-24h'!C69:L69,N69)</f>
        <v>99</v>
      </c>
      <c r="P69" s="15">
        <f t="shared" si="1"/>
        <v>271</v>
      </c>
      <c r="R69" s="8"/>
      <c r="T69"/>
    </row>
    <row r="70" spans="2:20" ht="23.1" customHeight="1" x14ac:dyDescent="0.25">
      <c r="B70" s="45" t="s">
        <v>110</v>
      </c>
      <c r="C70" s="50">
        <v>63</v>
      </c>
      <c r="D70" s="50">
        <v>9</v>
      </c>
      <c r="E70" s="50">
        <v>6</v>
      </c>
      <c r="F70" s="50">
        <v>21</v>
      </c>
      <c r="G70" s="50">
        <v>2</v>
      </c>
      <c r="H70" s="50">
        <v>1</v>
      </c>
      <c r="I70" s="50">
        <v>6</v>
      </c>
      <c r="J70" s="50">
        <v>4</v>
      </c>
      <c r="K70" s="50">
        <v>1</v>
      </c>
      <c r="L70" s="50">
        <v>2</v>
      </c>
      <c r="M70" s="50">
        <v>85</v>
      </c>
      <c r="N70" s="50">
        <v>0</v>
      </c>
      <c r="O70" s="15">
        <f>SUM('27.07 Busega-Masanafu-24h'!C70:L70,N70)</f>
        <v>98</v>
      </c>
      <c r="P70" s="15">
        <f t="shared" si="1"/>
        <v>200</v>
      </c>
      <c r="R70" s="8"/>
      <c r="T70"/>
    </row>
    <row r="71" spans="2:20" ht="23.1" customHeight="1" x14ac:dyDescent="0.25">
      <c r="B71" s="45" t="s">
        <v>111</v>
      </c>
      <c r="C71" s="50">
        <v>56</v>
      </c>
      <c r="D71" s="50">
        <v>6</v>
      </c>
      <c r="E71" s="50">
        <v>9</v>
      </c>
      <c r="F71" s="50">
        <v>14</v>
      </c>
      <c r="G71" s="50">
        <v>3</v>
      </c>
      <c r="H71" s="50">
        <v>1</v>
      </c>
      <c r="I71" s="50">
        <v>2</v>
      </c>
      <c r="J71" s="50">
        <v>4</v>
      </c>
      <c r="K71" s="50">
        <v>9</v>
      </c>
      <c r="L71" s="50">
        <v>2</v>
      </c>
      <c r="M71" s="50">
        <v>95</v>
      </c>
      <c r="N71" s="50">
        <v>0</v>
      </c>
      <c r="O71" s="15">
        <f>SUM('27.07 Busega-Masanafu-24h'!C71:L71,N71)</f>
        <v>75</v>
      </c>
      <c r="P71" s="15">
        <f t="shared" si="1"/>
        <v>201</v>
      </c>
      <c r="R71" s="8"/>
      <c r="T71"/>
    </row>
    <row r="72" spans="2:20" ht="23.1" customHeight="1" x14ac:dyDescent="0.25">
      <c r="B72" s="45" t="s">
        <v>112</v>
      </c>
      <c r="C72" s="50">
        <v>50</v>
      </c>
      <c r="D72" s="50">
        <v>6</v>
      </c>
      <c r="E72" s="50">
        <v>3</v>
      </c>
      <c r="F72" s="50">
        <v>23</v>
      </c>
      <c r="G72" s="50">
        <v>2</v>
      </c>
      <c r="H72" s="50">
        <v>4</v>
      </c>
      <c r="I72" s="50">
        <v>3</v>
      </c>
      <c r="J72" s="50">
        <v>1</v>
      </c>
      <c r="K72" s="50">
        <v>6</v>
      </c>
      <c r="L72" s="50">
        <v>4</v>
      </c>
      <c r="M72" s="50">
        <v>80</v>
      </c>
      <c r="N72" s="50">
        <v>0</v>
      </c>
      <c r="O72" s="15">
        <f>SUM('27.07 Busega-Masanafu-24h'!C72:L72,N72)</f>
        <v>70</v>
      </c>
      <c r="P72" s="15">
        <f t="shared" si="1"/>
        <v>182</v>
      </c>
      <c r="R72" s="8"/>
      <c r="T72"/>
    </row>
    <row r="73" spans="2:20" ht="23.1" customHeight="1" x14ac:dyDescent="0.25">
      <c r="B73" s="45" t="s">
        <v>113</v>
      </c>
      <c r="C73" s="50">
        <v>83</v>
      </c>
      <c r="D73" s="50">
        <v>14</v>
      </c>
      <c r="E73" s="50">
        <v>8</v>
      </c>
      <c r="F73" s="50">
        <v>22</v>
      </c>
      <c r="G73" s="50">
        <v>1</v>
      </c>
      <c r="H73" s="50">
        <v>2</v>
      </c>
      <c r="I73" s="50">
        <v>8</v>
      </c>
      <c r="J73" s="50">
        <v>9</v>
      </c>
      <c r="K73" s="50">
        <v>3</v>
      </c>
      <c r="L73" s="50">
        <v>3</v>
      </c>
      <c r="M73" s="50">
        <v>80</v>
      </c>
      <c r="N73" s="50">
        <v>0</v>
      </c>
      <c r="O73" s="15">
        <f>SUM('27.07 Busega-Masanafu-24h'!C73:L73,N73)</f>
        <v>116</v>
      </c>
      <c r="P73" s="15">
        <f t="shared" si="1"/>
        <v>233</v>
      </c>
      <c r="R73" s="8"/>
      <c r="T73"/>
    </row>
    <row r="74" spans="2:20" ht="23.1" customHeight="1" x14ac:dyDescent="0.25">
      <c r="B74" s="45" t="s">
        <v>114</v>
      </c>
      <c r="C74" s="50">
        <v>35</v>
      </c>
      <c r="D74" s="50">
        <v>5</v>
      </c>
      <c r="E74" s="50">
        <v>2</v>
      </c>
      <c r="F74" s="50">
        <v>4</v>
      </c>
      <c r="G74" s="50">
        <v>1</v>
      </c>
      <c r="H74" s="50">
        <v>0</v>
      </c>
      <c r="I74" s="50">
        <v>6</v>
      </c>
      <c r="J74" s="50">
        <v>4</v>
      </c>
      <c r="K74" s="50">
        <v>3</v>
      </c>
      <c r="L74" s="50">
        <v>4</v>
      </c>
      <c r="M74" s="50">
        <v>23</v>
      </c>
      <c r="N74" s="50">
        <v>0</v>
      </c>
      <c r="O74" s="15">
        <f>SUM('27.07 Busega-Masanafu-24h'!C74:L74,N74)</f>
        <v>53</v>
      </c>
      <c r="P74" s="15">
        <f t="shared" si="1"/>
        <v>87</v>
      </c>
      <c r="R74" s="8"/>
      <c r="T74"/>
    </row>
    <row r="75" spans="2:20" ht="23.1" customHeight="1" x14ac:dyDescent="0.25">
      <c r="B75" s="45" t="s">
        <v>115</v>
      </c>
      <c r="C75" s="50">
        <v>24</v>
      </c>
      <c r="D75" s="50">
        <v>7</v>
      </c>
      <c r="E75" s="50">
        <v>4</v>
      </c>
      <c r="F75" s="50">
        <v>5</v>
      </c>
      <c r="G75" s="50">
        <v>0</v>
      </c>
      <c r="H75" s="50">
        <v>0</v>
      </c>
      <c r="I75" s="50">
        <v>5</v>
      </c>
      <c r="J75" s="50">
        <v>3</v>
      </c>
      <c r="K75" s="50">
        <v>5</v>
      </c>
      <c r="L75" s="50">
        <v>7</v>
      </c>
      <c r="M75" s="50">
        <v>25</v>
      </c>
      <c r="N75" s="50">
        <v>0</v>
      </c>
      <c r="O75" s="15">
        <f>SUM('27.07 Busega-Masanafu-24h'!C75:L75,N75)</f>
        <v>63</v>
      </c>
      <c r="P75" s="15">
        <f t="shared" si="1"/>
        <v>85</v>
      </c>
      <c r="R75" s="8"/>
      <c r="T75"/>
    </row>
    <row r="76" spans="2:20" ht="23.1" customHeight="1" x14ac:dyDescent="0.25">
      <c r="B76" s="45" t="s">
        <v>116</v>
      </c>
      <c r="C76" s="50">
        <v>18</v>
      </c>
      <c r="D76" s="50">
        <v>6</v>
      </c>
      <c r="E76" s="50">
        <v>3</v>
      </c>
      <c r="F76" s="50">
        <v>4</v>
      </c>
      <c r="G76" s="50">
        <v>0</v>
      </c>
      <c r="H76" s="50">
        <v>0</v>
      </c>
      <c r="I76" s="50">
        <v>7</v>
      </c>
      <c r="J76" s="50">
        <v>2</v>
      </c>
      <c r="K76" s="50">
        <v>3</v>
      </c>
      <c r="L76" s="50">
        <v>5</v>
      </c>
      <c r="M76" s="50">
        <v>20</v>
      </c>
      <c r="N76" s="50">
        <v>0</v>
      </c>
      <c r="O76" s="15">
        <f>SUM('27.07 Busega-Masanafu-24h'!C76:L76,N76)</f>
        <v>62</v>
      </c>
      <c r="P76" s="15">
        <f t="shared" si="1"/>
        <v>68</v>
      </c>
      <c r="R76" s="8"/>
      <c r="T76"/>
    </row>
    <row r="77" spans="2:20" ht="23.1" customHeight="1" x14ac:dyDescent="0.25">
      <c r="B77" s="45" t="s">
        <v>117</v>
      </c>
      <c r="C77" s="50">
        <v>26</v>
      </c>
      <c r="D77" s="50">
        <v>2</v>
      </c>
      <c r="E77" s="50">
        <v>4</v>
      </c>
      <c r="F77" s="50">
        <v>6</v>
      </c>
      <c r="G77" s="50">
        <v>0</v>
      </c>
      <c r="H77" s="50">
        <v>0</v>
      </c>
      <c r="I77" s="50">
        <v>4</v>
      </c>
      <c r="J77" s="50">
        <v>1</v>
      </c>
      <c r="K77" s="50">
        <v>4</v>
      </c>
      <c r="L77" s="50">
        <v>6</v>
      </c>
      <c r="M77" s="50">
        <v>22</v>
      </c>
      <c r="N77" s="50">
        <v>0</v>
      </c>
      <c r="O77" s="15">
        <f>SUM('27.07 Busega-Masanafu-24h'!C77:L77,N77)</f>
        <v>64</v>
      </c>
      <c r="P77" s="15">
        <f t="shared" si="1"/>
        <v>75</v>
      </c>
      <c r="R77" s="8"/>
      <c r="T77"/>
    </row>
    <row r="78" spans="2:20" ht="23.1" customHeight="1" x14ac:dyDescent="0.25">
      <c r="B78" s="46" t="s">
        <v>118</v>
      </c>
      <c r="C78" s="50">
        <v>24</v>
      </c>
      <c r="D78" s="50">
        <v>2</v>
      </c>
      <c r="E78" s="50">
        <v>3</v>
      </c>
      <c r="F78" s="50">
        <v>3</v>
      </c>
      <c r="G78" s="50">
        <v>1</v>
      </c>
      <c r="H78" s="50">
        <v>0</v>
      </c>
      <c r="I78" s="50">
        <v>5</v>
      </c>
      <c r="J78" s="50">
        <v>7</v>
      </c>
      <c r="K78" s="50">
        <v>5</v>
      </c>
      <c r="L78" s="50">
        <v>2</v>
      </c>
      <c r="M78" s="50">
        <v>21</v>
      </c>
      <c r="N78" s="50">
        <v>0</v>
      </c>
      <c r="O78" s="15">
        <f>SUM('27.07 Busega-Masanafu-24h'!C78:L78,N78)</f>
        <v>40</v>
      </c>
      <c r="P78" s="15">
        <f t="shared" si="1"/>
        <v>73</v>
      </c>
      <c r="R78" s="8"/>
      <c r="T78"/>
    </row>
    <row r="79" spans="2:20" ht="23.1" customHeight="1" x14ac:dyDescent="0.25">
      <c r="B79" s="45" t="s">
        <v>119</v>
      </c>
      <c r="C79" s="50">
        <v>21</v>
      </c>
      <c r="D79" s="50">
        <v>2</v>
      </c>
      <c r="E79" s="50">
        <v>2</v>
      </c>
      <c r="F79" s="50">
        <v>0</v>
      </c>
      <c r="G79" s="50">
        <v>0</v>
      </c>
      <c r="H79" s="50">
        <v>0</v>
      </c>
      <c r="I79" s="50">
        <v>3</v>
      </c>
      <c r="J79" s="50">
        <v>2</v>
      </c>
      <c r="K79" s="50">
        <v>0</v>
      </c>
      <c r="L79" s="50">
        <v>6</v>
      </c>
      <c r="M79" s="50">
        <v>18</v>
      </c>
      <c r="N79" s="50">
        <v>0</v>
      </c>
      <c r="O79" s="15">
        <f>SUM('27.07 Busega-Masanafu-24h'!C79:L79,N79)</f>
        <v>40</v>
      </c>
      <c r="P79" s="15">
        <f t="shared" si="1"/>
        <v>54</v>
      </c>
      <c r="R79" s="8"/>
      <c r="T79"/>
    </row>
    <row r="80" spans="2:20" ht="23.1" customHeight="1" x14ac:dyDescent="0.25">
      <c r="B80" s="47" t="s">
        <v>120</v>
      </c>
      <c r="C80" s="50">
        <v>14</v>
      </c>
      <c r="D80" s="50">
        <v>2</v>
      </c>
      <c r="E80" s="50">
        <v>2</v>
      </c>
      <c r="F80" s="50">
        <v>4</v>
      </c>
      <c r="G80" s="50">
        <v>1</v>
      </c>
      <c r="H80" s="50">
        <v>0</v>
      </c>
      <c r="I80" s="50">
        <v>7</v>
      </c>
      <c r="J80" s="50">
        <v>2</v>
      </c>
      <c r="K80" s="50">
        <v>1</v>
      </c>
      <c r="L80" s="50">
        <v>1</v>
      </c>
      <c r="M80" s="50">
        <v>30</v>
      </c>
      <c r="N80" s="50">
        <v>0</v>
      </c>
      <c r="O80" s="15">
        <f>SUM('27.07 Busega-Masanafu-24h'!C80:L80,N80)</f>
        <v>35</v>
      </c>
      <c r="P80" s="15">
        <f t="shared" si="1"/>
        <v>64</v>
      </c>
      <c r="R80" s="8"/>
      <c r="T80"/>
    </row>
    <row r="81" spans="2:20" ht="23.1" customHeight="1" x14ac:dyDescent="0.25">
      <c r="B81" s="45" t="s">
        <v>121</v>
      </c>
      <c r="C81" s="50">
        <v>19</v>
      </c>
      <c r="D81" s="50">
        <v>3</v>
      </c>
      <c r="E81" s="50">
        <v>1</v>
      </c>
      <c r="F81" s="50">
        <v>5</v>
      </c>
      <c r="G81" s="50">
        <v>0</v>
      </c>
      <c r="H81" s="50">
        <v>0</v>
      </c>
      <c r="I81" s="50">
        <v>4</v>
      </c>
      <c r="J81" s="50">
        <v>1</v>
      </c>
      <c r="K81" s="50">
        <v>2</v>
      </c>
      <c r="L81" s="50">
        <v>3</v>
      </c>
      <c r="M81" s="50">
        <v>20</v>
      </c>
      <c r="N81" s="50">
        <v>0</v>
      </c>
      <c r="O81" s="15">
        <f>SUM('27.07 Busega-Masanafu-24h'!C81:L81,N81)</f>
        <v>36</v>
      </c>
      <c r="P81" s="15">
        <f t="shared" si="1"/>
        <v>58</v>
      </c>
      <c r="R81" s="8"/>
      <c r="T81"/>
    </row>
    <row r="82" spans="2:20" ht="23.1" customHeight="1" x14ac:dyDescent="0.25">
      <c r="B82" s="46" t="s">
        <v>122</v>
      </c>
      <c r="C82" s="50">
        <v>20</v>
      </c>
      <c r="D82" s="50">
        <v>3</v>
      </c>
      <c r="E82" s="50">
        <v>4</v>
      </c>
      <c r="F82" s="50">
        <v>6</v>
      </c>
      <c r="G82" s="50">
        <v>1</v>
      </c>
      <c r="H82" s="50">
        <v>0</v>
      </c>
      <c r="I82" s="50">
        <v>6</v>
      </c>
      <c r="J82" s="50">
        <v>5</v>
      </c>
      <c r="K82" s="50">
        <v>6</v>
      </c>
      <c r="L82" s="50">
        <v>1</v>
      </c>
      <c r="M82" s="50">
        <v>23</v>
      </c>
      <c r="N82" s="50">
        <v>0</v>
      </c>
      <c r="O82" s="15">
        <f>SUM('27.07 Busega-Masanafu-24h'!C82:L82,N82)</f>
        <v>44</v>
      </c>
      <c r="P82" s="15">
        <f t="shared" si="1"/>
        <v>75</v>
      </c>
      <c r="R82" s="8"/>
      <c r="T82"/>
    </row>
    <row r="83" spans="2:20" ht="23.1" customHeight="1" x14ac:dyDescent="0.25">
      <c r="B83" s="45" t="s">
        <v>123</v>
      </c>
      <c r="C83" s="50">
        <v>22</v>
      </c>
      <c r="D83" s="50">
        <v>4</v>
      </c>
      <c r="E83" s="50">
        <v>4</v>
      </c>
      <c r="F83" s="50">
        <v>3</v>
      </c>
      <c r="G83" s="50">
        <v>0</v>
      </c>
      <c r="H83" s="50">
        <v>0</v>
      </c>
      <c r="I83" s="50">
        <v>2</v>
      </c>
      <c r="J83" s="50">
        <v>3</v>
      </c>
      <c r="K83" s="50">
        <v>1</v>
      </c>
      <c r="L83" s="50">
        <v>5</v>
      </c>
      <c r="M83" s="50">
        <v>22</v>
      </c>
      <c r="N83" s="50">
        <v>0</v>
      </c>
      <c r="O83" s="15">
        <f>SUM('27.07 Busega-Masanafu-24h'!C83:L83,N83)</f>
        <v>40</v>
      </c>
      <c r="P83" s="15">
        <f t="shared" si="1"/>
        <v>66</v>
      </c>
      <c r="R83" s="8"/>
      <c r="T83"/>
    </row>
    <row r="84" spans="2:20" ht="23.1" customHeight="1" x14ac:dyDescent="0.25">
      <c r="B84" s="47" t="s">
        <v>124</v>
      </c>
      <c r="C84" s="50">
        <v>18</v>
      </c>
      <c r="D84" s="50">
        <v>5</v>
      </c>
      <c r="E84" s="50">
        <v>0</v>
      </c>
      <c r="F84" s="50">
        <v>5</v>
      </c>
      <c r="G84" s="50">
        <v>0</v>
      </c>
      <c r="H84" s="50">
        <v>0</v>
      </c>
      <c r="I84" s="50">
        <v>3</v>
      </c>
      <c r="J84" s="50">
        <v>2</v>
      </c>
      <c r="K84" s="50">
        <v>2</v>
      </c>
      <c r="L84" s="50">
        <v>3</v>
      </c>
      <c r="M84" s="50">
        <v>13</v>
      </c>
      <c r="N84" s="50">
        <v>0</v>
      </c>
      <c r="O84" s="15">
        <f>SUM('27.07 Busega-Masanafu-24h'!C84:L84,N84)</f>
        <v>39</v>
      </c>
      <c r="P84" s="15">
        <f t="shared" si="1"/>
        <v>51</v>
      </c>
      <c r="R84" s="8"/>
      <c r="T84"/>
    </row>
    <row r="85" spans="2:20" ht="23.1" customHeight="1" x14ac:dyDescent="0.25">
      <c r="B85" s="45" t="s">
        <v>125</v>
      </c>
      <c r="C85" s="50">
        <v>15</v>
      </c>
      <c r="D85" s="50">
        <v>2</v>
      </c>
      <c r="E85" s="50">
        <v>1</v>
      </c>
      <c r="F85" s="50">
        <v>3</v>
      </c>
      <c r="G85" s="50">
        <v>0</v>
      </c>
      <c r="H85" s="50">
        <v>0</v>
      </c>
      <c r="I85" s="50">
        <v>2</v>
      </c>
      <c r="J85" s="50">
        <v>3</v>
      </c>
      <c r="K85" s="50">
        <v>0</v>
      </c>
      <c r="L85" s="50">
        <v>1</v>
      </c>
      <c r="M85" s="50">
        <v>8</v>
      </c>
      <c r="N85" s="50">
        <v>0</v>
      </c>
      <c r="O85" s="15">
        <f>SUM('27.07 Busega-Masanafu-24h'!C85:L85,N85)</f>
        <v>42</v>
      </c>
      <c r="P85" s="15">
        <f t="shared" si="1"/>
        <v>35</v>
      </c>
      <c r="R85" s="8"/>
      <c r="T85"/>
    </row>
    <row r="86" spans="2:20" ht="23.1" customHeight="1" x14ac:dyDescent="0.25">
      <c r="B86" s="46" t="s">
        <v>126</v>
      </c>
      <c r="C86" s="50">
        <v>11</v>
      </c>
      <c r="D86" s="50">
        <v>2</v>
      </c>
      <c r="E86" s="50">
        <v>0</v>
      </c>
      <c r="F86" s="50">
        <v>1</v>
      </c>
      <c r="G86" s="50">
        <v>0</v>
      </c>
      <c r="H86" s="50">
        <v>1</v>
      </c>
      <c r="I86" s="50">
        <v>5</v>
      </c>
      <c r="J86" s="50">
        <v>5</v>
      </c>
      <c r="K86" s="50">
        <v>0</v>
      </c>
      <c r="L86" s="50">
        <v>4</v>
      </c>
      <c r="M86" s="50">
        <v>7</v>
      </c>
      <c r="N86" s="50">
        <v>0</v>
      </c>
      <c r="O86" s="15">
        <f>SUM('27.07 Busega-Masanafu-24h'!C86:L86,N86)</f>
        <v>48</v>
      </c>
      <c r="P86" s="15">
        <f t="shared" si="1"/>
        <v>36</v>
      </c>
      <c r="R86" s="8"/>
      <c r="T86"/>
    </row>
    <row r="87" spans="2:20" ht="23.1" customHeight="1" x14ac:dyDescent="0.25">
      <c r="B87" s="45" t="s">
        <v>127</v>
      </c>
      <c r="C87" s="50">
        <v>15</v>
      </c>
      <c r="D87" s="50">
        <v>1</v>
      </c>
      <c r="E87" s="50">
        <v>2</v>
      </c>
      <c r="F87" s="50">
        <v>0</v>
      </c>
      <c r="G87" s="50">
        <v>0</v>
      </c>
      <c r="H87" s="50">
        <v>0</v>
      </c>
      <c r="I87" s="50">
        <v>1</v>
      </c>
      <c r="J87" s="50">
        <v>7</v>
      </c>
      <c r="K87" s="50">
        <v>0</v>
      </c>
      <c r="L87" s="50">
        <v>1</v>
      </c>
      <c r="M87" s="50">
        <v>13</v>
      </c>
      <c r="N87" s="50">
        <v>0</v>
      </c>
      <c r="O87" s="15">
        <f>SUM('27.07 Busega-Masanafu-24h'!C87:L87,N87)</f>
        <v>54</v>
      </c>
      <c r="P87" s="15">
        <f t="shared" si="1"/>
        <v>40</v>
      </c>
      <c r="R87" s="8"/>
      <c r="T87"/>
    </row>
    <row r="88" spans="2:20" ht="23.1" customHeight="1" x14ac:dyDescent="0.25">
      <c r="B88" s="47" t="s">
        <v>128</v>
      </c>
      <c r="C88" s="50">
        <v>7</v>
      </c>
      <c r="D88" s="50">
        <v>0</v>
      </c>
      <c r="E88" s="50">
        <v>1</v>
      </c>
      <c r="F88" s="50">
        <v>2</v>
      </c>
      <c r="G88" s="50">
        <v>0</v>
      </c>
      <c r="H88" s="50">
        <v>1</v>
      </c>
      <c r="I88" s="50">
        <v>1</v>
      </c>
      <c r="J88" s="50">
        <v>6</v>
      </c>
      <c r="K88" s="50">
        <v>0</v>
      </c>
      <c r="L88" s="50">
        <v>2</v>
      </c>
      <c r="M88" s="50">
        <v>16</v>
      </c>
      <c r="N88" s="50">
        <v>0</v>
      </c>
      <c r="O88" s="15">
        <f>SUM('27.07 Busega-Masanafu-24h'!C88:L88,N88)</f>
        <v>38</v>
      </c>
      <c r="P88" s="15">
        <f t="shared" si="1"/>
        <v>36</v>
      </c>
      <c r="R88" s="8"/>
      <c r="T88"/>
    </row>
    <row r="89" spans="2:20" ht="23.1" customHeight="1" x14ac:dyDescent="0.25">
      <c r="B89" s="45" t="s">
        <v>129</v>
      </c>
      <c r="C89" s="50">
        <v>11</v>
      </c>
      <c r="D89" s="50">
        <v>1</v>
      </c>
      <c r="E89" s="50">
        <v>1</v>
      </c>
      <c r="F89" s="50">
        <v>1</v>
      </c>
      <c r="G89" s="50">
        <v>0</v>
      </c>
      <c r="H89" s="50">
        <v>0</v>
      </c>
      <c r="I89" s="50">
        <v>0</v>
      </c>
      <c r="J89" s="50">
        <v>10</v>
      </c>
      <c r="K89" s="50">
        <v>2</v>
      </c>
      <c r="L89" s="50">
        <v>0</v>
      </c>
      <c r="M89" s="50">
        <v>17</v>
      </c>
      <c r="N89" s="50">
        <v>0</v>
      </c>
      <c r="O89" s="15">
        <f>SUM('27.07 Busega-Masanafu-24h'!C89:L89,N89)</f>
        <v>38</v>
      </c>
      <c r="P89" s="15">
        <f t="shared" si="1"/>
        <v>43</v>
      </c>
      <c r="R89" s="8"/>
      <c r="T89"/>
    </row>
    <row r="90" spans="2:20" ht="23.1" customHeight="1" x14ac:dyDescent="0.25">
      <c r="B90" s="46" t="s">
        <v>130</v>
      </c>
      <c r="C90" s="50">
        <v>5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2</v>
      </c>
      <c r="J90" s="50">
        <v>7</v>
      </c>
      <c r="K90" s="50">
        <v>2</v>
      </c>
      <c r="L90" s="50">
        <v>3</v>
      </c>
      <c r="M90" s="50">
        <v>10</v>
      </c>
      <c r="N90" s="50">
        <v>0</v>
      </c>
      <c r="O90" s="15">
        <f>SUM('27.07 Busega-Masanafu-24h'!C90:L90,N90)</f>
        <v>54</v>
      </c>
      <c r="P90" s="15">
        <f t="shared" si="1"/>
        <v>30</v>
      </c>
      <c r="R90" s="8"/>
      <c r="T90"/>
    </row>
    <row r="91" spans="2:20" ht="23.1" customHeight="1" x14ac:dyDescent="0.25">
      <c r="B91" s="45" t="s">
        <v>131</v>
      </c>
      <c r="C91" s="50">
        <v>5</v>
      </c>
      <c r="D91" s="50">
        <v>0</v>
      </c>
      <c r="E91" s="50">
        <v>1</v>
      </c>
      <c r="F91" s="50">
        <v>1</v>
      </c>
      <c r="G91" s="50">
        <v>0</v>
      </c>
      <c r="H91" s="50">
        <v>0</v>
      </c>
      <c r="I91" s="50">
        <v>3</v>
      </c>
      <c r="J91" s="50">
        <v>6</v>
      </c>
      <c r="K91" s="50">
        <v>1</v>
      </c>
      <c r="L91" s="50">
        <v>3</v>
      </c>
      <c r="M91" s="50">
        <v>7</v>
      </c>
      <c r="N91" s="50">
        <v>0</v>
      </c>
      <c r="O91" s="15">
        <f>SUM('27.07 Busega-Masanafu-24h'!C91:L91,N91)</f>
        <v>43</v>
      </c>
      <c r="P91" s="15">
        <f t="shared" si="1"/>
        <v>27</v>
      </c>
      <c r="R91" s="8"/>
      <c r="T91"/>
    </row>
    <row r="92" spans="2:20" ht="23.1" customHeight="1" x14ac:dyDescent="0.25">
      <c r="B92" s="47" t="s">
        <v>132</v>
      </c>
      <c r="C92" s="50">
        <v>10</v>
      </c>
      <c r="D92" s="50">
        <v>3</v>
      </c>
      <c r="E92" s="50">
        <v>2</v>
      </c>
      <c r="F92" s="50">
        <v>0</v>
      </c>
      <c r="G92" s="50">
        <v>0</v>
      </c>
      <c r="H92" s="50">
        <v>0</v>
      </c>
      <c r="I92" s="50">
        <v>1</v>
      </c>
      <c r="J92" s="50">
        <v>4</v>
      </c>
      <c r="K92" s="50">
        <v>1</v>
      </c>
      <c r="L92" s="50">
        <v>4</v>
      </c>
      <c r="M92" s="50">
        <v>7</v>
      </c>
      <c r="N92" s="50">
        <v>0</v>
      </c>
      <c r="O92" s="15">
        <f>SUM('27.07 Busega-Masanafu-24h'!C92:L92,N92)</f>
        <v>44</v>
      </c>
      <c r="P92" s="15">
        <f t="shared" si="1"/>
        <v>32</v>
      </c>
      <c r="R92" s="8"/>
      <c r="T92"/>
    </row>
    <row r="93" spans="2:20" ht="23.1" customHeight="1" x14ac:dyDescent="0.25">
      <c r="B93" s="45" t="s">
        <v>133</v>
      </c>
      <c r="C93" s="50">
        <v>9</v>
      </c>
      <c r="D93" s="50">
        <v>0</v>
      </c>
      <c r="E93" s="50">
        <v>1</v>
      </c>
      <c r="F93" s="50">
        <v>1</v>
      </c>
      <c r="G93" s="50">
        <v>0</v>
      </c>
      <c r="H93" s="50">
        <v>0</v>
      </c>
      <c r="I93" s="50">
        <v>0</v>
      </c>
      <c r="J93" s="50">
        <v>0</v>
      </c>
      <c r="K93" s="50">
        <v>5</v>
      </c>
      <c r="L93" s="50">
        <v>1</v>
      </c>
      <c r="M93" s="50">
        <v>15</v>
      </c>
      <c r="N93" s="50">
        <v>0</v>
      </c>
      <c r="O93" s="15">
        <f>SUM('27.07 Busega-Masanafu-24h'!C93:L93,N93)</f>
        <v>55</v>
      </c>
      <c r="P93" s="15">
        <f t="shared" ref="P93:P105" si="11">SUM(C93:N93)</f>
        <v>32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2</v>
      </c>
      <c r="E94" s="50">
        <v>0</v>
      </c>
      <c r="F94" s="50">
        <v>0</v>
      </c>
      <c r="G94" s="50">
        <v>0</v>
      </c>
      <c r="H94" s="50">
        <v>0</v>
      </c>
      <c r="I94" s="50">
        <v>1</v>
      </c>
      <c r="J94" s="50">
        <v>3</v>
      </c>
      <c r="K94" s="50">
        <v>1</v>
      </c>
      <c r="L94" s="50">
        <v>1</v>
      </c>
      <c r="M94" s="50">
        <v>4</v>
      </c>
      <c r="N94" s="50">
        <v>0</v>
      </c>
      <c r="O94" s="15">
        <f>SUM('27.07 Busega-Masanafu-24h'!C94:L94,N94)</f>
        <v>42</v>
      </c>
      <c r="P94" s="15">
        <f t="shared" si="11"/>
        <v>14</v>
      </c>
      <c r="R94" s="8"/>
      <c r="T94"/>
    </row>
    <row r="95" spans="2:20" ht="23.1" customHeight="1" x14ac:dyDescent="0.25">
      <c r="B95" s="45" t="s">
        <v>135</v>
      </c>
      <c r="C95" s="50">
        <v>11</v>
      </c>
      <c r="D95" s="50">
        <v>5</v>
      </c>
      <c r="E95" s="50">
        <v>2</v>
      </c>
      <c r="F95" s="50">
        <v>1</v>
      </c>
      <c r="G95" s="50">
        <v>0</v>
      </c>
      <c r="H95" s="50">
        <v>0</v>
      </c>
      <c r="I95" s="50">
        <v>0</v>
      </c>
      <c r="J95" s="50">
        <v>7</v>
      </c>
      <c r="K95" s="50">
        <v>0</v>
      </c>
      <c r="L95" s="50">
        <v>0</v>
      </c>
      <c r="M95" s="50">
        <v>10</v>
      </c>
      <c r="N95" s="50">
        <v>0</v>
      </c>
      <c r="O95" s="15">
        <f>SUM('27.07 Busega-Masanafu-24h'!C95:L95,N95)</f>
        <v>37</v>
      </c>
      <c r="P95" s="15">
        <f t="shared" si="11"/>
        <v>36</v>
      </c>
      <c r="R95" s="8"/>
      <c r="T95"/>
    </row>
    <row r="96" spans="2:20" ht="23.1" customHeight="1" x14ac:dyDescent="0.25">
      <c r="B96" s="47" t="s">
        <v>136</v>
      </c>
      <c r="C96" s="50">
        <v>9</v>
      </c>
      <c r="D96" s="50">
        <v>3</v>
      </c>
      <c r="E96" s="50">
        <v>2</v>
      </c>
      <c r="F96" s="50">
        <v>2</v>
      </c>
      <c r="G96" s="50">
        <v>0</v>
      </c>
      <c r="H96" s="50">
        <v>0</v>
      </c>
      <c r="I96" s="50">
        <v>0</v>
      </c>
      <c r="J96" s="50">
        <v>2</v>
      </c>
      <c r="K96" s="50">
        <v>2</v>
      </c>
      <c r="L96" s="50">
        <v>6</v>
      </c>
      <c r="M96" s="50">
        <v>10</v>
      </c>
      <c r="N96" s="50">
        <v>0</v>
      </c>
      <c r="O96" s="15">
        <f>SUM('27.07 Busega-Masanafu-24h'!C96:L96,N96)</f>
        <v>56</v>
      </c>
      <c r="P96" s="15">
        <f t="shared" si="11"/>
        <v>36</v>
      </c>
      <c r="R96" s="8"/>
      <c r="T96"/>
    </row>
    <row r="97" spans="2:20" ht="23.1" customHeight="1" x14ac:dyDescent="0.25">
      <c r="B97" s="45" t="s">
        <v>137</v>
      </c>
      <c r="C97" s="50">
        <v>10</v>
      </c>
      <c r="D97" s="50">
        <v>4</v>
      </c>
      <c r="E97" s="50">
        <v>3</v>
      </c>
      <c r="F97" s="50">
        <v>4</v>
      </c>
      <c r="G97" s="50">
        <v>0</v>
      </c>
      <c r="H97" s="50">
        <v>0</v>
      </c>
      <c r="I97" s="50">
        <v>3</v>
      </c>
      <c r="J97" s="50">
        <v>6</v>
      </c>
      <c r="K97" s="50">
        <v>5</v>
      </c>
      <c r="L97" s="50">
        <v>0</v>
      </c>
      <c r="M97" s="50">
        <v>13</v>
      </c>
      <c r="N97" s="50">
        <v>0</v>
      </c>
      <c r="O97" s="15">
        <f>SUM('27.07 Busega-Masanafu-24h'!C97:L97,N97)</f>
        <v>39</v>
      </c>
      <c r="P97" s="15">
        <f t="shared" si="11"/>
        <v>48</v>
      </c>
      <c r="R97" s="8"/>
      <c r="T97"/>
    </row>
    <row r="98" spans="2:20" ht="23.1" customHeight="1" x14ac:dyDescent="0.25">
      <c r="B98" s="46" t="s">
        <v>138</v>
      </c>
      <c r="C98" s="50">
        <v>19</v>
      </c>
      <c r="D98" s="50">
        <v>3</v>
      </c>
      <c r="E98" s="50">
        <v>3</v>
      </c>
      <c r="F98" s="50">
        <v>1</v>
      </c>
      <c r="G98" s="50">
        <v>1</v>
      </c>
      <c r="H98" s="50">
        <v>0</v>
      </c>
      <c r="I98" s="50">
        <v>5</v>
      </c>
      <c r="J98" s="50">
        <v>4</v>
      </c>
      <c r="K98" s="50">
        <v>0</v>
      </c>
      <c r="L98" s="50">
        <v>3</v>
      </c>
      <c r="M98" s="50">
        <v>8</v>
      </c>
      <c r="N98" s="50">
        <v>0</v>
      </c>
      <c r="O98" s="15">
        <f>SUM('27.07 Busega-Masanafu-24h'!C98:L98,N98)</f>
        <v>44</v>
      </c>
      <c r="P98" s="15">
        <f t="shared" si="11"/>
        <v>47</v>
      </c>
      <c r="R98" s="8"/>
      <c r="T98"/>
    </row>
    <row r="99" spans="2:20" ht="23.1" customHeight="1" x14ac:dyDescent="0.25">
      <c r="B99" s="45" t="s">
        <v>139</v>
      </c>
      <c r="C99" s="50">
        <v>8</v>
      </c>
      <c r="D99" s="50">
        <v>5</v>
      </c>
      <c r="E99" s="50">
        <v>3</v>
      </c>
      <c r="F99" s="50">
        <v>4</v>
      </c>
      <c r="G99" s="50">
        <v>1</v>
      </c>
      <c r="H99" s="50">
        <v>0</v>
      </c>
      <c r="I99" s="50">
        <v>3</v>
      </c>
      <c r="J99" s="50">
        <v>5</v>
      </c>
      <c r="K99" s="50">
        <v>0</v>
      </c>
      <c r="L99" s="50">
        <v>3</v>
      </c>
      <c r="M99" s="50">
        <v>20</v>
      </c>
      <c r="N99" s="50">
        <v>0</v>
      </c>
      <c r="O99" s="15">
        <f>SUM('27.07 Busega-Masanafu-24h'!C99:L99,N99)</f>
        <v>48</v>
      </c>
      <c r="P99" s="15">
        <f t="shared" si="11"/>
        <v>52</v>
      </c>
      <c r="R99" s="8"/>
      <c r="T99"/>
    </row>
    <row r="100" spans="2:20" ht="23.1" customHeight="1" x14ac:dyDescent="0.25">
      <c r="B100" s="47" t="s">
        <v>140</v>
      </c>
      <c r="C100" s="50">
        <v>17</v>
      </c>
      <c r="D100" s="50">
        <v>3</v>
      </c>
      <c r="E100" s="50">
        <v>2</v>
      </c>
      <c r="F100" s="50">
        <v>1</v>
      </c>
      <c r="G100" s="50">
        <v>0</v>
      </c>
      <c r="H100" s="50">
        <v>0</v>
      </c>
      <c r="I100" s="50">
        <v>4</v>
      </c>
      <c r="J100" s="50">
        <v>6</v>
      </c>
      <c r="K100" s="50">
        <v>1</v>
      </c>
      <c r="L100" s="50">
        <v>6</v>
      </c>
      <c r="M100" s="50">
        <v>15</v>
      </c>
      <c r="N100" s="50">
        <v>0</v>
      </c>
      <c r="O100" s="15">
        <f>SUM('27.07 Busega-Masanafu-24h'!C100:L100,N100)</f>
        <v>39</v>
      </c>
      <c r="P100" s="15">
        <f t="shared" si="11"/>
        <v>55</v>
      </c>
      <c r="R100" s="8"/>
      <c r="T100"/>
    </row>
    <row r="101" spans="2:20" ht="23.1" customHeight="1" x14ac:dyDescent="0.25">
      <c r="B101" s="45" t="s">
        <v>141</v>
      </c>
      <c r="C101" s="50">
        <v>15</v>
      </c>
      <c r="D101" s="50">
        <v>4</v>
      </c>
      <c r="E101" s="50">
        <v>5</v>
      </c>
      <c r="F101" s="50">
        <v>6</v>
      </c>
      <c r="G101" s="50">
        <v>1</v>
      </c>
      <c r="H101" s="50">
        <v>0</v>
      </c>
      <c r="I101" s="50">
        <v>10</v>
      </c>
      <c r="J101" s="50">
        <v>2</v>
      </c>
      <c r="K101" s="50">
        <v>4</v>
      </c>
      <c r="L101" s="50">
        <v>5</v>
      </c>
      <c r="M101" s="50">
        <v>23</v>
      </c>
      <c r="N101" s="50">
        <v>0</v>
      </c>
      <c r="O101" s="15">
        <f>SUM('27.07 Busega-Masanafu-24h'!C101:L101,N101)</f>
        <v>40</v>
      </c>
      <c r="P101" s="15">
        <f t="shared" si="11"/>
        <v>75</v>
      </c>
      <c r="R101" s="8"/>
      <c r="T101"/>
    </row>
    <row r="102" spans="2:20" ht="23.1" customHeight="1" x14ac:dyDescent="0.25">
      <c r="B102" s="46" t="s">
        <v>142</v>
      </c>
      <c r="C102" s="50">
        <v>23</v>
      </c>
      <c r="D102" s="50">
        <v>4</v>
      </c>
      <c r="E102" s="50">
        <v>7</v>
      </c>
      <c r="F102" s="50">
        <v>10</v>
      </c>
      <c r="G102" s="50">
        <v>2</v>
      </c>
      <c r="H102" s="50">
        <v>1</v>
      </c>
      <c r="I102" s="50">
        <v>6</v>
      </c>
      <c r="J102" s="50">
        <v>1</v>
      </c>
      <c r="K102" s="50">
        <v>0</v>
      </c>
      <c r="L102" s="50">
        <v>2</v>
      </c>
      <c r="M102" s="50">
        <v>33</v>
      </c>
      <c r="N102" s="50">
        <v>0</v>
      </c>
      <c r="O102" s="15">
        <f>SUM('27.07 Busega-Masanafu-24h'!C102:L102,N102)</f>
        <v>59</v>
      </c>
      <c r="P102" s="15">
        <f t="shared" si="11"/>
        <v>89</v>
      </c>
      <c r="R102" s="8"/>
      <c r="T102"/>
    </row>
    <row r="103" spans="2:20" ht="23.1" customHeight="1" x14ac:dyDescent="0.25">
      <c r="B103" s="45" t="s">
        <v>143</v>
      </c>
      <c r="C103" s="50">
        <v>25</v>
      </c>
      <c r="D103" s="50">
        <v>7</v>
      </c>
      <c r="E103" s="50">
        <v>9</v>
      </c>
      <c r="F103" s="50">
        <v>22</v>
      </c>
      <c r="G103" s="50">
        <v>0</v>
      </c>
      <c r="H103" s="50">
        <v>0</v>
      </c>
      <c r="I103" s="50">
        <v>2</v>
      </c>
      <c r="J103" s="50">
        <v>1</v>
      </c>
      <c r="K103" s="50">
        <v>0</v>
      </c>
      <c r="L103" s="50">
        <v>1</v>
      </c>
      <c r="M103" s="50">
        <v>36</v>
      </c>
      <c r="N103" s="50">
        <v>0</v>
      </c>
      <c r="O103" s="15">
        <f>SUM('27.07 Busega-Masanafu-24h'!C103:L103,N103)</f>
        <v>63</v>
      </c>
      <c r="P103" s="15">
        <f t="shared" si="11"/>
        <v>103</v>
      </c>
      <c r="R103" s="8"/>
      <c r="T103"/>
    </row>
    <row r="104" spans="2:20" ht="23.1" customHeight="1" x14ac:dyDescent="0.25">
      <c r="B104" s="47" t="s">
        <v>144</v>
      </c>
      <c r="C104" s="50">
        <v>32</v>
      </c>
      <c r="D104" s="50">
        <v>2</v>
      </c>
      <c r="E104" s="50">
        <v>11</v>
      </c>
      <c r="F104" s="50">
        <v>18</v>
      </c>
      <c r="G104" s="50">
        <v>1</v>
      </c>
      <c r="H104" s="50">
        <v>0</v>
      </c>
      <c r="I104" s="50">
        <v>1</v>
      </c>
      <c r="J104" s="50">
        <v>3</v>
      </c>
      <c r="K104" s="50">
        <v>0</v>
      </c>
      <c r="L104" s="50">
        <v>7</v>
      </c>
      <c r="M104" s="50">
        <v>37</v>
      </c>
      <c r="N104" s="50">
        <v>0</v>
      </c>
      <c r="O104" s="15">
        <f>SUM('27.07 Busega-Masanafu-24h'!C104:L104,N104)</f>
        <v>79</v>
      </c>
      <c r="P104" s="15">
        <f t="shared" si="11"/>
        <v>112</v>
      </c>
      <c r="R104" s="8"/>
      <c r="T104"/>
    </row>
    <row r="105" spans="2:20" ht="23.1" customHeight="1" x14ac:dyDescent="0.25">
      <c r="B105" s="45" t="s">
        <v>145</v>
      </c>
      <c r="C105" s="50">
        <v>30</v>
      </c>
      <c r="D105" s="50">
        <v>9</v>
      </c>
      <c r="E105" s="50">
        <v>8</v>
      </c>
      <c r="F105" s="50">
        <v>30</v>
      </c>
      <c r="G105" s="50">
        <v>1</v>
      </c>
      <c r="H105" s="50">
        <v>0</v>
      </c>
      <c r="I105" s="50">
        <v>5</v>
      </c>
      <c r="J105" s="50">
        <v>3</v>
      </c>
      <c r="K105" s="50">
        <v>0</v>
      </c>
      <c r="L105" s="50">
        <v>5</v>
      </c>
      <c r="M105" s="50">
        <v>50</v>
      </c>
      <c r="N105" s="50">
        <v>0</v>
      </c>
      <c r="O105" s="15">
        <f>SUM('27.07 Busega-Masanafu-24h'!C105:L105,N105)</f>
        <v>66</v>
      </c>
      <c r="P105" s="15">
        <f t="shared" si="11"/>
        <v>141</v>
      </c>
      <c r="R105" s="8"/>
      <c r="T105"/>
    </row>
    <row r="106" spans="2:20" ht="23.1" customHeight="1" x14ac:dyDescent="0.25">
      <c r="B106" s="26" t="s">
        <v>18</v>
      </c>
      <c r="C106" s="16">
        <f>SUM('27.07 Busega-Masanafu-24h'!C10:C105)</f>
        <v>5478</v>
      </c>
      <c r="D106" s="16">
        <f>SUM('27.07 Busega-Masanafu-24h'!D10:D105)</f>
        <v>876</v>
      </c>
      <c r="E106" s="16">
        <f>SUM('27.07 Busega-Masanafu-24h'!E10:E105)</f>
        <v>712</v>
      </c>
      <c r="F106" s="16">
        <f>SUM('27.07 Busega-Masanafu-24h'!F10:F105)</f>
        <v>1913</v>
      </c>
      <c r="G106" s="16">
        <f>SUM('27.07 Busega-Masanafu-24h'!G10:G105)</f>
        <v>116</v>
      </c>
      <c r="H106" s="16">
        <f>SUM('27.07 Busega-Masanafu-24h'!H10:H105)</f>
        <v>39</v>
      </c>
      <c r="I106" s="16">
        <f>SUM('27.07 Busega-Masanafu-24h'!I10:I105)</f>
        <v>867</v>
      </c>
      <c r="J106" s="16">
        <f>SUM('27.07 Busega-Masanafu-24h'!J10:J105)</f>
        <v>685</v>
      </c>
      <c r="K106" s="16">
        <f>SUM('27.07 Busega-Masanafu-24h'!K10:K105)</f>
        <v>319</v>
      </c>
      <c r="L106" s="16">
        <f>SUM('27.07 Busega-Masanafu-24h'!L10:L105)</f>
        <v>363</v>
      </c>
      <c r="M106" s="16">
        <f>SUM('27.07 Busega-Masanafu-24h'!M10:M105)</f>
        <v>7691</v>
      </c>
      <c r="N106" s="16">
        <f>SUM(N10:N105)</f>
        <v>0</v>
      </c>
      <c r="O106" s="16">
        <f>SUM(O10:O105)</f>
        <v>11368</v>
      </c>
      <c r="P106" s="16">
        <f>SUM(P10:P105)</f>
        <v>19718</v>
      </c>
      <c r="R106" s="8"/>
      <c r="T106"/>
    </row>
    <row r="107" spans="2:20" ht="23.1" customHeight="1" x14ac:dyDescent="0.25">
      <c r="B107" s="26" t="s">
        <v>93</v>
      </c>
      <c r="C107" s="43">
        <f>C106/$P$106</f>
        <v>0.27781722284207322</v>
      </c>
      <c r="D107" s="43">
        <f t="shared" ref="D107:N107" si="12">D106/$P$106</f>
        <v>4.4426412415052234E-2</v>
      </c>
      <c r="E107" s="43">
        <f t="shared" si="12"/>
        <v>3.6109138857896336E-2</v>
      </c>
      <c r="F107" s="43">
        <f t="shared" si="12"/>
        <v>9.7017953139263619E-2</v>
      </c>
      <c r="G107" s="43">
        <f t="shared" si="12"/>
        <v>5.8829495892078303E-3</v>
      </c>
      <c r="H107" s="43">
        <f t="shared" si="12"/>
        <v>1.9778882239578051E-3</v>
      </c>
      <c r="I107" s="43">
        <f t="shared" si="12"/>
        <v>4.3969976671061971E-2</v>
      </c>
      <c r="J107" s="43">
        <f t="shared" si="12"/>
        <v>3.4739831625925553E-2</v>
      </c>
      <c r="K107" s="43">
        <f t="shared" si="12"/>
        <v>1.6178111370321532E-2</v>
      </c>
      <c r="L107" s="43">
        <f t="shared" si="12"/>
        <v>1.8409575007607263E-2</v>
      </c>
      <c r="M107" s="43">
        <f t="shared" si="12"/>
        <v>0.39004970078101225</v>
      </c>
      <c r="N107" s="43">
        <f t="shared" si="12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0.48187895847994372</v>
      </c>
      <c r="D108" s="44">
        <f t="shared" ref="D108:N108" si="13">D106/$O$106</f>
        <v>7.7058409570724837E-2</v>
      </c>
      <c r="E108" s="44">
        <f t="shared" si="13"/>
        <v>6.2631949331456716E-2</v>
      </c>
      <c r="F108" s="44">
        <f t="shared" si="13"/>
        <v>0.16827938071780435</v>
      </c>
      <c r="G108" s="44">
        <f t="shared" si="13"/>
        <v>1.020408163265306E-2</v>
      </c>
      <c r="H108" s="44">
        <f t="shared" si="13"/>
        <v>3.4306826178747362E-3</v>
      </c>
      <c r="I108" s="44">
        <f t="shared" si="13"/>
        <v>7.6266713581984516E-2</v>
      </c>
      <c r="J108" s="44">
        <f t="shared" si="13"/>
        <v>6.0256861365235746E-2</v>
      </c>
      <c r="K108" s="44">
        <f t="shared" si="13"/>
        <v>2.8061224489795918E-2</v>
      </c>
      <c r="L108" s="44">
        <f t="shared" si="13"/>
        <v>3.1931738212526387E-2</v>
      </c>
      <c r="M108" s="44"/>
      <c r="N108" s="44">
        <f t="shared" si="13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H13" zoomScale="68" zoomScaleSheetLayoutView="68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'22.07 Busega-Masanafu'!C3:G3</f>
        <v>MCC - C1 - STN13 - NORTHERN BYPASS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64" t="str">
        <f>'27.07 Masanafu-Busega-24h'!G5:H5</f>
        <v>NORTHERN BYPASS</v>
      </c>
      <c r="H5" s="65"/>
      <c r="I5" s="14"/>
      <c r="J5" s="2" t="s">
        <v>5</v>
      </c>
      <c r="K5" s="64" t="str">
        <f>'27.07 Masanafu-Busega-24h'!K5:L5</f>
        <v>SSEMUKO SAMUEL JUNIOR W/MUTEBI CHRISTOPHER/SSEMWOGERERE FREDRICK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'22.07 Busega-Masanafu'!D6:E6</f>
        <v>BUSEGA</v>
      </c>
      <c r="E6" s="65"/>
      <c r="F6" s="2" t="s">
        <v>2</v>
      </c>
      <c r="G6" s="64" t="str">
        <f>'22.07 Busega-Masanafu'!G6:H6</f>
        <v>MASANAFU</v>
      </c>
      <c r="H6" s="65"/>
      <c r="J6" s="2" t="s">
        <v>21</v>
      </c>
      <c r="K6" s="64" t="str">
        <f>'27.07 Masanafu-Busega-24h'!K6:L6</f>
        <v>ANDY/ANDREW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27</v>
      </c>
      <c r="D10" s="50">
        <v>4</v>
      </c>
      <c r="E10" s="50">
        <v>2</v>
      </c>
      <c r="F10" s="50">
        <v>21</v>
      </c>
      <c r="G10" s="50">
        <v>0</v>
      </c>
      <c r="H10" s="50">
        <v>0</v>
      </c>
      <c r="I10" s="50">
        <v>7</v>
      </c>
      <c r="J10" s="50">
        <v>11</v>
      </c>
      <c r="K10" s="50">
        <v>1</v>
      </c>
      <c r="L10" s="50">
        <v>1</v>
      </c>
      <c r="M10" s="50">
        <v>90</v>
      </c>
      <c r="N10" s="50">
        <v>0</v>
      </c>
      <c r="O10" s="15">
        <f t="shared" ref="O10:O57" si="0">SUM(C10:L10,N10)</f>
        <v>74</v>
      </c>
      <c r="P10" s="15">
        <f t="shared" ref="P10:P57" si="1">SUM(C10:N10)</f>
        <v>164</v>
      </c>
      <c r="R10" s="1" t="s">
        <v>6</v>
      </c>
      <c r="S10" s="17">
        <f t="shared" ref="S10:AF10" si="2">SUM(C10:C13)</f>
        <v>165</v>
      </c>
      <c r="T10" s="17">
        <f t="shared" si="2"/>
        <v>28</v>
      </c>
      <c r="U10" s="17">
        <f t="shared" si="2"/>
        <v>14</v>
      </c>
      <c r="V10" s="17">
        <f t="shared" si="2"/>
        <v>125</v>
      </c>
      <c r="W10" s="17">
        <f t="shared" si="2"/>
        <v>21</v>
      </c>
      <c r="X10" s="17">
        <f t="shared" si="2"/>
        <v>3</v>
      </c>
      <c r="Y10" s="17">
        <f t="shared" si="2"/>
        <v>24</v>
      </c>
      <c r="Z10" s="17">
        <f t="shared" si="2"/>
        <v>34</v>
      </c>
      <c r="AA10" s="17">
        <f t="shared" si="2"/>
        <v>14</v>
      </c>
      <c r="AB10" s="17">
        <f t="shared" si="2"/>
        <v>3</v>
      </c>
      <c r="AC10" s="17">
        <f t="shared" si="2"/>
        <v>469</v>
      </c>
      <c r="AD10" s="17">
        <f t="shared" si="2"/>
        <v>0</v>
      </c>
      <c r="AE10" s="31">
        <f t="shared" si="2"/>
        <v>431</v>
      </c>
      <c r="AF10" s="31">
        <f t="shared" si="2"/>
        <v>900</v>
      </c>
    </row>
    <row r="11" spans="2:32" s="6" customFormat="1" ht="23.1" customHeight="1" x14ac:dyDescent="0.25">
      <c r="B11" s="23" t="s">
        <v>38</v>
      </c>
      <c r="C11" s="50">
        <v>47</v>
      </c>
      <c r="D11" s="50">
        <v>12</v>
      </c>
      <c r="E11" s="50">
        <v>3</v>
      </c>
      <c r="F11" s="50">
        <v>28</v>
      </c>
      <c r="G11" s="50">
        <v>9</v>
      </c>
      <c r="H11" s="50">
        <v>0</v>
      </c>
      <c r="I11" s="50">
        <v>8</v>
      </c>
      <c r="J11" s="50">
        <v>8</v>
      </c>
      <c r="K11" s="50">
        <v>5</v>
      </c>
      <c r="L11" s="50">
        <v>0</v>
      </c>
      <c r="M11" s="50">
        <v>117</v>
      </c>
      <c r="N11" s="50">
        <v>0</v>
      </c>
      <c r="O11" s="15">
        <f t="shared" si="0"/>
        <v>120</v>
      </c>
      <c r="P11" s="15">
        <f t="shared" si="1"/>
        <v>237</v>
      </c>
      <c r="R11" s="1" t="s">
        <v>7</v>
      </c>
      <c r="S11" s="17">
        <f t="shared" ref="S11:AF11" si="3">SUM(C14:C17)</f>
        <v>230</v>
      </c>
      <c r="T11" s="17">
        <f t="shared" si="3"/>
        <v>32</v>
      </c>
      <c r="U11" s="17">
        <f t="shared" si="3"/>
        <v>25</v>
      </c>
      <c r="V11" s="17">
        <f t="shared" si="3"/>
        <v>169</v>
      </c>
      <c r="W11" s="17">
        <f t="shared" si="3"/>
        <v>16</v>
      </c>
      <c r="X11" s="17">
        <f t="shared" si="3"/>
        <v>2</v>
      </c>
      <c r="Y11" s="17">
        <f t="shared" si="3"/>
        <v>36</v>
      </c>
      <c r="Z11" s="17">
        <f t="shared" si="3"/>
        <v>34</v>
      </c>
      <c r="AA11" s="17">
        <f t="shared" si="3"/>
        <v>10</v>
      </c>
      <c r="AB11" s="17">
        <f t="shared" si="3"/>
        <v>8</v>
      </c>
      <c r="AC11" s="17">
        <f t="shared" si="3"/>
        <v>540</v>
      </c>
      <c r="AD11" s="17">
        <f t="shared" si="3"/>
        <v>0</v>
      </c>
      <c r="AE11" s="31">
        <f t="shared" si="3"/>
        <v>562</v>
      </c>
      <c r="AF11" s="31">
        <f t="shared" si="3"/>
        <v>1102</v>
      </c>
    </row>
    <row r="12" spans="2:32" ht="23.1" customHeight="1" x14ac:dyDescent="0.25">
      <c r="B12" s="23" t="s">
        <v>39</v>
      </c>
      <c r="C12" s="50">
        <v>46</v>
      </c>
      <c r="D12" s="50">
        <v>6</v>
      </c>
      <c r="E12" s="50">
        <v>6</v>
      </c>
      <c r="F12" s="50">
        <v>37</v>
      </c>
      <c r="G12" s="50">
        <v>7</v>
      </c>
      <c r="H12" s="50">
        <v>2</v>
      </c>
      <c r="I12" s="50">
        <v>6</v>
      </c>
      <c r="J12" s="50">
        <v>4</v>
      </c>
      <c r="K12" s="50">
        <v>4</v>
      </c>
      <c r="L12" s="50">
        <v>0</v>
      </c>
      <c r="M12" s="50">
        <v>120</v>
      </c>
      <c r="N12" s="50">
        <v>0</v>
      </c>
      <c r="O12" s="15">
        <f t="shared" si="0"/>
        <v>118</v>
      </c>
      <c r="P12" s="15">
        <f t="shared" si="1"/>
        <v>238</v>
      </c>
      <c r="R12" s="1" t="s">
        <v>8</v>
      </c>
      <c r="S12" s="17">
        <f t="shared" ref="S12:AF12" si="4">SUM(C18:C21)</f>
        <v>341</v>
      </c>
      <c r="T12" s="17">
        <f t="shared" si="4"/>
        <v>47</v>
      </c>
      <c r="U12" s="17">
        <f t="shared" si="4"/>
        <v>39</v>
      </c>
      <c r="V12" s="17">
        <f t="shared" si="4"/>
        <v>142</v>
      </c>
      <c r="W12" s="17">
        <f t="shared" si="4"/>
        <v>15</v>
      </c>
      <c r="X12" s="17">
        <f t="shared" si="4"/>
        <v>2</v>
      </c>
      <c r="Y12" s="17">
        <f t="shared" si="4"/>
        <v>22</v>
      </c>
      <c r="Z12" s="17">
        <f t="shared" si="4"/>
        <v>42</v>
      </c>
      <c r="AA12" s="17">
        <f t="shared" si="4"/>
        <v>8</v>
      </c>
      <c r="AB12" s="17">
        <f t="shared" si="4"/>
        <v>12</v>
      </c>
      <c r="AC12" s="17">
        <f t="shared" si="4"/>
        <v>589</v>
      </c>
      <c r="AD12" s="17">
        <f t="shared" si="4"/>
        <v>0</v>
      </c>
      <c r="AE12" s="31">
        <f t="shared" si="4"/>
        <v>670</v>
      </c>
      <c r="AF12" s="31">
        <f t="shared" si="4"/>
        <v>1259</v>
      </c>
    </row>
    <row r="13" spans="2:32" ht="23.1" customHeight="1" x14ac:dyDescent="0.25">
      <c r="B13" s="23" t="s">
        <v>40</v>
      </c>
      <c r="C13" s="50">
        <v>45</v>
      </c>
      <c r="D13" s="50">
        <v>6</v>
      </c>
      <c r="E13" s="50">
        <v>3</v>
      </c>
      <c r="F13" s="50">
        <v>39</v>
      </c>
      <c r="G13" s="50">
        <v>5</v>
      </c>
      <c r="H13" s="50">
        <v>1</v>
      </c>
      <c r="I13" s="50">
        <v>3</v>
      </c>
      <c r="J13" s="50">
        <v>11</v>
      </c>
      <c r="K13" s="50">
        <v>4</v>
      </c>
      <c r="L13" s="50">
        <v>2</v>
      </c>
      <c r="M13" s="50">
        <v>142</v>
      </c>
      <c r="N13" s="50">
        <v>0</v>
      </c>
      <c r="O13" s="15">
        <f t="shared" si="0"/>
        <v>119</v>
      </c>
      <c r="P13" s="15">
        <f t="shared" si="1"/>
        <v>261</v>
      </c>
      <c r="R13" s="1" t="s">
        <v>9</v>
      </c>
      <c r="S13" s="17">
        <f t="shared" ref="S13:AF13" si="5">SUM(C22:C25)</f>
        <v>327</v>
      </c>
      <c r="T13" s="17">
        <f t="shared" si="5"/>
        <v>61</v>
      </c>
      <c r="U13" s="17">
        <f t="shared" si="5"/>
        <v>33</v>
      </c>
      <c r="V13" s="17">
        <f t="shared" si="5"/>
        <v>147</v>
      </c>
      <c r="W13" s="17">
        <f t="shared" si="5"/>
        <v>1</v>
      </c>
      <c r="X13" s="17">
        <f t="shared" si="5"/>
        <v>2</v>
      </c>
      <c r="Y13" s="17">
        <f t="shared" si="5"/>
        <v>32</v>
      </c>
      <c r="Z13" s="17">
        <f t="shared" si="5"/>
        <v>35</v>
      </c>
      <c r="AA13" s="17">
        <f t="shared" si="5"/>
        <v>17</v>
      </c>
      <c r="AB13" s="17">
        <f t="shared" si="5"/>
        <v>11</v>
      </c>
      <c r="AC13" s="17">
        <f t="shared" si="5"/>
        <v>626</v>
      </c>
      <c r="AD13" s="17">
        <f t="shared" si="5"/>
        <v>0</v>
      </c>
      <c r="AE13" s="31">
        <f t="shared" si="5"/>
        <v>666</v>
      </c>
      <c r="AF13" s="31">
        <f t="shared" si="5"/>
        <v>1292</v>
      </c>
    </row>
    <row r="14" spans="2:32" ht="23.1" customHeight="1" x14ac:dyDescent="0.25">
      <c r="B14" s="23" t="s">
        <v>41</v>
      </c>
      <c r="C14" s="50">
        <v>51</v>
      </c>
      <c r="D14" s="50">
        <v>8</v>
      </c>
      <c r="E14" s="50">
        <v>4</v>
      </c>
      <c r="F14" s="50">
        <v>39</v>
      </c>
      <c r="G14" s="50">
        <v>2</v>
      </c>
      <c r="H14" s="50">
        <v>0</v>
      </c>
      <c r="I14" s="50">
        <v>8</v>
      </c>
      <c r="J14" s="50">
        <v>12</v>
      </c>
      <c r="K14" s="50">
        <v>1</v>
      </c>
      <c r="L14" s="50">
        <v>5</v>
      </c>
      <c r="M14" s="50">
        <v>156</v>
      </c>
      <c r="N14" s="50">
        <v>0</v>
      </c>
      <c r="O14" s="15">
        <f t="shared" si="0"/>
        <v>130</v>
      </c>
      <c r="P14" s="15">
        <f t="shared" si="1"/>
        <v>286</v>
      </c>
      <c r="R14" s="1" t="s">
        <v>10</v>
      </c>
      <c r="S14" s="17">
        <f t="shared" ref="S14:AF14" si="6">SUM(C26:C29)</f>
        <v>327</v>
      </c>
      <c r="T14" s="17">
        <f t="shared" si="6"/>
        <v>61</v>
      </c>
      <c r="U14" s="17">
        <f t="shared" si="6"/>
        <v>31</v>
      </c>
      <c r="V14" s="17">
        <f t="shared" si="6"/>
        <v>149</v>
      </c>
      <c r="W14" s="17">
        <f t="shared" si="6"/>
        <v>2</v>
      </c>
      <c r="X14" s="17">
        <f t="shared" si="6"/>
        <v>0</v>
      </c>
      <c r="Y14" s="17">
        <f t="shared" si="6"/>
        <v>35</v>
      </c>
      <c r="Z14" s="17">
        <f t="shared" si="6"/>
        <v>39</v>
      </c>
      <c r="AA14" s="17">
        <f t="shared" si="6"/>
        <v>11</v>
      </c>
      <c r="AB14" s="17">
        <f t="shared" si="6"/>
        <v>20</v>
      </c>
      <c r="AC14" s="17">
        <f t="shared" si="6"/>
        <v>472</v>
      </c>
      <c r="AD14" s="17">
        <f t="shared" si="6"/>
        <v>0</v>
      </c>
      <c r="AE14" s="31">
        <f t="shared" si="6"/>
        <v>675</v>
      </c>
      <c r="AF14" s="31">
        <f t="shared" si="6"/>
        <v>1147</v>
      </c>
    </row>
    <row r="15" spans="2:32" ht="23.1" customHeight="1" x14ac:dyDescent="0.25">
      <c r="B15" s="23" t="s">
        <v>42</v>
      </c>
      <c r="C15" s="50">
        <v>54</v>
      </c>
      <c r="D15" s="50">
        <v>4</v>
      </c>
      <c r="E15" s="50">
        <v>8</v>
      </c>
      <c r="F15" s="50">
        <v>38</v>
      </c>
      <c r="G15" s="50">
        <v>3</v>
      </c>
      <c r="H15" s="50">
        <v>1</v>
      </c>
      <c r="I15" s="50">
        <v>6</v>
      </c>
      <c r="J15" s="50">
        <v>9</v>
      </c>
      <c r="K15" s="50">
        <v>1</v>
      </c>
      <c r="L15" s="50">
        <v>3</v>
      </c>
      <c r="M15" s="50">
        <v>124</v>
      </c>
      <c r="N15" s="50">
        <v>0</v>
      </c>
      <c r="O15" s="15">
        <f t="shared" si="0"/>
        <v>127</v>
      </c>
      <c r="P15" s="15">
        <f t="shared" si="1"/>
        <v>251</v>
      </c>
      <c r="R15" s="1" t="s">
        <v>11</v>
      </c>
      <c r="S15" s="17">
        <f t="shared" ref="S15:AF15" si="7">SUM(C30:C33)</f>
        <v>385</v>
      </c>
      <c r="T15" s="17">
        <f t="shared" si="7"/>
        <v>55</v>
      </c>
      <c r="U15" s="17">
        <f t="shared" si="7"/>
        <v>27</v>
      </c>
      <c r="V15" s="17">
        <f t="shared" si="7"/>
        <v>129</v>
      </c>
      <c r="W15" s="17">
        <f t="shared" si="7"/>
        <v>5</v>
      </c>
      <c r="X15" s="17">
        <f t="shared" si="7"/>
        <v>1</v>
      </c>
      <c r="Y15" s="17">
        <f t="shared" si="7"/>
        <v>35</v>
      </c>
      <c r="Z15" s="17">
        <f t="shared" si="7"/>
        <v>28</v>
      </c>
      <c r="AA15" s="17">
        <f t="shared" si="7"/>
        <v>6</v>
      </c>
      <c r="AB15" s="17">
        <f t="shared" si="7"/>
        <v>14</v>
      </c>
      <c r="AC15" s="17">
        <f t="shared" si="7"/>
        <v>571</v>
      </c>
      <c r="AD15" s="17">
        <f t="shared" si="7"/>
        <v>0</v>
      </c>
      <c r="AE15" s="31">
        <f t="shared" si="7"/>
        <v>685</v>
      </c>
      <c r="AF15" s="31">
        <f t="shared" si="7"/>
        <v>1256</v>
      </c>
    </row>
    <row r="16" spans="2:32" ht="23.1" customHeight="1" x14ac:dyDescent="0.25">
      <c r="B16" s="23" t="s">
        <v>43</v>
      </c>
      <c r="C16" s="50">
        <v>75</v>
      </c>
      <c r="D16" s="50">
        <v>14</v>
      </c>
      <c r="E16" s="50">
        <v>8</v>
      </c>
      <c r="F16" s="50">
        <v>51</v>
      </c>
      <c r="G16" s="50">
        <v>8</v>
      </c>
      <c r="H16" s="50">
        <v>1</v>
      </c>
      <c r="I16" s="50">
        <v>12</v>
      </c>
      <c r="J16" s="50">
        <v>4</v>
      </c>
      <c r="K16" s="50">
        <v>7</v>
      </c>
      <c r="L16" s="50">
        <v>0</v>
      </c>
      <c r="M16" s="50">
        <v>125</v>
      </c>
      <c r="N16" s="50">
        <v>0</v>
      </c>
      <c r="O16" s="15">
        <f t="shared" si="0"/>
        <v>180</v>
      </c>
      <c r="P16" s="15">
        <f t="shared" si="1"/>
        <v>305</v>
      </c>
      <c r="R16" s="1" t="s">
        <v>12</v>
      </c>
      <c r="S16" s="17">
        <f t="shared" ref="S16:AF16" si="8">SUM(C34:C37)</f>
        <v>324</v>
      </c>
      <c r="T16" s="17">
        <f t="shared" si="8"/>
        <v>69</v>
      </c>
      <c r="U16" s="17">
        <f t="shared" si="8"/>
        <v>34</v>
      </c>
      <c r="V16" s="17">
        <f t="shared" si="8"/>
        <v>137</v>
      </c>
      <c r="W16" s="17">
        <f t="shared" si="8"/>
        <v>4</v>
      </c>
      <c r="X16" s="17">
        <f t="shared" si="8"/>
        <v>4</v>
      </c>
      <c r="Y16" s="17">
        <f t="shared" si="8"/>
        <v>30</v>
      </c>
      <c r="Z16" s="17">
        <f t="shared" si="8"/>
        <v>31</v>
      </c>
      <c r="AA16" s="17">
        <f t="shared" si="8"/>
        <v>8</v>
      </c>
      <c r="AB16" s="17">
        <f t="shared" si="8"/>
        <v>18</v>
      </c>
      <c r="AC16" s="17">
        <f t="shared" si="8"/>
        <v>570</v>
      </c>
      <c r="AD16" s="17">
        <f t="shared" si="8"/>
        <v>0</v>
      </c>
      <c r="AE16" s="31">
        <f t="shared" si="8"/>
        <v>659</v>
      </c>
      <c r="AF16" s="31">
        <f t="shared" si="8"/>
        <v>1229</v>
      </c>
    </row>
    <row r="17" spans="2:32" ht="23.1" customHeight="1" x14ac:dyDescent="0.25">
      <c r="B17" s="23" t="s">
        <v>44</v>
      </c>
      <c r="C17" s="50">
        <v>50</v>
      </c>
      <c r="D17" s="50">
        <v>6</v>
      </c>
      <c r="E17" s="50">
        <v>5</v>
      </c>
      <c r="F17" s="50">
        <v>41</v>
      </c>
      <c r="G17" s="50">
        <v>3</v>
      </c>
      <c r="H17" s="50">
        <v>0</v>
      </c>
      <c r="I17" s="50">
        <v>10</v>
      </c>
      <c r="J17" s="50">
        <v>9</v>
      </c>
      <c r="K17" s="50">
        <v>1</v>
      </c>
      <c r="L17" s="50">
        <v>0</v>
      </c>
      <c r="M17" s="50">
        <v>135</v>
      </c>
      <c r="N17" s="50">
        <v>0</v>
      </c>
      <c r="O17" s="15">
        <f t="shared" si="0"/>
        <v>125</v>
      </c>
      <c r="P17" s="15">
        <f t="shared" si="1"/>
        <v>260</v>
      </c>
      <c r="R17" s="1" t="s">
        <v>13</v>
      </c>
      <c r="S17" s="17">
        <f t="shared" ref="S17:AF17" si="9">SUM(C38:C41)</f>
        <v>390</v>
      </c>
      <c r="T17" s="17">
        <f t="shared" si="9"/>
        <v>72</v>
      </c>
      <c r="U17" s="17">
        <f t="shared" si="9"/>
        <v>27</v>
      </c>
      <c r="V17" s="17">
        <f t="shared" si="9"/>
        <v>124</v>
      </c>
      <c r="W17" s="17">
        <f t="shared" si="9"/>
        <v>3</v>
      </c>
      <c r="X17" s="17">
        <f t="shared" si="9"/>
        <v>0</v>
      </c>
      <c r="Y17" s="17">
        <f t="shared" si="9"/>
        <v>38</v>
      </c>
      <c r="Z17" s="17">
        <f t="shared" si="9"/>
        <v>44</v>
      </c>
      <c r="AA17" s="17">
        <f t="shared" si="9"/>
        <v>21</v>
      </c>
      <c r="AB17" s="17">
        <f t="shared" si="9"/>
        <v>12</v>
      </c>
      <c r="AC17" s="17">
        <f t="shared" si="9"/>
        <v>534</v>
      </c>
      <c r="AD17" s="17">
        <f t="shared" si="9"/>
        <v>0</v>
      </c>
      <c r="AE17" s="31">
        <f t="shared" si="9"/>
        <v>731</v>
      </c>
      <c r="AF17" s="31">
        <f t="shared" si="9"/>
        <v>1265</v>
      </c>
    </row>
    <row r="18" spans="2:32" ht="23.1" customHeight="1" x14ac:dyDescent="0.25">
      <c r="B18" s="23" t="s">
        <v>45</v>
      </c>
      <c r="C18" s="50">
        <v>67</v>
      </c>
      <c r="D18" s="50">
        <v>12</v>
      </c>
      <c r="E18" s="50">
        <v>7</v>
      </c>
      <c r="F18" s="50">
        <v>33</v>
      </c>
      <c r="G18" s="50">
        <v>11</v>
      </c>
      <c r="H18" s="50">
        <v>0</v>
      </c>
      <c r="I18" s="50">
        <v>7</v>
      </c>
      <c r="J18" s="50">
        <v>19</v>
      </c>
      <c r="K18" s="50">
        <v>1</v>
      </c>
      <c r="L18" s="50">
        <v>5</v>
      </c>
      <c r="M18" s="50">
        <v>156</v>
      </c>
      <c r="N18" s="50">
        <v>0</v>
      </c>
      <c r="O18" s="15">
        <f t="shared" si="0"/>
        <v>162</v>
      </c>
      <c r="P18" s="15">
        <f t="shared" si="1"/>
        <v>318</v>
      </c>
      <c r="R18" s="1" t="s">
        <v>14</v>
      </c>
      <c r="S18" s="17">
        <f t="shared" ref="S18:AF18" si="10">SUM(C42:C45)</f>
        <v>421</v>
      </c>
      <c r="T18" s="17">
        <f t="shared" si="10"/>
        <v>81</v>
      </c>
      <c r="U18" s="17">
        <f t="shared" si="10"/>
        <v>51</v>
      </c>
      <c r="V18" s="17">
        <f t="shared" si="10"/>
        <v>133</v>
      </c>
      <c r="W18" s="17">
        <f t="shared" si="10"/>
        <v>4</v>
      </c>
      <c r="X18" s="17">
        <f t="shared" si="10"/>
        <v>1</v>
      </c>
      <c r="Y18" s="17">
        <f t="shared" si="10"/>
        <v>30</v>
      </c>
      <c r="Z18" s="17">
        <f t="shared" si="10"/>
        <v>26</v>
      </c>
      <c r="AA18" s="17">
        <f t="shared" si="10"/>
        <v>6</v>
      </c>
      <c r="AB18" s="17">
        <f t="shared" si="10"/>
        <v>21</v>
      </c>
      <c r="AC18" s="17">
        <f t="shared" si="10"/>
        <v>523</v>
      </c>
      <c r="AD18" s="17">
        <f t="shared" si="10"/>
        <v>0</v>
      </c>
      <c r="AE18" s="31">
        <f t="shared" si="10"/>
        <v>774</v>
      </c>
      <c r="AF18" s="31">
        <f t="shared" si="10"/>
        <v>1297</v>
      </c>
    </row>
    <row r="19" spans="2:32" ht="23.1" customHeight="1" x14ac:dyDescent="0.25">
      <c r="B19" s="23" t="s">
        <v>46</v>
      </c>
      <c r="C19" s="50">
        <v>107</v>
      </c>
      <c r="D19" s="50">
        <v>8</v>
      </c>
      <c r="E19" s="50">
        <v>13</v>
      </c>
      <c r="F19" s="50">
        <v>45</v>
      </c>
      <c r="G19" s="50">
        <v>2</v>
      </c>
      <c r="H19" s="50">
        <v>1</v>
      </c>
      <c r="I19" s="50">
        <v>2</v>
      </c>
      <c r="J19" s="50">
        <v>5</v>
      </c>
      <c r="K19" s="50">
        <v>3</v>
      </c>
      <c r="L19" s="50">
        <v>2</v>
      </c>
      <c r="M19" s="50">
        <v>153</v>
      </c>
      <c r="N19" s="50">
        <v>0</v>
      </c>
      <c r="O19" s="15">
        <f t="shared" si="0"/>
        <v>188</v>
      </c>
      <c r="P19" s="15">
        <f t="shared" si="1"/>
        <v>341</v>
      </c>
      <c r="R19" s="1" t="s">
        <v>15</v>
      </c>
      <c r="S19" s="17">
        <f t="shared" ref="S19:AF19" si="11">SUM(C46:C49)</f>
        <v>455</v>
      </c>
      <c r="T19" s="17">
        <f t="shared" si="11"/>
        <v>67</v>
      </c>
      <c r="U19" s="17">
        <f t="shared" si="11"/>
        <v>52</v>
      </c>
      <c r="V19" s="17">
        <f t="shared" si="11"/>
        <v>125</v>
      </c>
      <c r="W19" s="17">
        <f t="shared" si="11"/>
        <v>6</v>
      </c>
      <c r="X19" s="17">
        <f t="shared" si="11"/>
        <v>2</v>
      </c>
      <c r="Y19" s="17">
        <f t="shared" si="11"/>
        <v>34</v>
      </c>
      <c r="Z19" s="17">
        <f t="shared" si="11"/>
        <v>35</v>
      </c>
      <c r="AA19" s="17">
        <f t="shared" si="11"/>
        <v>11</v>
      </c>
      <c r="AB19" s="17">
        <f t="shared" si="11"/>
        <v>14</v>
      </c>
      <c r="AC19" s="17">
        <f t="shared" si="11"/>
        <v>533</v>
      </c>
      <c r="AD19" s="17">
        <f t="shared" si="11"/>
        <v>0</v>
      </c>
      <c r="AE19" s="31">
        <f t="shared" si="11"/>
        <v>801</v>
      </c>
      <c r="AF19" s="31">
        <f t="shared" si="11"/>
        <v>1334</v>
      </c>
    </row>
    <row r="20" spans="2:32" ht="23.1" customHeight="1" x14ac:dyDescent="0.25">
      <c r="B20" s="23" t="s">
        <v>47</v>
      </c>
      <c r="C20" s="50">
        <v>78</v>
      </c>
      <c r="D20" s="50">
        <v>12</v>
      </c>
      <c r="E20" s="50">
        <v>10</v>
      </c>
      <c r="F20" s="50">
        <v>37</v>
      </c>
      <c r="G20" s="50">
        <v>1</v>
      </c>
      <c r="H20" s="50">
        <v>1</v>
      </c>
      <c r="I20" s="50">
        <v>6</v>
      </c>
      <c r="J20" s="50">
        <v>8</v>
      </c>
      <c r="K20" s="50">
        <v>2</v>
      </c>
      <c r="L20" s="50">
        <v>3</v>
      </c>
      <c r="M20" s="50">
        <v>128</v>
      </c>
      <c r="N20" s="50">
        <v>0</v>
      </c>
      <c r="O20" s="15">
        <f t="shared" si="0"/>
        <v>158</v>
      </c>
      <c r="P20" s="15">
        <f t="shared" si="1"/>
        <v>286</v>
      </c>
      <c r="R20" s="1" t="s">
        <v>16</v>
      </c>
      <c r="S20" s="17">
        <f t="shared" ref="S20:AF20" si="12">SUM(C50:C53)</f>
        <v>411</v>
      </c>
      <c r="T20" s="17">
        <f t="shared" si="12"/>
        <v>71</v>
      </c>
      <c r="U20" s="17">
        <f t="shared" si="12"/>
        <v>34</v>
      </c>
      <c r="V20" s="17">
        <f t="shared" si="12"/>
        <v>144</v>
      </c>
      <c r="W20" s="17">
        <f t="shared" si="12"/>
        <v>3</v>
      </c>
      <c r="X20" s="17">
        <f t="shared" si="12"/>
        <v>1</v>
      </c>
      <c r="Y20" s="17">
        <f t="shared" si="12"/>
        <v>34</v>
      </c>
      <c r="Z20" s="17">
        <f t="shared" si="12"/>
        <v>24</v>
      </c>
      <c r="AA20" s="17">
        <f t="shared" si="12"/>
        <v>10</v>
      </c>
      <c r="AB20" s="17">
        <f t="shared" si="12"/>
        <v>20</v>
      </c>
      <c r="AC20" s="17">
        <f t="shared" si="12"/>
        <v>531</v>
      </c>
      <c r="AD20" s="17">
        <f t="shared" si="12"/>
        <v>0</v>
      </c>
      <c r="AE20" s="31">
        <f t="shared" si="12"/>
        <v>752</v>
      </c>
      <c r="AF20" s="31">
        <f t="shared" si="12"/>
        <v>1283</v>
      </c>
    </row>
    <row r="21" spans="2:32" ht="23.1" customHeight="1" x14ac:dyDescent="0.25">
      <c r="B21" s="23" t="s">
        <v>48</v>
      </c>
      <c r="C21" s="50">
        <v>89</v>
      </c>
      <c r="D21" s="50">
        <v>15</v>
      </c>
      <c r="E21" s="50">
        <v>9</v>
      </c>
      <c r="F21" s="50">
        <v>27</v>
      </c>
      <c r="G21" s="50">
        <v>1</v>
      </c>
      <c r="H21" s="50">
        <v>0</v>
      </c>
      <c r="I21" s="50">
        <v>7</v>
      </c>
      <c r="J21" s="50">
        <v>10</v>
      </c>
      <c r="K21" s="50">
        <v>2</v>
      </c>
      <c r="L21" s="50">
        <v>2</v>
      </c>
      <c r="M21" s="50">
        <v>152</v>
      </c>
      <c r="N21" s="50">
        <v>0</v>
      </c>
      <c r="O21" s="15">
        <f t="shared" si="0"/>
        <v>162</v>
      </c>
      <c r="P21" s="15">
        <f t="shared" si="1"/>
        <v>314</v>
      </c>
      <c r="R21" s="36" t="s">
        <v>20</v>
      </c>
      <c r="S21" s="34">
        <f t="shared" ref="S21:AF21" si="13">SUM(C54:C57)</f>
        <v>451</v>
      </c>
      <c r="T21" s="17">
        <f t="shared" si="13"/>
        <v>81</v>
      </c>
      <c r="U21" s="17">
        <f t="shared" si="13"/>
        <v>33</v>
      </c>
      <c r="V21" s="17">
        <f t="shared" si="13"/>
        <v>160</v>
      </c>
      <c r="W21" s="17">
        <f t="shared" si="13"/>
        <v>10</v>
      </c>
      <c r="X21" s="17">
        <f t="shared" si="13"/>
        <v>6</v>
      </c>
      <c r="Y21" s="17">
        <f t="shared" si="13"/>
        <v>26</v>
      </c>
      <c r="Z21" s="17">
        <f t="shared" si="13"/>
        <v>26</v>
      </c>
      <c r="AA21" s="17">
        <f t="shared" si="13"/>
        <v>5</v>
      </c>
      <c r="AB21" s="17">
        <f t="shared" si="13"/>
        <v>11</v>
      </c>
      <c r="AC21" s="17">
        <f t="shared" si="13"/>
        <v>328</v>
      </c>
      <c r="AD21" s="17">
        <f t="shared" si="13"/>
        <v>0</v>
      </c>
      <c r="AE21" s="31">
        <f t="shared" si="13"/>
        <v>809</v>
      </c>
      <c r="AF21" s="31">
        <f t="shared" si="13"/>
        <v>1137</v>
      </c>
    </row>
    <row r="22" spans="2:32" ht="23.1" customHeight="1" x14ac:dyDescent="0.25">
      <c r="B22" s="23" t="s">
        <v>49</v>
      </c>
      <c r="C22" s="50">
        <v>84</v>
      </c>
      <c r="D22" s="50">
        <v>12</v>
      </c>
      <c r="E22" s="50">
        <v>7</v>
      </c>
      <c r="F22" s="50">
        <v>38</v>
      </c>
      <c r="G22" s="50">
        <v>0</v>
      </c>
      <c r="H22" s="50">
        <v>0</v>
      </c>
      <c r="I22" s="50">
        <v>6</v>
      </c>
      <c r="J22" s="50">
        <v>5</v>
      </c>
      <c r="K22" s="50">
        <v>3</v>
      </c>
      <c r="L22" s="50">
        <v>3</v>
      </c>
      <c r="M22" s="50">
        <v>161</v>
      </c>
      <c r="N22" s="50">
        <v>0</v>
      </c>
      <c r="O22" s="15">
        <f t="shared" si="0"/>
        <v>158</v>
      </c>
      <c r="P22" s="15">
        <f t="shared" si="1"/>
        <v>319</v>
      </c>
      <c r="R22" s="38" t="s">
        <v>90</v>
      </c>
      <c r="S22" s="39">
        <f>MAX(S10:S12)</f>
        <v>341</v>
      </c>
      <c r="T22" s="39">
        <f t="shared" ref="T22:AF22" si="14">MAX(T10:T12)</f>
        <v>47</v>
      </c>
      <c r="U22" s="39">
        <f t="shared" si="14"/>
        <v>39</v>
      </c>
      <c r="V22" s="39">
        <f t="shared" si="14"/>
        <v>169</v>
      </c>
      <c r="W22" s="39">
        <f t="shared" si="14"/>
        <v>21</v>
      </c>
      <c r="X22" s="39">
        <f t="shared" si="14"/>
        <v>3</v>
      </c>
      <c r="Y22" s="39">
        <f t="shared" si="14"/>
        <v>36</v>
      </c>
      <c r="Z22" s="39">
        <f t="shared" si="14"/>
        <v>42</v>
      </c>
      <c r="AA22" s="39">
        <f t="shared" si="14"/>
        <v>14</v>
      </c>
      <c r="AB22" s="39">
        <f t="shared" si="14"/>
        <v>12</v>
      </c>
      <c r="AC22" s="39">
        <f t="shared" si="14"/>
        <v>589</v>
      </c>
      <c r="AD22" s="39">
        <f t="shared" si="14"/>
        <v>0</v>
      </c>
      <c r="AE22" s="40">
        <f t="shared" si="14"/>
        <v>670</v>
      </c>
      <c r="AF22" s="40">
        <f t="shared" si="14"/>
        <v>1259</v>
      </c>
    </row>
    <row r="23" spans="2:32" ht="23.1" customHeight="1" x14ac:dyDescent="0.25">
      <c r="B23" s="23" t="s">
        <v>50</v>
      </c>
      <c r="C23" s="50">
        <v>78</v>
      </c>
      <c r="D23" s="50">
        <v>16</v>
      </c>
      <c r="E23" s="50">
        <v>8</v>
      </c>
      <c r="F23" s="50">
        <v>38</v>
      </c>
      <c r="G23" s="50">
        <v>1</v>
      </c>
      <c r="H23" s="50">
        <v>2</v>
      </c>
      <c r="I23" s="50">
        <v>7</v>
      </c>
      <c r="J23" s="50">
        <v>17</v>
      </c>
      <c r="K23" s="50">
        <v>2</v>
      </c>
      <c r="L23" s="50">
        <v>4</v>
      </c>
      <c r="M23" s="50">
        <v>141</v>
      </c>
      <c r="N23" s="50">
        <v>0</v>
      </c>
      <c r="O23" s="15">
        <f t="shared" si="0"/>
        <v>173</v>
      </c>
      <c r="P23" s="15">
        <f t="shared" si="1"/>
        <v>314</v>
      </c>
      <c r="R23" s="38" t="s">
        <v>91</v>
      </c>
      <c r="S23" s="39">
        <f>MAX(S13:S18)</f>
        <v>421</v>
      </c>
      <c r="T23" s="39">
        <f t="shared" ref="T23:AF23" si="15">MAX(T13:T18)</f>
        <v>81</v>
      </c>
      <c r="U23" s="39">
        <f t="shared" si="15"/>
        <v>51</v>
      </c>
      <c r="V23" s="39">
        <f t="shared" si="15"/>
        <v>149</v>
      </c>
      <c r="W23" s="39">
        <f t="shared" si="15"/>
        <v>5</v>
      </c>
      <c r="X23" s="39">
        <f t="shared" si="15"/>
        <v>4</v>
      </c>
      <c r="Y23" s="39">
        <f t="shared" si="15"/>
        <v>38</v>
      </c>
      <c r="Z23" s="39">
        <f t="shared" si="15"/>
        <v>44</v>
      </c>
      <c r="AA23" s="39">
        <f t="shared" si="15"/>
        <v>21</v>
      </c>
      <c r="AB23" s="39">
        <f t="shared" si="15"/>
        <v>21</v>
      </c>
      <c r="AC23" s="39">
        <f t="shared" si="15"/>
        <v>626</v>
      </c>
      <c r="AD23" s="39">
        <f t="shared" si="15"/>
        <v>0</v>
      </c>
      <c r="AE23" s="40">
        <f t="shared" si="15"/>
        <v>774</v>
      </c>
      <c r="AF23" s="40">
        <f t="shared" si="15"/>
        <v>1297</v>
      </c>
    </row>
    <row r="24" spans="2:32" ht="23.1" customHeight="1" x14ac:dyDescent="0.25">
      <c r="B24" s="23" t="s">
        <v>51</v>
      </c>
      <c r="C24" s="50">
        <v>101</v>
      </c>
      <c r="D24" s="50">
        <v>17</v>
      </c>
      <c r="E24" s="50">
        <v>7</v>
      </c>
      <c r="F24" s="50">
        <v>33</v>
      </c>
      <c r="G24" s="50">
        <v>0</v>
      </c>
      <c r="H24" s="50">
        <v>0</v>
      </c>
      <c r="I24" s="50">
        <v>14</v>
      </c>
      <c r="J24" s="50">
        <v>7</v>
      </c>
      <c r="K24" s="50">
        <v>6</v>
      </c>
      <c r="L24" s="50">
        <v>2</v>
      </c>
      <c r="M24" s="50">
        <v>177</v>
      </c>
      <c r="N24" s="50">
        <v>0</v>
      </c>
      <c r="O24" s="15">
        <f t="shared" si="0"/>
        <v>187</v>
      </c>
      <c r="P24" s="15">
        <f t="shared" si="1"/>
        <v>364</v>
      </c>
      <c r="R24" s="38" t="s">
        <v>92</v>
      </c>
      <c r="S24" s="39">
        <f>MAX(S19:S21)</f>
        <v>455</v>
      </c>
      <c r="T24" s="39">
        <f t="shared" ref="T24:AF24" si="16">MAX(T19:T21)</f>
        <v>81</v>
      </c>
      <c r="U24" s="39">
        <f t="shared" si="16"/>
        <v>52</v>
      </c>
      <c r="V24" s="39">
        <f t="shared" si="16"/>
        <v>160</v>
      </c>
      <c r="W24" s="39">
        <f t="shared" si="16"/>
        <v>10</v>
      </c>
      <c r="X24" s="39">
        <f t="shared" si="16"/>
        <v>6</v>
      </c>
      <c r="Y24" s="39">
        <f t="shared" si="16"/>
        <v>34</v>
      </c>
      <c r="Z24" s="39">
        <f t="shared" si="16"/>
        <v>35</v>
      </c>
      <c r="AA24" s="39">
        <f t="shared" si="16"/>
        <v>11</v>
      </c>
      <c r="AB24" s="39">
        <f t="shared" si="16"/>
        <v>20</v>
      </c>
      <c r="AC24" s="39">
        <f t="shared" si="16"/>
        <v>533</v>
      </c>
      <c r="AD24" s="39">
        <f t="shared" si="16"/>
        <v>0</v>
      </c>
      <c r="AE24" s="40">
        <f t="shared" si="16"/>
        <v>809</v>
      </c>
      <c r="AF24" s="40">
        <f t="shared" si="16"/>
        <v>1334</v>
      </c>
    </row>
    <row r="25" spans="2:32" ht="23.1" customHeight="1" x14ac:dyDescent="0.25">
      <c r="B25" s="23" t="s">
        <v>52</v>
      </c>
      <c r="C25" s="50">
        <v>64</v>
      </c>
      <c r="D25" s="50">
        <v>16</v>
      </c>
      <c r="E25" s="50">
        <v>11</v>
      </c>
      <c r="F25" s="50">
        <v>38</v>
      </c>
      <c r="G25" s="50">
        <v>0</v>
      </c>
      <c r="H25" s="50">
        <v>0</v>
      </c>
      <c r="I25" s="50">
        <v>5</v>
      </c>
      <c r="J25" s="50">
        <v>6</v>
      </c>
      <c r="K25" s="50">
        <v>6</v>
      </c>
      <c r="L25" s="50">
        <v>2</v>
      </c>
      <c r="M25" s="50">
        <v>147</v>
      </c>
      <c r="N25" s="50">
        <v>0</v>
      </c>
      <c r="O25" s="15">
        <f t="shared" si="0"/>
        <v>148</v>
      </c>
      <c r="P25" s="15">
        <f t="shared" si="1"/>
        <v>295</v>
      </c>
      <c r="R25" s="37" t="s">
        <v>85</v>
      </c>
      <c r="S25" s="35">
        <f t="shared" ref="S25:AF25" si="17">SUM(S10:S12)</f>
        <v>736</v>
      </c>
      <c r="T25" s="16">
        <f t="shared" si="17"/>
        <v>107</v>
      </c>
      <c r="U25" s="16">
        <f t="shared" si="17"/>
        <v>78</v>
      </c>
      <c r="V25" s="16">
        <f t="shared" si="17"/>
        <v>436</v>
      </c>
      <c r="W25" s="16">
        <f t="shared" si="17"/>
        <v>52</v>
      </c>
      <c r="X25" s="16">
        <f t="shared" si="17"/>
        <v>7</v>
      </c>
      <c r="Y25" s="16">
        <f t="shared" si="17"/>
        <v>82</v>
      </c>
      <c r="Z25" s="16">
        <f t="shared" si="17"/>
        <v>110</v>
      </c>
      <c r="AA25" s="16">
        <f t="shared" si="17"/>
        <v>32</v>
      </c>
      <c r="AB25" s="16">
        <f t="shared" si="17"/>
        <v>23</v>
      </c>
      <c r="AC25" s="16">
        <f t="shared" si="17"/>
        <v>1598</v>
      </c>
      <c r="AD25" s="16">
        <f t="shared" si="17"/>
        <v>0</v>
      </c>
      <c r="AE25" s="32">
        <f t="shared" si="17"/>
        <v>1663</v>
      </c>
      <c r="AF25" s="32">
        <f t="shared" si="17"/>
        <v>3261</v>
      </c>
    </row>
    <row r="26" spans="2:32" ht="23.1" customHeight="1" x14ac:dyDescent="0.25">
      <c r="B26" s="23" t="s">
        <v>53</v>
      </c>
      <c r="C26" s="50">
        <v>91</v>
      </c>
      <c r="D26" s="50">
        <v>14</v>
      </c>
      <c r="E26" s="50">
        <v>8</v>
      </c>
      <c r="F26" s="50">
        <v>47</v>
      </c>
      <c r="G26" s="50">
        <v>2</v>
      </c>
      <c r="H26" s="50">
        <v>0</v>
      </c>
      <c r="I26" s="50">
        <v>9</v>
      </c>
      <c r="J26" s="50">
        <v>14</v>
      </c>
      <c r="K26" s="50">
        <v>6</v>
      </c>
      <c r="L26" s="50">
        <v>8</v>
      </c>
      <c r="M26" s="50">
        <v>71</v>
      </c>
      <c r="N26" s="50">
        <v>0</v>
      </c>
      <c r="O26" s="15">
        <f t="shared" si="0"/>
        <v>199</v>
      </c>
      <c r="P26" s="15">
        <f t="shared" si="1"/>
        <v>270</v>
      </c>
      <c r="R26" s="28" t="s">
        <v>86</v>
      </c>
      <c r="S26" s="16">
        <f t="shared" ref="S26:AF26" si="18">SUM(S13:S18)</f>
        <v>2174</v>
      </c>
      <c r="T26" s="16">
        <f t="shared" si="18"/>
        <v>399</v>
      </c>
      <c r="U26" s="16">
        <f t="shared" si="18"/>
        <v>203</v>
      </c>
      <c r="V26" s="16">
        <f t="shared" si="18"/>
        <v>819</v>
      </c>
      <c r="W26" s="16">
        <f t="shared" si="18"/>
        <v>19</v>
      </c>
      <c r="X26" s="16">
        <f t="shared" si="18"/>
        <v>8</v>
      </c>
      <c r="Y26" s="16">
        <f t="shared" si="18"/>
        <v>200</v>
      </c>
      <c r="Z26" s="16">
        <f t="shared" si="18"/>
        <v>203</v>
      </c>
      <c r="AA26" s="16">
        <f t="shared" si="18"/>
        <v>69</v>
      </c>
      <c r="AB26" s="16">
        <f t="shared" si="18"/>
        <v>96</v>
      </c>
      <c r="AC26" s="16">
        <f t="shared" si="18"/>
        <v>3296</v>
      </c>
      <c r="AD26" s="16">
        <f t="shared" si="18"/>
        <v>0</v>
      </c>
      <c r="AE26" s="32">
        <f t="shared" si="18"/>
        <v>4190</v>
      </c>
      <c r="AF26" s="32">
        <f t="shared" si="18"/>
        <v>7486</v>
      </c>
    </row>
    <row r="27" spans="2:32" ht="23.1" customHeight="1" x14ac:dyDescent="0.25">
      <c r="B27" s="23" t="s">
        <v>54</v>
      </c>
      <c r="C27" s="50">
        <v>68</v>
      </c>
      <c r="D27" s="50">
        <v>13</v>
      </c>
      <c r="E27" s="50">
        <v>12</v>
      </c>
      <c r="F27" s="50">
        <v>28</v>
      </c>
      <c r="G27" s="50">
        <v>0</v>
      </c>
      <c r="H27" s="50">
        <v>0</v>
      </c>
      <c r="I27" s="50">
        <v>6</v>
      </c>
      <c r="J27" s="50">
        <v>11</v>
      </c>
      <c r="K27" s="50">
        <v>2</v>
      </c>
      <c r="L27" s="50">
        <v>4</v>
      </c>
      <c r="M27" s="50">
        <v>121</v>
      </c>
      <c r="N27" s="50">
        <v>0</v>
      </c>
      <c r="O27" s="15">
        <f t="shared" si="0"/>
        <v>144</v>
      </c>
      <c r="P27" s="15">
        <f t="shared" si="1"/>
        <v>265</v>
      </c>
      <c r="R27" s="29" t="s">
        <v>87</v>
      </c>
      <c r="S27" s="16">
        <f t="shared" ref="S27:AF27" si="19">SUM(S19:S21)</f>
        <v>1317</v>
      </c>
      <c r="T27" s="16">
        <f t="shared" si="19"/>
        <v>219</v>
      </c>
      <c r="U27" s="16">
        <f t="shared" si="19"/>
        <v>119</v>
      </c>
      <c r="V27" s="16">
        <f t="shared" si="19"/>
        <v>429</v>
      </c>
      <c r="W27" s="16">
        <f t="shared" si="19"/>
        <v>19</v>
      </c>
      <c r="X27" s="16">
        <f t="shared" si="19"/>
        <v>9</v>
      </c>
      <c r="Y27" s="16">
        <f t="shared" si="19"/>
        <v>94</v>
      </c>
      <c r="Z27" s="16">
        <f t="shared" si="19"/>
        <v>85</v>
      </c>
      <c r="AA27" s="16">
        <f t="shared" si="19"/>
        <v>26</v>
      </c>
      <c r="AB27" s="16">
        <f t="shared" si="19"/>
        <v>45</v>
      </c>
      <c r="AC27" s="16">
        <f t="shared" si="19"/>
        <v>1392</v>
      </c>
      <c r="AD27" s="16">
        <f t="shared" si="19"/>
        <v>0</v>
      </c>
      <c r="AE27" s="32">
        <f t="shared" si="19"/>
        <v>2362</v>
      </c>
      <c r="AF27" s="32">
        <f t="shared" si="19"/>
        <v>3754</v>
      </c>
    </row>
    <row r="28" spans="2:32" ht="23.1" customHeight="1" x14ac:dyDescent="0.25">
      <c r="B28" s="23" t="s">
        <v>55</v>
      </c>
      <c r="C28" s="50">
        <v>87</v>
      </c>
      <c r="D28" s="50">
        <v>16</v>
      </c>
      <c r="E28" s="50">
        <v>6</v>
      </c>
      <c r="F28" s="50">
        <v>31</v>
      </c>
      <c r="G28" s="50">
        <v>0</v>
      </c>
      <c r="H28" s="50">
        <v>0</v>
      </c>
      <c r="I28" s="50">
        <v>9</v>
      </c>
      <c r="J28" s="50">
        <v>5</v>
      </c>
      <c r="K28" s="50">
        <v>2</v>
      </c>
      <c r="L28" s="50">
        <v>3</v>
      </c>
      <c r="M28" s="50">
        <v>140</v>
      </c>
      <c r="N28" s="50">
        <v>0</v>
      </c>
      <c r="O28" s="15">
        <f t="shared" si="0"/>
        <v>159</v>
      </c>
      <c r="P28" s="15">
        <f t="shared" si="1"/>
        <v>299</v>
      </c>
      <c r="R28" s="5" t="s">
        <v>17</v>
      </c>
      <c r="S28" s="16">
        <f t="shared" ref="S28:AF28" si="20">SUM(S10:S21)</f>
        <v>4227</v>
      </c>
      <c r="T28" s="16">
        <f t="shared" si="20"/>
        <v>725</v>
      </c>
      <c r="U28" s="16">
        <f t="shared" si="20"/>
        <v>400</v>
      </c>
      <c r="V28" s="16">
        <f t="shared" si="20"/>
        <v>1684</v>
      </c>
      <c r="W28" s="16">
        <f t="shared" si="20"/>
        <v>90</v>
      </c>
      <c r="X28" s="16">
        <f t="shared" si="20"/>
        <v>24</v>
      </c>
      <c r="Y28" s="16">
        <f t="shared" si="20"/>
        <v>376</v>
      </c>
      <c r="Z28" s="16">
        <f t="shared" si="20"/>
        <v>398</v>
      </c>
      <c r="AA28" s="16">
        <f t="shared" si="20"/>
        <v>127</v>
      </c>
      <c r="AB28" s="16">
        <f t="shared" si="20"/>
        <v>164</v>
      </c>
      <c r="AC28" s="16">
        <f t="shared" si="20"/>
        <v>6286</v>
      </c>
      <c r="AD28" s="16">
        <f t="shared" si="20"/>
        <v>0</v>
      </c>
      <c r="AE28" s="32">
        <f t="shared" si="20"/>
        <v>8215</v>
      </c>
      <c r="AF28" s="32">
        <f t="shared" si="20"/>
        <v>14501</v>
      </c>
    </row>
    <row r="29" spans="2:32" ht="23.1" customHeight="1" x14ac:dyDescent="0.25">
      <c r="B29" s="23" t="s">
        <v>56</v>
      </c>
      <c r="C29" s="50">
        <v>81</v>
      </c>
      <c r="D29" s="50">
        <v>18</v>
      </c>
      <c r="E29" s="50">
        <v>5</v>
      </c>
      <c r="F29" s="50">
        <v>43</v>
      </c>
      <c r="G29" s="50">
        <v>0</v>
      </c>
      <c r="H29" s="50">
        <v>0</v>
      </c>
      <c r="I29" s="50">
        <v>11</v>
      </c>
      <c r="J29" s="50">
        <v>9</v>
      </c>
      <c r="K29" s="50">
        <v>1</v>
      </c>
      <c r="L29" s="50">
        <v>5</v>
      </c>
      <c r="M29" s="50">
        <v>140</v>
      </c>
      <c r="N29" s="50">
        <v>0</v>
      </c>
      <c r="O29" s="15">
        <f t="shared" si="0"/>
        <v>173</v>
      </c>
      <c r="P29" s="15">
        <f t="shared" si="1"/>
        <v>313</v>
      </c>
      <c r="R29"/>
      <c r="S29" s="20"/>
      <c r="T29" s="19"/>
    </row>
    <row r="30" spans="2:32" ht="23.1" customHeight="1" x14ac:dyDescent="0.25">
      <c r="B30" s="23" t="s">
        <v>57</v>
      </c>
      <c r="C30" s="50">
        <v>91</v>
      </c>
      <c r="D30" s="50">
        <v>9</v>
      </c>
      <c r="E30" s="50">
        <v>2</v>
      </c>
      <c r="F30" s="50">
        <v>38</v>
      </c>
      <c r="G30" s="50">
        <v>2</v>
      </c>
      <c r="H30" s="50">
        <v>1</v>
      </c>
      <c r="I30" s="50">
        <v>10</v>
      </c>
      <c r="J30" s="50">
        <v>5</v>
      </c>
      <c r="K30" s="50">
        <v>2</v>
      </c>
      <c r="L30" s="50">
        <v>1</v>
      </c>
      <c r="M30" s="50">
        <v>164</v>
      </c>
      <c r="N30" s="50">
        <v>0</v>
      </c>
      <c r="O30" s="15">
        <f t="shared" si="0"/>
        <v>161</v>
      </c>
      <c r="P30" s="15">
        <f t="shared" si="1"/>
        <v>325</v>
      </c>
    </row>
    <row r="31" spans="2:32" ht="23.1" customHeight="1" x14ac:dyDescent="0.25">
      <c r="B31" s="24" t="s">
        <v>58</v>
      </c>
      <c r="C31" s="50">
        <v>100</v>
      </c>
      <c r="D31" s="50">
        <v>10</v>
      </c>
      <c r="E31" s="50">
        <v>8</v>
      </c>
      <c r="F31" s="50">
        <v>28</v>
      </c>
      <c r="G31" s="50">
        <v>1</v>
      </c>
      <c r="H31" s="50">
        <v>0</v>
      </c>
      <c r="I31" s="50">
        <v>6</v>
      </c>
      <c r="J31" s="50">
        <v>8</v>
      </c>
      <c r="K31" s="50">
        <v>1</v>
      </c>
      <c r="L31" s="50">
        <v>4</v>
      </c>
      <c r="M31" s="50">
        <v>125</v>
      </c>
      <c r="N31" s="50">
        <v>0</v>
      </c>
      <c r="O31" s="15">
        <f t="shared" si="0"/>
        <v>166</v>
      </c>
      <c r="P31" s="15">
        <f t="shared" si="1"/>
        <v>291</v>
      </c>
    </row>
    <row r="32" spans="2:32" ht="23.1" customHeight="1" x14ac:dyDescent="0.25">
      <c r="B32" s="24" t="s">
        <v>59</v>
      </c>
      <c r="C32" s="50">
        <v>102</v>
      </c>
      <c r="D32" s="50">
        <v>16</v>
      </c>
      <c r="E32" s="50">
        <v>13</v>
      </c>
      <c r="F32" s="50">
        <v>38</v>
      </c>
      <c r="G32" s="50">
        <v>1</v>
      </c>
      <c r="H32" s="50">
        <v>0</v>
      </c>
      <c r="I32" s="50">
        <v>9</v>
      </c>
      <c r="J32" s="50">
        <v>6</v>
      </c>
      <c r="K32" s="50">
        <v>2</v>
      </c>
      <c r="L32" s="50">
        <v>6</v>
      </c>
      <c r="M32" s="50">
        <v>151</v>
      </c>
      <c r="N32" s="50">
        <v>0</v>
      </c>
      <c r="O32" s="15">
        <f t="shared" si="0"/>
        <v>193</v>
      </c>
      <c r="P32" s="15">
        <f t="shared" si="1"/>
        <v>344</v>
      </c>
    </row>
    <row r="33" spans="2:20" ht="23.1" customHeight="1" x14ac:dyDescent="0.25">
      <c r="B33" s="23" t="s">
        <v>60</v>
      </c>
      <c r="C33" s="50">
        <v>92</v>
      </c>
      <c r="D33" s="50">
        <v>20</v>
      </c>
      <c r="E33" s="50">
        <v>4</v>
      </c>
      <c r="F33" s="50">
        <v>25</v>
      </c>
      <c r="G33" s="50">
        <v>1</v>
      </c>
      <c r="H33" s="50">
        <v>0</v>
      </c>
      <c r="I33" s="50">
        <v>10</v>
      </c>
      <c r="J33" s="50">
        <v>9</v>
      </c>
      <c r="K33" s="50">
        <v>1</v>
      </c>
      <c r="L33" s="50">
        <v>3</v>
      </c>
      <c r="M33" s="50">
        <v>131</v>
      </c>
      <c r="N33" s="50">
        <v>0</v>
      </c>
      <c r="O33" s="15">
        <f t="shared" si="0"/>
        <v>165</v>
      </c>
      <c r="P33" s="15">
        <f t="shared" si="1"/>
        <v>296</v>
      </c>
    </row>
    <row r="34" spans="2:20" ht="23.1" customHeight="1" x14ac:dyDescent="0.25">
      <c r="B34" s="24" t="s">
        <v>61</v>
      </c>
      <c r="C34" s="50">
        <v>78</v>
      </c>
      <c r="D34" s="50">
        <v>16</v>
      </c>
      <c r="E34" s="50">
        <v>8</v>
      </c>
      <c r="F34" s="50">
        <v>38</v>
      </c>
      <c r="G34" s="50">
        <v>1</v>
      </c>
      <c r="H34" s="50">
        <v>0</v>
      </c>
      <c r="I34" s="50">
        <v>10</v>
      </c>
      <c r="J34" s="50">
        <v>12</v>
      </c>
      <c r="K34" s="50">
        <v>1</v>
      </c>
      <c r="L34" s="50">
        <v>3</v>
      </c>
      <c r="M34" s="50">
        <v>141</v>
      </c>
      <c r="N34" s="50">
        <v>0</v>
      </c>
      <c r="O34" s="15">
        <f t="shared" si="0"/>
        <v>167</v>
      </c>
      <c r="P34" s="15">
        <f t="shared" si="1"/>
        <v>308</v>
      </c>
    </row>
    <row r="35" spans="2:20" ht="23.1" customHeight="1" x14ac:dyDescent="0.25">
      <c r="B35" s="24" t="s">
        <v>62</v>
      </c>
      <c r="C35" s="50">
        <v>85</v>
      </c>
      <c r="D35" s="50">
        <v>21</v>
      </c>
      <c r="E35" s="50">
        <v>7</v>
      </c>
      <c r="F35" s="50">
        <v>28</v>
      </c>
      <c r="G35" s="50">
        <v>0</v>
      </c>
      <c r="H35" s="50">
        <v>2</v>
      </c>
      <c r="I35" s="50">
        <v>7</v>
      </c>
      <c r="J35" s="50">
        <v>8</v>
      </c>
      <c r="K35" s="50">
        <v>1</v>
      </c>
      <c r="L35" s="50">
        <v>5</v>
      </c>
      <c r="M35" s="50">
        <v>151</v>
      </c>
      <c r="N35" s="50">
        <v>0</v>
      </c>
      <c r="O35" s="15">
        <f t="shared" si="0"/>
        <v>164</v>
      </c>
      <c r="P35" s="15">
        <f t="shared" si="1"/>
        <v>315</v>
      </c>
    </row>
    <row r="36" spans="2:20" ht="23.1" customHeight="1" x14ac:dyDescent="0.25">
      <c r="B36" s="24" t="s">
        <v>63</v>
      </c>
      <c r="C36" s="50">
        <v>74</v>
      </c>
      <c r="D36" s="50">
        <v>21</v>
      </c>
      <c r="E36" s="50">
        <v>14</v>
      </c>
      <c r="F36" s="50">
        <v>34</v>
      </c>
      <c r="G36" s="50">
        <v>2</v>
      </c>
      <c r="H36" s="50">
        <v>0</v>
      </c>
      <c r="I36" s="50">
        <v>8</v>
      </c>
      <c r="J36" s="50">
        <v>4</v>
      </c>
      <c r="K36" s="50">
        <v>3</v>
      </c>
      <c r="L36" s="50">
        <v>4</v>
      </c>
      <c r="M36" s="50">
        <v>125</v>
      </c>
      <c r="N36" s="50">
        <v>0</v>
      </c>
      <c r="O36" s="15">
        <f t="shared" si="0"/>
        <v>164</v>
      </c>
      <c r="P36" s="15">
        <f t="shared" si="1"/>
        <v>289</v>
      </c>
    </row>
    <row r="37" spans="2:20" ht="23.1" customHeight="1" x14ac:dyDescent="0.25">
      <c r="B37" s="23" t="s">
        <v>64</v>
      </c>
      <c r="C37" s="50">
        <v>87</v>
      </c>
      <c r="D37" s="50">
        <v>11</v>
      </c>
      <c r="E37" s="50">
        <v>5</v>
      </c>
      <c r="F37" s="50">
        <v>37</v>
      </c>
      <c r="G37" s="50">
        <v>1</v>
      </c>
      <c r="H37" s="50">
        <v>2</v>
      </c>
      <c r="I37" s="50">
        <v>5</v>
      </c>
      <c r="J37" s="50">
        <v>7</v>
      </c>
      <c r="K37" s="50">
        <v>3</v>
      </c>
      <c r="L37" s="50">
        <v>6</v>
      </c>
      <c r="M37" s="50">
        <v>153</v>
      </c>
      <c r="N37" s="50">
        <v>0</v>
      </c>
      <c r="O37" s="15">
        <f t="shared" si="0"/>
        <v>164</v>
      </c>
      <c r="P37" s="15">
        <f t="shared" si="1"/>
        <v>317</v>
      </c>
    </row>
    <row r="38" spans="2:20" ht="23.1" customHeight="1" x14ac:dyDescent="0.25">
      <c r="B38" s="24" t="s">
        <v>65</v>
      </c>
      <c r="C38" s="50">
        <v>92</v>
      </c>
      <c r="D38" s="50">
        <v>13</v>
      </c>
      <c r="E38" s="50">
        <v>8</v>
      </c>
      <c r="F38" s="50">
        <v>26</v>
      </c>
      <c r="G38" s="50">
        <v>0</v>
      </c>
      <c r="H38" s="50">
        <v>0</v>
      </c>
      <c r="I38" s="50">
        <v>11</v>
      </c>
      <c r="J38" s="50">
        <v>12</v>
      </c>
      <c r="K38" s="50">
        <v>6</v>
      </c>
      <c r="L38" s="50">
        <v>1</v>
      </c>
      <c r="M38" s="50">
        <v>173</v>
      </c>
      <c r="N38" s="50">
        <v>0</v>
      </c>
      <c r="O38" s="15">
        <f t="shared" si="0"/>
        <v>169</v>
      </c>
      <c r="P38" s="15">
        <f t="shared" si="1"/>
        <v>342</v>
      </c>
    </row>
    <row r="39" spans="2:20" ht="23.1" customHeight="1" x14ac:dyDescent="0.25">
      <c r="B39" s="24" t="s">
        <v>66</v>
      </c>
      <c r="C39" s="50">
        <v>83</v>
      </c>
      <c r="D39" s="50">
        <v>15</v>
      </c>
      <c r="E39" s="50">
        <v>2</v>
      </c>
      <c r="F39" s="50">
        <v>26</v>
      </c>
      <c r="G39" s="50">
        <v>0</v>
      </c>
      <c r="H39" s="50">
        <v>0</v>
      </c>
      <c r="I39" s="50">
        <v>7</v>
      </c>
      <c r="J39" s="50">
        <v>7</v>
      </c>
      <c r="K39" s="50">
        <v>9</v>
      </c>
      <c r="L39" s="50">
        <v>3</v>
      </c>
      <c r="M39" s="50">
        <v>124</v>
      </c>
      <c r="N39" s="50">
        <v>0</v>
      </c>
      <c r="O39" s="15">
        <f t="shared" si="0"/>
        <v>152</v>
      </c>
      <c r="P39" s="15">
        <f t="shared" si="1"/>
        <v>276</v>
      </c>
    </row>
    <row r="40" spans="2:20" ht="23.1" customHeight="1" x14ac:dyDescent="0.25">
      <c r="B40" s="24" t="s">
        <v>67</v>
      </c>
      <c r="C40" s="50">
        <v>95</v>
      </c>
      <c r="D40" s="50">
        <v>21</v>
      </c>
      <c r="E40" s="50">
        <v>7</v>
      </c>
      <c r="F40" s="50">
        <v>37</v>
      </c>
      <c r="G40" s="50">
        <v>3</v>
      </c>
      <c r="H40" s="50">
        <v>0</v>
      </c>
      <c r="I40" s="50">
        <v>9</v>
      </c>
      <c r="J40" s="50">
        <v>10</v>
      </c>
      <c r="K40" s="50">
        <v>4</v>
      </c>
      <c r="L40" s="50">
        <v>5</v>
      </c>
      <c r="M40" s="50">
        <v>118</v>
      </c>
      <c r="N40" s="50">
        <v>0</v>
      </c>
      <c r="O40" s="15">
        <f t="shared" si="0"/>
        <v>191</v>
      </c>
      <c r="P40" s="15">
        <f t="shared" si="1"/>
        <v>309</v>
      </c>
    </row>
    <row r="41" spans="2:20" ht="23.1" customHeight="1" x14ac:dyDescent="0.25">
      <c r="B41" s="23" t="s">
        <v>68</v>
      </c>
      <c r="C41" s="50">
        <v>120</v>
      </c>
      <c r="D41" s="50">
        <v>23</v>
      </c>
      <c r="E41" s="50">
        <v>10</v>
      </c>
      <c r="F41" s="50">
        <v>35</v>
      </c>
      <c r="G41" s="50">
        <v>0</v>
      </c>
      <c r="H41" s="50">
        <v>0</v>
      </c>
      <c r="I41" s="50">
        <v>11</v>
      </c>
      <c r="J41" s="50">
        <v>15</v>
      </c>
      <c r="K41" s="50">
        <v>2</v>
      </c>
      <c r="L41" s="50">
        <v>3</v>
      </c>
      <c r="M41" s="50">
        <v>119</v>
      </c>
      <c r="N41" s="50">
        <v>0</v>
      </c>
      <c r="O41" s="15">
        <f t="shared" si="0"/>
        <v>219</v>
      </c>
      <c r="P41" s="15">
        <f t="shared" si="1"/>
        <v>338</v>
      </c>
    </row>
    <row r="42" spans="2:20" ht="23.1" customHeight="1" x14ac:dyDescent="0.25">
      <c r="B42" s="24" t="s">
        <v>69</v>
      </c>
      <c r="C42" s="50">
        <v>107</v>
      </c>
      <c r="D42" s="50">
        <v>21</v>
      </c>
      <c r="E42" s="50">
        <v>10</v>
      </c>
      <c r="F42" s="50">
        <v>31</v>
      </c>
      <c r="G42" s="50">
        <v>2</v>
      </c>
      <c r="H42" s="50">
        <v>0</v>
      </c>
      <c r="I42" s="50">
        <v>10</v>
      </c>
      <c r="J42" s="50">
        <v>7</v>
      </c>
      <c r="K42" s="50">
        <v>3</v>
      </c>
      <c r="L42" s="50">
        <v>5</v>
      </c>
      <c r="M42" s="50">
        <v>122</v>
      </c>
      <c r="N42" s="50">
        <v>0</v>
      </c>
      <c r="O42" s="15">
        <f t="shared" si="0"/>
        <v>196</v>
      </c>
      <c r="P42" s="15">
        <f t="shared" si="1"/>
        <v>318</v>
      </c>
    </row>
    <row r="43" spans="2:20" ht="23.1" customHeight="1" x14ac:dyDescent="0.25">
      <c r="B43" s="23" t="s">
        <v>70</v>
      </c>
      <c r="C43" s="50">
        <v>101</v>
      </c>
      <c r="D43" s="50">
        <v>21</v>
      </c>
      <c r="E43" s="50">
        <v>12</v>
      </c>
      <c r="F43" s="50">
        <v>32</v>
      </c>
      <c r="G43" s="50">
        <v>1</v>
      </c>
      <c r="H43" s="50">
        <v>1</v>
      </c>
      <c r="I43" s="50">
        <v>10</v>
      </c>
      <c r="J43" s="50">
        <v>2</v>
      </c>
      <c r="K43" s="50">
        <v>3</v>
      </c>
      <c r="L43" s="50">
        <v>2</v>
      </c>
      <c r="M43" s="50">
        <v>122</v>
      </c>
      <c r="N43" s="50">
        <v>0</v>
      </c>
      <c r="O43" s="15">
        <f t="shared" si="0"/>
        <v>185</v>
      </c>
      <c r="P43" s="15">
        <f t="shared" si="1"/>
        <v>307</v>
      </c>
    </row>
    <row r="44" spans="2:20" ht="23.1" customHeight="1" x14ac:dyDescent="0.25">
      <c r="B44" s="25" t="s">
        <v>71</v>
      </c>
      <c r="C44" s="50">
        <v>101</v>
      </c>
      <c r="D44" s="50">
        <v>19</v>
      </c>
      <c r="E44" s="50">
        <v>12</v>
      </c>
      <c r="F44" s="50">
        <v>35</v>
      </c>
      <c r="G44" s="50">
        <v>1</v>
      </c>
      <c r="H44" s="50">
        <v>0</v>
      </c>
      <c r="I44" s="50">
        <v>6</v>
      </c>
      <c r="J44" s="50">
        <v>3</v>
      </c>
      <c r="K44" s="50">
        <v>0</v>
      </c>
      <c r="L44" s="50">
        <v>8</v>
      </c>
      <c r="M44" s="50">
        <v>142</v>
      </c>
      <c r="N44" s="50">
        <v>0</v>
      </c>
      <c r="O44" s="15">
        <f t="shared" si="0"/>
        <v>185</v>
      </c>
      <c r="P44" s="15">
        <f t="shared" si="1"/>
        <v>327</v>
      </c>
    </row>
    <row r="45" spans="2:20" ht="23.1" customHeight="1" x14ac:dyDescent="0.25">
      <c r="B45" s="23" t="s">
        <v>72</v>
      </c>
      <c r="C45" s="50">
        <v>112</v>
      </c>
      <c r="D45" s="50">
        <v>20</v>
      </c>
      <c r="E45" s="50">
        <v>17</v>
      </c>
      <c r="F45" s="50">
        <v>35</v>
      </c>
      <c r="G45" s="50">
        <v>0</v>
      </c>
      <c r="H45" s="50">
        <v>0</v>
      </c>
      <c r="I45" s="50">
        <v>4</v>
      </c>
      <c r="J45" s="50">
        <v>14</v>
      </c>
      <c r="K45" s="50">
        <v>0</v>
      </c>
      <c r="L45" s="50">
        <v>6</v>
      </c>
      <c r="M45" s="50">
        <v>137</v>
      </c>
      <c r="N45" s="50">
        <v>0</v>
      </c>
      <c r="O45" s="15">
        <f t="shared" si="0"/>
        <v>208</v>
      </c>
      <c r="P45" s="15">
        <f t="shared" si="1"/>
        <v>345</v>
      </c>
    </row>
    <row r="46" spans="2:20" ht="23.1" customHeight="1" x14ac:dyDescent="0.25">
      <c r="B46" s="24" t="s">
        <v>73</v>
      </c>
      <c r="C46" s="50">
        <v>121</v>
      </c>
      <c r="D46" s="50">
        <v>18</v>
      </c>
      <c r="E46" s="50">
        <v>12</v>
      </c>
      <c r="F46" s="50">
        <v>34</v>
      </c>
      <c r="G46" s="50">
        <v>2</v>
      </c>
      <c r="H46" s="50">
        <v>0</v>
      </c>
      <c r="I46" s="50">
        <v>9</v>
      </c>
      <c r="J46" s="50">
        <v>6</v>
      </c>
      <c r="K46" s="50">
        <v>1</v>
      </c>
      <c r="L46" s="50">
        <v>3</v>
      </c>
      <c r="M46" s="50">
        <v>109</v>
      </c>
      <c r="N46" s="50">
        <v>0</v>
      </c>
      <c r="O46" s="15">
        <f t="shared" si="0"/>
        <v>206</v>
      </c>
      <c r="P46" s="15">
        <f t="shared" si="1"/>
        <v>315</v>
      </c>
      <c r="R46" s="8"/>
      <c r="T46"/>
    </row>
    <row r="47" spans="2:20" ht="23.1" customHeight="1" x14ac:dyDescent="0.25">
      <c r="B47" s="24" t="s">
        <v>74</v>
      </c>
      <c r="C47" s="50">
        <v>109</v>
      </c>
      <c r="D47" s="50">
        <v>12</v>
      </c>
      <c r="E47" s="50">
        <v>18</v>
      </c>
      <c r="F47" s="50">
        <v>18</v>
      </c>
      <c r="G47" s="50">
        <v>2</v>
      </c>
      <c r="H47" s="50">
        <v>1</v>
      </c>
      <c r="I47" s="50">
        <v>9</v>
      </c>
      <c r="J47" s="50">
        <v>16</v>
      </c>
      <c r="K47" s="50">
        <v>1</v>
      </c>
      <c r="L47" s="50">
        <v>5</v>
      </c>
      <c r="M47" s="50">
        <v>166</v>
      </c>
      <c r="N47" s="50">
        <v>0</v>
      </c>
      <c r="O47" s="15">
        <f t="shared" si="0"/>
        <v>191</v>
      </c>
      <c r="P47" s="15">
        <f t="shared" si="1"/>
        <v>357</v>
      </c>
      <c r="R47" s="8"/>
      <c r="T47"/>
    </row>
    <row r="48" spans="2:20" ht="23.1" customHeight="1" x14ac:dyDescent="0.25">
      <c r="B48" s="24" t="s">
        <v>75</v>
      </c>
      <c r="C48" s="50">
        <v>113</v>
      </c>
      <c r="D48" s="50">
        <v>23</v>
      </c>
      <c r="E48" s="50">
        <v>13</v>
      </c>
      <c r="F48" s="50">
        <v>41</v>
      </c>
      <c r="G48" s="50">
        <v>1</v>
      </c>
      <c r="H48" s="50">
        <v>1</v>
      </c>
      <c r="I48" s="50">
        <v>8</v>
      </c>
      <c r="J48" s="50">
        <v>7</v>
      </c>
      <c r="K48" s="50">
        <v>5</v>
      </c>
      <c r="L48" s="50">
        <v>6</v>
      </c>
      <c r="M48" s="50">
        <v>148</v>
      </c>
      <c r="N48" s="50">
        <v>0</v>
      </c>
      <c r="O48" s="15">
        <f t="shared" si="0"/>
        <v>218</v>
      </c>
      <c r="P48" s="15">
        <f t="shared" si="1"/>
        <v>366</v>
      </c>
      <c r="R48" s="8"/>
      <c r="T48"/>
    </row>
    <row r="49" spans="2:20" ht="23.1" customHeight="1" x14ac:dyDescent="0.25">
      <c r="B49" s="23" t="s">
        <v>76</v>
      </c>
      <c r="C49" s="50">
        <v>112</v>
      </c>
      <c r="D49" s="50">
        <v>14</v>
      </c>
      <c r="E49" s="50">
        <v>9</v>
      </c>
      <c r="F49" s="50">
        <v>32</v>
      </c>
      <c r="G49" s="50">
        <v>1</v>
      </c>
      <c r="H49" s="50">
        <v>0</v>
      </c>
      <c r="I49" s="50">
        <v>8</v>
      </c>
      <c r="J49" s="50">
        <v>6</v>
      </c>
      <c r="K49" s="50">
        <v>4</v>
      </c>
      <c r="L49" s="50">
        <v>0</v>
      </c>
      <c r="M49" s="50">
        <v>110</v>
      </c>
      <c r="N49" s="50">
        <v>0</v>
      </c>
      <c r="O49" s="15">
        <f t="shared" si="0"/>
        <v>186</v>
      </c>
      <c r="P49" s="15">
        <f t="shared" si="1"/>
        <v>296</v>
      </c>
      <c r="R49" s="8"/>
      <c r="T49"/>
    </row>
    <row r="50" spans="2:20" ht="23.1" customHeight="1" x14ac:dyDescent="0.25">
      <c r="B50" s="24" t="s">
        <v>77</v>
      </c>
      <c r="C50" s="50">
        <v>102</v>
      </c>
      <c r="D50" s="50">
        <v>17</v>
      </c>
      <c r="E50" s="50">
        <v>6</v>
      </c>
      <c r="F50" s="50">
        <v>43</v>
      </c>
      <c r="G50" s="50">
        <v>0</v>
      </c>
      <c r="H50" s="50">
        <v>0</v>
      </c>
      <c r="I50" s="50">
        <v>7</v>
      </c>
      <c r="J50" s="50">
        <v>6</v>
      </c>
      <c r="K50" s="50">
        <v>1</v>
      </c>
      <c r="L50" s="50">
        <v>7</v>
      </c>
      <c r="M50" s="50">
        <v>111</v>
      </c>
      <c r="N50" s="50">
        <v>0</v>
      </c>
      <c r="O50" s="15">
        <f t="shared" si="0"/>
        <v>189</v>
      </c>
      <c r="P50" s="15">
        <f t="shared" si="1"/>
        <v>300</v>
      </c>
      <c r="R50" s="8"/>
      <c r="T50"/>
    </row>
    <row r="51" spans="2:20" ht="23.1" customHeight="1" x14ac:dyDescent="0.25">
      <c r="B51" s="24" t="s">
        <v>78</v>
      </c>
      <c r="C51" s="50">
        <v>81</v>
      </c>
      <c r="D51" s="50">
        <v>11</v>
      </c>
      <c r="E51" s="50">
        <v>11</v>
      </c>
      <c r="F51" s="50">
        <v>34</v>
      </c>
      <c r="G51" s="50">
        <v>0</v>
      </c>
      <c r="H51" s="50">
        <v>0</v>
      </c>
      <c r="I51" s="50">
        <v>9</v>
      </c>
      <c r="J51" s="50">
        <v>10</v>
      </c>
      <c r="K51" s="50">
        <v>4</v>
      </c>
      <c r="L51" s="50">
        <v>5</v>
      </c>
      <c r="M51" s="50">
        <v>136</v>
      </c>
      <c r="N51" s="50">
        <v>0</v>
      </c>
      <c r="O51" s="15">
        <f t="shared" si="0"/>
        <v>165</v>
      </c>
      <c r="P51" s="15">
        <f t="shared" si="1"/>
        <v>301</v>
      </c>
      <c r="R51" s="8"/>
      <c r="T51"/>
    </row>
    <row r="52" spans="2:20" ht="23.1" customHeight="1" x14ac:dyDescent="0.25">
      <c r="B52" s="24" t="s">
        <v>79</v>
      </c>
      <c r="C52" s="50">
        <v>121</v>
      </c>
      <c r="D52" s="50">
        <v>22</v>
      </c>
      <c r="E52" s="50">
        <v>11</v>
      </c>
      <c r="F52" s="50">
        <v>36</v>
      </c>
      <c r="G52" s="50">
        <v>1</v>
      </c>
      <c r="H52" s="50">
        <v>1</v>
      </c>
      <c r="I52" s="50">
        <v>9</v>
      </c>
      <c r="J52" s="50">
        <v>4</v>
      </c>
      <c r="K52" s="50">
        <v>3</v>
      </c>
      <c r="L52" s="50">
        <v>4</v>
      </c>
      <c r="M52" s="50">
        <v>148</v>
      </c>
      <c r="N52" s="50">
        <v>0</v>
      </c>
      <c r="O52" s="15">
        <f t="shared" si="0"/>
        <v>212</v>
      </c>
      <c r="P52" s="15">
        <f t="shared" si="1"/>
        <v>360</v>
      </c>
      <c r="R52" s="8"/>
      <c r="T52"/>
    </row>
    <row r="53" spans="2:20" ht="23.1" customHeight="1" x14ac:dyDescent="0.25">
      <c r="B53" s="23" t="s">
        <v>80</v>
      </c>
      <c r="C53" s="50">
        <v>107</v>
      </c>
      <c r="D53" s="50">
        <v>21</v>
      </c>
      <c r="E53" s="50">
        <v>6</v>
      </c>
      <c r="F53" s="50">
        <v>31</v>
      </c>
      <c r="G53" s="50">
        <v>2</v>
      </c>
      <c r="H53" s="50">
        <v>0</v>
      </c>
      <c r="I53" s="50">
        <v>9</v>
      </c>
      <c r="J53" s="50">
        <v>4</v>
      </c>
      <c r="K53" s="50">
        <v>2</v>
      </c>
      <c r="L53" s="50">
        <v>4</v>
      </c>
      <c r="M53" s="50">
        <v>136</v>
      </c>
      <c r="N53" s="50">
        <v>0</v>
      </c>
      <c r="O53" s="15">
        <f t="shared" si="0"/>
        <v>186</v>
      </c>
      <c r="P53" s="15">
        <f t="shared" si="1"/>
        <v>322</v>
      </c>
      <c r="R53" s="8"/>
      <c r="T53"/>
    </row>
    <row r="54" spans="2:20" ht="23.1" customHeight="1" x14ac:dyDescent="0.25">
      <c r="B54" s="23" t="s">
        <v>81</v>
      </c>
      <c r="C54" s="50">
        <v>95</v>
      </c>
      <c r="D54" s="50">
        <v>23</v>
      </c>
      <c r="E54" s="50">
        <v>12</v>
      </c>
      <c r="F54" s="50">
        <v>50</v>
      </c>
      <c r="G54" s="50">
        <v>2</v>
      </c>
      <c r="H54" s="50">
        <v>0</v>
      </c>
      <c r="I54" s="50">
        <v>11</v>
      </c>
      <c r="J54" s="50">
        <v>5</v>
      </c>
      <c r="K54" s="50">
        <v>2</v>
      </c>
      <c r="L54" s="50">
        <v>1</v>
      </c>
      <c r="M54" s="50">
        <v>117</v>
      </c>
      <c r="N54" s="50">
        <v>0</v>
      </c>
      <c r="O54" s="15">
        <f t="shared" si="0"/>
        <v>201</v>
      </c>
      <c r="P54" s="15">
        <f t="shared" si="1"/>
        <v>318</v>
      </c>
      <c r="R54" s="8"/>
      <c r="T54"/>
    </row>
    <row r="55" spans="2:20" ht="23.1" customHeight="1" x14ac:dyDescent="0.25">
      <c r="B55" s="23" t="s">
        <v>82</v>
      </c>
      <c r="C55" s="50">
        <v>103</v>
      </c>
      <c r="D55" s="50">
        <v>19</v>
      </c>
      <c r="E55" s="50">
        <v>7</v>
      </c>
      <c r="F55" s="50">
        <v>37</v>
      </c>
      <c r="G55" s="50">
        <v>6</v>
      </c>
      <c r="H55" s="50">
        <v>5</v>
      </c>
      <c r="I55" s="50">
        <v>3</v>
      </c>
      <c r="J55" s="50">
        <v>10</v>
      </c>
      <c r="K55" s="50">
        <v>1</v>
      </c>
      <c r="L55" s="50">
        <v>3</v>
      </c>
      <c r="M55" s="50">
        <v>45</v>
      </c>
      <c r="N55" s="50">
        <v>0</v>
      </c>
      <c r="O55" s="15">
        <f t="shared" si="0"/>
        <v>194</v>
      </c>
      <c r="P55" s="15">
        <f t="shared" si="1"/>
        <v>239</v>
      </c>
      <c r="R55" s="8"/>
      <c r="T55"/>
    </row>
    <row r="56" spans="2:20" ht="23.1" customHeight="1" x14ac:dyDescent="0.25">
      <c r="B56" s="23" t="s">
        <v>83</v>
      </c>
      <c r="C56" s="50">
        <v>125</v>
      </c>
      <c r="D56" s="50">
        <v>17</v>
      </c>
      <c r="E56" s="50">
        <v>7</v>
      </c>
      <c r="F56" s="50">
        <v>34</v>
      </c>
      <c r="G56" s="50">
        <v>1</v>
      </c>
      <c r="H56" s="50">
        <v>1</v>
      </c>
      <c r="I56" s="50">
        <v>3</v>
      </c>
      <c r="J56" s="50">
        <v>7</v>
      </c>
      <c r="K56" s="50">
        <v>2</v>
      </c>
      <c r="L56" s="50">
        <v>7</v>
      </c>
      <c r="M56" s="50">
        <v>33</v>
      </c>
      <c r="N56" s="50">
        <v>0</v>
      </c>
      <c r="O56" s="15">
        <f t="shared" si="0"/>
        <v>204</v>
      </c>
      <c r="P56" s="15">
        <f t="shared" si="1"/>
        <v>237</v>
      </c>
      <c r="R56" s="8"/>
      <c r="T56"/>
    </row>
    <row r="57" spans="2:20" ht="23.1" customHeight="1" x14ac:dyDescent="0.25">
      <c r="B57" s="23" t="s">
        <v>84</v>
      </c>
      <c r="C57" s="50">
        <v>128</v>
      </c>
      <c r="D57" s="50">
        <v>22</v>
      </c>
      <c r="E57" s="50">
        <v>7</v>
      </c>
      <c r="F57" s="50">
        <v>39</v>
      </c>
      <c r="G57" s="50">
        <v>1</v>
      </c>
      <c r="H57" s="50">
        <v>0</v>
      </c>
      <c r="I57" s="50">
        <v>9</v>
      </c>
      <c r="J57" s="50">
        <v>4</v>
      </c>
      <c r="K57" s="50">
        <v>0</v>
      </c>
      <c r="L57" s="50">
        <v>0</v>
      </c>
      <c r="M57" s="50">
        <v>133</v>
      </c>
      <c r="N57" s="50">
        <v>0</v>
      </c>
      <c r="O57" s="15">
        <f t="shared" si="0"/>
        <v>210</v>
      </c>
      <c r="P57" s="15">
        <f t="shared" si="1"/>
        <v>343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4227</v>
      </c>
      <c r="D58" s="16">
        <f t="shared" si="21"/>
        <v>725</v>
      </c>
      <c r="E58" s="16">
        <f t="shared" si="21"/>
        <v>400</v>
      </c>
      <c r="F58" s="16">
        <f t="shared" si="21"/>
        <v>1684</v>
      </c>
      <c r="G58" s="16">
        <f t="shared" si="21"/>
        <v>90</v>
      </c>
      <c r="H58" s="16">
        <f t="shared" si="21"/>
        <v>24</v>
      </c>
      <c r="I58" s="16">
        <f t="shared" si="21"/>
        <v>376</v>
      </c>
      <c r="J58" s="16">
        <f t="shared" si="21"/>
        <v>398</v>
      </c>
      <c r="K58" s="16">
        <f t="shared" si="21"/>
        <v>127</v>
      </c>
      <c r="L58" s="16">
        <f t="shared" si="21"/>
        <v>164</v>
      </c>
      <c r="M58" s="16">
        <f t="shared" si="21"/>
        <v>6286</v>
      </c>
      <c r="N58" s="16">
        <f t="shared" si="21"/>
        <v>0</v>
      </c>
      <c r="O58" s="16">
        <f t="shared" si="21"/>
        <v>8215</v>
      </c>
      <c r="P58" s="16">
        <f t="shared" si="21"/>
        <v>14501</v>
      </c>
      <c r="R58" s="8"/>
      <c r="T58"/>
    </row>
    <row r="59" spans="2:20" ht="23.1" customHeight="1" x14ac:dyDescent="0.25">
      <c r="B59" s="26" t="s">
        <v>93</v>
      </c>
      <c r="C59" s="43">
        <f>E5</f>
        <v>0</v>
      </c>
      <c r="D59" s="43">
        <f t="shared" ref="D59:N59" si="22">D58/$P$58</f>
        <v>4.9996551961933658E-2</v>
      </c>
      <c r="E59" s="43">
        <f t="shared" si="22"/>
        <v>2.7584304530722019E-2</v>
      </c>
      <c r="F59" s="43">
        <f t="shared" si="22"/>
        <v>0.1161299220743397</v>
      </c>
      <c r="G59" s="43">
        <f t="shared" si="22"/>
        <v>6.2064685194124546E-3</v>
      </c>
      <c r="H59" s="43">
        <f t="shared" si="22"/>
        <v>1.6550582718433211E-3</v>
      </c>
      <c r="I59" s="43">
        <f t="shared" si="22"/>
        <v>2.5929246258878699E-2</v>
      </c>
      <c r="J59" s="43">
        <f t="shared" si="22"/>
        <v>2.7446383008068408E-2</v>
      </c>
      <c r="K59" s="43">
        <f t="shared" si="22"/>
        <v>8.7580166885042419E-3</v>
      </c>
      <c r="L59" s="43">
        <f t="shared" si="22"/>
        <v>1.1309564857596028E-2</v>
      </c>
      <c r="M59" s="43">
        <f t="shared" si="22"/>
        <v>0.43348734570029651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0.51454656116859399</v>
      </c>
      <c r="D60" s="44">
        <f t="shared" ref="D60:N60" si="23">D58/$O$58</f>
        <v>8.825319537431528E-2</v>
      </c>
      <c r="E60" s="44">
        <f t="shared" si="23"/>
        <v>4.8691418137553254E-2</v>
      </c>
      <c r="F60" s="44">
        <f t="shared" si="23"/>
        <v>0.20499087035909921</v>
      </c>
      <c r="G60" s="44">
        <f t="shared" si="23"/>
        <v>1.0955569080949483E-2</v>
      </c>
      <c r="H60" s="44">
        <f t="shared" si="23"/>
        <v>2.9214850882531953E-3</v>
      </c>
      <c r="I60" s="44">
        <f t="shared" si="23"/>
        <v>4.5769933049300063E-2</v>
      </c>
      <c r="J60" s="44">
        <f t="shared" si="23"/>
        <v>4.8447961046865488E-2</v>
      </c>
      <c r="K60" s="44">
        <f t="shared" si="23"/>
        <v>1.5459525258673159E-2</v>
      </c>
      <c r="L60" s="44">
        <f t="shared" si="23"/>
        <v>1.9963481436396834E-2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C36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'22.07 Masanafu-Busega'!C3:G3</f>
        <v>MCC - C1 - STN13 - NORTHERN BYPASS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'28.07 Busega-Masanafu'!D5</f>
        <v>28.07.19</v>
      </c>
      <c r="E5" s="3"/>
      <c r="F5" s="41" t="s">
        <v>1</v>
      </c>
      <c r="G5" s="64" t="str">
        <f>'28.07 Busega-Masanafu'!G5:H5</f>
        <v>NORTHERN BYPASS</v>
      </c>
      <c r="H5" s="65"/>
      <c r="I5" s="14"/>
      <c r="J5" s="2" t="s">
        <v>5</v>
      </c>
      <c r="K5" s="64" t="str">
        <f>'28.07 Busega-Masanafu'!K5:L5</f>
        <v>SSEMUKO SAMUEL JUNIOR W/MUTEBI CHRISTOPHER/SSEMWOGERERE FREDRICK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'22.07 Masanafu-Busega'!D6:E6</f>
        <v>MASANAFU</v>
      </c>
      <c r="E6" s="65"/>
      <c r="F6" s="2" t="s">
        <v>2</v>
      </c>
      <c r="G6" s="64" t="str">
        <f>'22.07 Masanafu-Busega'!G6:H6</f>
        <v>BUSEGA</v>
      </c>
      <c r="H6" s="65"/>
      <c r="J6" s="2" t="s">
        <v>21</v>
      </c>
      <c r="K6" s="64" t="str">
        <f>'28.07 Busega-Masanafu'!K6:L6</f>
        <v>ANDY/ANDREW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21</v>
      </c>
      <c r="D10" s="50">
        <v>2</v>
      </c>
      <c r="E10" s="50">
        <v>0</v>
      </c>
      <c r="F10" s="50">
        <v>27</v>
      </c>
      <c r="G10" s="50">
        <v>4</v>
      </c>
      <c r="H10" s="50">
        <v>0</v>
      </c>
      <c r="I10" s="50">
        <v>5</v>
      </c>
      <c r="J10" s="50">
        <v>0</v>
      </c>
      <c r="K10" s="50">
        <v>5</v>
      </c>
      <c r="L10" s="50">
        <v>2</v>
      </c>
      <c r="M10" s="50">
        <v>35</v>
      </c>
      <c r="N10" s="50">
        <v>0</v>
      </c>
      <c r="O10" s="15">
        <f t="shared" ref="O10:O57" si="0">SUM(C10:L10,N10)</f>
        <v>66</v>
      </c>
      <c r="P10" s="15">
        <f t="shared" ref="P10:P57" si="1">SUM(C10:N10)</f>
        <v>101</v>
      </c>
      <c r="R10" s="1" t="s">
        <v>6</v>
      </c>
      <c r="S10" s="17">
        <f t="shared" ref="S10:AF10" si="2">SUM(C10:C13)</f>
        <v>172</v>
      </c>
      <c r="T10" s="17">
        <f t="shared" si="2"/>
        <v>23</v>
      </c>
      <c r="U10" s="17">
        <f t="shared" si="2"/>
        <v>17</v>
      </c>
      <c r="V10" s="17">
        <f t="shared" si="2"/>
        <v>129</v>
      </c>
      <c r="W10" s="17">
        <f t="shared" si="2"/>
        <v>6</v>
      </c>
      <c r="X10" s="17">
        <f t="shared" si="2"/>
        <v>0</v>
      </c>
      <c r="Y10" s="17">
        <f t="shared" si="2"/>
        <v>26</v>
      </c>
      <c r="Z10" s="17">
        <f t="shared" si="2"/>
        <v>14</v>
      </c>
      <c r="AA10" s="17">
        <f t="shared" si="2"/>
        <v>10</v>
      </c>
      <c r="AB10" s="17">
        <f t="shared" si="2"/>
        <v>13</v>
      </c>
      <c r="AC10" s="17">
        <f t="shared" si="2"/>
        <v>307</v>
      </c>
      <c r="AD10" s="17">
        <f t="shared" si="2"/>
        <v>0</v>
      </c>
      <c r="AE10" s="31">
        <f t="shared" si="2"/>
        <v>410</v>
      </c>
      <c r="AF10" s="31">
        <f t="shared" si="2"/>
        <v>717</v>
      </c>
    </row>
    <row r="11" spans="2:32" s="6" customFormat="1" ht="23.1" customHeight="1" x14ac:dyDescent="0.25">
      <c r="B11" s="23" t="s">
        <v>38</v>
      </c>
      <c r="C11" s="50">
        <v>47</v>
      </c>
      <c r="D11" s="50">
        <v>5</v>
      </c>
      <c r="E11" s="50">
        <v>8</v>
      </c>
      <c r="F11" s="50">
        <v>44</v>
      </c>
      <c r="G11" s="50">
        <v>0</v>
      </c>
      <c r="H11" s="50">
        <v>0</v>
      </c>
      <c r="I11" s="50">
        <v>6</v>
      </c>
      <c r="J11" s="50">
        <v>6</v>
      </c>
      <c r="K11" s="50">
        <v>1</v>
      </c>
      <c r="L11" s="50">
        <v>3</v>
      </c>
      <c r="M11" s="50">
        <v>71</v>
      </c>
      <c r="N11" s="50">
        <v>0</v>
      </c>
      <c r="O11" s="15">
        <f t="shared" si="0"/>
        <v>120</v>
      </c>
      <c r="P11" s="15">
        <f t="shared" si="1"/>
        <v>191</v>
      </c>
      <c r="R11" s="1" t="s">
        <v>7</v>
      </c>
      <c r="S11" s="17">
        <f t="shared" ref="S11:AF11" si="3">SUM(C14:C17)</f>
        <v>262</v>
      </c>
      <c r="T11" s="17">
        <f t="shared" si="3"/>
        <v>32</v>
      </c>
      <c r="U11" s="17">
        <f t="shared" si="3"/>
        <v>26</v>
      </c>
      <c r="V11" s="17">
        <f t="shared" si="3"/>
        <v>134</v>
      </c>
      <c r="W11" s="17">
        <f t="shared" si="3"/>
        <v>5</v>
      </c>
      <c r="X11" s="17">
        <f t="shared" si="3"/>
        <v>1</v>
      </c>
      <c r="Y11" s="17">
        <f t="shared" si="3"/>
        <v>22</v>
      </c>
      <c r="Z11" s="17">
        <f t="shared" si="3"/>
        <v>12</v>
      </c>
      <c r="AA11" s="17">
        <f t="shared" si="3"/>
        <v>9</v>
      </c>
      <c r="AB11" s="17">
        <f t="shared" si="3"/>
        <v>15</v>
      </c>
      <c r="AC11" s="17">
        <f t="shared" si="3"/>
        <v>425</v>
      </c>
      <c r="AD11" s="17">
        <f t="shared" si="3"/>
        <v>0</v>
      </c>
      <c r="AE11" s="31">
        <f t="shared" si="3"/>
        <v>518</v>
      </c>
      <c r="AF11" s="31">
        <f t="shared" si="3"/>
        <v>943</v>
      </c>
    </row>
    <row r="12" spans="2:32" ht="23.1" customHeight="1" x14ac:dyDescent="0.25">
      <c r="B12" s="23" t="s">
        <v>39</v>
      </c>
      <c r="C12" s="50">
        <v>57</v>
      </c>
      <c r="D12" s="50">
        <v>6</v>
      </c>
      <c r="E12" s="50">
        <v>6</v>
      </c>
      <c r="F12" s="50">
        <v>30</v>
      </c>
      <c r="G12" s="50">
        <v>0</v>
      </c>
      <c r="H12" s="50">
        <v>0</v>
      </c>
      <c r="I12" s="50">
        <v>8</v>
      </c>
      <c r="J12" s="50">
        <v>7</v>
      </c>
      <c r="K12" s="50">
        <v>2</v>
      </c>
      <c r="L12" s="50">
        <v>7</v>
      </c>
      <c r="M12" s="50">
        <v>90</v>
      </c>
      <c r="N12" s="50">
        <v>0</v>
      </c>
      <c r="O12" s="15">
        <f t="shared" si="0"/>
        <v>123</v>
      </c>
      <c r="P12" s="15">
        <f t="shared" si="1"/>
        <v>213</v>
      </c>
      <c r="R12" s="1" t="s">
        <v>8</v>
      </c>
      <c r="S12" s="17">
        <f t="shared" ref="S12:AF12" si="4">SUM(C18:C21)</f>
        <v>268</v>
      </c>
      <c r="T12" s="17">
        <f t="shared" si="4"/>
        <v>32</v>
      </c>
      <c r="U12" s="17">
        <f t="shared" si="4"/>
        <v>38</v>
      </c>
      <c r="V12" s="17">
        <f t="shared" si="4"/>
        <v>140</v>
      </c>
      <c r="W12" s="17">
        <f t="shared" si="4"/>
        <v>9</v>
      </c>
      <c r="X12" s="17">
        <f t="shared" si="4"/>
        <v>2</v>
      </c>
      <c r="Y12" s="17">
        <f t="shared" si="4"/>
        <v>59</v>
      </c>
      <c r="Z12" s="17">
        <f t="shared" si="4"/>
        <v>15</v>
      </c>
      <c r="AA12" s="17">
        <f t="shared" si="4"/>
        <v>12</v>
      </c>
      <c r="AB12" s="17">
        <f t="shared" si="4"/>
        <v>12</v>
      </c>
      <c r="AC12" s="17">
        <f t="shared" si="4"/>
        <v>421</v>
      </c>
      <c r="AD12" s="17">
        <f t="shared" si="4"/>
        <v>0</v>
      </c>
      <c r="AE12" s="31">
        <f t="shared" si="4"/>
        <v>587</v>
      </c>
      <c r="AF12" s="31">
        <f t="shared" si="4"/>
        <v>1008</v>
      </c>
    </row>
    <row r="13" spans="2:32" ht="23.1" customHeight="1" x14ac:dyDescent="0.25">
      <c r="B13" s="23" t="s">
        <v>40</v>
      </c>
      <c r="C13" s="50">
        <v>47</v>
      </c>
      <c r="D13" s="50">
        <v>10</v>
      </c>
      <c r="E13" s="50">
        <v>3</v>
      </c>
      <c r="F13" s="50">
        <v>28</v>
      </c>
      <c r="G13" s="50">
        <v>2</v>
      </c>
      <c r="H13" s="50">
        <v>0</v>
      </c>
      <c r="I13" s="50">
        <v>7</v>
      </c>
      <c r="J13" s="50">
        <v>1</v>
      </c>
      <c r="K13" s="50">
        <v>2</v>
      </c>
      <c r="L13" s="50">
        <v>1</v>
      </c>
      <c r="M13" s="50">
        <v>111</v>
      </c>
      <c r="N13" s="50">
        <v>0</v>
      </c>
      <c r="O13" s="15">
        <f t="shared" si="0"/>
        <v>101</v>
      </c>
      <c r="P13" s="15">
        <f t="shared" si="1"/>
        <v>212</v>
      </c>
      <c r="R13" s="1" t="s">
        <v>9</v>
      </c>
      <c r="S13" s="17">
        <f t="shared" ref="S13:AF13" si="5">SUM(C22:C25)</f>
        <v>367</v>
      </c>
      <c r="T13" s="17">
        <f t="shared" si="5"/>
        <v>39</v>
      </c>
      <c r="U13" s="17">
        <f t="shared" si="5"/>
        <v>45</v>
      </c>
      <c r="V13" s="17">
        <f t="shared" si="5"/>
        <v>162</v>
      </c>
      <c r="W13" s="17">
        <f t="shared" si="5"/>
        <v>5</v>
      </c>
      <c r="X13" s="17">
        <f t="shared" si="5"/>
        <v>1</v>
      </c>
      <c r="Y13" s="17">
        <f t="shared" si="5"/>
        <v>54</v>
      </c>
      <c r="Z13" s="17">
        <f t="shared" si="5"/>
        <v>27</v>
      </c>
      <c r="AA13" s="17">
        <f t="shared" si="5"/>
        <v>9</v>
      </c>
      <c r="AB13" s="17">
        <f t="shared" si="5"/>
        <v>20</v>
      </c>
      <c r="AC13" s="17">
        <f t="shared" si="5"/>
        <v>405</v>
      </c>
      <c r="AD13" s="17">
        <f t="shared" si="5"/>
        <v>1</v>
      </c>
      <c r="AE13" s="31">
        <f t="shared" si="5"/>
        <v>730</v>
      </c>
      <c r="AF13" s="31">
        <f t="shared" si="5"/>
        <v>1135</v>
      </c>
    </row>
    <row r="14" spans="2:32" ht="23.1" customHeight="1" x14ac:dyDescent="0.25">
      <c r="B14" s="23" t="s">
        <v>41</v>
      </c>
      <c r="C14" s="50">
        <v>84</v>
      </c>
      <c r="D14" s="50">
        <v>6</v>
      </c>
      <c r="E14" s="50">
        <v>13</v>
      </c>
      <c r="F14" s="50">
        <v>26</v>
      </c>
      <c r="G14" s="50">
        <v>0</v>
      </c>
      <c r="H14" s="50">
        <v>0</v>
      </c>
      <c r="I14" s="50">
        <v>5</v>
      </c>
      <c r="J14" s="50">
        <v>4</v>
      </c>
      <c r="K14" s="50">
        <v>4</v>
      </c>
      <c r="L14" s="50">
        <v>3</v>
      </c>
      <c r="M14" s="50">
        <v>111</v>
      </c>
      <c r="N14" s="50">
        <v>0</v>
      </c>
      <c r="O14" s="15">
        <f t="shared" si="0"/>
        <v>145</v>
      </c>
      <c r="P14" s="15">
        <f t="shared" si="1"/>
        <v>256</v>
      </c>
      <c r="R14" s="1" t="s">
        <v>10</v>
      </c>
      <c r="S14" s="17">
        <f t="shared" ref="S14:AF14" si="6">SUM(C26:C29)</f>
        <v>410</v>
      </c>
      <c r="T14" s="17">
        <f t="shared" si="6"/>
        <v>39</v>
      </c>
      <c r="U14" s="17">
        <f t="shared" si="6"/>
        <v>40</v>
      </c>
      <c r="V14" s="17">
        <f t="shared" si="6"/>
        <v>135</v>
      </c>
      <c r="W14" s="17">
        <f t="shared" si="6"/>
        <v>12</v>
      </c>
      <c r="X14" s="17">
        <f t="shared" si="6"/>
        <v>0</v>
      </c>
      <c r="Y14" s="17">
        <f t="shared" si="6"/>
        <v>47</v>
      </c>
      <c r="Z14" s="17">
        <f t="shared" si="6"/>
        <v>15</v>
      </c>
      <c r="AA14" s="17">
        <f t="shared" si="6"/>
        <v>9</v>
      </c>
      <c r="AB14" s="17">
        <f t="shared" si="6"/>
        <v>15</v>
      </c>
      <c r="AC14" s="17">
        <f t="shared" si="6"/>
        <v>431</v>
      </c>
      <c r="AD14" s="17">
        <f t="shared" si="6"/>
        <v>1</v>
      </c>
      <c r="AE14" s="31">
        <f t="shared" si="6"/>
        <v>723</v>
      </c>
      <c r="AF14" s="31">
        <f t="shared" si="6"/>
        <v>1154</v>
      </c>
    </row>
    <row r="15" spans="2:32" ht="23.1" customHeight="1" x14ac:dyDescent="0.25">
      <c r="B15" s="23" t="s">
        <v>42</v>
      </c>
      <c r="C15" s="50">
        <v>78</v>
      </c>
      <c r="D15" s="50">
        <v>10</v>
      </c>
      <c r="E15" s="50">
        <v>4</v>
      </c>
      <c r="F15" s="50">
        <v>40</v>
      </c>
      <c r="G15" s="50">
        <v>3</v>
      </c>
      <c r="H15" s="50">
        <v>1</v>
      </c>
      <c r="I15" s="50">
        <v>8</v>
      </c>
      <c r="J15" s="50">
        <v>2</v>
      </c>
      <c r="K15" s="50">
        <v>1</v>
      </c>
      <c r="L15" s="50">
        <v>5</v>
      </c>
      <c r="M15" s="50">
        <v>115</v>
      </c>
      <c r="N15" s="50">
        <v>0</v>
      </c>
      <c r="O15" s="15">
        <f t="shared" si="0"/>
        <v>152</v>
      </c>
      <c r="P15" s="15">
        <f t="shared" si="1"/>
        <v>267</v>
      </c>
      <c r="R15" s="1" t="s">
        <v>11</v>
      </c>
      <c r="S15" s="17">
        <f t="shared" ref="S15:AF15" si="7">SUM(C30:C33)</f>
        <v>650</v>
      </c>
      <c r="T15" s="17">
        <f t="shared" si="7"/>
        <v>66</v>
      </c>
      <c r="U15" s="17">
        <f t="shared" si="7"/>
        <v>51</v>
      </c>
      <c r="V15" s="17">
        <f t="shared" si="7"/>
        <v>290</v>
      </c>
      <c r="W15" s="17">
        <f t="shared" si="7"/>
        <v>12</v>
      </c>
      <c r="X15" s="17">
        <f t="shared" si="7"/>
        <v>4</v>
      </c>
      <c r="Y15" s="17">
        <f t="shared" si="7"/>
        <v>70</v>
      </c>
      <c r="Z15" s="17">
        <f t="shared" si="7"/>
        <v>37</v>
      </c>
      <c r="AA15" s="17">
        <f t="shared" si="7"/>
        <v>8</v>
      </c>
      <c r="AB15" s="17">
        <f t="shared" si="7"/>
        <v>18</v>
      </c>
      <c r="AC15" s="17">
        <f t="shared" si="7"/>
        <v>547</v>
      </c>
      <c r="AD15" s="17">
        <f t="shared" si="7"/>
        <v>0</v>
      </c>
      <c r="AE15" s="31">
        <f t="shared" si="7"/>
        <v>1206</v>
      </c>
      <c r="AF15" s="31">
        <f t="shared" si="7"/>
        <v>1753</v>
      </c>
    </row>
    <row r="16" spans="2:32" ht="23.1" customHeight="1" x14ac:dyDescent="0.25">
      <c r="B16" s="23" t="s">
        <v>43</v>
      </c>
      <c r="C16" s="50">
        <v>49</v>
      </c>
      <c r="D16" s="50">
        <v>9</v>
      </c>
      <c r="E16" s="50">
        <v>4</v>
      </c>
      <c r="F16" s="50">
        <v>34</v>
      </c>
      <c r="G16" s="50">
        <v>1</v>
      </c>
      <c r="H16" s="50">
        <v>0</v>
      </c>
      <c r="I16" s="50">
        <v>5</v>
      </c>
      <c r="J16" s="50">
        <v>0</v>
      </c>
      <c r="K16" s="50">
        <v>2</v>
      </c>
      <c r="L16" s="50">
        <v>6</v>
      </c>
      <c r="M16" s="50">
        <v>97</v>
      </c>
      <c r="N16" s="50">
        <v>0</v>
      </c>
      <c r="O16" s="15">
        <f t="shared" si="0"/>
        <v>110</v>
      </c>
      <c r="P16" s="15">
        <f t="shared" si="1"/>
        <v>207</v>
      </c>
      <c r="R16" s="1" t="s">
        <v>12</v>
      </c>
      <c r="S16" s="17">
        <f t="shared" ref="S16:AF16" si="8">SUM(C34:C37)</f>
        <v>567</v>
      </c>
      <c r="T16" s="17">
        <f t="shared" si="8"/>
        <v>57</v>
      </c>
      <c r="U16" s="17">
        <f t="shared" si="8"/>
        <v>48</v>
      </c>
      <c r="V16" s="17">
        <f t="shared" si="8"/>
        <v>190</v>
      </c>
      <c r="W16" s="17">
        <f t="shared" si="8"/>
        <v>2</v>
      </c>
      <c r="X16" s="17">
        <f t="shared" si="8"/>
        <v>2</v>
      </c>
      <c r="Y16" s="17">
        <f t="shared" si="8"/>
        <v>63</v>
      </c>
      <c r="Z16" s="17">
        <f t="shared" si="8"/>
        <v>26</v>
      </c>
      <c r="AA16" s="17">
        <f t="shared" si="8"/>
        <v>20</v>
      </c>
      <c r="AB16" s="17">
        <f t="shared" si="8"/>
        <v>18</v>
      </c>
      <c r="AC16" s="17">
        <f t="shared" si="8"/>
        <v>425</v>
      </c>
      <c r="AD16" s="17">
        <f t="shared" si="8"/>
        <v>0</v>
      </c>
      <c r="AE16" s="31">
        <f t="shared" si="8"/>
        <v>993</v>
      </c>
      <c r="AF16" s="31">
        <f t="shared" si="8"/>
        <v>1418</v>
      </c>
    </row>
    <row r="17" spans="2:32" ht="23.1" customHeight="1" x14ac:dyDescent="0.25">
      <c r="B17" s="23" t="s">
        <v>44</v>
      </c>
      <c r="C17" s="50">
        <v>51</v>
      </c>
      <c r="D17" s="50">
        <v>7</v>
      </c>
      <c r="E17" s="50">
        <v>5</v>
      </c>
      <c r="F17" s="50">
        <v>34</v>
      </c>
      <c r="G17" s="50">
        <v>1</v>
      </c>
      <c r="H17" s="50">
        <v>0</v>
      </c>
      <c r="I17" s="50">
        <v>4</v>
      </c>
      <c r="J17" s="50">
        <v>6</v>
      </c>
      <c r="K17" s="50">
        <v>2</v>
      </c>
      <c r="L17" s="50">
        <v>1</v>
      </c>
      <c r="M17" s="50">
        <v>102</v>
      </c>
      <c r="N17" s="50">
        <v>0</v>
      </c>
      <c r="O17" s="15">
        <f t="shared" si="0"/>
        <v>111</v>
      </c>
      <c r="P17" s="15">
        <f t="shared" si="1"/>
        <v>213</v>
      </c>
      <c r="R17" s="1" t="s">
        <v>13</v>
      </c>
      <c r="S17" s="17">
        <f t="shared" ref="S17:AF17" si="9">SUM(C38:C41)</f>
        <v>448</v>
      </c>
      <c r="T17" s="17">
        <f t="shared" si="9"/>
        <v>50</v>
      </c>
      <c r="U17" s="17">
        <f t="shared" si="9"/>
        <v>55</v>
      </c>
      <c r="V17" s="17">
        <f t="shared" si="9"/>
        <v>190</v>
      </c>
      <c r="W17" s="17">
        <f t="shared" si="9"/>
        <v>4</v>
      </c>
      <c r="X17" s="17">
        <f t="shared" si="9"/>
        <v>3</v>
      </c>
      <c r="Y17" s="17">
        <f t="shared" si="9"/>
        <v>54</v>
      </c>
      <c r="Z17" s="17">
        <f t="shared" si="9"/>
        <v>22</v>
      </c>
      <c r="AA17" s="17">
        <f t="shared" si="9"/>
        <v>10</v>
      </c>
      <c r="AB17" s="17">
        <f t="shared" si="9"/>
        <v>13</v>
      </c>
      <c r="AC17" s="17">
        <f t="shared" si="9"/>
        <v>264</v>
      </c>
      <c r="AD17" s="17">
        <f t="shared" si="9"/>
        <v>0</v>
      </c>
      <c r="AE17" s="31">
        <f t="shared" si="9"/>
        <v>849</v>
      </c>
      <c r="AF17" s="31">
        <f t="shared" si="9"/>
        <v>1113</v>
      </c>
    </row>
    <row r="18" spans="2:32" ht="23.1" customHeight="1" x14ac:dyDescent="0.25">
      <c r="B18" s="23" t="s">
        <v>45</v>
      </c>
      <c r="C18" s="50">
        <v>61</v>
      </c>
      <c r="D18" s="50">
        <v>7</v>
      </c>
      <c r="E18" s="50">
        <v>12</v>
      </c>
      <c r="F18" s="50">
        <v>32</v>
      </c>
      <c r="G18" s="50">
        <v>2</v>
      </c>
      <c r="H18" s="50">
        <v>0</v>
      </c>
      <c r="I18" s="50">
        <v>16</v>
      </c>
      <c r="J18" s="50">
        <v>4</v>
      </c>
      <c r="K18" s="50">
        <v>3</v>
      </c>
      <c r="L18" s="50">
        <v>4</v>
      </c>
      <c r="M18" s="50">
        <v>91</v>
      </c>
      <c r="N18" s="50">
        <v>0</v>
      </c>
      <c r="O18" s="15">
        <f t="shared" si="0"/>
        <v>141</v>
      </c>
      <c r="P18" s="15">
        <f t="shared" si="1"/>
        <v>232</v>
      </c>
      <c r="R18" s="1" t="s">
        <v>14</v>
      </c>
      <c r="S18" s="17">
        <f t="shared" ref="S18:AF18" si="10">SUM(C42:C45)</f>
        <v>463</v>
      </c>
      <c r="T18" s="17">
        <f t="shared" si="10"/>
        <v>36</v>
      </c>
      <c r="U18" s="17">
        <f t="shared" si="10"/>
        <v>34</v>
      </c>
      <c r="V18" s="17">
        <f t="shared" si="10"/>
        <v>180</v>
      </c>
      <c r="W18" s="17">
        <f t="shared" si="10"/>
        <v>6</v>
      </c>
      <c r="X18" s="17">
        <f t="shared" si="10"/>
        <v>1</v>
      </c>
      <c r="Y18" s="17">
        <f t="shared" si="10"/>
        <v>52</v>
      </c>
      <c r="Z18" s="17">
        <f t="shared" si="10"/>
        <v>23</v>
      </c>
      <c r="AA18" s="17">
        <f t="shared" si="10"/>
        <v>20</v>
      </c>
      <c r="AB18" s="17">
        <f t="shared" si="10"/>
        <v>12</v>
      </c>
      <c r="AC18" s="17">
        <f t="shared" si="10"/>
        <v>324</v>
      </c>
      <c r="AD18" s="17">
        <f t="shared" si="10"/>
        <v>0</v>
      </c>
      <c r="AE18" s="31">
        <f t="shared" si="10"/>
        <v>827</v>
      </c>
      <c r="AF18" s="31">
        <f t="shared" si="10"/>
        <v>1151</v>
      </c>
    </row>
    <row r="19" spans="2:32" ht="23.1" customHeight="1" x14ac:dyDescent="0.25">
      <c r="B19" s="23" t="s">
        <v>46</v>
      </c>
      <c r="C19" s="50">
        <v>66</v>
      </c>
      <c r="D19" s="50">
        <v>8</v>
      </c>
      <c r="E19" s="50">
        <v>13</v>
      </c>
      <c r="F19" s="50">
        <v>37</v>
      </c>
      <c r="G19" s="50">
        <v>3</v>
      </c>
      <c r="H19" s="50">
        <v>0</v>
      </c>
      <c r="I19" s="50">
        <v>20</v>
      </c>
      <c r="J19" s="50">
        <v>5</v>
      </c>
      <c r="K19" s="50">
        <v>0</v>
      </c>
      <c r="L19" s="50">
        <v>2</v>
      </c>
      <c r="M19" s="50">
        <v>115</v>
      </c>
      <c r="N19" s="50">
        <v>0</v>
      </c>
      <c r="O19" s="15">
        <f t="shared" si="0"/>
        <v>154</v>
      </c>
      <c r="P19" s="15">
        <f t="shared" si="1"/>
        <v>269</v>
      </c>
      <c r="R19" s="1" t="s">
        <v>15</v>
      </c>
      <c r="S19" s="17">
        <f t="shared" ref="S19:AF19" si="11">SUM(C46:C49)</f>
        <v>401</v>
      </c>
      <c r="T19" s="17">
        <f t="shared" si="11"/>
        <v>40</v>
      </c>
      <c r="U19" s="17">
        <f t="shared" si="11"/>
        <v>37</v>
      </c>
      <c r="V19" s="17">
        <f t="shared" si="11"/>
        <v>226</v>
      </c>
      <c r="W19" s="17">
        <f t="shared" si="11"/>
        <v>17</v>
      </c>
      <c r="X19" s="17">
        <f t="shared" si="11"/>
        <v>5</v>
      </c>
      <c r="Y19" s="17">
        <f t="shared" si="11"/>
        <v>50</v>
      </c>
      <c r="Z19" s="17">
        <f t="shared" si="11"/>
        <v>21</v>
      </c>
      <c r="AA19" s="17">
        <f t="shared" si="11"/>
        <v>9</v>
      </c>
      <c r="AB19" s="17">
        <f t="shared" si="11"/>
        <v>18</v>
      </c>
      <c r="AC19" s="17">
        <f t="shared" si="11"/>
        <v>353</v>
      </c>
      <c r="AD19" s="17">
        <f t="shared" si="11"/>
        <v>0</v>
      </c>
      <c r="AE19" s="31">
        <f t="shared" si="11"/>
        <v>824</v>
      </c>
      <c r="AF19" s="31">
        <f t="shared" si="11"/>
        <v>1177</v>
      </c>
    </row>
    <row r="20" spans="2:32" ht="23.1" customHeight="1" x14ac:dyDescent="0.25">
      <c r="B20" s="23" t="s">
        <v>47</v>
      </c>
      <c r="C20" s="50">
        <v>83</v>
      </c>
      <c r="D20" s="50">
        <v>12</v>
      </c>
      <c r="E20" s="50">
        <v>8</v>
      </c>
      <c r="F20" s="50">
        <v>44</v>
      </c>
      <c r="G20" s="50">
        <v>2</v>
      </c>
      <c r="H20" s="50">
        <v>0</v>
      </c>
      <c r="I20" s="50">
        <v>13</v>
      </c>
      <c r="J20" s="50">
        <v>1</v>
      </c>
      <c r="K20" s="50">
        <v>4</v>
      </c>
      <c r="L20" s="50">
        <v>6</v>
      </c>
      <c r="M20" s="50">
        <v>124</v>
      </c>
      <c r="N20" s="50">
        <v>0</v>
      </c>
      <c r="O20" s="15">
        <f t="shared" si="0"/>
        <v>173</v>
      </c>
      <c r="P20" s="15">
        <f t="shared" si="1"/>
        <v>297</v>
      </c>
      <c r="R20" s="1" t="s">
        <v>16</v>
      </c>
      <c r="S20" s="17">
        <f t="shared" ref="S20:AF20" si="12">SUM(C50:C53)</f>
        <v>476</v>
      </c>
      <c r="T20" s="17">
        <f t="shared" si="12"/>
        <v>40</v>
      </c>
      <c r="U20" s="17">
        <f t="shared" si="12"/>
        <v>37</v>
      </c>
      <c r="V20" s="17">
        <f t="shared" si="12"/>
        <v>197</v>
      </c>
      <c r="W20" s="17">
        <f t="shared" si="12"/>
        <v>18</v>
      </c>
      <c r="X20" s="17">
        <f t="shared" si="12"/>
        <v>11</v>
      </c>
      <c r="Y20" s="17">
        <f t="shared" si="12"/>
        <v>51</v>
      </c>
      <c r="Z20" s="17">
        <f t="shared" si="12"/>
        <v>28</v>
      </c>
      <c r="AA20" s="17">
        <f t="shared" si="12"/>
        <v>16</v>
      </c>
      <c r="AB20" s="17">
        <f t="shared" si="12"/>
        <v>17</v>
      </c>
      <c r="AC20" s="17">
        <f t="shared" si="12"/>
        <v>428</v>
      </c>
      <c r="AD20" s="17">
        <f t="shared" si="12"/>
        <v>0</v>
      </c>
      <c r="AE20" s="31">
        <f t="shared" si="12"/>
        <v>891</v>
      </c>
      <c r="AF20" s="31">
        <f t="shared" si="12"/>
        <v>1319</v>
      </c>
    </row>
    <row r="21" spans="2:32" ht="23.1" customHeight="1" x14ac:dyDescent="0.25">
      <c r="B21" s="23" t="s">
        <v>48</v>
      </c>
      <c r="C21" s="50">
        <v>58</v>
      </c>
      <c r="D21" s="50">
        <v>5</v>
      </c>
      <c r="E21" s="50">
        <v>5</v>
      </c>
      <c r="F21" s="50">
        <v>27</v>
      </c>
      <c r="G21" s="50">
        <v>2</v>
      </c>
      <c r="H21" s="50">
        <v>2</v>
      </c>
      <c r="I21" s="50">
        <v>10</v>
      </c>
      <c r="J21" s="50">
        <v>5</v>
      </c>
      <c r="K21" s="50">
        <v>5</v>
      </c>
      <c r="L21" s="50">
        <v>0</v>
      </c>
      <c r="M21" s="50">
        <v>91</v>
      </c>
      <c r="N21" s="50">
        <v>0</v>
      </c>
      <c r="O21" s="15">
        <f t="shared" si="0"/>
        <v>119</v>
      </c>
      <c r="P21" s="15">
        <f t="shared" si="1"/>
        <v>210</v>
      </c>
      <c r="R21" s="36" t="s">
        <v>20</v>
      </c>
      <c r="S21" s="34">
        <f t="shared" ref="S21:AF21" si="13">SUM(C54:C57)</f>
        <v>414</v>
      </c>
      <c r="T21" s="17">
        <f t="shared" si="13"/>
        <v>40</v>
      </c>
      <c r="U21" s="17">
        <f t="shared" si="13"/>
        <v>35</v>
      </c>
      <c r="V21" s="17">
        <f t="shared" si="13"/>
        <v>187</v>
      </c>
      <c r="W21" s="17">
        <f t="shared" si="13"/>
        <v>5</v>
      </c>
      <c r="X21" s="17">
        <f t="shared" si="13"/>
        <v>3</v>
      </c>
      <c r="Y21" s="17">
        <f t="shared" si="13"/>
        <v>49</v>
      </c>
      <c r="Z21" s="17">
        <f t="shared" si="13"/>
        <v>27</v>
      </c>
      <c r="AA21" s="17">
        <f t="shared" si="13"/>
        <v>8</v>
      </c>
      <c r="AB21" s="17">
        <f t="shared" si="13"/>
        <v>16</v>
      </c>
      <c r="AC21" s="17">
        <f t="shared" si="13"/>
        <v>544</v>
      </c>
      <c r="AD21" s="17">
        <f t="shared" si="13"/>
        <v>0</v>
      </c>
      <c r="AE21" s="31">
        <f t="shared" si="13"/>
        <v>784</v>
      </c>
      <c r="AF21" s="31">
        <f t="shared" si="13"/>
        <v>1328</v>
      </c>
    </row>
    <row r="22" spans="2:32" ht="23.1" customHeight="1" x14ac:dyDescent="0.25">
      <c r="B22" s="23" t="s">
        <v>49</v>
      </c>
      <c r="C22" s="50">
        <v>102</v>
      </c>
      <c r="D22" s="50">
        <v>9</v>
      </c>
      <c r="E22" s="50">
        <v>13</v>
      </c>
      <c r="F22" s="50">
        <v>51</v>
      </c>
      <c r="G22" s="50">
        <v>1</v>
      </c>
      <c r="H22" s="50">
        <v>0</v>
      </c>
      <c r="I22" s="50">
        <v>14</v>
      </c>
      <c r="J22" s="50">
        <v>7</v>
      </c>
      <c r="K22" s="50">
        <v>1</v>
      </c>
      <c r="L22" s="50">
        <v>5</v>
      </c>
      <c r="M22" s="50">
        <v>116</v>
      </c>
      <c r="N22" s="50">
        <v>0</v>
      </c>
      <c r="O22" s="15">
        <f t="shared" si="0"/>
        <v>203</v>
      </c>
      <c r="P22" s="15">
        <f t="shared" si="1"/>
        <v>319</v>
      </c>
      <c r="R22" s="38" t="s">
        <v>90</v>
      </c>
      <c r="S22" s="39">
        <f>MAX(S10:S12)</f>
        <v>268</v>
      </c>
      <c r="T22" s="39">
        <f t="shared" ref="T22:AF22" si="14">MAX(T10:T12)</f>
        <v>32</v>
      </c>
      <c r="U22" s="39">
        <f t="shared" si="14"/>
        <v>38</v>
      </c>
      <c r="V22" s="39">
        <f t="shared" si="14"/>
        <v>140</v>
      </c>
      <c r="W22" s="39">
        <f t="shared" si="14"/>
        <v>9</v>
      </c>
      <c r="X22" s="39">
        <f t="shared" si="14"/>
        <v>2</v>
      </c>
      <c r="Y22" s="39">
        <f t="shared" si="14"/>
        <v>59</v>
      </c>
      <c r="Z22" s="39">
        <f t="shared" si="14"/>
        <v>15</v>
      </c>
      <c r="AA22" s="39">
        <f t="shared" si="14"/>
        <v>12</v>
      </c>
      <c r="AB22" s="39">
        <f t="shared" si="14"/>
        <v>15</v>
      </c>
      <c r="AC22" s="39">
        <f t="shared" si="14"/>
        <v>425</v>
      </c>
      <c r="AD22" s="39">
        <f t="shared" si="14"/>
        <v>0</v>
      </c>
      <c r="AE22" s="40">
        <f t="shared" si="14"/>
        <v>587</v>
      </c>
      <c r="AF22" s="40">
        <f t="shared" si="14"/>
        <v>1008</v>
      </c>
    </row>
    <row r="23" spans="2:32" ht="23.1" customHeight="1" x14ac:dyDescent="0.25">
      <c r="B23" s="23" t="s">
        <v>50</v>
      </c>
      <c r="C23" s="50">
        <v>100</v>
      </c>
      <c r="D23" s="50">
        <v>10</v>
      </c>
      <c r="E23" s="50">
        <v>8</v>
      </c>
      <c r="F23" s="50">
        <v>28</v>
      </c>
      <c r="G23" s="50">
        <v>1</v>
      </c>
      <c r="H23" s="50">
        <v>1</v>
      </c>
      <c r="I23" s="50">
        <v>12</v>
      </c>
      <c r="J23" s="50">
        <v>6</v>
      </c>
      <c r="K23" s="50">
        <v>3</v>
      </c>
      <c r="L23" s="50">
        <v>8</v>
      </c>
      <c r="M23" s="50">
        <v>129</v>
      </c>
      <c r="N23" s="50">
        <v>0</v>
      </c>
      <c r="O23" s="15">
        <f t="shared" si="0"/>
        <v>177</v>
      </c>
      <c r="P23" s="15">
        <f t="shared" si="1"/>
        <v>306</v>
      </c>
      <c r="R23" s="38" t="s">
        <v>91</v>
      </c>
      <c r="S23" s="39">
        <f>MAX(S13:S18)</f>
        <v>650</v>
      </c>
      <c r="T23" s="39">
        <f t="shared" ref="T23:AF23" si="15">MAX(T13:T18)</f>
        <v>66</v>
      </c>
      <c r="U23" s="39">
        <f t="shared" si="15"/>
        <v>55</v>
      </c>
      <c r="V23" s="39">
        <f t="shared" si="15"/>
        <v>290</v>
      </c>
      <c r="W23" s="39">
        <f t="shared" si="15"/>
        <v>12</v>
      </c>
      <c r="X23" s="39">
        <f t="shared" si="15"/>
        <v>4</v>
      </c>
      <c r="Y23" s="39">
        <f t="shared" si="15"/>
        <v>70</v>
      </c>
      <c r="Z23" s="39">
        <f t="shared" si="15"/>
        <v>37</v>
      </c>
      <c r="AA23" s="39">
        <f t="shared" si="15"/>
        <v>20</v>
      </c>
      <c r="AB23" s="39">
        <f t="shared" si="15"/>
        <v>20</v>
      </c>
      <c r="AC23" s="39">
        <f t="shared" si="15"/>
        <v>547</v>
      </c>
      <c r="AD23" s="39">
        <f t="shared" si="15"/>
        <v>1</v>
      </c>
      <c r="AE23" s="40">
        <f t="shared" si="15"/>
        <v>1206</v>
      </c>
      <c r="AF23" s="40">
        <f t="shared" si="15"/>
        <v>1753</v>
      </c>
    </row>
    <row r="24" spans="2:32" ht="23.1" customHeight="1" x14ac:dyDescent="0.25">
      <c r="B24" s="23" t="s">
        <v>51</v>
      </c>
      <c r="C24" s="50">
        <v>61</v>
      </c>
      <c r="D24" s="50">
        <v>11</v>
      </c>
      <c r="E24" s="50">
        <v>17</v>
      </c>
      <c r="F24" s="50">
        <v>31</v>
      </c>
      <c r="G24" s="50">
        <v>3</v>
      </c>
      <c r="H24" s="50">
        <v>0</v>
      </c>
      <c r="I24" s="50">
        <v>15</v>
      </c>
      <c r="J24" s="50">
        <v>9</v>
      </c>
      <c r="K24" s="50">
        <v>3</v>
      </c>
      <c r="L24" s="50">
        <v>2</v>
      </c>
      <c r="M24" s="50">
        <v>147</v>
      </c>
      <c r="N24" s="50">
        <v>0</v>
      </c>
      <c r="O24" s="15">
        <f t="shared" si="0"/>
        <v>152</v>
      </c>
      <c r="P24" s="15">
        <f t="shared" si="1"/>
        <v>299</v>
      </c>
      <c r="R24" s="38" t="s">
        <v>92</v>
      </c>
      <c r="S24" s="39">
        <f>MAX(S19:S21)</f>
        <v>476</v>
      </c>
      <c r="T24" s="39">
        <f t="shared" ref="T24:AF24" si="16">MAX(T19:T21)</f>
        <v>40</v>
      </c>
      <c r="U24" s="39">
        <f t="shared" si="16"/>
        <v>37</v>
      </c>
      <c r="V24" s="39">
        <f t="shared" si="16"/>
        <v>226</v>
      </c>
      <c r="W24" s="39">
        <f t="shared" si="16"/>
        <v>18</v>
      </c>
      <c r="X24" s="39">
        <f t="shared" si="16"/>
        <v>11</v>
      </c>
      <c r="Y24" s="39">
        <f t="shared" si="16"/>
        <v>51</v>
      </c>
      <c r="Z24" s="39">
        <f t="shared" si="16"/>
        <v>28</v>
      </c>
      <c r="AA24" s="39">
        <f t="shared" si="16"/>
        <v>16</v>
      </c>
      <c r="AB24" s="39">
        <f t="shared" si="16"/>
        <v>18</v>
      </c>
      <c r="AC24" s="39">
        <f t="shared" si="16"/>
        <v>544</v>
      </c>
      <c r="AD24" s="39">
        <f t="shared" si="16"/>
        <v>0</v>
      </c>
      <c r="AE24" s="40">
        <f t="shared" si="16"/>
        <v>891</v>
      </c>
      <c r="AF24" s="40">
        <f t="shared" si="16"/>
        <v>1328</v>
      </c>
    </row>
    <row r="25" spans="2:32" ht="23.1" customHeight="1" x14ac:dyDescent="0.25">
      <c r="B25" s="23" t="s">
        <v>52</v>
      </c>
      <c r="C25" s="50">
        <v>104</v>
      </c>
      <c r="D25" s="50">
        <v>9</v>
      </c>
      <c r="E25" s="50">
        <v>7</v>
      </c>
      <c r="F25" s="50">
        <v>52</v>
      </c>
      <c r="G25" s="50">
        <v>0</v>
      </c>
      <c r="H25" s="50">
        <v>0</v>
      </c>
      <c r="I25" s="50">
        <v>13</v>
      </c>
      <c r="J25" s="50">
        <v>5</v>
      </c>
      <c r="K25" s="50">
        <v>2</v>
      </c>
      <c r="L25" s="50">
        <v>5</v>
      </c>
      <c r="M25" s="50">
        <v>13</v>
      </c>
      <c r="N25" s="50">
        <v>1</v>
      </c>
      <c r="O25" s="15">
        <f t="shared" si="0"/>
        <v>198</v>
      </c>
      <c r="P25" s="15">
        <f t="shared" si="1"/>
        <v>211</v>
      </c>
      <c r="R25" s="37" t="s">
        <v>85</v>
      </c>
      <c r="S25" s="35">
        <f t="shared" ref="S25:AF25" si="17">SUM(S10:S12)</f>
        <v>702</v>
      </c>
      <c r="T25" s="16">
        <f t="shared" si="17"/>
        <v>87</v>
      </c>
      <c r="U25" s="16">
        <f t="shared" si="17"/>
        <v>81</v>
      </c>
      <c r="V25" s="16">
        <f t="shared" si="17"/>
        <v>403</v>
      </c>
      <c r="W25" s="16">
        <f t="shared" si="17"/>
        <v>20</v>
      </c>
      <c r="X25" s="16">
        <f t="shared" si="17"/>
        <v>3</v>
      </c>
      <c r="Y25" s="16">
        <f t="shared" si="17"/>
        <v>107</v>
      </c>
      <c r="Z25" s="16">
        <f t="shared" si="17"/>
        <v>41</v>
      </c>
      <c r="AA25" s="16">
        <f t="shared" si="17"/>
        <v>31</v>
      </c>
      <c r="AB25" s="16">
        <f t="shared" si="17"/>
        <v>40</v>
      </c>
      <c r="AC25" s="16">
        <f t="shared" si="17"/>
        <v>1153</v>
      </c>
      <c r="AD25" s="16">
        <f t="shared" si="17"/>
        <v>0</v>
      </c>
      <c r="AE25" s="32">
        <f t="shared" si="17"/>
        <v>1515</v>
      </c>
      <c r="AF25" s="32">
        <f t="shared" si="17"/>
        <v>2668</v>
      </c>
    </row>
    <row r="26" spans="2:32" ht="23.1" customHeight="1" x14ac:dyDescent="0.25">
      <c r="B26" s="23" t="s">
        <v>53</v>
      </c>
      <c r="C26" s="50">
        <v>89</v>
      </c>
      <c r="D26" s="50">
        <v>11</v>
      </c>
      <c r="E26" s="50">
        <v>12</v>
      </c>
      <c r="F26" s="50">
        <v>34</v>
      </c>
      <c r="G26" s="50">
        <v>8</v>
      </c>
      <c r="H26" s="50">
        <v>0</v>
      </c>
      <c r="I26" s="50">
        <v>9</v>
      </c>
      <c r="J26" s="50">
        <v>8</v>
      </c>
      <c r="K26" s="50">
        <v>1</v>
      </c>
      <c r="L26" s="50">
        <v>4</v>
      </c>
      <c r="M26" s="50">
        <v>94</v>
      </c>
      <c r="N26" s="50">
        <v>0</v>
      </c>
      <c r="O26" s="15">
        <f t="shared" si="0"/>
        <v>176</v>
      </c>
      <c r="P26" s="15">
        <f t="shared" si="1"/>
        <v>270</v>
      </c>
      <c r="R26" s="28" t="s">
        <v>86</v>
      </c>
      <c r="S26" s="16">
        <f t="shared" ref="S26:AF26" si="18">SUM(S13:S18)</f>
        <v>2905</v>
      </c>
      <c r="T26" s="16">
        <f t="shared" si="18"/>
        <v>287</v>
      </c>
      <c r="U26" s="16">
        <f t="shared" si="18"/>
        <v>273</v>
      </c>
      <c r="V26" s="16">
        <f t="shared" si="18"/>
        <v>1147</v>
      </c>
      <c r="W26" s="16">
        <f t="shared" si="18"/>
        <v>41</v>
      </c>
      <c r="X26" s="16">
        <f t="shared" si="18"/>
        <v>11</v>
      </c>
      <c r="Y26" s="16">
        <f t="shared" si="18"/>
        <v>340</v>
      </c>
      <c r="Z26" s="16">
        <f t="shared" si="18"/>
        <v>150</v>
      </c>
      <c r="AA26" s="16">
        <f t="shared" si="18"/>
        <v>76</v>
      </c>
      <c r="AB26" s="16">
        <f t="shared" si="18"/>
        <v>96</v>
      </c>
      <c r="AC26" s="16">
        <f t="shared" si="18"/>
        <v>2396</v>
      </c>
      <c r="AD26" s="16">
        <f t="shared" si="18"/>
        <v>2</v>
      </c>
      <c r="AE26" s="32">
        <f t="shared" si="18"/>
        <v>5328</v>
      </c>
      <c r="AF26" s="32">
        <f t="shared" si="18"/>
        <v>7724</v>
      </c>
    </row>
    <row r="27" spans="2:32" ht="23.1" customHeight="1" x14ac:dyDescent="0.25">
      <c r="B27" s="23" t="s">
        <v>54</v>
      </c>
      <c r="C27" s="50">
        <v>103</v>
      </c>
      <c r="D27" s="50">
        <v>9</v>
      </c>
      <c r="E27" s="50">
        <v>10</v>
      </c>
      <c r="F27" s="50">
        <v>40</v>
      </c>
      <c r="G27" s="50">
        <v>3</v>
      </c>
      <c r="H27" s="50">
        <v>0</v>
      </c>
      <c r="I27" s="50">
        <v>18</v>
      </c>
      <c r="J27" s="50">
        <v>4</v>
      </c>
      <c r="K27" s="50">
        <v>6</v>
      </c>
      <c r="L27" s="50">
        <v>3</v>
      </c>
      <c r="M27" s="50">
        <v>116</v>
      </c>
      <c r="N27" s="50">
        <v>1</v>
      </c>
      <c r="O27" s="15">
        <f t="shared" si="0"/>
        <v>197</v>
      </c>
      <c r="P27" s="15">
        <f t="shared" si="1"/>
        <v>313</v>
      </c>
      <c r="R27" s="29" t="s">
        <v>87</v>
      </c>
      <c r="S27" s="16">
        <f t="shared" ref="S27:AF27" si="19">SUM(S19:S21)</f>
        <v>1291</v>
      </c>
      <c r="T27" s="16">
        <f t="shared" si="19"/>
        <v>120</v>
      </c>
      <c r="U27" s="16">
        <f t="shared" si="19"/>
        <v>109</v>
      </c>
      <c r="V27" s="16">
        <f t="shared" si="19"/>
        <v>610</v>
      </c>
      <c r="W27" s="16">
        <f t="shared" si="19"/>
        <v>40</v>
      </c>
      <c r="X27" s="16">
        <f t="shared" si="19"/>
        <v>19</v>
      </c>
      <c r="Y27" s="16">
        <f t="shared" si="19"/>
        <v>150</v>
      </c>
      <c r="Z27" s="16">
        <f t="shared" si="19"/>
        <v>76</v>
      </c>
      <c r="AA27" s="16">
        <f t="shared" si="19"/>
        <v>33</v>
      </c>
      <c r="AB27" s="16">
        <f t="shared" si="19"/>
        <v>51</v>
      </c>
      <c r="AC27" s="16">
        <f t="shared" si="19"/>
        <v>1325</v>
      </c>
      <c r="AD27" s="16">
        <f t="shared" si="19"/>
        <v>0</v>
      </c>
      <c r="AE27" s="32">
        <f t="shared" si="19"/>
        <v>2499</v>
      </c>
      <c r="AF27" s="32">
        <f t="shared" si="19"/>
        <v>3824</v>
      </c>
    </row>
    <row r="28" spans="2:32" ht="23.1" customHeight="1" x14ac:dyDescent="0.25">
      <c r="B28" s="23" t="s">
        <v>55</v>
      </c>
      <c r="C28" s="50">
        <v>121</v>
      </c>
      <c r="D28" s="50">
        <v>14</v>
      </c>
      <c r="E28" s="50">
        <v>12</v>
      </c>
      <c r="F28" s="50">
        <v>37</v>
      </c>
      <c r="G28" s="50">
        <v>1</v>
      </c>
      <c r="H28" s="50">
        <v>0</v>
      </c>
      <c r="I28" s="50">
        <v>15</v>
      </c>
      <c r="J28" s="50">
        <v>2</v>
      </c>
      <c r="K28" s="50">
        <v>0</v>
      </c>
      <c r="L28" s="50">
        <v>4</v>
      </c>
      <c r="M28" s="50">
        <v>109</v>
      </c>
      <c r="N28" s="50">
        <v>0</v>
      </c>
      <c r="O28" s="15">
        <f t="shared" si="0"/>
        <v>206</v>
      </c>
      <c r="P28" s="15">
        <f t="shared" si="1"/>
        <v>315</v>
      </c>
      <c r="R28" s="5" t="s">
        <v>17</v>
      </c>
      <c r="S28" s="16">
        <f t="shared" ref="S28:AF28" si="20">SUM(S10:S21)</f>
        <v>4898</v>
      </c>
      <c r="T28" s="16">
        <f t="shared" si="20"/>
        <v>494</v>
      </c>
      <c r="U28" s="16">
        <f t="shared" si="20"/>
        <v>463</v>
      </c>
      <c r="V28" s="16">
        <f t="shared" si="20"/>
        <v>2160</v>
      </c>
      <c r="W28" s="16">
        <f t="shared" si="20"/>
        <v>101</v>
      </c>
      <c r="X28" s="16">
        <f t="shared" si="20"/>
        <v>33</v>
      </c>
      <c r="Y28" s="16">
        <f t="shared" si="20"/>
        <v>597</v>
      </c>
      <c r="Z28" s="16">
        <f t="shared" si="20"/>
        <v>267</v>
      </c>
      <c r="AA28" s="16">
        <f t="shared" si="20"/>
        <v>140</v>
      </c>
      <c r="AB28" s="16">
        <f t="shared" si="20"/>
        <v>187</v>
      </c>
      <c r="AC28" s="16">
        <f t="shared" si="20"/>
        <v>4874</v>
      </c>
      <c r="AD28" s="16">
        <f t="shared" si="20"/>
        <v>2</v>
      </c>
      <c r="AE28" s="32">
        <f t="shared" si="20"/>
        <v>9342</v>
      </c>
      <c r="AF28" s="32">
        <f t="shared" si="20"/>
        <v>14216</v>
      </c>
    </row>
    <row r="29" spans="2:32" ht="23.1" customHeight="1" x14ac:dyDescent="0.25">
      <c r="B29" s="23" t="s">
        <v>56</v>
      </c>
      <c r="C29" s="50">
        <v>97</v>
      </c>
      <c r="D29" s="50">
        <v>5</v>
      </c>
      <c r="E29" s="50">
        <v>6</v>
      </c>
      <c r="F29" s="50">
        <v>24</v>
      </c>
      <c r="G29" s="50">
        <v>0</v>
      </c>
      <c r="H29" s="50">
        <v>0</v>
      </c>
      <c r="I29" s="50">
        <v>5</v>
      </c>
      <c r="J29" s="50">
        <v>1</v>
      </c>
      <c r="K29" s="50">
        <v>2</v>
      </c>
      <c r="L29" s="50">
        <v>4</v>
      </c>
      <c r="M29" s="50">
        <v>112</v>
      </c>
      <c r="N29" s="50">
        <v>0</v>
      </c>
      <c r="O29" s="15">
        <f t="shared" si="0"/>
        <v>144</v>
      </c>
      <c r="P29" s="15">
        <f t="shared" si="1"/>
        <v>256</v>
      </c>
      <c r="R29"/>
      <c r="S29" s="20"/>
      <c r="T29" s="19"/>
    </row>
    <row r="30" spans="2:32" ht="23.1" customHeight="1" x14ac:dyDescent="0.25">
      <c r="B30" s="23" t="s">
        <v>57</v>
      </c>
      <c r="C30" s="50">
        <v>42</v>
      </c>
      <c r="D30" s="50">
        <v>8</v>
      </c>
      <c r="E30" s="50">
        <v>9</v>
      </c>
      <c r="F30" s="50">
        <v>23</v>
      </c>
      <c r="G30" s="50">
        <v>0</v>
      </c>
      <c r="H30" s="50">
        <v>0</v>
      </c>
      <c r="I30" s="50">
        <v>1</v>
      </c>
      <c r="J30" s="50">
        <v>1</v>
      </c>
      <c r="K30" s="50">
        <v>1</v>
      </c>
      <c r="L30" s="50">
        <v>0</v>
      </c>
      <c r="M30" s="50">
        <v>149</v>
      </c>
      <c r="N30" s="50">
        <v>0</v>
      </c>
      <c r="O30" s="15">
        <f t="shared" si="0"/>
        <v>85</v>
      </c>
      <c r="P30" s="15">
        <f t="shared" si="1"/>
        <v>234</v>
      </c>
    </row>
    <row r="31" spans="2:32" ht="23.1" customHeight="1" x14ac:dyDescent="0.25">
      <c r="B31" s="24" t="s">
        <v>58</v>
      </c>
      <c r="C31" s="50">
        <v>214</v>
      </c>
      <c r="D31" s="50">
        <v>20</v>
      </c>
      <c r="E31" s="50">
        <v>19</v>
      </c>
      <c r="F31" s="50">
        <v>115</v>
      </c>
      <c r="G31" s="50">
        <v>2</v>
      </c>
      <c r="H31" s="50">
        <v>0</v>
      </c>
      <c r="I31" s="50">
        <v>31</v>
      </c>
      <c r="J31" s="50">
        <v>18</v>
      </c>
      <c r="K31" s="50">
        <v>0</v>
      </c>
      <c r="L31" s="50">
        <v>9</v>
      </c>
      <c r="M31" s="50">
        <v>165</v>
      </c>
      <c r="N31" s="50">
        <v>0</v>
      </c>
      <c r="O31" s="15">
        <f t="shared" si="0"/>
        <v>428</v>
      </c>
      <c r="P31" s="15">
        <f t="shared" si="1"/>
        <v>593</v>
      </c>
    </row>
    <row r="32" spans="2:32" ht="23.1" customHeight="1" x14ac:dyDescent="0.25">
      <c r="B32" s="24" t="s">
        <v>59</v>
      </c>
      <c r="C32" s="50">
        <v>230</v>
      </c>
      <c r="D32" s="50">
        <v>17</v>
      </c>
      <c r="E32" s="50">
        <v>14</v>
      </c>
      <c r="F32" s="50">
        <v>112</v>
      </c>
      <c r="G32" s="50">
        <v>7</v>
      </c>
      <c r="H32" s="50">
        <v>3</v>
      </c>
      <c r="I32" s="50">
        <v>16</v>
      </c>
      <c r="J32" s="50">
        <v>11</v>
      </c>
      <c r="K32" s="50">
        <v>3</v>
      </c>
      <c r="L32" s="50">
        <v>7</v>
      </c>
      <c r="M32" s="50">
        <v>128</v>
      </c>
      <c r="N32" s="50">
        <v>0</v>
      </c>
      <c r="O32" s="15">
        <f t="shared" si="0"/>
        <v>420</v>
      </c>
      <c r="P32" s="15">
        <f t="shared" si="1"/>
        <v>548</v>
      </c>
    </row>
    <row r="33" spans="2:20" ht="23.1" customHeight="1" x14ac:dyDescent="0.25">
      <c r="B33" s="23" t="s">
        <v>60</v>
      </c>
      <c r="C33" s="50">
        <v>164</v>
      </c>
      <c r="D33" s="50">
        <v>21</v>
      </c>
      <c r="E33" s="50">
        <v>9</v>
      </c>
      <c r="F33" s="50">
        <v>40</v>
      </c>
      <c r="G33" s="50">
        <v>3</v>
      </c>
      <c r="H33" s="50">
        <v>1</v>
      </c>
      <c r="I33" s="50">
        <v>22</v>
      </c>
      <c r="J33" s="50">
        <v>7</v>
      </c>
      <c r="K33" s="50">
        <v>4</v>
      </c>
      <c r="L33" s="50">
        <v>2</v>
      </c>
      <c r="M33" s="50">
        <v>105</v>
      </c>
      <c r="N33" s="50">
        <v>0</v>
      </c>
      <c r="O33" s="15">
        <f t="shared" si="0"/>
        <v>273</v>
      </c>
      <c r="P33" s="15">
        <f t="shared" si="1"/>
        <v>378</v>
      </c>
    </row>
    <row r="34" spans="2:20" ht="23.1" customHeight="1" x14ac:dyDescent="0.25">
      <c r="B34" s="24" t="s">
        <v>61</v>
      </c>
      <c r="C34" s="50">
        <v>131</v>
      </c>
      <c r="D34" s="50">
        <v>13</v>
      </c>
      <c r="E34" s="50">
        <v>14</v>
      </c>
      <c r="F34" s="50">
        <v>39</v>
      </c>
      <c r="G34" s="50">
        <v>0</v>
      </c>
      <c r="H34" s="50">
        <v>1</v>
      </c>
      <c r="I34" s="50">
        <v>18</v>
      </c>
      <c r="J34" s="50">
        <v>10</v>
      </c>
      <c r="K34" s="50">
        <v>6</v>
      </c>
      <c r="L34" s="50">
        <v>3</v>
      </c>
      <c r="M34" s="50">
        <v>126</v>
      </c>
      <c r="N34" s="50">
        <v>0</v>
      </c>
      <c r="O34" s="15">
        <f t="shared" si="0"/>
        <v>235</v>
      </c>
      <c r="P34" s="15">
        <f t="shared" si="1"/>
        <v>361</v>
      </c>
    </row>
    <row r="35" spans="2:20" ht="23.1" customHeight="1" x14ac:dyDescent="0.25">
      <c r="B35" s="24" t="s">
        <v>62</v>
      </c>
      <c r="C35" s="50">
        <v>132</v>
      </c>
      <c r="D35" s="50">
        <v>15</v>
      </c>
      <c r="E35" s="50">
        <v>14</v>
      </c>
      <c r="F35" s="50">
        <v>47</v>
      </c>
      <c r="G35" s="50">
        <v>1</v>
      </c>
      <c r="H35" s="50">
        <v>0</v>
      </c>
      <c r="I35" s="50">
        <v>14</v>
      </c>
      <c r="J35" s="50">
        <v>3</v>
      </c>
      <c r="K35" s="50">
        <v>4</v>
      </c>
      <c r="L35" s="50">
        <v>3</v>
      </c>
      <c r="M35" s="50">
        <v>105</v>
      </c>
      <c r="N35" s="50">
        <v>0</v>
      </c>
      <c r="O35" s="15">
        <f t="shared" si="0"/>
        <v>233</v>
      </c>
      <c r="P35" s="15">
        <f t="shared" si="1"/>
        <v>338</v>
      </c>
    </row>
    <row r="36" spans="2:20" ht="23.1" customHeight="1" x14ac:dyDescent="0.25">
      <c r="B36" s="24" t="s">
        <v>63</v>
      </c>
      <c r="C36" s="50">
        <v>171</v>
      </c>
      <c r="D36" s="50">
        <v>14</v>
      </c>
      <c r="E36" s="50">
        <v>8</v>
      </c>
      <c r="F36" s="50">
        <v>52</v>
      </c>
      <c r="G36" s="50">
        <v>1</v>
      </c>
      <c r="H36" s="50">
        <v>0</v>
      </c>
      <c r="I36" s="50">
        <v>12</v>
      </c>
      <c r="J36" s="50">
        <v>7</v>
      </c>
      <c r="K36" s="50">
        <v>4</v>
      </c>
      <c r="L36" s="50">
        <v>7</v>
      </c>
      <c r="M36" s="50">
        <v>111</v>
      </c>
      <c r="N36" s="50">
        <v>0</v>
      </c>
      <c r="O36" s="15">
        <f t="shared" si="0"/>
        <v>276</v>
      </c>
      <c r="P36" s="15">
        <f t="shared" si="1"/>
        <v>387</v>
      </c>
    </row>
    <row r="37" spans="2:20" ht="23.1" customHeight="1" x14ac:dyDescent="0.25">
      <c r="B37" s="23" t="s">
        <v>64</v>
      </c>
      <c r="C37" s="50">
        <v>133</v>
      </c>
      <c r="D37" s="50">
        <v>15</v>
      </c>
      <c r="E37" s="50">
        <v>12</v>
      </c>
      <c r="F37" s="50">
        <v>52</v>
      </c>
      <c r="G37" s="50">
        <v>0</v>
      </c>
      <c r="H37" s="50">
        <v>1</v>
      </c>
      <c r="I37" s="50">
        <v>19</v>
      </c>
      <c r="J37" s="50">
        <v>6</v>
      </c>
      <c r="K37" s="50">
        <v>6</v>
      </c>
      <c r="L37" s="50">
        <v>5</v>
      </c>
      <c r="M37" s="50">
        <v>83</v>
      </c>
      <c r="N37" s="50">
        <v>0</v>
      </c>
      <c r="O37" s="15">
        <f t="shared" si="0"/>
        <v>249</v>
      </c>
      <c r="P37" s="15">
        <f t="shared" si="1"/>
        <v>332</v>
      </c>
    </row>
    <row r="38" spans="2:20" ht="23.1" customHeight="1" x14ac:dyDescent="0.25">
      <c r="B38" s="24" t="s">
        <v>65</v>
      </c>
      <c r="C38" s="50">
        <v>133</v>
      </c>
      <c r="D38" s="50">
        <v>14</v>
      </c>
      <c r="E38" s="50">
        <v>14</v>
      </c>
      <c r="F38" s="50">
        <v>46</v>
      </c>
      <c r="G38" s="50">
        <v>0</v>
      </c>
      <c r="H38" s="50">
        <v>0</v>
      </c>
      <c r="I38" s="50">
        <v>17</v>
      </c>
      <c r="J38" s="50">
        <v>7</v>
      </c>
      <c r="K38" s="50">
        <v>2</v>
      </c>
      <c r="L38" s="50">
        <v>2</v>
      </c>
      <c r="M38" s="50">
        <v>78</v>
      </c>
      <c r="N38" s="50">
        <v>0</v>
      </c>
      <c r="O38" s="15">
        <f t="shared" si="0"/>
        <v>235</v>
      </c>
      <c r="P38" s="15">
        <f t="shared" si="1"/>
        <v>313</v>
      </c>
    </row>
    <row r="39" spans="2:20" ht="23.1" customHeight="1" x14ac:dyDescent="0.25">
      <c r="B39" s="24" t="s">
        <v>66</v>
      </c>
      <c r="C39" s="50">
        <v>103</v>
      </c>
      <c r="D39" s="50">
        <v>9</v>
      </c>
      <c r="E39" s="50">
        <v>13</v>
      </c>
      <c r="F39" s="50">
        <v>50</v>
      </c>
      <c r="G39" s="50">
        <v>1</v>
      </c>
      <c r="H39" s="50">
        <v>0</v>
      </c>
      <c r="I39" s="50">
        <v>13</v>
      </c>
      <c r="J39" s="50">
        <v>8</v>
      </c>
      <c r="K39" s="50">
        <v>5</v>
      </c>
      <c r="L39" s="50">
        <v>4</v>
      </c>
      <c r="M39" s="50">
        <v>63</v>
      </c>
      <c r="N39" s="50">
        <v>0</v>
      </c>
      <c r="O39" s="15">
        <f t="shared" si="0"/>
        <v>206</v>
      </c>
      <c r="P39" s="15">
        <f t="shared" si="1"/>
        <v>269</v>
      </c>
    </row>
    <row r="40" spans="2:20" ht="23.1" customHeight="1" x14ac:dyDescent="0.25">
      <c r="B40" s="24" t="s">
        <v>67</v>
      </c>
      <c r="C40" s="50">
        <v>101</v>
      </c>
      <c r="D40" s="50">
        <v>10</v>
      </c>
      <c r="E40" s="50">
        <v>19</v>
      </c>
      <c r="F40" s="50">
        <v>47</v>
      </c>
      <c r="G40" s="50">
        <v>1</v>
      </c>
      <c r="H40" s="50">
        <v>2</v>
      </c>
      <c r="I40" s="50">
        <v>10</v>
      </c>
      <c r="J40" s="50">
        <v>3</v>
      </c>
      <c r="K40" s="50">
        <v>1</v>
      </c>
      <c r="L40" s="50">
        <v>3</v>
      </c>
      <c r="M40" s="50">
        <v>50</v>
      </c>
      <c r="N40" s="50">
        <v>0</v>
      </c>
      <c r="O40" s="15">
        <f t="shared" si="0"/>
        <v>197</v>
      </c>
      <c r="P40" s="15">
        <f t="shared" si="1"/>
        <v>247</v>
      </c>
    </row>
    <row r="41" spans="2:20" ht="23.1" customHeight="1" x14ac:dyDescent="0.25">
      <c r="B41" s="23" t="s">
        <v>68</v>
      </c>
      <c r="C41" s="50">
        <v>111</v>
      </c>
      <c r="D41" s="50">
        <v>17</v>
      </c>
      <c r="E41" s="50">
        <v>9</v>
      </c>
      <c r="F41" s="50">
        <v>47</v>
      </c>
      <c r="G41" s="50">
        <v>2</v>
      </c>
      <c r="H41" s="50">
        <v>1</v>
      </c>
      <c r="I41" s="50">
        <v>14</v>
      </c>
      <c r="J41" s="50">
        <v>4</v>
      </c>
      <c r="K41" s="50">
        <v>2</v>
      </c>
      <c r="L41" s="50">
        <v>4</v>
      </c>
      <c r="M41" s="50">
        <v>73</v>
      </c>
      <c r="N41" s="50">
        <v>0</v>
      </c>
      <c r="O41" s="15">
        <f t="shared" si="0"/>
        <v>211</v>
      </c>
      <c r="P41" s="15">
        <f t="shared" si="1"/>
        <v>284</v>
      </c>
    </row>
    <row r="42" spans="2:20" ht="23.1" customHeight="1" x14ac:dyDescent="0.25">
      <c r="B42" s="24" t="s">
        <v>69</v>
      </c>
      <c r="C42" s="50">
        <v>115</v>
      </c>
      <c r="D42" s="50">
        <v>13</v>
      </c>
      <c r="E42" s="50">
        <v>8</v>
      </c>
      <c r="F42" s="50">
        <v>60</v>
      </c>
      <c r="G42" s="50">
        <v>0</v>
      </c>
      <c r="H42" s="50">
        <v>0</v>
      </c>
      <c r="I42" s="50">
        <v>10</v>
      </c>
      <c r="J42" s="50">
        <v>4</v>
      </c>
      <c r="K42" s="50">
        <v>5</v>
      </c>
      <c r="L42" s="50">
        <v>3</v>
      </c>
      <c r="M42" s="50">
        <v>80</v>
      </c>
      <c r="N42" s="50">
        <v>0</v>
      </c>
      <c r="O42" s="15">
        <f t="shared" si="0"/>
        <v>218</v>
      </c>
      <c r="P42" s="15">
        <f t="shared" si="1"/>
        <v>298</v>
      </c>
    </row>
    <row r="43" spans="2:20" ht="23.1" customHeight="1" x14ac:dyDescent="0.25">
      <c r="B43" s="23" t="s">
        <v>70</v>
      </c>
      <c r="C43" s="50">
        <v>106</v>
      </c>
      <c r="D43" s="50">
        <v>6</v>
      </c>
      <c r="E43" s="50">
        <v>9</v>
      </c>
      <c r="F43" s="50">
        <v>39</v>
      </c>
      <c r="G43" s="50">
        <v>1</v>
      </c>
      <c r="H43" s="50">
        <v>0</v>
      </c>
      <c r="I43" s="50">
        <v>13</v>
      </c>
      <c r="J43" s="50">
        <v>12</v>
      </c>
      <c r="K43" s="50">
        <v>5</v>
      </c>
      <c r="L43" s="50">
        <v>5</v>
      </c>
      <c r="M43" s="50">
        <v>91</v>
      </c>
      <c r="N43" s="50">
        <v>0</v>
      </c>
      <c r="O43" s="15">
        <f t="shared" si="0"/>
        <v>196</v>
      </c>
      <c r="P43" s="15">
        <f t="shared" si="1"/>
        <v>287</v>
      </c>
    </row>
    <row r="44" spans="2:20" ht="23.1" customHeight="1" x14ac:dyDescent="0.25">
      <c r="B44" s="25" t="s">
        <v>71</v>
      </c>
      <c r="C44" s="50">
        <v>132</v>
      </c>
      <c r="D44" s="50">
        <v>10</v>
      </c>
      <c r="E44" s="50">
        <v>5</v>
      </c>
      <c r="F44" s="50">
        <v>39</v>
      </c>
      <c r="G44" s="50">
        <v>2</v>
      </c>
      <c r="H44" s="50">
        <v>0</v>
      </c>
      <c r="I44" s="50">
        <v>13</v>
      </c>
      <c r="J44" s="50">
        <v>3</v>
      </c>
      <c r="K44" s="50">
        <v>6</v>
      </c>
      <c r="L44" s="50">
        <v>2</v>
      </c>
      <c r="M44" s="50">
        <v>70</v>
      </c>
      <c r="N44" s="50">
        <v>0</v>
      </c>
      <c r="O44" s="15">
        <f t="shared" si="0"/>
        <v>212</v>
      </c>
      <c r="P44" s="15">
        <f t="shared" si="1"/>
        <v>282</v>
      </c>
    </row>
    <row r="45" spans="2:20" ht="23.1" customHeight="1" x14ac:dyDescent="0.25">
      <c r="B45" s="23" t="s">
        <v>72</v>
      </c>
      <c r="C45" s="50">
        <v>110</v>
      </c>
      <c r="D45" s="50">
        <v>7</v>
      </c>
      <c r="E45" s="50">
        <v>12</v>
      </c>
      <c r="F45" s="50">
        <v>42</v>
      </c>
      <c r="G45" s="50">
        <v>3</v>
      </c>
      <c r="H45" s="50">
        <v>1</v>
      </c>
      <c r="I45" s="50">
        <v>16</v>
      </c>
      <c r="J45" s="50">
        <v>4</v>
      </c>
      <c r="K45" s="50">
        <v>4</v>
      </c>
      <c r="L45" s="50">
        <v>2</v>
      </c>
      <c r="M45" s="50">
        <v>83</v>
      </c>
      <c r="N45" s="50">
        <v>0</v>
      </c>
      <c r="O45" s="15">
        <f t="shared" si="0"/>
        <v>201</v>
      </c>
      <c r="P45" s="15">
        <f t="shared" si="1"/>
        <v>284</v>
      </c>
    </row>
    <row r="46" spans="2:20" ht="23.1" customHeight="1" x14ac:dyDescent="0.25">
      <c r="B46" s="24" t="s">
        <v>73</v>
      </c>
      <c r="C46" s="50">
        <v>105</v>
      </c>
      <c r="D46" s="50">
        <v>10</v>
      </c>
      <c r="E46" s="50">
        <v>10</v>
      </c>
      <c r="F46" s="50">
        <v>56</v>
      </c>
      <c r="G46" s="50">
        <v>2</v>
      </c>
      <c r="H46" s="50">
        <v>2</v>
      </c>
      <c r="I46" s="50">
        <v>16</v>
      </c>
      <c r="J46" s="50">
        <v>6</v>
      </c>
      <c r="K46" s="50">
        <v>0</v>
      </c>
      <c r="L46" s="50">
        <v>7</v>
      </c>
      <c r="M46" s="50">
        <v>86</v>
      </c>
      <c r="N46" s="50">
        <v>0</v>
      </c>
      <c r="O46" s="15">
        <f t="shared" si="0"/>
        <v>214</v>
      </c>
      <c r="P46" s="15">
        <f t="shared" si="1"/>
        <v>300</v>
      </c>
      <c r="R46" s="8"/>
      <c r="T46"/>
    </row>
    <row r="47" spans="2:20" ht="23.1" customHeight="1" x14ac:dyDescent="0.25">
      <c r="B47" s="24" t="s">
        <v>74</v>
      </c>
      <c r="C47" s="50">
        <v>82</v>
      </c>
      <c r="D47" s="50">
        <v>8</v>
      </c>
      <c r="E47" s="50">
        <v>12</v>
      </c>
      <c r="F47" s="50">
        <v>58</v>
      </c>
      <c r="G47" s="50">
        <v>4</v>
      </c>
      <c r="H47" s="50">
        <v>1</v>
      </c>
      <c r="I47" s="50">
        <v>14</v>
      </c>
      <c r="J47" s="50">
        <v>5</v>
      </c>
      <c r="K47" s="50">
        <v>0</v>
      </c>
      <c r="L47" s="50">
        <v>5</v>
      </c>
      <c r="M47" s="50">
        <v>95</v>
      </c>
      <c r="N47" s="50">
        <v>0</v>
      </c>
      <c r="O47" s="15">
        <f t="shared" si="0"/>
        <v>189</v>
      </c>
      <c r="P47" s="15">
        <f t="shared" si="1"/>
        <v>284</v>
      </c>
      <c r="R47" s="8"/>
      <c r="T47"/>
    </row>
    <row r="48" spans="2:20" ht="23.1" customHeight="1" x14ac:dyDescent="0.25">
      <c r="B48" s="24" t="s">
        <v>75</v>
      </c>
      <c r="C48" s="50">
        <v>111</v>
      </c>
      <c r="D48" s="50">
        <v>9</v>
      </c>
      <c r="E48" s="50">
        <v>11</v>
      </c>
      <c r="F48" s="50">
        <v>56</v>
      </c>
      <c r="G48" s="50">
        <v>8</v>
      </c>
      <c r="H48" s="50">
        <v>1</v>
      </c>
      <c r="I48" s="50">
        <v>13</v>
      </c>
      <c r="J48" s="50">
        <v>4</v>
      </c>
      <c r="K48" s="50">
        <v>7</v>
      </c>
      <c r="L48" s="50">
        <v>3</v>
      </c>
      <c r="M48" s="50">
        <v>97</v>
      </c>
      <c r="N48" s="50">
        <v>0</v>
      </c>
      <c r="O48" s="15">
        <f t="shared" si="0"/>
        <v>223</v>
      </c>
      <c r="P48" s="15">
        <f t="shared" si="1"/>
        <v>320</v>
      </c>
      <c r="R48" s="8"/>
      <c r="T48"/>
    </row>
    <row r="49" spans="2:20" ht="23.1" customHeight="1" x14ac:dyDescent="0.25">
      <c r="B49" s="23" t="s">
        <v>76</v>
      </c>
      <c r="C49" s="50">
        <v>103</v>
      </c>
      <c r="D49" s="50">
        <v>13</v>
      </c>
      <c r="E49" s="50">
        <v>4</v>
      </c>
      <c r="F49" s="50">
        <v>56</v>
      </c>
      <c r="G49" s="50">
        <v>3</v>
      </c>
      <c r="H49" s="50">
        <v>1</v>
      </c>
      <c r="I49" s="50">
        <v>7</v>
      </c>
      <c r="J49" s="50">
        <v>6</v>
      </c>
      <c r="K49" s="50">
        <v>2</v>
      </c>
      <c r="L49" s="50">
        <v>3</v>
      </c>
      <c r="M49" s="50">
        <v>75</v>
      </c>
      <c r="N49" s="50">
        <v>0</v>
      </c>
      <c r="O49" s="15">
        <f t="shared" si="0"/>
        <v>198</v>
      </c>
      <c r="P49" s="15">
        <f t="shared" si="1"/>
        <v>273</v>
      </c>
      <c r="R49" s="8"/>
      <c r="T49"/>
    </row>
    <row r="50" spans="2:20" ht="23.1" customHeight="1" x14ac:dyDescent="0.25">
      <c r="B50" s="24" t="s">
        <v>77</v>
      </c>
      <c r="C50" s="50">
        <v>104</v>
      </c>
      <c r="D50" s="50">
        <v>11</v>
      </c>
      <c r="E50" s="50">
        <v>9</v>
      </c>
      <c r="F50" s="50">
        <v>44</v>
      </c>
      <c r="G50" s="50">
        <v>1</v>
      </c>
      <c r="H50" s="50">
        <v>3</v>
      </c>
      <c r="I50" s="50">
        <v>9</v>
      </c>
      <c r="J50" s="50">
        <v>8</v>
      </c>
      <c r="K50" s="50">
        <v>2</v>
      </c>
      <c r="L50" s="50">
        <v>3</v>
      </c>
      <c r="M50" s="50">
        <v>112</v>
      </c>
      <c r="N50" s="50">
        <v>0</v>
      </c>
      <c r="O50" s="15">
        <f t="shared" si="0"/>
        <v>194</v>
      </c>
      <c r="P50" s="15">
        <f t="shared" si="1"/>
        <v>306</v>
      </c>
      <c r="R50" s="8"/>
      <c r="T50"/>
    </row>
    <row r="51" spans="2:20" ht="23.1" customHeight="1" x14ac:dyDescent="0.25">
      <c r="B51" s="24" t="s">
        <v>78</v>
      </c>
      <c r="C51" s="50">
        <v>122</v>
      </c>
      <c r="D51" s="50">
        <v>15</v>
      </c>
      <c r="E51" s="50">
        <v>8</v>
      </c>
      <c r="F51" s="50">
        <v>54</v>
      </c>
      <c r="G51" s="50">
        <v>3</v>
      </c>
      <c r="H51" s="50">
        <v>5</v>
      </c>
      <c r="I51" s="50">
        <v>18</v>
      </c>
      <c r="J51" s="50">
        <v>6</v>
      </c>
      <c r="K51" s="50">
        <v>7</v>
      </c>
      <c r="L51" s="50">
        <v>5</v>
      </c>
      <c r="M51" s="50">
        <v>93</v>
      </c>
      <c r="N51" s="50">
        <v>0</v>
      </c>
      <c r="O51" s="15">
        <f t="shared" si="0"/>
        <v>243</v>
      </c>
      <c r="P51" s="15">
        <f t="shared" si="1"/>
        <v>336</v>
      </c>
      <c r="R51" s="8"/>
      <c r="T51"/>
    </row>
    <row r="52" spans="2:20" ht="23.1" customHeight="1" x14ac:dyDescent="0.25">
      <c r="B52" s="24" t="s">
        <v>79</v>
      </c>
      <c r="C52" s="50">
        <v>120</v>
      </c>
      <c r="D52" s="50">
        <v>11</v>
      </c>
      <c r="E52" s="50">
        <v>10</v>
      </c>
      <c r="F52" s="50">
        <v>55</v>
      </c>
      <c r="G52" s="50">
        <v>10</v>
      </c>
      <c r="H52" s="50">
        <v>1</v>
      </c>
      <c r="I52" s="50">
        <v>9</v>
      </c>
      <c r="J52" s="50">
        <v>5</v>
      </c>
      <c r="K52" s="50">
        <v>3</v>
      </c>
      <c r="L52" s="50">
        <v>1</v>
      </c>
      <c r="M52" s="50">
        <v>103</v>
      </c>
      <c r="N52" s="50">
        <v>0</v>
      </c>
      <c r="O52" s="15">
        <f t="shared" si="0"/>
        <v>225</v>
      </c>
      <c r="P52" s="15">
        <f t="shared" si="1"/>
        <v>328</v>
      </c>
      <c r="R52" s="8"/>
      <c r="T52"/>
    </row>
    <row r="53" spans="2:20" ht="23.1" customHeight="1" x14ac:dyDescent="0.25">
      <c r="B53" s="23" t="s">
        <v>80</v>
      </c>
      <c r="C53" s="50">
        <v>130</v>
      </c>
      <c r="D53" s="50">
        <v>3</v>
      </c>
      <c r="E53" s="50">
        <v>10</v>
      </c>
      <c r="F53" s="50">
        <v>44</v>
      </c>
      <c r="G53" s="50">
        <v>4</v>
      </c>
      <c r="H53" s="50">
        <v>2</v>
      </c>
      <c r="I53" s="50">
        <v>15</v>
      </c>
      <c r="J53" s="50">
        <v>9</v>
      </c>
      <c r="K53" s="50">
        <v>4</v>
      </c>
      <c r="L53" s="50">
        <v>8</v>
      </c>
      <c r="M53" s="50">
        <v>120</v>
      </c>
      <c r="N53" s="50">
        <v>0</v>
      </c>
      <c r="O53" s="15">
        <f t="shared" si="0"/>
        <v>229</v>
      </c>
      <c r="P53" s="15">
        <f t="shared" si="1"/>
        <v>349</v>
      </c>
      <c r="R53" s="8"/>
      <c r="T53"/>
    </row>
    <row r="54" spans="2:20" ht="23.1" customHeight="1" x14ac:dyDescent="0.25">
      <c r="B54" s="23" t="s">
        <v>81</v>
      </c>
      <c r="C54" s="50">
        <v>91</v>
      </c>
      <c r="D54" s="50">
        <v>11</v>
      </c>
      <c r="E54" s="50">
        <v>11</v>
      </c>
      <c r="F54" s="50">
        <v>52</v>
      </c>
      <c r="G54" s="50">
        <v>5</v>
      </c>
      <c r="H54" s="50">
        <v>2</v>
      </c>
      <c r="I54" s="50">
        <v>13</v>
      </c>
      <c r="J54" s="50">
        <v>4</v>
      </c>
      <c r="K54" s="50">
        <v>2</v>
      </c>
      <c r="L54" s="50">
        <v>1</v>
      </c>
      <c r="M54" s="50">
        <v>166</v>
      </c>
      <c r="N54" s="50">
        <v>0</v>
      </c>
      <c r="O54" s="15">
        <f t="shared" si="0"/>
        <v>192</v>
      </c>
      <c r="P54" s="15">
        <f t="shared" si="1"/>
        <v>358</v>
      </c>
      <c r="R54" s="8"/>
      <c r="T54"/>
    </row>
    <row r="55" spans="2:20" ht="23.1" customHeight="1" x14ac:dyDescent="0.25">
      <c r="B55" s="23" t="s">
        <v>82</v>
      </c>
      <c r="C55" s="50">
        <v>101</v>
      </c>
      <c r="D55" s="50">
        <v>6</v>
      </c>
      <c r="E55" s="50">
        <v>10</v>
      </c>
      <c r="F55" s="50">
        <v>37</v>
      </c>
      <c r="G55" s="50">
        <v>0</v>
      </c>
      <c r="H55" s="50">
        <v>0</v>
      </c>
      <c r="I55" s="50">
        <v>11</v>
      </c>
      <c r="J55" s="50">
        <v>8</v>
      </c>
      <c r="K55" s="50">
        <v>3</v>
      </c>
      <c r="L55" s="50">
        <v>1</v>
      </c>
      <c r="M55" s="50">
        <v>133</v>
      </c>
      <c r="N55" s="50">
        <v>0</v>
      </c>
      <c r="O55" s="15">
        <f t="shared" si="0"/>
        <v>177</v>
      </c>
      <c r="P55" s="15">
        <f t="shared" si="1"/>
        <v>310</v>
      </c>
      <c r="R55" s="8"/>
      <c r="T55"/>
    </row>
    <row r="56" spans="2:20" ht="23.1" customHeight="1" x14ac:dyDescent="0.25">
      <c r="B56" s="23" t="s">
        <v>83</v>
      </c>
      <c r="C56" s="50">
        <v>80</v>
      </c>
      <c r="D56" s="50">
        <v>2</v>
      </c>
      <c r="E56" s="50">
        <v>7</v>
      </c>
      <c r="F56" s="50">
        <v>47</v>
      </c>
      <c r="G56" s="50">
        <v>0</v>
      </c>
      <c r="H56" s="50">
        <v>1</v>
      </c>
      <c r="I56" s="50">
        <v>12</v>
      </c>
      <c r="J56" s="50">
        <v>4</v>
      </c>
      <c r="K56" s="50">
        <v>2</v>
      </c>
      <c r="L56" s="50">
        <v>6</v>
      </c>
      <c r="M56" s="50">
        <v>109</v>
      </c>
      <c r="N56" s="50">
        <v>0</v>
      </c>
      <c r="O56" s="15">
        <f t="shared" si="0"/>
        <v>161</v>
      </c>
      <c r="P56" s="15">
        <f t="shared" si="1"/>
        <v>270</v>
      </c>
      <c r="R56" s="8"/>
      <c r="T56"/>
    </row>
    <row r="57" spans="2:20" ht="23.1" customHeight="1" x14ac:dyDescent="0.25">
      <c r="B57" s="23" t="s">
        <v>84</v>
      </c>
      <c r="C57" s="50">
        <v>142</v>
      </c>
      <c r="D57" s="50">
        <v>21</v>
      </c>
      <c r="E57" s="50">
        <v>7</v>
      </c>
      <c r="F57" s="50">
        <v>51</v>
      </c>
      <c r="G57" s="50">
        <v>0</v>
      </c>
      <c r="H57" s="50">
        <v>0</v>
      </c>
      <c r="I57" s="50">
        <v>13</v>
      </c>
      <c r="J57" s="50">
        <v>11</v>
      </c>
      <c r="K57" s="50">
        <v>1</v>
      </c>
      <c r="L57" s="50">
        <v>8</v>
      </c>
      <c r="M57" s="50">
        <v>136</v>
      </c>
      <c r="N57" s="50">
        <v>0</v>
      </c>
      <c r="O57" s="15">
        <f t="shared" si="0"/>
        <v>254</v>
      </c>
      <c r="P57" s="15">
        <f t="shared" si="1"/>
        <v>390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4898</v>
      </c>
      <c r="D58" s="16">
        <f t="shared" si="21"/>
        <v>494</v>
      </c>
      <c r="E58" s="16">
        <f t="shared" si="21"/>
        <v>463</v>
      </c>
      <c r="F58" s="16">
        <f t="shared" si="21"/>
        <v>2160</v>
      </c>
      <c r="G58" s="16">
        <f t="shared" si="21"/>
        <v>101</v>
      </c>
      <c r="H58" s="16">
        <f t="shared" si="21"/>
        <v>33</v>
      </c>
      <c r="I58" s="16">
        <f t="shared" si="21"/>
        <v>597</v>
      </c>
      <c r="J58" s="16">
        <f t="shared" si="21"/>
        <v>267</v>
      </c>
      <c r="K58" s="16">
        <f t="shared" si="21"/>
        <v>140</v>
      </c>
      <c r="L58" s="16">
        <f t="shared" si="21"/>
        <v>187</v>
      </c>
      <c r="M58" s="16">
        <f t="shared" si="21"/>
        <v>4874</v>
      </c>
      <c r="N58" s="16">
        <f t="shared" si="21"/>
        <v>2</v>
      </c>
      <c r="O58" s="16">
        <f t="shared" si="21"/>
        <v>9342</v>
      </c>
      <c r="P58" s="16">
        <f t="shared" si="21"/>
        <v>14216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0.34454136184580753</v>
      </c>
      <c r="D59" s="43">
        <f t="shared" si="22"/>
        <v>3.47495779403489E-2</v>
      </c>
      <c r="E59" s="43">
        <f t="shared" si="22"/>
        <v>3.2568936409679235E-2</v>
      </c>
      <c r="F59" s="43">
        <f t="shared" si="22"/>
        <v>0.15194147439504782</v>
      </c>
      <c r="G59" s="43">
        <f t="shared" si="22"/>
        <v>7.1046707934721443E-3</v>
      </c>
      <c r="H59" s="43">
        <f t="shared" si="22"/>
        <v>2.3213280810354532E-3</v>
      </c>
      <c r="I59" s="43">
        <f t="shared" si="22"/>
        <v>4.1994935284186831E-2</v>
      </c>
      <c r="J59" s="43">
        <f t="shared" si="22"/>
        <v>1.8781654473832302E-2</v>
      </c>
      <c r="K59" s="43">
        <f t="shared" si="22"/>
        <v>9.8480585256049517E-3</v>
      </c>
      <c r="L59" s="43">
        <f t="shared" si="22"/>
        <v>1.31541924592009E-2</v>
      </c>
      <c r="M59" s="43">
        <f t="shared" si="22"/>
        <v>0.34285312324141815</v>
      </c>
      <c r="N59" s="43">
        <f t="shared" si="22"/>
        <v>1.4068655036578504E-4</v>
      </c>
      <c r="R59" s="8"/>
      <c r="T59"/>
    </row>
    <row r="60" spans="2:20" ht="23.1" customHeight="1" x14ac:dyDescent="0.25">
      <c r="B60" s="42" t="s">
        <v>94</v>
      </c>
      <c r="C60" s="44">
        <f>C58/$O$58</f>
        <v>0.52429886533932779</v>
      </c>
      <c r="D60" s="44">
        <f t="shared" ref="D60:N60" si="23">D58/$O$58</f>
        <v>5.287946906444016E-2</v>
      </c>
      <c r="E60" s="44">
        <f t="shared" si="23"/>
        <v>4.9561121815457077E-2</v>
      </c>
      <c r="F60" s="44">
        <f t="shared" si="23"/>
        <v>0.23121387283236994</v>
      </c>
      <c r="G60" s="44">
        <f t="shared" si="23"/>
        <v>1.0811389424106187E-2</v>
      </c>
      <c r="H60" s="44">
        <f t="shared" si="23"/>
        <v>3.5324341682723185E-3</v>
      </c>
      <c r="I60" s="44">
        <f t="shared" si="23"/>
        <v>6.3904945407835576E-2</v>
      </c>
      <c r="J60" s="44">
        <f t="shared" si="23"/>
        <v>2.8580603725112397E-2</v>
      </c>
      <c r="K60" s="44">
        <f t="shared" si="23"/>
        <v>1.49860843502462E-2</v>
      </c>
      <c r="L60" s="44">
        <f t="shared" si="23"/>
        <v>2.001712695354314E-2</v>
      </c>
      <c r="M60" s="44"/>
      <c r="N60" s="44">
        <f t="shared" si="23"/>
        <v>2.1408691928923143E-4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B31" zoomScale="60" workbookViewId="0">
      <selection activeCell="O57" sqref="O57:O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0" width="10.7109375" customWidth="1"/>
    <col min="31" max="32" width="12.28515625" customWidth="1"/>
    <col min="33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'28.07 Masanafu-Busega'!C3:G3</f>
        <v>MCC - C1 - STN13 - NORTHERN BYPASS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169</v>
      </c>
      <c r="E5" s="67"/>
      <c r="F5" s="41" t="s">
        <v>1</v>
      </c>
      <c r="G5" s="64" t="str">
        <f>'28.07 Busega-Masanafu'!G5:H5</f>
        <v>NORTHERN BYPASS</v>
      </c>
      <c r="H5" s="65"/>
      <c r="I5" s="14"/>
      <c r="J5" s="2" t="s">
        <v>5</v>
      </c>
      <c r="K5" s="64" t="str">
        <f>'28.07 Busega-Masanafu'!K5:L5</f>
        <v>SSEMUKO SAMUEL JUNIOR W/MUTEBI CHRISTOPHER/SSEMWOGERERE FREDRICK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'28.07 Busega-Masanafu'!D6:E6</f>
        <v>BUSEGA</v>
      </c>
      <c r="E6" s="65"/>
      <c r="F6" s="2" t="s">
        <v>2</v>
      </c>
      <c r="G6" s="64" t="str">
        <f>'28.07 Busega-Masanafu'!G6:H6</f>
        <v>MASANAFU</v>
      </c>
      <c r="H6" s="65"/>
      <c r="J6" s="2" t="s">
        <v>21</v>
      </c>
      <c r="K6" s="64" t="str">
        <f>'28.07 Busega-Masanafu'!K6:L6</f>
        <v>ANDY/ANDREW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Busega-Masanafu'!C10,'23.07 Busega-Masanafu'!C10,'24.07 Busega-Masanafu'!C10,'25.07 Busega-Masanafu'!C10,'26.07 Busega-Masanafu-24h'!C10,'27.07 Busega-Masanafu-24h'!C10,'28.07 Busega-Masanafu'!C10)</f>
        <v>69.285714285714292</v>
      </c>
      <c r="D10" s="49">
        <f>AVERAGE('22.07 Busega-Masanafu'!D10,'23.07 Busega-Masanafu'!D10,'24.07 Busega-Masanafu'!D10,'25.07 Busega-Masanafu'!D10,'26.07 Busega-Masanafu-24h'!D10,'27.07 Busega-Masanafu-24h'!D10,'28.07 Busega-Masanafu'!D10)</f>
        <v>6.7142857142857144</v>
      </c>
      <c r="E10" s="49">
        <f>AVERAGE('22.07 Busega-Masanafu'!E10,'23.07 Busega-Masanafu'!E10,'24.07 Busega-Masanafu'!E10,'25.07 Busega-Masanafu'!E10,'26.07 Busega-Masanafu-24h'!E10,'27.07 Busega-Masanafu-24h'!E10,'28.07 Busega-Masanafu'!E10)</f>
        <v>5.4285714285714288</v>
      </c>
      <c r="F10" s="49">
        <f>AVERAGE('22.07 Busega-Masanafu'!F10,'23.07 Busega-Masanafu'!F10,'24.07 Busega-Masanafu'!F10,'25.07 Busega-Masanafu'!F10,'26.07 Busega-Masanafu-24h'!F10,'27.07 Busega-Masanafu-24h'!F10,'28.07 Busega-Masanafu'!F10)</f>
        <v>22</v>
      </c>
      <c r="G10" s="49">
        <f>AVERAGE('22.07 Busega-Masanafu'!G10,'23.07 Busega-Masanafu'!G10,'24.07 Busega-Masanafu'!G10,'25.07 Busega-Masanafu'!G10,'26.07 Busega-Masanafu-24h'!G10,'27.07 Busega-Masanafu-24h'!G10,'28.07 Busega-Masanafu'!G10)</f>
        <v>3.5714285714285716</v>
      </c>
      <c r="H10" s="49">
        <f>AVERAGE('22.07 Busega-Masanafu'!H10,'23.07 Busega-Masanafu'!H10,'24.07 Busega-Masanafu'!H10,'25.07 Busega-Masanafu'!H10,'26.07 Busega-Masanafu-24h'!H10,'27.07 Busega-Masanafu-24h'!H10,'28.07 Busega-Masanafu'!H10)</f>
        <v>0.14285714285714285</v>
      </c>
      <c r="I10" s="49">
        <f>AVERAGE('22.07 Busega-Masanafu'!I10,'23.07 Busega-Masanafu'!I10,'24.07 Busega-Masanafu'!I10,'25.07 Busega-Masanafu'!I10,'26.07 Busega-Masanafu-24h'!I10,'27.07 Busega-Masanafu-24h'!I10,'28.07 Busega-Masanafu'!I10)</f>
        <v>8.7142857142857135</v>
      </c>
      <c r="J10" s="49">
        <f>AVERAGE('22.07 Busega-Masanafu'!J10,'23.07 Busega-Masanafu'!J10,'24.07 Busega-Masanafu'!J10,'25.07 Busega-Masanafu'!J10,'26.07 Busega-Masanafu-24h'!J10,'27.07 Busega-Masanafu-24h'!J10,'28.07 Busega-Masanafu'!J10)</f>
        <v>10.285714285714286</v>
      </c>
      <c r="K10" s="49">
        <f>AVERAGE('22.07 Busega-Masanafu'!K10,'23.07 Busega-Masanafu'!K10,'24.07 Busega-Masanafu'!K10,'25.07 Busega-Masanafu'!K10,'26.07 Busega-Masanafu-24h'!K10,'27.07 Busega-Masanafu-24h'!K10,'28.07 Busega-Masanafu'!K10)</f>
        <v>4.2857142857142856</v>
      </c>
      <c r="L10" s="49">
        <f>AVERAGE('22.07 Busega-Masanafu'!L10,'23.07 Busega-Masanafu'!L10,'24.07 Busega-Masanafu'!L10,'25.07 Busega-Masanafu'!L10,'26.07 Busega-Masanafu-24h'!L10,'27.07 Busega-Masanafu-24h'!L10,'28.07 Busega-Masanafu'!L10)</f>
        <v>1.7142857142857142</v>
      </c>
      <c r="M10" s="49">
        <f>AVERAGE('22.07 Busega-Masanafu'!M10,'23.07 Busega-Masanafu'!M10,'24.07 Busega-Masanafu'!M10,'25.07 Busega-Masanafu'!M10,'26.07 Busega-Masanafu-24h'!M10,'27.07 Busega-Masanafu-24h'!M10,'28.07 Busega-Masanafu'!M10)</f>
        <v>116.85714285714286</v>
      </c>
      <c r="N10" s="49">
        <f>AVERAGE('22.07 Busega-Masanafu'!N10,'23.07 Busega-Masanafu'!N10,'24.07 Busega-Masanafu'!N10,'25.07 Busega-Masanafu'!N10,'26.07 Busega-Masanafu-24h'!N10,'27.07 Busega-Masanafu-24h'!N10,'28.07 Busega-Masanafu'!N10)</f>
        <v>0</v>
      </c>
      <c r="O10" s="49">
        <f>AVERAGE('22.07 Busega-Masanafu'!O10,'23.07 Busega-Masanafu'!O10,'24.07 Busega-Masanafu'!O10,'25.07 Busega-Masanafu'!O10,'26.07 Busega-Masanafu-24h'!O10,'27.07 Busega-Masanafu-24h'!O10,'28.07 Busega-Masanafu'!O10)</f>
        <v>132.14285714285714</v>
      </c>
      <c r="P10" s="49">
        <f>AVERAGE('22.07 Busega-Masanafu'!P10,'23.07 Busega-Masanafu'!P10,'24.07 Busega-Masanafu'!P10,'25.07 Busega-Masanafu'!P10,'26.07 Busega-Masanafu-24h'!P10,'27.07 Busega-Masanafu-24h'!P10,'28.07 Busega-Masanafu'!P10)</f>
        <v>249</v>
      </c>
      <c r="R10" s="1" t="s">
        <v>6</v>
      </c>
      <c r="S10" s="17">
        <f t="shared" ref="S10:AE10" si="0">SUM(C10:C13)</f>
        <v>255.42857142857144</v>
      </c>
      <c r="T10" s="17">
        <f t="shared" si="0"/>
        <v>32.571428571428569</v>
      </c>
      <c r="U10" s="17">
        <f t="shared" si="0"/>
        <v>24.285714285714285</v>
      </c>
      <c r="V10" s="17">
        <f t="shared" si="0"/>
        <v>85.285714285714278</v>
      </c>
      <c r="W10" s="17">
        <f t="shared" si="0"/>
        <v>9.5714285714285712</v>
      </c>
      <c r="X10" s="17">
        <f t="shared" si="0"/>
        <v>1.7142857142857142</v>
      </c>
      <c r="Y10" s="17">
        <f t="shared" si="0"/>
        <v>31.142857142857146</v>
      </c>
      <c r="Z10" s="17">
        <f t="shared" si="0"/>
        <v>38.714285714285715</v>
      </c>
      <c r="AA10" s="17">
        <f t="shared" si="0"/>
        <v>14.285714285714285</v>
      </c>
      <c r="AB10" s="17">
        <f t="shared" si="0"/>
        <v>11.142857142857142</v>
      </c>
      <c r="AC10" s="17">
        <f t="shared" si="0"/>
        <v>581.28571428571422</v>
      </c>
      <c r="AD10" s="17">
        <f t="shared" si="0"/>
        <v>0</v>
      </c>
      <c r="AE10" s="31">
        <f t="shared" si="0"/>
        <v>504.14285714285711</v>
      </c>
      <c r="AF10" s="31">
        <f>SUM(P10:P13)</f>
        <v>1085.4285714285713</v>
      </c>
    </row>
    <row r="11" spans="2:32" s="6" customFormat="1" ht="23.1" customHeight="1" x14ac:dyDescent="0.25">
      <c r="B11" s="23" t="s">
        <v>38</v>
      </c>
      <c r="C11" s="49">
        <f>AVERAGE('22.07 Busega-Masanafu'!C11,'23.07 Busega-Masanafu'!C11,'24.07 Busega-Masanafu'!C11,'25.07 Busega-Masanafu'!C11,'26.07 Busega-Masanafu-24h'!C11,'27.07 Busega-Masanafu-24h'!C11,'28.07 Busega-Masanafu'!C11)</f>
        <v>66.857142857142861</v>
      </c>
      <c r="D11" s="49">
        <f>AVERAGE('22.07 Busega-Masanafu'!D11,'23.07 Busega-Masanafu'!D11,'24.07 Busega-Masanafu'!D11,'25.07 Busega-Masanafu'!D11,'26.07 Busega-Masanafu-24h'!D11,'27.07 Busega-Masanafu-24h'!D11,'28.07 Busega-Masanafu'!D11)</f>
        <v>7.7142857142857144</v>
      </c>
      <c r="E11" s="49">
        <f>AVERAGE('22.07 Busega-Masanafu'!E11,'23.07 Busega-Masanafu'!E11,'24.07 Busega-Masanafu'!E11,'25.07 Busega-Masanafu'!E11,'26.07 Busega-Masanafu-24h'!E11,'27.07 Busega-Masanafu-24h'!E11,'28.07 Busega-Masanafu'!E11)</f>
        <v>6.4285714285714288</v>
      </c>
      <c r="F11" s="49">
        <f>AVERAGE('22.07 Busega-Masanafu'!F11,'23.07 Busega-Masanafu'!F11,'24.07 Busega-Masanafu'!F11,'25.07 Busega-Masanafu'!F11,'26.07 Busega-Masanafu-24h'!F11,'27.07 Busega-Masanafu-24h'!F11,'28.07 Busega-Masanafu'!F11)</f>
        <v>20.714285714285715</v>
      </c>
      <c r="G11" s="49">
        <f>AVERAGE('22.07 Busega-Masanafu'!G11,'23.07 Busega-Masanafu'!G11,'24.07 Busega-Masanafu'!G11,'25.07 Busega-Masanafu'!G11,'26.07 Busega-Masanafu-24h'!G11,'27.07 Busega-Masanafu-24h'!G11,'28.07 Busega-Masanafu'!G11)</f>
        <v>2.1428571428571428</v>
      </c>
      <c r="H11" s="49">
        <f>AVERAGE('22.07 Busega-Masanafu'!H11,'23.07 Busega-Masanafu'!H11,'24.07 Busega-Masanafu'!H11,'25.07 Busega-Masanafu'!H11,'26.07 Busega-Masanafu-24h'!H11,'27.07 Busega-Masanafu-24h'!H11,'28.07 Busega-Masanafu'!H11)</f>
        <v>0.7142857142857143</v>
      </c>
      <c r="I11" s="49">
        <f>AVERAGE('22.07 Busega-Masanafu'!I11,'23.07 Busega-Masanafu'!I11,'24.07 Busega-Masanafu'!I11,'25.07 Busega-Masanafu'!I11,'26.07 Busega-Masanafu-24h'!I11,'27.07 Busega-Masanafu-24h'!I11,'28.07 Busega-Masanafu'!I11)</f>
        <v>9</v>
      </c>
      <c r="J11" s="49">
        <f>AVERAGE('22.07 Busega-Masanafu'!J11,'23.07 Busega-Masanafu'!J11,'24.07 Busega-Masanafu'!J11,'25.07 Busega-Masanafu'!J11,'26.07 Busega-Masanafu-24h'!J11,'27.07 Busega-Masanafu-24h'!J11,'28.07 Busega-Masanafu'!J11)</f>
        <v>10.571428571428571</v>
      </c>
      <c r="K11" s="49">
        <f>AVERAGE('22.07 Busega-Masanafu'!K11,'23.07 Busega-Masanafu'!K11,'24.07 Busega-Masanafu'!K11,'25.07 Busega-Masanafu'!K11,'26.07 Busega-Masanafu-24h'!K11,'27.07 Busega-Masanafu-24h'!K11,'28.07 Busega-Masanafu'!K11)</f>
        <v>3.7142857142857144</v>
      </c>
      <c r="L11" s="49">
        <f>AVERAGE('22.07 Busega-Masanafu'!L11,'23.07 Busega-Masanafu'!L11,'24.07 Busega-Masanafu'!L11,'25.07 Busega-Masanafu'!L11,'26.07 Busega-Masanafu-24h'!L11,'27.07 Busega-Masanafu-24h'!L11,'28.07 Busega-Masanafu'!L11)</f>
        <v>3</v>
      </c>
      <c r="M11" s="49">
        <f>AVERAGE('22.07 Busega-Masanafu'!M11,'23.07 Busega-Masanafu'!M11,'24.07 Busega-Masanafu'!M11,'25.07 Busega-Masanafu'!M11,'26.07 Busega-Masanafu-24h'!M11,'27.07 Busega-Masanafu-24h'!M11,'28.07 Busega-Masanafu'!M11)</f>
        <v>144.42857142857142</v>
      </c>
      <c r="N11" s="49">
        <f>AVERAGE('22.07 Busega-Masanafu'!N11,'23.07 Busega-Masanafu'!N11,'24.07 Busega-Masanafu'!N11,'25.07 Busega-Masanafu'!N11,'26.07 Busega-Masanafu-24h'!N11,'27.07 Busega-Masanafu-24h'!N11,'28.07 Busega-Masanafu'!N11)</f>
        <v>0</v>
      </c>
      <c r="O11" s="49">
        <f>AVERAGE('22.07 Busega-Masanafu'!O11,'23.07 Busega-Masanafu'!O11,'24.07 Busega-Masanafu'!O11,'25.07 Busega-Masanafu'!O11,'26.07 Busega-Masanafu-24h'!O11,'27.07 Busega-Masanafu-24h'!O11,'28.07 Busega-Masanafu'!O11)</f>
        <v>130.85714285714286</v>
      </c>
      <c r="P11" s="49">
        <f>AVERAGE('22.07 Busega-Masanafu'!P11,'23.07 Busega-Masanafu'!P11,'24.07 Busega-Masanafu'!P11,'25.07 Busega-Masanafu'!P11,'26.07 Busega-Masanafu-24h'!P11,'27.07 Busega-Masanafu-24h'!P11,'28.07 Busega-Masanafu'!P11)</f>
        <v>275.28571428571428</v>
      </c>
      <c r="R11" s="1" t="s">
        <v>7</v>
      </c>
      <c r="S11" s="17">
        <f t="shared" ref="S11:AF11" si="1">SUM(C14:C17)</f>
        <v>256.28571428571428</v>
      </c>
      <c r="T11" s="17">
        <f t="shared" si="1"/>
        <v>43.571428571428569</v>
      </c>
      <c r="U11" s="17">
        <f t="shared" si="1"/>
        <v>33.285714285714292</v>
      </c>
      <c r="V11" s="17">
        <f t="shared" si="1"/>
        <v>95.714285714285722</v>
      </c>
      <c r="W11" s="17">
        <f t="shared" si="1"/>
        <v>6.2857142857142847</v>
      </c>
      <c r="X11" s="17">
        <f t="shared" si="1"/>
        <v>3</v>
      </c>
      <c r="Y11" s="17">
        <f t="shared" si="1"/>
        <v>32.428571428571431</v>
      </c>
      <c r="Z11" s="17">
        <f t="shared" si="1"/>
        <v>40.142857142857139</v>
      </c>
      <c r="AA11" s="17">
        <f t="shared" si="1"/>
        <v>11.571428571428573</v>
      </c>
      <c r="AB11" s="17">
        <f t="shared" si="1"/>
        <v>10.571428571428573</v>
      </c>
      <c r="AC11" s="17">
        <f t="shared" si="1"/>
        <v>642</v>
      </c>
      <c r="AD11" s="17">
        <f t="shared" si="1"/>
        <v>0</v>
      </c>
      <c r="AE11" s="31">
        <f t="shared" si="1"/>
        <v>532.85714285714289</v>
      </c>
      <c r="AF11" s="31">
        <f t="shared" si="1"/>
        <v>1174.8571428571427</v>
      </c>
    </row>
    <row r="12" spans="2:32" ht="23.1" customHeight="1" x14ac:dyDescent="0.25">
      <c r="B12" s="23" t="s">
        <v>39</v>
      </c>
      <c r="C12" s="49">
        <f>AVERAGE('22.07 Busega-Masanafu'!C12,'23.07 Busega-Masanafu'!C12,'24.07 Busega-Masanafu'!C12,'25.07 Busega-Masanafu'!C12,'26.07 Busega-Masanafu-24h'!C12,'27.07 Busega-Masanafu-24h'!C12,'28.07 Busega-Masanafu'!C12)</f>
        <v>58.285714285714285</v>
      </c>
      <c r="D12" s="49">
        <f>AVERAGE('22.07 Busega-Masanafu'!D12,'23.07 Busega-Masanafu'!D12,'24.07 Busega-Masanafu'!D12,'25.07 Busega-Masanafu'!D12,'26.07 Busega-Masanafu-24h'!D12,'27.07 Busega-Masanafu-24h'!D12,'28.07 Busega-Masanafu'!D12)</f>
        <v>8.7142857142857135</v>
      </c>
      <c r="E12" s="49">
        <f>AVERAGE('22.07 Busega-Masanafu'!E12,'23.07 Busega-Masanafu'!E12,'24.07 Busega-Masanafu'!E12,'25.07 Busega-Masanafu'!E12,'26.07 Busega-Masanafu-24h'!E12,'27.07 Busega-Masanafu-24h'!E12,'28.07 Busega-Masanafu'!E12)</f>
        <v>6</v>
      </c>
      <c r="F12" s="49">
        <f>AVERAGE('22.07 Busega-Masanafu'!F12,'23.07 Busega-Masanafu'!F12,'24.07 Busega-Masanafu'!F12,'25.07 Busega-Masanafu'!F12,'26.07 Busega-Masanafu-24h'!F12,'27.07 Busega-Masanafu-24h'!F12,'28.07 Busega-Masanafu'!F12)</f>
        <v>21.857142857142858</v>
      </c>
      <c r="G12" s="49">
        <f>AVERAGE('22.07 Busega-Masanafu'!G12,'23.07 Busega-Masanafu'!G12,'24.07 Busega-Masanafu'!G12,'25.07 Busega-Masanafu'!G12,'26.07 Busega-Masanafu-24h'!G12,'27.07 Busega-Masanafu-24h'!G12,'28.07 Busega-Masanafu'!G12)</f>
        <v>2.4285714285714284</v>
      </c>
      <c r="H12" s="49">
        <f>AVERAGE('22.07 Busega-Masanafu'!H12,'23.07 Busega-Masanafu'!H12,'24.07 Busega-Masanafu'!H12,'25.07 Busega-Masanafu'!H12,'26.07 Busega-Masanafu-24h'!H12,'27.07 Busega-Masanafu-24h'!H12,'28.07 Busega-Masanafu'!H12)</f>
        <v>0.2857142857142857</v>
      </c>
      <c r="I12" s="49">
        <f>AVERAGE('22.07 Busega-Masanafu'!I12,'23.07 Busega-Masanafu'!I12,'24.07 Busega-Masanafu'!I12,'25.07 Busega-Masanafu'!I12,'26.07 Busega-Masanafu-24h'!I12,'27.07 Busega-Masanafu-24h'!I12,'28.07 Busega-Masanafu'!I12)</f>
        <v>6.8571428571428568</v>
      </c>
      <c r="J12" s="49">
        <f>AVERAGE('22.07 Busega-Masanafu'!J12,'23.07 Busega-Masanafu'!J12,'24.07 Busega-Masanafu'!J12,'25.07 Busega-Masanafu'!J12,'26.07 Busega-Masanafu-24h'!J12,'27.07 Busega-Masanafu-24h'!J12,'28.07 Busega-Masanafu'!J12)</f>
        <v>9.1428571428571423</v>
      </c>
      <c r="K12" s="49">
        <f>AVERAGE('22.07 Busega-Masanafu'!K12,'23.07 Busega-Masanafu'!K12,'24.07 Busega-Masanafu'!K12,'25.07 Busega-Masanafu'!K12,'26.07 Busega-Masanafu-24h'!K12,'27.07 Busega-Masanafu-24h'!K12,'28.07 Busega-Masanafu'!K12)</f>
        <v>3</v>
      </c>
      <c r="L12" s="49">
        <f>AVERAGE('22.07 Busega-Masanafu'!L12,'23.07 Busega-Masanafu'!L12,'24.07 Busega-Masanafu'!L12,'25.07 Busega-Masanafu'!L12,'26.07 Busega-Masanafu-24h'!L12,'27.07 Busega-Masanafu-24h'!L12,'28.07 Busega-Masanafu'!L12)</f>
        <v>3</v>
      </c>
      <c r="M12" s="49">
        <f>AVERAGE('22.07 Busega-Masanafu'!M12,'23.07 Busega-Masanafu'!M12,'24.07 Busega-Masanafu'!M12,'25.07 Busega-Masanafu'!M12,'26.07 Busega-Masanafu-24h'!M12,'27.07 Busega-Masanafu-24h'!M12,'28.07 Busega-Masanafu'!M12)</f>
        <v>157.28571428571428</v>
      </c>
      <c r="N12" s="49">
        <f>AVERAGE('22.07 Busega-Masanafu'!N12,'23.07 Busega-Masanafu'!N12,'24.07 Busega-Masanafu'!N12,'25.07 Busega-Masanafu'!N12,'26.07 Busega-Masanafu-24h'!N12,'27.07 Busega-Masanafu-24h'!N12,'28.07 Busega-Masanafu'!N12)</f>
        <v>0</v>
      </c>
      <c r="O12" s="49">
        <f>AVERAGE('22.07 Busega-Masanafu'!O12,'23.07 Busega-Masanafu'!O12,'24.07 Busega-Masanafu'!O12,'25.07 Busega-Masanafu'!O12,'26.07 Busega-Masanafu-24h'!O12,'27.07 Busega-Masanafu-24h'!O12,'28.07 Busega-Masanafu'!O12)</f>
        <v>119.57142857142857</v>
      </c>
      <c r="P12" s="49">
        <f>AVERAGE('22.07 Busega-Masanafu'!P12,'23.07 Busega-Masanafu'!P12,'24.07 Busega-Masanafu'!P12,'25.07 Busega-Masanafu'!P12,'26.07 Busega-Masanafu-24h'!P12,'27.07 Busega-Masanafu-24h'!P12,'28.07 Busega-Masanafu'!P12)</f>
        <v>276.85714285714283</v>
      </c>
      <c r="R12" s="1" t="s">
        <v>8</v>
      </c>
      <c r="S12" s="17">
        <f t="shared" ref="S12:AF12" si="2">SUM(C18:C21)</f>
        <v>268.85714285714289</v>
      </c>
      <c r="T12" s="17">
        <f t="shared" si="2"/>
        <v>51.571428571428577</v>
      </c>
      <c r="U12" s="17">
        <f t="shared" si="2"/>
        <v>38.142857142857146</v>
      </c>
      <c r="V12" s="17">
        <f t="shared" si="2"/>
        <v>102.71428571428572</v>
      </c>
      <c r="W12" s="17">
        <f t="shared" si="2"/>
        <v>8.2857142857142865</v>
      </c>
      <c r="X12" s="17">
        <f t="shared" si="2"/>
        <v>2.4285714285714284</v>
      </c>
      <c r="Y12" s="17">
        <f t="shared" si="2"/>
        <v>33</v>
      </c>
      <c r="Z12" s="17">
        <f t="shared" si="2"/>
        <v>37.142857142857139</v>
      </c>
      <c r="AA12" s="17">
        <f t="shared" si="2"/>
        <v>14</v>
      </c>
      <c r="AB12" s="17">
        <f t="shared" si="2"/>
        <v>12.428571428571429</v>
      </c>
      <c r="AC12" s="17">
        <f t="shared" si="2"/>
        <v>579.28571428571422</v>
      </c>
      <c r="AD12" s="17">
        <f t="shared" si="2"/>
        <v>0</v>
      </c>
      <c r="AE12" s="31">
        <f t="shared" si="2"/>
        <v>568.57142857142856</v>
      </c>
      <c r="AF12" s="31">
        <f t="shared" si="2"/>
        <v>1147.8571428571429</v>
      </c>
    </row>
    <row r="13" spans="2:32" ht="23.1" customHeight="1" x14ac:dyDescent="0.25">
      <c r="B13" s="23" t="s">
        <v>40</v>
      </c>
      <c r="C13" s="49">
        <f>AVERAGE('22.07 Busega-Masanafu'!C13,'23.07 Busega-Masanafu'!C13,'24.07 Busega-Masanafu'!C13,'25.07 Busega-Masanafu'!C13,'26.07 Busega-Masanafu-24h'!C13,'27.07 Busega-Masanafu-24h'!C13,'28.07 Busega-Masanafu'!C13)</f>
        <v>61</v>
      </c>
      <c r="D13" s="49">
        <f>AVERAGE('22.07 Busega-Masanafu'!D13,'23.07 Busega-Masanafu'!D13,'24.07 Busega-Masanafu'!D13,'25.07 Busega-Masanafu'!D13,'26.07 Busega-Masanafu-24h'!D13,'27.07 Busega-Masanafu-24h'!D13,'28.07 Busega-Masanafu'!D13)</f>
        <v>9.4285714285714288</v>
      </c>
      <c r="E13" s="49">
        <f>AVERAGE('22.07 Busega-Masanafu'!E13,'23.07 Busega-Masanafu'!E13,'24.07 Busega-Masanafu'!E13,'25.07 Busega-Masanafu'!E13,'26.07 Busega-Masanafu-24h'!E13,'27.07 Busega-Masanafu-24h'!E13,'28.07 Busega-Masanafu'!E13)</f>
        <v>6.4285714285714288</v>
      </c>
      <c r="F13" s="49">
        <f>AVERAGE('22.07 Busega-Masanafu'!F13,'23.07 Busega-Masanafu'!F13,'24.07 Busega-Masanafu'!F13,'25.07 Busega-Masanafu'!F13,'26.07 Busega-Masanafu-24h'!F13,'27.07 Busega-Masanafu-24h'!F13,'28.07 Busega-Masanafu'!F13)</f>
        <v>20.714285714285715</v>
      </c>
      <c r="G13" s="49">
        <f>AVERAGE('22.07 Busega-Masanafu'!G13,'23.07 Busega-Masanafu'!G13,'24.07 Busega-Masanafu'!G13,'25.07 Busega-Masanafu'!G13,'26.07 Busega-Masanafu-24h'!G13,'27.07 Busega-Masanafu-24h'!G13,'28.07 Busega-Masanafu'!G13)</f>
        <v>1.4285714285714286</v>
      </c>
      <c r="H13" s="49">
        <f>AVERAGE('22.07 Busega-Masanafu'!H13,'23.07 Busega-Masanafu'!H13,'24.07 Busega-Masanafu'!H13,'25.07 Busega-Masanafu'!H13,'26.07 Busega-Masanafu-24h'!H13,'27.07 Busega-Masanafu-24h'!H13,'28.07 Busega-Masanafu'!H13)</f>
        <v>0.5714285714285714</v>
      </c>
      <c r="I13" s="49">
        <f>AVERAGE('22.07 Busega-Masanafu'!I13,'23.07 Busega-Masanafu'!I13,'24.07 Busega-Masanafu'!I13,'25.07 Busega-Masanafu'!I13,'26.07 Busega-Masanafu-24h'!I13,'27.07 Busega-Masanafu-24h'!I13,'28.07 Busega-Masanafu'!I13)</f>
        <v>6.5714285714285712</v>
      </c>
      <c r="J13" s="49">
        <f>AVERAGE('22.07 Busega-Masanafu'!J13,'23.07 Busega-Masanafu'!J13,'24.07 Busega-Masanafu'!J13,'25.07 Busega-Masanafu'!J13,'26.07 Busega-Masanafu-24h'!J13,'27.07 Busega-Masanafu-24h'!J13,'28.07 Busega-Masanafu'!J13)</f>
        <v>8.7142857142857135</v>
      </c>
      <c r="K13" s="49">
        <f>AVERAGE('22.07 Busega-Masanafu'!K13,'23.07 Busega-Masanafu'!K13,'24.07 Busega-Masanafu'!K13,'25.07 Busega-Masanafu'!K13,'26.07 Busega-Masanafu-24h'!K13,'27.07 Busega-Masanafu-24h'!K13,'28.07 Busega-Masanafu'!K13)</f>
        <v>3.2857142857142856</v>
      </c>
      <c r="L13" s="49">
        <f>AVERAGE('22.07 Busega-Masanafu'!L13,'23.07 Busega-Masanafu'!L13,'24.07 Busega-Masanafu'!L13,'25.07 Busega-Masanafu'!L13,'26.07 Busega-Masanafu-24h'!L13,'27.07 Busega-Masanafu-24h'!L13,'28.07 Busega-Masanafu'!L13)</f>
        <v>3.4285714285714284</v>
      </c>
      <c r="M13" s="49">
        <f>AVERAGE('22.07 Busega-Masanafu'!M13,'23.07 Busega-Masanafu'!M13,'24.07 Busega-Masanafu'!M13,'25.07 Busega-Masanafu'!M13,'26.07 Busega-Masanafu-24h'!M13,'27.07 Busega-Masanafu-24h'!M13,'28.07 Busega-Masanafu'!M13)</f>
        <v>162.71428571428572</v>
      </c>
      <c r="N13" s="49">
        <f>AVERAGE('22.07 Busega-Masanafu'!N13,'23.07 Busega-Masanafu'!N13,'24.07 Busega-Masanafu'!N13,'25.07 Busega-Masanafu'!N13,'26.07 Busega-Masanafu-24h'!N13,'27.07 Busega-Masanafu-24h'!N13,'28.07 Busega-Masanafu'!N13)</f>
        <v>0</v>
      </c>
      <c r="O13" s="49">
        <f>AVERAGE('22.07 Busega-Masanafu'!O13,'23.07 Busega-Masanafu'!O13,'24.07 Busega-Masanafu'!O13,'25.07 Busega-Masanafu'!O13,'26.07 Busega-Masanafu-24h'!O13,'27.07 Busega-Masanafu-24h'!O13,'28.07 Busega-Masanafu'!O13)</f>
        <v>121.57142857142857</v>
      </c>
      <c r="P13" s="49">
        <f>AVERAGE('22.07 Busega-Masanafu'!P13,'23.07 Busega-Masanafu'!P13,'24.07 Busega-Masanafu'!P13,'25.07 Busega-Masanafu'!P13,'26.07 Busega-Masanafu-24h'!P13,'27.07 Busega-Masanafu-24h'!P13,'28.07 Busega-Masanafu'!P13)</f>
        <v>284.28571428571428</v>
      </c>
      <c r="R13" s="1" t="s">
        <v>9</v>
      </c>
      <c r="S13" s="17">
        <f t="shared" ref="S13:AF13" si="3">SUM(C22:C25)</f>
        <v>268.71428571428572</v>
      </c>
      <c r="T13" s="17">
        <f t="shared" si="3"/>
        <v>54</v>
      </c>
      <c r="U13" s="17">
        <f t="shared" si="3"/>
        <v>32.285714285714285</v>
      </c>
      <c r="V13" s="17">
        <f t="shared" si="3"/>
        <v>113.28571428571428</v>
      </c>
      <c r="W13" s="17">
        <f t="shared" si="3"/>
        <v>4.4285714285714279</v>
      </c>
      <c r="X13" s="17">
        <f t="shared" si="3"/>
        <v>1.714285714285714</v>
      </c>
      <c r="Y13" s="17">
        <f t="shared" si="3"/>
        <v>57.857142857142854</v>
      </c>
      <c r="Z13" s="17">
        <f t="shared" si="3"/>
        <v>35.714285714285715</v>
      </c>
      <c r="AA13" s="17">
        <f t="shared" si="3"/>
        <v>16.428571428571431</v>
      </c>
      <c r="AB13" s="17">
        <f t="shared" si="3"/>
        <v>14.142857142857144</v>
      </c>
      <c r="AC13" s="17">
        <f t="shared" si="3"/>
        <v>513.71428571428578</v>
      </c>
      <c r="AD13" s="17">
        <f t="shared" si="3"/>
        <v>0</v>
      </c>
      <c r="AE13" s="31">
        <f t="shared" si="3"/>
        <v>598.57142857142856</v>
      </c>
      <c r="AF13" s="31">
        <f t="shared" si="3"/>
        <v>1112.2857142857142</v>
      </c>
    </row>
    <row r="14" spans="2:32" ht="23.1" customHeight="1" x14ac:dyDescent="0.25">
      <c r="B14" s="23" t="s">
        <v>41</v>
      </c>
      <c r="C14" s="49">
        <f>AVERAGE('22.07 Busega-Masanafu'!C14,'23.07 Busega-Masanafu'!C14,'24.07 Busega-Masanafu'!C14,'25.07 Busega-Masanafu'!C14,'26.07 Busega-Masanafu-24h'!C14,'27.07 Busega-Masanafu-24h'!C14,'28.07 Busega-Masanafu'!C14)</f>
        <v>61.428571428571431</v>
      </c>
      <c r="D14" s="49">
        <f>AVERAGE('22.07 Busega-Masanafu'!D14,'23.07 Busega-Masanafu'!D14,'24.07 Busega-Masanafu'!D14,'25.07 Busega-Masanafu'!D14,'26.07 Busega-Masanafu-24h'!D14,'27.07 Busega-Masanafu-24h'!D14,'28.07 Busega-Masanafu'!D14)</f>
        <v>11.285714285714286</v>
      </c>
      <c r="E14" s="49">
        <f>AVERAGE('22.07 Busega-Masanafu'!E14,'23.07 Busega-Masanafu'!E14,'24.07 Busega-Masanafu'!E14,'25.07 Busega-Masanafu'!E14,'26.07 Busega-Masanafu-24h'!E14,'27.07 Busega-Masanafu-24h'!E14,'28.07 Busega-Masanafu'!E14)</f>
        <v>4.2857142857142856</v>
      </c>
      <c r="F14" s="49">
        <f>AVERAGE('22.07 Busega-Masanafu'!F14,'23.07 Busega-Masanafu'!F14,'24.07 Busega-Masanafu'!F14,'25.07 Busega-Masanafu'!F14,'26.07 Busega-Masanafu-24h'!F14,'27.07 Busega-Masanafu-24h'!F14,'28.07 Busega-Masanafu'!F14)</f>
        <v>23.285714285714285</v>
      </c>
      <c r="G14" s="49">
        <f>AVERAGE('22.07 Busega-Masanafu'!G14,'23.07 Busega-Masanafu'!G14,'24.07 Busega-Masanafu'!G14,'25.07 Busega-Masanafu'!G14,'26.07 Busega-Masanafu-24h'!G14,'27.07 Busega-Masanafu-24h'!G14,'28.07 Busega-Masanafu'!G14)</f>
        <v>0.8571428571428571</v>
      </c>
      <c r="H14" s="49">
        <f>AVERAGE('22.07 Busega-Masanafu'!H14,'23.07 Busega-Masanafu'!H14,'24.07 Busega-Masanafu'!H14,'25.07 Busega-Masanafu'!H14,'26.07 Busega-Masanafu-24h'!H14,'27.07 Busega-Masanafu-24h'!H14,'28.07 Busega-Masanafu'!H14)</f>
        <v>0.7142857142857143</v>
      </c>
      <c r="I14" s="49">
        <f>AVERAGE('22.07 Busega-Masanafu'!I14,'23.07 Busega-Masanafu'!I14,'24.07 Busega-Masanafu'!I14,'25.07 Busega-Masanafu'!I14,'26.07 Busega-Masanafu-24h'!I14,'27.07 Busega-Masanafu-24h'!I14,'28.07 Busega-Masanafu'!I14)</f>
        <v>7.5714285714285712</v>
      </c>
      <c r="J14" s="49">
        <f>AVERAGE('22.07 Busega-Masanafu'!J14,'23.07 Busega-Masanafu'!J14,'24.07 Busega-Masanafu'!J14,'25.07 Busega-Masanafu'!J14,'26.07 Busega-Masanafu-24h'!J14,'27.07 Busega-Masanafu-24h'!J14,'28.07 Busega-Masanafu'!J14)</f>
        <v>8.5714285714285712</v>
      </c>
      <c r="K14" s="49">
        <f>AVERAGE('22.07 Busega-Masanafu'!K14,'23.07 Busega-Masanafu'!K14,'24.07 Busega-Masanafu'!K14,'25.07 Busega-Masanafu'!K14,'26.07 Busega-Masanafu-24h'!K14,'27.07 Busega-Masanafu-24h'!K14,'28.07 Busega-Masanafu'!K14)</f>
        <v>3.2857142857142856</v>
      </c>
      <c r="L14" s="49">
        <f>AVERAGE('22.07 Busega-Masanafu'!L14,'23.07 Busega-Masanafu'!L14,'24.07 Busega-Masanafu'!L14,'25.07 Busega-Masanafu'!L14,'26.07 Busega-Masanafu-24h'!L14,'27.07 Busega-Masanafu-24h'!L14,'28.07 Busega-Masanafu'!L14)</f>
        <v>3</v>
      </c>
      <c r="M14" s="49">
        <f>AVERAGE('22.07 Busega-Masanafu'!M14,'23.07 Busega-Masanafu'!M14,'24.07 Busega-Masanafu'!M14,'25.07 Busega-Masanafu'!M14,'26.07 Busega-Masanafu-24h'!M14,'27.07 Busega-Masanafu-24h'!M14,'28.07 Busega-Masanafu'!M14)</f>
        <v>172.71428571428572</v>
      </c>
      <c r="N14" s="49">
        <f>AVERAGE('22.07 Busega-Masanafu'!N14,'23.07 Busega-Masanafu'!N14,'24.07 Busega-Masanafu'!N14,'25.07 Busega-Masanafu'!N14,'26.07 Busega-Masanafu-24h'!N14,'27.07 Busega-Masanafu-24h'!N14,'28.07 Busega-Masanafu'!N14)</f>
        <v>0</v>
      </c>
      <c r="O14" s="49">
        <f>AVERAGE('22.07 Busega-Masanafu'!O14,'23.07 Busega-Masanafu'!O14,'24.07 Busega-Masanafu'!O14,'25.07 Busega-Masanafu'!O14,'26.07 Busega-Masanafu-24h'!O14,'27.07 Busega-Masanafu-24h'!O14,'28.07 Busega-Masanafu'!O14)</f>
        <v>124.28571428571429</v>
      </c>
      <c r="P14" s="49">
        <f>AVERAGE('22.07 Busega-Masanafu'!P14,'23.07 Busega-Masanafu'!P14,'24.07 Busega-Masanafu'!P14,'25.07 Busega-Masanafu'!P14,'26.07 Busega-Masanafu-24h'!P14,'27.07 Busega-Masanafu-24h'!P14,'28.07 Busega-Masanafu'!P14)</f>
        <v>297</v>
      </c>
      <c r="R14" s="1" t="s">
        <v>10</v>
      </c>
      <c r="S14" s="17">
        <f t="shared" ref="S14:AF14" si="4">SUM(C26:C29)</f>
        <v>274.28571428571428</v>
      </c>
      <c r="T14" s="17">
        <f t="shared" si="4"/>
        <v>52.285714285714278</v>
      </c>
      <c r="U14" s="17">
        <f t="shared" si="4"/>
        <v>37</v>
      </c>
      <c r="V14" s="17">
        <f t="shared" si="4"/>
        <v>129.57142857142856</v>
      </c>
      <c r="W14" s="17">
        <f t="shared" si="4"/>
        <v>2.2857142857142856</v>
      </c>
      <c r="X14" s="17">
        <f t="shared" si="4"/>
        <v>1</v>
      </c>
      <c r="Y14" s="17">
        <f t="shared" si="4"/>
        <v>35.428571428571431</v>
      </c>
      <c r="Z14" s="17">
        <f t="shared" si="4"/>
        <v>41.857142857142854</v>
      </c>
      <c r="AA14" s="17">
        <f t="shared" si="4"/>
        <v>14.999999999999998</v>
      </c>
      <c r="AB14" s="17">
        <f t="shared" si="4"/>
        <v>20</v>
      </c>
      <c r="AC14" s="17">
        <f t="shared" si="4"/>
        <v>460.42857142857144</v>
      </c>
      <c r="AD14" s="17">
        <f t="shared" si="4"/>
        <v>0</v>
      </c>
      <c r="AE14" s="31">
        <f t="shared" si="4"/>
        <v>608.71428571428578</v>
      </c>
      <c r="AF14" s="31">
        <f t="shared" si="4"/>
        <v>1069.1428571428571</v>
      </c>
    </row>
    <row r="15" spans="2:32" ht="23.1" customHeight="1" x14ac:dyDescent="0.25">
      <c r="B15" s="23" t="s">
        <v>42</v>
      </c>
      <c r="C15" s="49">
        <f>AVERAGE('22.07 Busega-Masanafu'!C15,'23.07 Busega-Masanafu'!C15,'24.07 Busega-Masanafu'!C15,'25.07 Busega-Masanafu'!C15,'26.07 Busega-Masanafu-24h'!C15,'27.07 Busega-Masanafu-24h'!C15,'28.07 Busega-Masanafu'!C15)</f>
        <v>59</v>
      </c>
      <c r="D15" s="49">
        <f>AVERAGE('22.07 Busega-Masanafu'!D15,'23.07 Busega-Masanafu'!D15,'24.07 Busega-Masanafu'!D15,'25.07 Busega-Masanafu'!D15,'26.07 Busega-Masanafu-24h'!D15,'27.07 Busega-Masanafu-24h'!D15,'28.07 Busega-Masanafu'!D15)</f>
        <v>11</v>
      </c>
      <c r="E15" s="49">
        <f>AVERAGE('22.07 Busega-Masanafu'!E15,'23.07 Busega-Masanafu'!E15,'24.07 Busega-Masanafu'!E15,'25.07 Busega-Masanafu'!E15,'26.07 Busega-Masanafu-24h'!E15,'27.07 Busega-Masanafu-24h'!E15,'28.07 Busega-Masanafu'!E15)</f>
        <v>8.2857142857142865</v>
      </c>
      <c r="F15" s="49">
        <f>AVERAGE('22.07 Busega-Masanafu'!F15,'23.07 Busega-Masanafu'!F15,'24.07 Busega-Masanafu'!F15,'25.07 Busega-Masanafu'!F15,'26.07 Busega-Masanafu-24h'!F15,'27.07 Busega-Masanafu-24h'!F15,'28.07 Busega-Masanafu'!F15)</f>
        <v>20.714285714285715</v>
      </c>
      <c r="G15" s="49">
        <f>AVERAGE('22.07 Busega-Masanafu'!G15,'23.07 Busega-Masanafu'!G15,'24.07 Busega-Masanafu'!G15,'25.07 Busega-Masanafu'!G15,'26.07 Busega-Masanafu-24h'!G15,'27.07 Busega-Masanafu-24h'!G15,'28.07 Busega-Masanafu'!G15)</f>
        <v>1.2857142857142858</v>
      </c>
      <c r="H15" s="49">
        <f>AVERAGE('22.07 Busega-Masanafu'!H15,'23.07 Busega-Masanafu'!H15,'24.07 Busega-Masanafu'!H15,'25.07 Busega-Masanafu'!H15,'26.07 Busega-Masanafu-24h'!H15,'27.07 Busega-Masanafu-24h'!H15,'28.07 Busega-Masanafu'!H15)</f>
        <v>0.5714285714285714</v>
      </c>
      <c r="I15" s="49">
        <f>AVERAGE('22.07 Busega-Masanafu'!I15,'23.07 Busega-Masanafu'!I15,'24.07 Busega-Masanafu'!I15,'25.07 Busega-Masanafu'!I15,'26.07 Busega-Masanafu-24h'!I15,'27.07 Busega-Masanafu-24h'!I15,'28.07 Busega-Masanafu'!I15)</f>
        <v>6.2857142857142856</v>
      </c>
      <c r="J15" s="49">
        <f>AVERAGE('22.07 Busega-Masanafu'!J15,'23.07 Busega-Masanafu'!J15,'24.07 Busega-Masanafu'!J15,'25.07 Busega-Masanafu'!J15,'26.07 Busega-Masanafu-24h'!J15,'27.07 Busega-Masanafu-24h'!J15,'28.07 Busega-Masanafu'!J15)</f>
        <v>11.714285714285714</v>
      </c>
      <c r="K15" s="49">
        <f>AVERAGE('22.07 Busega-Masanafu'!K15,'23.07 Busega-Masanafu'!K15,'24.07 Busega-Masanafu'!K15,'25.07 Busega-Masanafu'!K15,'26.07 Busega-Masanafu-24h'!K15,'27.07 Busega-Masanafu-24h'!K15,'28.07 Busega-Masanafu'!K15)</f>
        <v>2.2857142857142856</v>
      </c>
      <c r="L15" s="49">
        <f>AVERAGE('22.07 Busega-Masanafu'!L15,'23.07 Busega-Masanafu'!L15,'24.07 Busega-Masanafu'!L15,'25.07 Busega-Masanafu'!L15,'26.07 Busega-Masanafu-24h'!L15,'27.07 Busega-Masanafu-24h'!L15,'28.07 Busega-Masanafu'!L15)</f>
        <v>2.8571428571428572</v>
      </c>
      <c r="M15" s="49">
        <f>AVERAGE('22.07 Busega-Masanafu'!M15,'23.07 Busega-Masanafu'!M15,'24.07 Busega-Masanafu'!M15,'25.07 Busega-Masanafu'!M15,'26.07 Busega-Masanafu-24h'!M15,'27.07 Busega-Masanafu-24h'!M15,'28.07 Busega-Masanafu'!M15)</f>
        <v>165.14285714285714</v>
      </c>
      <c r="N15" s="49">
        <f>AVERAGE('22.07 Busega-Masanafu'!N15,'23.07 Busega-Masanafu'!N15,'24.07 Busega-Masanafu'!N15,'25.07 Busega-Masanafu'!N15,'26.07 Busega-Masanafu-24h'!N15,'27.07 Busega-Masanafu-24h'!N15,'28.07 Busega-Masanafu'!N15)</f>
        <v>0</v>
      </c>
      <c r="O15" s="49">
        <f>AVERAGE('22.07 Busega-Masanafu'!O15,'23.07 Busega-Masanafu'!O15,'24.07 Busega-Masanafu'!O15,'25.07 Busega-Masanafu'!O15,'26.07 Busega-Masanafu-24h'!O15,'27.07 Busega-Masanafu-24h'!O15,'28.07 Busega-Masanafu'!O15)</f>
        <v>124</v>
      </c>
      <c r="P15" s="49">
        <f>AVERAGE('22.07 Busega-Masanafu'!P15,'23.07 Busega-Masanafu'!P15,'24.07 Busega-Masanafu'!P15,'25.07 Busega-Masanafu'!P15,'26.07 Busega-Masanafu-24h'!P15,'27.07 Busega-Masanafu-24h'!P15,'28.07 Busega-Masanafu'!P15)</f>
        <v>289.14285714285717</v>
      </c>
      <c r="R15" s="1" t="s">
        <v>11</v>
      </c>
      <c r="S15" s="17">
        <f t="shared" ref="S15:AF15" si="5">SUM(C30:C33)</f>
        <v>270.28571428571428</v>
      </c>
      <c r="T15" s="17">
        <f t="shared" si="5"/>
        <v>50.285714285714285</v>
      </c>
      <c r="U15" s="17">
        <f t="shared" si="5"/>
        <v>31.571428571428573</v>
      </c>
      <c r="V15" s="17">
        <f t="shared" si="5"/>
        <v>122.42857142857142</v>
      </c>
      <c r="W15" s="17">
        <f t="shared" si="5"/>
        <v>8.7142857142857135</v>
      </c>
      <c r="X15" s="17">
        <f t="shared" si="5"/>
        <v>2.8571428571428568</v>
      </c>
      <c r="Y15" s="17">
        <f t="shared" si="5"/>
        <v>39.142857142857139</v>
      </c>
      <c r="Z15" s="17">
        <f t="shared" si="5"/>
        <v>40.285714285714285</v>
      </c>
      <c r="AA15" s="17">
        <f t="shared" si="5"/>
        <v>11</v>
      </c>
      <c r="AB15" s="17">
        <f t="shared" si="5"/>
        <v>20</v>
      </c>
      <c r="AC15" s="17">
        <f t="shared" si="5"/>
        <v>481</v>
      </c>
      <c r="AD15" s="17">
        <f t="shared" si="5"/>
        <v>0</v>
      </c>
      <c r="AE15" s="31">
        <f t="shared" si="5"/>
        <v>596.57142857142856</v>
      </c>
      <c r="AF15" s="31">
        <f t="shared" si="5"/>
        <v>1077.5714285714287</v>
      </c>
    </row>
    <row r="16" spans="2:32" ht="23.1" customHeight="1" x14ac:dyDescent="0.25">
      <c r="B16" s="23" t="s">
        <v>43</v>
      </c>
      <c r="C16" s="49">
        <f>AVERAGE('22.07 Busega-Masanafu'!C16,'23.07 Busega-Masanafu'!C16,'24.07 Busega-Masanafu'!C16,'25.07 Busega-Masanafu'!C16,'26.07 Busega-Masanafu-24h'!C16,'27.07 Busega-Masanafu-24h'!C16,'28.07 Busega-Masanafu'!C16)</f>
        <v>73.714285714285708</v>
      </c>
      <c r="D16" s="49">
        <f>AVERAGE('22.07 Busega-Masanafu'!D16,'23.07 Busega-Masanafu'!D16,'24.07 Busega-Masanafu'!D16,'25.07 Busega-Masanafu'!D16,'26.07 Busega-Masanafu-24h'!D16,'27.07 Busega-Masanafu-24h'!D16,'28.07 Busega-Masanafu'!D16)</f>
        <v>11.857142857142858</v>
      </c>
      <c r="E16" s="49">
        <f>AVERAGE('22.07 Busega-Masanafu'!E16,'23.07 Busega-Masanafu'!E16,'24.07 Busega-Masanafu'!E16,'25.07 Busega-Masanafu'!E16,'26.07 Busega-Masanafu-24h'!E16,'27.07 Busega-Masanafu-24h'!E16,'28.07 Busega-Masanafu'!E16)</f>
        <v>10.285714285714286</v>
      </c>
      <c r="F16" s="49">
        <f>AVERAGE('22.07 Busega-Masanafu'!F16,'23.07 Busega-Masanafu'!F16,'24.07 Busega-Masanafu'!F16,'25.07 Busega-Masanafu'!F16,'26.07 Busega-Masanafu-24h'!F16,'27.07 Busega-Masanafu-24h'!F16,'28.07 Busega-Masanafu'!F16)</f>
        <v>28.714285714285715</v>
      </c>
      <c r="G16" s="49">
        <f>AVERAGE('22.07 Busega-Masanafu'!G16,'23.07 Busega-Masanafu'!G16,'24.07 Busega-Masanafu'!G16,'25.07 Busega-Masanafu'!G16,'26.07 Busega-Masanafu-24h'!G16,'27.07 Busega-Masanafu-24h'!G16,'28.07 Busega-Masanafu'!G16)</f>
        <v>2</v>
      </c>
      <c r="H16" s="49">
        <f>AVERAGE('22.07 Busega-Masanafu'!H16,'23.07 Busega-Masanafu'!H16,'24.07 Busega-Masanafu'!H16,'25.07 Busega-Masanafu'!H16,'26.07 Busega-Masanafu-24h'!H16,'27.07 Busega-Masanafu-24h'!H16,'28.07 Busega-Masanafu'!H16)</f>
        <v>1</v>
      </c>
      <c r="I16" s="49">
        <f>AVERAGE('22.07 Busega-Masanafu'!I16,'23.07 Busega-Masanafu'!I16,'24.07 Busega-Masanafu'!I16,'25.07 Busega-Masanafu'!I16,'26.07 Busega-Masanafu-24h'!I16,'27.07 Busega-Masanafu-24h'!I16,'28.07 Busega-Masanafu'!I16)</f>
        <v>9.4285714285714288</v>
      </c>
      <c r="J16" s="49">
        <f>AVERAGE('22.07 Busega-Masanafu'!J16,'23.07 Busega-Masanafu'!J16,'24.07 Busega-Masanafu'!J16,'25.07 Busega-Masanafu'!J16,'26.07 Busega-Masanafu-24h'!J16,'27.07 Busega-Masanafu-24h'!J16,'28.07 Busega-Masanafu'!J16)</f>
        <v>9.1428571428571423</v>
      </c>
      <c r="K16" s="49">
        <f>AVERAGE('22.07 Busega-Masanafu'!K16,'23.07 Busega-Masanafu'!K16,'24.07 Busega-Masanafu'!K16,'25.07 Busega-Masanafu'!K16,'26.07 Busega-Masanafu-24h'!K16,'27.07 Busega-Masanafu-24h'!K16,'28.07 Busega-Masanafu'!K16)</f>
        <v>3.2857142857142856</v>
      </c>
      <c r="L16" s="49">
        <f>AVERAGE('22.07 Busega-Masanafu'!L16,'23.07 Busega-Masanafu'!L16,'24.07 Busega-Masanafu'!L16,'25.07 Busega-Masanafu'!L16,'26.07 Busega-Masanafu-24h'!L16,'27.07 Busega-Masanafu-24h'!L16,'28.07 Busega-Masanafu'!L16)</f>
        <v>1.7142857142857142</v>
      </c>
      <c r="M16" s="49">
        <f>AVERAGE('22.07 Busega-Masanafu'!M16,'23.07 Busega-Masanafu'!M16,'24.07 Busega-Masanafu'!M16,'25.07 Busega-Masanafu'!M16,'26.07 Busega-Masanafu-24h'!M16,'27.07 Busega-Masanafu-24h'!M16,'28.07 Busega-Masanafu'!M16)</f>
        <v>156.14285714285714</v>
      </c>
      <c r="N16" s="49">
        <f>AVERAGE('22.07 Busega-Masanafu'!N16,'23.07 Busega-Masanafu'!N16,'24.07 Busega-Masanafu'!N16,'25.07 Busega-Masanafu'!N16,'26.07 Busega-Masanafu-24h'!N16,'27.07 Busega-Masanafu-24h'!N16,'28.07 Busega-Masanafu'!N16)</f>
        <v>0</v>
      </c>
      <c r="O16" s="49">
        <f>AVERAGE('22.07 Busega-Masanafu'!O16,'23.07 Busega-Masanafu'!O16,'24.07 Busega-Masanafu'!O16,'25.07 Busega-Masanafu'!O16,'26.07 Busega-Masanafu-24h'!O16,'27.07 Busega-Masanafu-24h'!O16,'28.07 Busega-Masanafu'!O16)</f>
        <v>151.14285714285714</v>
      </c>
      <c r="P16" s="49">
        <f>AVERAGE('22.07 Busega-Masanafu'!P16,'23.07 Busega-Masanafu'!P16,'24.07 Busega-Masanafu'!P16,'25.07 Busega-Masanafu'!P16,'26.07 Busega-Masanafu-24h'!P16,'27.07 Busega-Masanafu-24h'!P16,'28.07 Busega-Masanafu'!P16)</f>
        <v>307.28571428571428</v>
      </c>
      <c r="R16" s="1" t="s">
        <v>12</v>
      </c>
      <c r="S16" s="17">
        <f t="shared" ref="S16:AF16" si="6">SUM(C34:C37)</f>
        <v>239.85714285714286</v>
      </c>
      <c r="T16" s="17">
        <f t="shared" si="6"/>
        <v>55.857142857142861</v>
      </c>
      <c r="U16" s="17">
        <f t="shared" si="6"/>
        <v>45.571428571428569</v>
      </c>
      <c r="V16" s="17">
        <f t="shared" si="6"/>
        <v>99.714285714285708</v>
      </c>
      <c r="W16" s="17">
        <f t="shared" si="6"/>
        <v>3</v>
      </c>
      <c r="X16" s="17">
        <f t="shared" si="6"/>
        <v>0.71428571428571419</v>
      </c>
      <c r="Y16" s="17">
        <f t="shared" si="6"/>
        <v>39.571428571428577</v>
      </c>
      <c r="Z16" s="17">
        <f t="shared" si="6"/>
        <v>40.571428571428569</v>
      </c>
      <c r="AA16" s="17">
        <f t="shared" si="6"/>
        <v>15.714285714285715</v>
      </c>
      <c r="AB16" s="17">
        <f t="shared" si="6"/>
        <v>22.285714285714285</v>
      </c>
      <c r="AC16" s="17">
        <f t="shared" si="6"/>
        <v>467.71428571428572</v>
      </c>
      <c r="AD16" s="17">
        <f t="shared" si="6"/>
        <v>0</v>
      </c>
      <c r="AE16" s="31">
        <f t="shared" si="6"/>
        <v>562.85714285714289</v>
      </c>
      <c r="AF16" s="31">
        <f t="shared" si="6"/>
        <v>1030.5714285714284</v>
      </c>
    </row>
    <row r="17" spans="2:32" ht="23.1" customHeight="1" x14ac:dyDescent="0.25">
      <c r="B17" s="23" t="s">
        <v>44</v>
      </c>
      <c r="C17" s="49">
        <f>AVERAGE('22.07 Busega-Masanafu'!C17,'23.07 Busega-Masanafu'!C17,'24.07 Busega-Masanafu'!C17,'25.07 Busega-Masanafu'!C17,'26.07 Busega-Masanafu-24h'!C17,'27.07 Busega-Masanafu-24h'!C17,'28.07 Busega-Masanafu'!C17)</f>
        <v>62.142857142857146</v>
      </c>
      <c r="D17" s="49">
        <f>AVERAGE('22.07 Busega-Masanafu'!D17,'23.07 Busega-Masanafu'!D17,'24.07 Busega-Masanafu'!D17,'25.07 Busega-Masanafu'!D17,'26.07 Busega-Masanafu-24h'!D17,'27.07 Busega-Masanafu-24h'!D17,'28.07 Busega-Masanafu'!D17)</f>
        <v>9.4285714285714288</v>
      </c>
      <c r="E17" s="49">
        <f>AVERAGE('22.07 Busega-Masanafu'!E17,'23.07 Busega-Masanafu'!E17,'24.07 Busega-Masanafu'!E17,'25.07 Busega-Masanafu'!E17,'26.07 Busega-Masanafu-24h'!E17,'27.07 Busega-Masanafu-24h'!E17,'28.07 Busega-Masanafu'!E17)</f>
        <v>10.428571428571429</v>
      </c>
      <c r="F17" s="49">
        <f>AVERAGE('22.07 Busega-Masanafu'!F17,'23.07 Busega-Masanafu'!F17,'24.07 Busega-Masanafu'!F17,'25.07 Busega-Masanafu'!F17,'26.07 Busega-Masanafu-24h'!F17,'27.07 Busega-Masanafu-24h'!F17,'28.07 Busega-Masanafu'!F17)</f>
        <v>23</v>
      </c>
      <c r="G17" s="49">
        <f>AVERAGE('22.07 Busega-Masanafu'!G17,'23.07 Busega-Masanafu'!G17,'24.07 Busega-Masanafu'!G17,'25.07 Busega-Masanafu'!G17,'26.07 Busega-Masanafu-24h'!G17,'27.07 Busega-Masanafu-24h'!G17,'28.07 Busega-Masanafu'!G17)</f>
        <v>2.1428571428571428</v>
      </c>
      <c r="H17" s="49">
        <f>AVERAGE('22.07 Busega-Masanafu'!H17,'23.07 Busega-Masanafu'!H17,'24.07 Busega-Masanafu'!H17,'25.07 Busega-Masanafu'!H17,'26.07 Busega-Masanafu-24h'!H17,'27.07 Busega-Masanafu-24h'!H17,'28.07 Busega-Masanafu'!H17)</f>
        <v>0.7142857142857143</v>
      </c>
      <c r="I17" s="49">
        <f>AVERAGE('22.07 Busega-Masanafu'!I17,'23.07 Busega-Masanafu'!I17,'24.07 Busega-Masanafu'!I17,'25.07 Busega-Masanafu'!I17,'26.07 Busega-Masanafu-24h'!I17,'27.07 Busega-Masanafu-24h'!I17,'28.07 Busega-Masanafu'!I17)</f>
        <v>9.1428571428571423</v>
      </c>
      <c r="J17" s="49">
        <f>AVERAGE('22.07 Busega-Masanafu'!J17,'23.07 Busega-Masanafu'!J17,'24.07 Busega-Masanafu'!J17,'25.07 Busega-Masanafu'!J17,'26.07 Busega-Masanafu-24h'!J17,'27.07 Busega-Masanafu-24h'!J17,'28.07 Busega-Masanafu'!J17)</f>
        <v>10.714285714285714</v>
      </c>
      <c r="K17" s="49">
        <f>AVERAGE('22.07 Busega-Masanafu'!K17,'23.07 Busega-Masanafu'!K17,'24.07 Busega-Masanafu'!K17,'25.07 Busega-Masanafu'!K17,'26.07 Busega-Masanafu-24h'!K17,'27.07 Busega-Masanafu-24h'!K17,'28.07 Busega-Masanafu'!K17)</f>
        <v>2.7142857142857144</v>
      </c>
      <c r="L17" s="49">
        <f>AVERAGE('22.07 Busega-Masanafu'!L17,'23.07 Busega-Masanafu'!L17,'24.07 Busega-Masanafu'!L17,'25.07 Busega-Masanafu'!L17,'26.07 Busega-Masanafu-24h'!L17,'27.07 Busega-Masanafu-24h'!L17,'28.07 Busega-Masanafu'!L17)</f>
        <v>3</v>
      </c>
      <c r="M17" s="49">
        <f>AVERAGE('22.07 Busega-Masanafu'!M17,'23.07 Busega-Masanafu'!M17,'24.07 Busega-Masanafu'!M17,'25.07 Busega-Masanafu'!M17,'26.07 Busega-Masanafu-24h'!M17,'27.07 Busega-Masanafu-24h'!M17,'28.07 Busega-Masanafu'!M17)</f>
        <v>148</v>
      </c>
      <c r="N17" s="49">
        <f>AVERAGE('22.07 Busega-Masanafu'!N17,'23.07 Busega-Masanafu'!N17,'24.07 Busega-Masanafu'!N17,'25.07 Busega-Masanafu'!N17,'26.07 Busega-Masanafu-24h'!N17,'27.07 Busega-Masanafu-24h'!N17,'28.07 Busega-Masanafu'!N17)</f>
        <v>0</v>
      </c>
      <c r="O17" s="49">
        <f>AVERAGE('22.07 Busega-Masanafu'!O17,'23.07 Busega-Masanafu'!O17,'24.07 Busega-Masanafu'!O17,'25.07 Busega-Masanafu'!O17,'26.07 Busega-Masanafu-24h'!O17,'27.07 Busega-Masanafu-24h'!O17,'28.07 Busega-Masanafu'!O17)</f>
        <v>133.42857142857142</v>
      </c>
      <c r="P17" s="49">
        <f>AVERAGE('22.07 Busega-Masanafu'!P17,'23.07 Busega-Masanafu'!P17,'24.07 Busega-Masanafu'!P17,'25.07 Busega-Masanafu'!P17,'26.07 Busega-Masanafu-24h'!P17,'27.07 Busega-Masanafu-24h'!P17,'28.07 Busega-Masanafu'!P17)</f>
        <v>281.42857142857144</v>
      </c>
      <c r="R17" s="1" t="s">
        <v>13</v>
      </c>
      <c r="S17" s="17">
        <f t="shared" ref="S17:AF17" si="7">SUM(C38:C41)</f>
        <v>350.85714285714289</v>
      </c>
      <c r="T17" s="17">
        <f t="shared" si="7"/>
        <v>61</v>
      </c>
      <c r="U17" s="17">
        <f t="shared" si="7"/>
        <v>38.428571428571431</v>
      </c>
      <c r="V17" s="17">
        <f t="shared" si="7"/>
        <v>101.57142857142856</v>
      </c>
      <c r="W17" s="17">
        <f t="shared" si="7"/>
        <v>2.7142857142857144</v>
      </c>
      <c r="X17" s="17">
        <f t="shared" si="7"/>
        <v>0.85714285714285698</v>
      </c>
      <c r="Y17" s="17">
        <f t="shared" si="7"/>
        <v>45.571428571428569</v>
      </c>
      <c r="Z17" s="17">
        <f t="shared" si="7"/>
        <v>42.857142857142854</v>
      </c>
      <c r="AA17" s="17">
        <f t="shared" si="7"/>
        <v>18.142857142857142</v>
      </c>
      <c r="AB17" s="17">
        <f t="shared" si="7"/>
        <v>23.142857142857142</v>
      </c>
      <c r="AC17" s="17">
        <f t="shared" si="7"/>
        <v>408.42857142857144</v>
      </c>
      <c r="AD17" s="17">
        <f t="shared" si="7"/>
        <v>0</v>
      </c>
      <c r="AE17" s="31">
        <f t="shared" si="7"/>
        <v>685.14285714285711</v>
      </c>
      <c r="AF17" s="31">
        <f t="shared" si="7"/>
        <v>1093.5714285714284</v>
      </c>
    </row>
    <row r="18" spans="2:32" ht="23.1" customHeight="1" x14ac:dyDescent="0.25">
      <c r="B18" s="23" t="s">
        <v>45</v>
      </c>
      <c r="C18" s="49">
        <f>AVERAGE('22.07 Busega-Masanafu'!C18,'23.07 Busega-Masanafu'!C18,'24.07 Busega-Masanafu'!C18,'25.07 Busega-Masanafu'!C18,'26.07 Busega-Masanafu-24h'!C18,'27.07 Busega-Masanafu-24h'!C18,'28.07 Busega-Masanafu'!C18)</f>
        <v>67.142857142857139</v>
      </c>
      <c r="D18" s="49">
        <f>AVERAGE('22.07 Busega-Masanafu'!D18,'23.07 Busega-Masanafu'!D18,'24.07 Busega-Masanafu'!D18,'25.07 Busega-Masanafu'!D18,'26.07 Busega-Masanafu-24h'!D18,'27.07 Busega-Masanafu-24h'!D18,'28.07 Busega-Masanafu'!D18)</f>
        <v>13.285714285714286</v>
      </c>
      <c r="E18" s="49">
        <f>AVERAGE('22.07 Busega-Masanafu'!E18,'23.07 Busega-Masanafu'!E18,'24.07 Busega-Masanafu'!E18,'25.07 Busega-Masanafu'!E18,'26.07 Busega-Masanafu-24h'!E18,'27.07 Busega-Masanafu-24h'!E18,'28.07 Busega-Masanafu'!E18)</f>
        <v>10.142857142857142</v>
      </c>
      <c r="F18" s="49">
        <f>AVERAGE('22.07 Busega-Masanafu'!F18,'23.07 Busega-Masanafu'!F18,'24.07 Busega-Masanafu'!F18,'25.07 Busega-Masanafu'!F18,'26.07 Busega-Masanafu-24h'!F18,'27.07 Busega-Masanafu-24h'!F18,'28.07 Busega-Masanafu'!F18)</f>
        <v>23.857142857142858</v>
      </c>
      <c r="G18" s="49">
        <f>AVERAGE('22.07 Busega-Masanafu'!G18,'23.07 Busega-Masanafu'!G18,'24.07 Busega-Masanafu'!G18,'25.07 Busega-Masanafu'!G18,'26.07 Busega-Masanafu-24h'!G18,'27.07 Busega-Masanafu-24h'!G18,'28.07 Busega-Masanafu'!G18)</f>
        <v>3.4285714285714284</v>
      </c>
      <c r="H18" s="49">
        <f>AVERAGE('22.07 Busega-Masanafu'!H18,'23.07 Busega-Masanafu'!H18,'24.07 Busega-Masanafu'!H18,'25.07 Busega-Masanafu'!H18,'26.07 Busega-Masanafu-24h'!H18,'27.07 Busega-Masanafu-24h'!H18,'28.07 Busega-Masanafu'!H18)</f>
        <v>0.2857142857142857</v>
      </c>
      <c r="I18" s="49">
        <f>AVERAGE('22.07 Busega-Masanafu'!I18,'23.07 Busega-Masanafu'!I18,'24.07 Busega-Masanafu'!I18,'25.07 Busega-Masanafu'!I18,'26.07 Busega-Masanafu-24h'!I18,'27.07 Busega-Masanafu-24h'!I18,'28.07 Busega-Masanafu'!I18)</f>
        <v>8.4285714285714288</v>
      </c>
      <c r="J18" s="49">
        <f>AVERAGE('22.07 Busega-Masanafu'!J18,'23.07 Busega-Masanafu'!J18,'24.07 Busega-Masanafu'!J18,'25.07 Busega-Masanafu'!J18,'26.07 Busega-Masanafu-24h'!J18,'27.07 Busega-Masanafu-24h'!J18,'28.07 Busega-Masanafu'!J18)</f>
        <v>11.857142857142858</v>
      </c>
      <c r="K18" s="49">
        <f>AVERAGE('22.07 Busega-Masanafu'!K18,'23.07 Busega-Masanafu'!K18,'24.07 Busega-Masanafu'!K18,'25.07 Busega-Masanafu'!K18,'26.07 Busega-Masanafu-24h'!K18,'27.07 Busega-Masanafu-24h'!K18,'28.07 Busega-Masanafu'!K18)</f>
        <v>2.4285714285714284</v>
      </c>
      <c r="L18" s="49">
        <f>AVERAGE('22.07 Busega-Masanafu'!L18,'23.07 Busega-Masanafu'!L18,'24.07 Busega-Masanafu'!L18,'25.07 Busega-Masanafu'!L18,'26.07 Busega-Masanafu-24h'!L18,'27.07 Busega-Masanafu-24h'!L18,'28.07 Busega-Masanafu'!L18)</f>
        <v>2.8571428571428572</v>
      </c>
      <c r="M18" s="49">
        <f>AVERAGE('22.07 Busega-Masanafu'!M18,'23.07 Busega-Masanafu'!M18,'24.07 Busega-Masanafu'!M18,'25.07 Busega-Masanafu'!M18,'26.07 Busega-Masanafu-24h'!M18,'27.07 Busega-Masanafu-24h'!M18,'28.07 Busega-Masanafu'!M18)</f>
        <v>148.85714285714286</v>
      </c>
      <c r="N18" s="49">
        <f>AVERAGE('22.07 Busega-Masanafu'!N18,'23.07 Busega-Masanafu'!N18,'24.07 Busega-Masanafu'!N18,'25.07 Busega-Masanafu'!N18,'26.07 Busega-Masanafu-24h'!N18,'27.07 Busega-Masanafu-24h'!N18,'28.07 Busega-Masanafu'!N18)</f>
        <v>0</v>
      </c>
      <c r="O18" s="49">
        <f>AVERAGE('22.07 Busega-Masanafu'!O18,'23.07 Busega-Masanafu'!O18,'24.07 Busega-Masanafu'!O18,'25.07 Busega-Masanafu'!O18,'26.07 Busega-Masanafu-24h'!O18,'27.07 Busega-Masanafu-24h'!O18,'28.07 Busega-Masanafu'!O18)</f>
        <v>143.71428571428572</v>
      </c>
      <c r="P18" s="49">
        <f>AVERAGE('22.07 Busega-Masanafu'!P18,'23.07 Busega-Masanafu'!P18,'24.07 Busega-Masanafu'!P18,'25.07 Busega-Masanafu'!P18,'26.07 Busega-Masanafu-24h'!P18,'27.07 Busega-Masanafu-24h'!P18,'28.07 Busega-Masanafu'!P18)</f>
        <v>292.57142857142856</v>
      </c>
      <c r="R18" s="1" t="s">
        <v>14</v>
      </c>
      <c r="S18" s="17">
        <f t="shared" ref="S18:AF18" si="8">SUM(C42:C45)</f>
        <v>283.71428571428572</v>
      </c>
      <c r="T18" s="17">
        <f t="shared" si="8"/>
        <v>73.285714285714292</v>
      </c>
      <c r="U18" s="17">
        <f t="shared" si="8"/>
        <v>47.285714285714292</v>
      </c>
      <c r="V18" s="17">
        <f t="shared" si="8"/>
        <v>103.57142857142856</v>
      </c>
      <c r="W18" s="17">
        <f t="shared" si="8"/>
        <v>4.7142857142857144</v>
      </c>
      <c r="X18" s="17">
        <f t="shared" si="8"/>
        <v>1</v>
      </c>
      <c r="Y18" s="17">
        <f t="shared" si="8"/>
        <v>42.285714285714285</v>
      </c>
      <c r="Z18" s="17">
        <f t="shared" si="8"/>
        <v>41.142857142857139</v>
      </c>
      <c r="AA18" s="17">
        <f t="shared" si="8"/>
        <v>17.428571428571431</v>
      </c>
      <c r="AB18" s="17">
        <f t="shared" si="8"/>
        <v>21.428571428571427</v>
      </c>
      <c r="AC18" s="17">
        <f t="shared" si="8"/>
        <v>376.28571428571428</v>
      </c>
      <c r="AD18" s="17">
        <f t="shared" si="8"/>
        <v>0</v>
      </c>
      <c r="AE18" s="31">
        <f t="shared" si="8"/>
        <v>635.85714285714289</v>
      </c>
      <c r="AF18" s="31">
        <f t="shared" si="8"/>
        <v>1012.1428571428571</v>
      </c>
    </row>
    <row r="19" spans="2:32" ht="23.1" customHeight="1" x14ac:dyDescent="0.25">
      <c r="B19" s="23" t="s">
        <v>46</v>
      </c>
      <c r="C19" s="49">
        <f>AVERAGE('22.07 Busega-Masanafu'!C19,'23.07 Busega-Masanafu'!C19,'24.07 Busega-Masanafu'!C19,'25.07 Busega-Masanafu'!C19,'26.07 Busega-Masanafu-24h'!C19,'27.07 Busega-Masanafu-24h'!C19,'28.07 Busega-Masanafu'!C19)</f>
        <v>67.142857142857139</v>
      </c>
      <c r="D19" s="49">
        <f>AVERAGE('22.07 Busega-Masanafu'!D19,'23.07 Busega-Masanafu'!D19,'24.07 Busega-Masanafu'!D19,'25.07 Busega-Masanafu'!D19,'26.07 Busega-Masanafu-24h'!D19,'27.07 Busega-Masanafu-24h'!D19,'28.07 Busega-Masanafu'!D19)</f>
        <v>11.428571428571429</v>
      </c>
      <c r="E19" s="49">
        <f>AVERAGE('22.07 Busega-Masanafu'!E19,'23.07 Busega-Masanafu'!E19,'24.07 Busega-Masanafu'!E19,'25.07 Busega-Masanafu'!E19,'26.07 Busega-Masanafu-24h'!E19,'27.07 Busega-Masanafu-24h'!E19,'28.07 Busega-Masanafu'!E19)</f>
        <v>9.2857142857142865</v>
      </c>
      <c r="F19" s="49">
        <f>AVERAGE('22.07 Busega-Masanafu'!F19,'23.07 Busega-Masanafu'!F19,'24.07 Busega-Masanafu'!F19,'25.07 Busega-Masanafu'!F19,'26.07 Busega-Masanafu-24h'!F19,'27.07 Busega-Masanafu-24h'!F19,'28.07 Busega-Masanafu'!F19)</f>
        <v>28</v>
      </c>
      <c r="G19" s="49">
        <f>AVERAGE('22.07 Busega-Masanafu'!G19,'23.07 Busega-Masanafu'!G19,'24.07 Busega-Masanafu'!G19,'25.07 Busega-Masanafu'!G19,'26.07 Busega-Masanafu-24h'!G19,'27.07 Busega-Masanafu-24h'!G19,'28.07 Busega-Masanafu'!G19)</f>
        <v>0.5714285714285714</v>
      </c>
      <c r="H19" s="49">
        <f>AVERAGE('22.07 Busega-Masanafu'!H19,'23.07 Busega-Masanafu'!H19,'24.07 Busega-Masanafu'!H19,'25.07 Busega-Masanafu'!H19,'26.07 Busega-Masanafu-24h'!H19,'27.07 Busega-Masanafu-24h'!H19,'28.07 Busega-Masanafu'!H19)</f>
        <v>0.7142857142857143</v>
      </c>
      <c r="I19" s="49">
        <f>AVERAGE('22.07 Busega-Masanafu'!I19,'23.07 Busega-Masanafu'!I19,'24.07 Busega-Masanafu'!I19,'25.07 Busega-Masanafu'!I19,'26.07 Busega-Masanafu-24h'!I19,'27.07 Busega-Masanafu-24h'!I19,'28.07 Busega-Masanafu'!I19)</f>
        <v>7.2857142857142856</v>
      </c>
      <c r="J19" s="49">
        <f>AVERAGE('22.07 Busega-Masanafu'!J19,'23.07 Busega-Masanafu'!J19,'24.07 Busega-Masanafu'!J19,'25.07 Busega-Masanafu'!J19,'26.07 Busega-Masanafu-24h'!J19,'27.07 Busega-Masanafu-24h'!J19,'28.07 Busega-Masanafu'!J19)</f>
        <v>8</v>
      </c>
      <c r="K19" s="49">
        <f>AVERAGE('22.07 Busega-Masanafu'!K19,'23.07 Busega-Masanafu'!K19,'24.07 Busega-Masanafu'!K19,'25.07 Busega-Masanafu'!K19,'26.07 Busega-Masanafu-24h'!K19,'27.07 Busega-Masanafu-24h'!K19,'28.07 Busega-Masanafu'!K19)</f>
        <v>3.1428571428571428</v>
      </c>
      <c r="L19" s="49">
        <f>AVERAGE('22.07 Busega-Masanafu'!L19,'23.07 Busega-Masanafu'!L19,'24.07 Busega-Masanafu'!L19,'25.07 Busega-Masanafu'!L19,'26.07 Busega-Masanafu-24h'!L19,'27.07 Busega-Masanafu-24h'!L19,'28.07 Busega-Masanafu'!L19)</f>
        <v>3.1428571428571428</v>
      </c>
      <c r="M19" s="49">
        <f>AVERAGE('22.07 Busega-Masanafu'!M19,'23.07 Busega-Masanafu'!M19,'24.07 Busega-Masanafu'!M19,'25.07 Busega-Masanafu'!M19,'26.07 Busega-Masanafu-24h'!M19,'27.07 Busega-Masanafu-24h'!M19,'28.07 Busega-Masanafu'!M19)</f>
        <v>152.42857142857142</v>
      </c>
      <c r="N19" s="49">
        <f>AVERAGE('22.07 Busega-Masanafu'!N19,'23.07 Busega-Masanafu'!N19,'24.07 Busega-Masanafu'!N19,'25.07 Busega-Masanafu'!N19,'26.07 Busega-Masanafu-24h'!N19,'27.07 Busega-Masanafu-24h'!N19,'28.07 Busega-Masanafu'!N19)</f>
        <v>0</v>
      </c>
      <c r="O19" s="49">
        <f>AVERAGE('22.07 Busega-Masanafu'!O19,'23.07 Busega-Masanafu'!O19,'24.07 Busega-Masanafu'!O19,'25.07 Busega-Masanafu'!O19,'26.07 Busega-Masanafu-24h'!O19,'27.07 Busega-Masanafu-24h'!O19,'28.07 Busega-Masanafu'!O19)</f>
        <v>138.71428571428572</v>
      </c>
      <c r="P19" s="49">
        <f>AVERAGE('22.07 Busega-Masanafu'!P19,'23.07 Busega-Masanafu'!P19,'24.07 Busega-Masanafu'!P19,'25.07 Busega-Masanafu'!P19,'26.07 Busega-Masanafu-24h'!P19,'27.07 Busega-Masanafu-24h'!P19,'28.07 Busega-Masanafu'!P19)</f>
        <v>291.14285714285717</v>
      </c>
      <c r="R19" s="1" t="s">
        <v>15</v>
      </c>
      <c r="S19" s="17">
        <f t="shared" ref="S19:AF19" si="9">SUM(C46:C49)</f>
        <v>306.28571428571428</v>
      </c>
      <c r="T19" s="17">
        <f t="shared" si="9"/>
        <v>64.142857142857139</v>
      </c>
      <c r="U19" s="17">
        <f t="shared" si="9"/>
        <v>43.285714285714285</v>
      </c>
      <c r="V19" s="17">
        <f t="shared" si="9"/>
        <v>107.14285714285714</v>
      </c>
      <c r="W19" s="17">
        <f t="shared" si="9"/>
        <v>7.2857142857142856</v>
      </c>
      <c r="X19" s="17">
        <f t="shared" si="9"/>
        <v>2</v>
      </c>
      <c r="Y19" s="17">
        <f t="shared" si="9"/>
        <v>41.714285714285708</v>
      </c>
      <c r="Z19" s="17">
        <f t="shared" si="9"/>
        <v>42.428571428571431</v>
      </c>
      <c r="AA19" s="17">
        <f t="shared" si="9"/>
        <v>16</v>
      </c>
      <c r="AB19" s="17">
        <f t="shared" si="9"/>
        <v>30.857142857142861</v>
      </c>
      <c r="AC19" s="17">
        <f t="shared" si="9"/>
        <v>382.57142857142856</v>
      </c>
      <c r="AD19" s="17">
        <f t="shared" si="9"/>
        <v>0</v>
      </c>
      <c r="AE19" s="31">
        <f t="shared" si="9"/>
        <v>661.14285714285711</v>
      </c>
      <c r="AF19" s="31">
        <f t="shared" si="9"/>
        <v>1043.7142857142858</v>
      </c>
    </row>
    <row r="20" spans="2:32" ht="23.1" customHeight="1" x14ac:dyDescent="0.25">
      <c r="B20" s="23" t="s">
        <v>47</v>
      </c>
      <c r="C20" s="49">
        <f>AVERAGE('22.07 Busega-Masanafu'!C20,'23.07 Busega-Masanafu'!C20,'24.07 Busega-Masanafu'!C20,'25.07 Busega-Masanafu'!C20,'26.07 Busega-Masanafu-24h'!C20,'27.07 Busega-Masanafu-24h'!C20,'28.07 Busega-Masanafu'!C20)</f>
        <v>63.428571428571431</v>
      </c>
      <c r="D20" s="49">
        <f>AVERAGE('22.07 Busega-Masanafu'!D20,'23.07 Busega-Masanafu'!D20,'24.07 Busega-Masanafu'!D20,'25.07 Busega-Masanafu'!D20,'26.07 Busega-Masanafu-24h'!D20,'27.07 Busega-Masanafu-24h'!D20,'28.07 Busega-Masanafu'!D20)</f>
        <v>14.428571428571429</v>
      </c>
      <c r="E20" s="49">
        <f>AVERAGE('22.07 Busega-Masanafu'!E20,'23.07 Busega-Masanafu'!E20,'24.07 Busega-Masanafu'!E20,'25.07 Busega-Masanafu'!E20,'26.07 Busega-Masanafu-24h'!E20,'27.07 Busega-Masanafu-24h'!E20,'28.07 Busega-Masanafu'!E20)</f>
        <v>9.2857142857142865</v>
      </c>
      <c r="F20" s="49">
        <f>AVERAGE('22.07 Busega-Masanafu'!F20,'23.07 Busega-Masanafu'!F20,'24.07 Busega-Masanafu'!F20,'25.07 Busega-Masanafu'!F20,'26.07 Busega-Masanafu-24h'!F20,'27.07 Busega-Masanafu-24h'!F20,'28.07 Busega-Masanafu'!F20)</f>
        <v>23</v>
      </c>
      <c r="G20" s="49">
        <f>AVERAGE('22.07 Busega-Masanafu'!G20,'23.07 Busega-Masanafu'!G20,'24.07 Busega-Masanafu'!G20,'25.07 Busega-Masanafu'!G20,'26.07 Busega-Masanafu-24h'!G20,'27.07 Busega-Masanafu-24h'!G20,'28.07 Busega-Masanafu'!G20)</f>
        <v>1.7142857142857142</v>
      </c>
      <c r="H20" s="49">
        <f>AVERAGE('22.07 Busega-Masanafu'!H20,'23.07 Busega-Masanafu'!H20,'24.07 Busega-Masanafu'!H20,'25.07 Busega-Masanafu'!H20,'26.07 Busega-Masanafu-24h'!H20,'27.07 Busega-Masanafu-24h'!H20,'28.07 Busega-Masanafu'!H20)</f>
        <v>1.1428571428571428</v>
      </c>
      <c r="I20" s="49">
        <f>AVERAGE('22.07 Busega-Masanafu'!I20,'23.07 Busega-Masanafu'!I20,'24.07 Busega-Masanafu'!I20,'25.07 Busega-Masanafu'!I20,'26.07 Busega-Masanafu-24h'!I20,'27.07 Busega-Masanafu-24h'!I20,'28.07 Busega-Masanafu'!I20)</f>
        <v>8.8571428571428577</v>
      </c>
      <c r="J20" s="49">
        <f>AVERAGE('22.07 Busega-Masanafu'!J20,'23.07 Busega-Masanafu'!J20,'24.07 Busega-Masanafu'!J20,'25.07 Busega-Masanafu'!J20,'26.07 Busega-Masanafu-24h'!J20,'27.07 Busega-Masanafu-24h'!J20,'28.07 Busega-Masanafu'!J20)</f>
        <v>8.4285714285714288</v>
      </c>
      <c r="K20" s="49">
        <f>AVERAGE('22.07 Busega-Masanafu'!K20,'23.07 Busega-Masanafu'!K20,'24.07 Busega-Masanafu'!K20,'25.07 Busega-Masanafu'!K20,'26.07 Busega-Masanafu-24h'!K20,'27.07 Busega-Masanafu-24h'!K20,'28.07 Busega-Masanafu'!K20)</f>
        <v>3.5714285714285716</v>
      </c>
      <c r="L20" s="49">
        <f>AVERAGE('22.07 Busega-Masanafu'!L20,'23.07 Busega-Masanafu'!L20,'24.07 Busega-Masanafu'!L20,'25.07 Busega-Masanafu'!L20,'26.07 Busega-Masanafu-24h'!L20,'27.07 Busega-Masanafu-24h'!L20,'28.07 Busega-Masanafu'!L20)</f>
        <v>2.8571428571428572</v>
      </c>
      <c r="M20" s="49">
        <f>AVERAGE('22.07 Busega-Masanafu'!M20,'23.07 Busega-Masanafu'!M20,'24.07 Busega-Masanafu'!M20,'25.07 Busega-Masanafu'!M20,'26.07 Busega-Masanafu-24h'!M20,'27.07 Busega-Masanafu-24h'!M20,'28.07 Busega-Masanafu'!M20)</f>
        <v>132.42857142857142</v>
      </c>
      <c r="N20" s="49">
        <f>AVERAGE('22.07 Busega-Masanafu'!N20,'23.07 Busega-Masanafu'!N20,'24.07 Busega-Masanafu'!N20,'25.07 Busega-Masanafu'!N20,'26.07 Busega-Masanafu-24h'!N20,'27.07 Busega-Masanafu-24h'!N20,'28.07 Busega-Masanafu'!N20)</f>
        <v>0</v>
      </c>
      <c r="O20" s="49">
        <f>AVERAGE('22.07 Busega-Masanafu'!O20,'23.07 Busega-Masanafu'!O20,'24.07 Busega-Masanafu'!O20,'25.07 Busega-Masanafu'!O20,'26.07 Busega-Masanafu-24h'!O20,'27.07 Busega-Masanafu-24h'!O20,'28.07 Busega-Masanafu'!O20)</f>
        <v>136.71428571428572</v>
      </c>
      <c r="P20" s="49">
        <f>AVERAGE('22.07 Busega-Masanafu'!P20,'23.07 Busega-Masanafu'!P20,'24.07 Busega-Masanafu'!P20,'25.07 Busega-Masanafu'!P20,'26.07 Busega-Masanafu-24h'!P20,'27.07 Busega-Masanafu-24h'!P20,'28.07 Busega-Masanafu'!P20)</f>
        <v>269.14285714285717</v>
      </c>
      <c r="R20" s="1" t="s">
        <v>16</v>
      </c>
      <c r="S20" s="17">
        <f t="shared" ref="S20:AF20" si="10">SUM(C50:C53)</f>
        <v>316</v>
      </c>
      <c r="T20" s="17">
        <f t="shared" si="10"/>
        <v>62.285714285714278</v>
      </c>
      <c r="U20" s="17">
        <f t="shared" si="10"/>
        <v>46.857142857142861</v>
      </c>
      <c r="V20" s="17">
        <f t="shared" si="10"/>
        <v>125</v>
      </c>
      <c r="W20" s="17">
        <f t="shared" si="10"/>
        <v>11.714285714285715</v>
      </c>
      <c r="X20" s="17">
        <f t="shared" si="10"/>
        <v>1.7142857142857142</v>
      </c>
      <c r="Y20" s="17">
        <f t="shared" si="10"/>
        <v>42</v>
      </c>
      <c r="Z20" s="17">
        <f t="shared" si="10"/>
        <v>39.714285714285715</v>
      </c>
      <c r="AA20" s="17">
        <f t="shared" si="10"/>
        <v>17.571428571428573</v>
      </c>
      <c r="AB20" s="17">
        <f t="shared" si="10"/>
        <v>24.142857142857146</v>
      </c>
      <c r="AC20" s="17">
        <f t="shared" si="10"/>
        <v>417.14285714285717</v>
      </c>
      <c r="AD20" s="17">
        <f t="shared" si="10"/>
        <v>0.2857142857142857</v>
      </c>
      <c r="AE20" s="31">
        <f t="shared" si="10"/>
        <v>687.28571428571422</v>
      </c>
      <c r="AF20" s="31">
        <f t="shared" si="10"/>
        <v>1104.4285714285713</v>
      </c>
    </row>
    <row r="21" spans="2:32" ht="23.1" customHeight="1" x14ac:dyDescent="0.25">
      <c r="B21" s="23" t="s">
        <v>48</v>
      </c>
      <c r="C21" s="49">
        <f>AVERAGE('22.07 Busega-Masanafu'!C21,'23.07 Busega-Masanafu'!C21,'24.07 Busega-Masanafu'!C21,'25.07 Busega-Masanafu'!C21,'26.07 Busega-Masanafu-24h'!C21,'27.07 Busega-Masanafu-24h'!C21,'28.07 Busega-Masanafu'!C21)</f>
        <v>71.142857142857139</v>
      </c>
      <c r="D21" s="49">
        <f>AVERAGE('22.07 Busega-Masanafu'!D21,'23.07 Busega-Masanafu'!D21,'24.07 Busega-Masanafu'!D21,'25.07 Busega-Masanafu'!D21,'26.07 Busega-Masanafu-24h'!D21,'27.07 Busega-Masanafu-24h'!D21,'28.07 Busega-Masanafu'!D21)</f>
        <v>12.428571428571429</v>
      </c>
      <c r="E21" s="49">
        <f>AVERAGE('22.07 Busega-Masanafu'!E21,'23.07 Busega-Masanafu'!E21,'24.07 Busega-Masanafu'!E21,'25.07 Busega-Masanafu'!E21,'26.07 Busega-Masanafu-24h'!E21,'27.07 Busega-Masanafu-24h'!E21,'28.07 Busega-Masanafu'!E21)</f>
        <v>9.4285714285714288</v>
      </c>
      <c r="F21" s="49">
        <f>AVERAGE('22.07 Busega-Masanafu'!F21,'23.07 Busega-Masanafu'!F21,'24.07 Busega-Masanafu'!F21,'25.07 Busega-Masanafu'!F21,'26.07 Busega-Masanafu-24h'!F21,'27.07 Busega-Masanafu-24h'!F21,'28.07 Busega-Masanafu'!F21)</f>
        <v>27.857142857142858</v>
      </c>
      <c r="G21" s="49">
        <f>AVERAGE('22.07 Busega-Masanafu'!G21,'23.07 Busega-Masanafu'!G21,'24.07 Busega-Masanafu'!G21,'25.07 Busega-Masanafu'!G21,'26.07 Busega-Masanafu-24h'!G21,'27.07 Busega-Masanafu-24h'!G21,'28.07 Busega-Masanafu'!G21)</f>
        <v>2.5714285714285716</v>
      </c>
      <c r="H21" s="49">
        <f>AVERAGE('22.07 Busega-Masanafu'!H21,'23.07 Busega-Masanafu'!H21,'24.07 Busega-Masanafu'!H21,'25.07 Busega-Masanafu'!H21,'26.07 Busega-Masanafu-24h'!H21,'27.07 Busega-Masanafu-24h'!H21,'28.07 Busega-Masanafu'!H21)</f>
        <v>0.2857142857142857</v>
      </c>
      <c r="I21" s="49">
        <f>AVERAGE('22.07 Busega-Masanafu'!I21,'23.07 Busega-Masanafu'!I21,'24.07 Busega-Masanafu'!I21,'25.07 Busega-Masanafu'!I21,'26.07 Busega-Masanafu-24h'!I21,'27.07 Busega-Masanafu-24h'!I21,'28.07 Busega-Masanafu'!I21)</f>
        <v>8.4285714285714288</v>
      </c>
      <c r="J21" s="49">
        <f>AVERAGE('22.07 Busega-Masanafu'!J21,'23.07 Busega-Masanafu'!J21,'24.07 Busega-Masanafu'!J21,'25.07 Busega-Masanafu'!J21,'26.07 Busega-Masanafu-24h'!J21,'27.07 Busega-Masanafu-24h'!J21,'28.07 Busega-Masanafu'!J21)</f>
        <v>8.8571428571428577</v>
      </c>
      <c r="K21" s="49">
        <f>AVERAGE('22.07 Busega-Masanafu'!K21,'23.07 Busega-Masanafu'!K21,'24.07 Busega-Masanafu'!K21,'25.07 Busega-Masanafu'!K21,'26.07 Busega-Masanafu-24h'!K21,'27.07 Busega-Masanafu-24h'!K21,'28.07 Busega-Masanafu'!K21)</f>
        <v>4.8571428571428568</v>
      </c>
      <c r="L21" s="49">
        <f>AVERAGE('22.07 Busega-Masanafu'!L21,'23.07 Busega-Masanafu'!L21,'24.07 Busega-Masanafu'!L21,'25.07 Busega-Masanafu'!L21,'26.07 Busega-Masanafu-24h'!L21,'27.07 Busega-Masanafu-24h'!L21,'28.07 Busega-Masanafu'!L21)</f>
        <v>3.5714285714285716</v>
      </c>
      <c r="M21" s="49">
        <f>AVERAGE('22.07 Busega-Masanafu'!M21,'23.07 Busega-Masanafu'!M21,'24.07 Busega-Masanafu'!M21,'25.07 Busega-Masanafu'!M21,'26.07 Busega-Masanafu-24h'!M21,'27.07 Busega-Masanafu-24h'!M21,'28.07 Busega-Masanafu'!M21)</f>
        <v>145.57142857142858</v>
      </c>
      <c r="N21" s="49">
        <f>AVERAGE('22.07 Busega-Masanafu'!N21,'23.07 Busega-Masanafu'!N21,'24.07 Busega-Masanafu'!N21,'25.07 Busega-Masanafu'!N21,'26.07 Busega-Masanafu-24h'!N21,'27.07 Busega-Masanafu-24h'!N21,'28.07 Busega-Masanafu'!N21)</f>
        <v>0</v>
      </c>
      <c r="O21" s="49">
        <f>AVERAGE('22.07 Busega-Masanafu'!O21,'23.07 Busega-Masanafu'!O21,'24.07 Busega-Masanafu'!O21,'25.07 Busega-Masanafu'!O21,'26.07 Busega-Masanafu-24h'!O21,'27.07 Busega-Masanafu-24h'!O21,'28.07 Busega-Masanafu'!O21)</f>
        <v>149.42857142857142</v>
      </c>
      <c r="P21" s="49">
        <f>AVERAGE('22.07 Busega-Masanafu'!P21,'23.07 Busega-Masanafu'!P21,'24.07 Busega-Masanafu'!P21,'25.07 Busega-Masanafu'!P21,'26.07 Busega-Masanafu-24h'!P21,'27.07 Busega-Masanafu-24h'!P21,'28.07 Busega-Masanafu'!P21)</f>
        <v>295</v>
      </c>
      <c r="R21" s="36" t="s">
        <v>20</v>
      </c>
      <c r="S21" s="34">
        <f t="shared" ref="S21:AF21" si="11">SUM(C54:C57)</f>
        <v>305.42857142857144</v>
      </c>
      <c r="T21" s="17">
        <f t="shared" si="11"/>
        <v>66.714285714285708</v>
      </c>
      <c r="U21" s="17">
        <f t="shared" si="11"/>
        <v>42.857142857142861</v>
      </c>
      <c r="V21" s="17">
        <f t="shared" si="11"/>
        <v>141.42857142857142</v>
      </c>
      <c r="W21" s="17">
        <f t="shared" si="11"/>
        <v>16</v>
      </c>
      <c r="X21" s="17">
        <f t="shared" si="11"/>
        <v>2.714285714285714</v>
      </c>
      <c r="Y21" s="17">
        <f t="shared" si="11"/>
        <v>35.571428571428577</v>
      </c>
      <c r="Z21" s="17">
        <f t="shared" si="11"/>
        <v>39.285714285714285</v>
      </c>
      <c r="AA21" s="17">
        <f t="shared" si="11"/>
        <v>11.142857142857144</v>
      </c>
      <c r="AB21" s="17">
        <f t="shared" si="11"/>
        <v>18</v>
      </c>
      <c r="AC21" s="17">
        <f t="shared" si="11"/>
        <v>448.42857142857139</v>
      </c>
      <c r="AD21" s="17">
        <f t="shared" si="11"/>
        <v>0</v>
      </c>
      <c r="AE21" s="31">
        <f t="shared" si="11"/>
        <v>679.14285714285711</v>
      </c>
      <c r="AF21" s="31">
        <f t="shared" si="11"/>
        <v>1127.5714285714284</v>
      </c>
    </row>
    <row r="22" spans="2:32" ht="23.1" customHeight="1" x14ac:dyDescent="0.25">
      <c r="B22" s="23" t="s">
        <v>49</v>
      </c>
      <c r="C22" s="49">
        <f>AVERAGE('22.07 Busega-Masanafu'!C22,'23.07 Busega-Masanafu'!C22,'24.07 Busega-Masanafu'!C22,'25.07 Busega-Masanafu'!C22,'26.07 Busega-Masanafu-24h'!C22,'27.07 Busega-Masanafu-24h'!C22,'28.07 Busega-Masanafu'!C22)</f>
        <v>64</v>
      </c>
      <c r="D22" s="49">
        <f>AVERAGE('22.07 Busega-Masanafu'!D22,'23.07 Busega-Masanafu'!D22,'24.07 Busega-Masanafu'!D22,'25.07 Busega-Masanafu'!D22,'26.07 Busega-Masanafu-24h'!D22,'27.07 Busega-Masanafu-24h'!D22,'28.07 Busega-Masanafu'!D22)</f>
        <v>12.285714285714286</v>
      </c>
      <c r="E22" s="49">
        <f>AVERAGE('22.07 Busega-Masanafu'!E22,'23.07 Busega-Masanafu'!E22,'24.07 Busega-Masanafu'!E22,'25.07 Busega-Masanafu'!E22,'26.07 Busega-Masanafu-24h'!E22,'27.07 Busega-Masanafu-24h'!E22,'28.07 Busega-Masanafu'!E22)</f>
        <v>7.7142857142857144</v>
      </c>
      <c r="F22" s="49">
        <f>AVERAGE('22.07 Busega-Masanafu'!F22,'23.07 Busega-Masanafu'!F22,'24.07 Busega-Masanafu'!F22,'25.07 Busega-Masanafu'!F22,'26.07 Busega-Masanafu-24h'!F22,'27.07 Busega-Masanafu-24h'!F22,'28.07 Busega-Masanafu'!F22)</f>
        <v>28.285714285714285</v>
      </c>
      <c r="G22" s="49">
        <f>AVERAGE('22.07 Busega-Masanafu'!G22,'23.07 Busega-Masanafu'!G22,'24.07 Busega-Masanafu'!G22,'25.07 Busega-Masanafu'!G22,'26.07 Busega-Masanafu-24h'!G22,'27.07 Busega-Masanafu-24h'!G22,'28.07 Busega-Masanafu'!G22)</f>
        <v>1.2857142857142858</v>
      </c>
      <c r="H22" s="49">
        <f>AVERAGE('22.07 Busega-Masanafu'!H22,'23.07 Busega-Masanafu'!H22,'24.07 Busega-Masanafu'!H22,'25.07 Busega-Masanafu'!H22,'26.07 Busega-Masanafu-24h'!H22,'27.07 Busega-Masanafu-24h'!H22,'28.07 Busega-Masanafu'!H22)</f>
        <v>0.8571428571428571</v>
      </c>
      <c r="I22" s="49">
        <f>AVERAGE('22.07 Busega-Masanafu'!I22,'23.07 Busega-Masanafu'!I22,'24.07 Busega-Masanafu'!I22,'25.07 Busega-Masanafu'!I22,'26.07 Busega-Masanafu-24h'!I22,'27.07 Busega-Masanafu-24h'!I22,'28.07 Busega-Masanafu'!I22)</f>
        <v>29.714285714285715</v>
      </c>
      <c r="J22" s="49">
        <f>AVERAGE('22.07 Busega-Masanafu'!J22,'23.07 Busega-Masanafu'!J22,'24.07 Busega-Masanafu'!J22,'25.07 Busega-Masanafu'!J22,'26.07 Busega-Masanafu-24h'!J22,'27.07 Busega-Masanafu-24h'!J22,'28.07 Busega-Masanafu'!J22)</f>
        <v>6.4285714285714288</v>
      </c>
      <c r="K22" s="49">
        <f>AVERAGE('22.07 Busega-Masanafu'!K22,'23.07 Busega-Masanafu'!K22,'24.07 Busega-Masanafu'!K22,'25.07 Busega-Masanafu'!K22,'26.07 Busega-Masanafu-24h'!K22,'27.07 Busega-Masanafu-24h'!K22,'28.07 Busega-Masanafu'!K22)</f>
        <v>4.5714285714285712</v>
      </c>
      <c r="L22" s="49">
        <f>AVERAGE('22.07 Busega-Masanafu'!L22,'23.07 Busega-Masanafu'!L22,'24.07 Busega-Masanafu'!L22,'25.07 Busega-Masanafu'!L22,'26.07 Busega-Masanafu-24h'!L22,'27.07 Busega-Masanafu-24h'!L22,'28.07 Busega-Masanafu'!L22)</f>
        <v>3.4285714285714284</v>
      </c>
      <c r="M22" s="49">
        <f>AVERAGE('22.07 Busega-Masanafu'!M22,'23.07 Busega-Masanafu'!M22,'24.07 Busega-Masanafu'!M22,'25.07 Busega-Masanafu'!M22,'26.07 Busega-Masanafu-24h'!M22,'27.07 Busega-Masanafu-24h'!M22,'28.07 Busega-Masanafu'!M22)</f>
        <v>138.14285714285714</v>
      </c>
      <c r="N22" s="49">
        <f>AVERAGE('22.07 Busega-Masanafu'!N22,'23.07 Busega-Masanafu'!N22,'24.07 Busega-Masanafu'!N22,'25.07 Busega-Masanafu'!N22,'26.07 Busega-Masanafu-24h'!N22,'27.07 Busega-Masanafu-24h'!N22,'28.07 Busega-Masanafu'!N22)</f>
        <v>0</v>
      </c>
      <c r="O22" s="49">
        <f>AVERAGE('22.07 Busega-Masanafu'!O22,'23.07 Busega-Masanafu'!O22,'24.07 Busega-Masanafu'!O22,'25.07 Busega-Masanafu'!O22,'26.07 Busega-Masanafu-24h'!O22,'27.07 Busega-Masanafu-24h'!O22,'28.07 Busega-Masanafu'!O22)</f>
        <v>158.57142857142858</v>
      </c>
      <c r="P22" s="49">
        <f>AVERAGE('22.07 Busega-Masanafu'!P22,'23.07 Busega-Masanafu'!P22,'24.07 Busega-Masanafu'!P22,'25.07 Busega-Masanafu'!P22,'26.07 Busega-Masanafu-24h'!P22,'27.07 Busega-Masanafu-24h'!P22,'28.07 Busega-Masanafu'!P22)</f>
        <v>296.71428571428572</v>
      </c>
      <c r="R22" s="1" t="s">
        <v>146</v>
      </c>
      <c r="S22" s="34">
        <f t="shared" ref="S22:AE22" si="12">SUM(C55:C58)</f>
        <v>287.85714285714289</v>
      </c>
      <c r="T22" s="17">
        <f t="shared" si="12"/>
        <v>53.285714285714292</v>
      </c>
      <c r="U22" s="17">
        <f t="shared" si="12"/>
        <v>34.928571428571431</v>
      </c>
      <c r="V22" s="17">
        <f t="shared" si="12"/>
        <v>115.92857142857142</v>
      </c>
      <c r="W22" s="17">
        <f t="shared" si="12"/>
        <v>13</v>
      </c>
      <c r="X22" s="17">
        <f t="shared" si="12"/>
        <v>2.8571428571428568</v>
      </c>
      <c r="Y22" s="17">
        <f t="shared" si="12"/>
        <v>27.642857142857142</v>
      </c>
      <c r="Z22" s="17">
        <f t="shared" si="12"/>
        <v>30.357142857142858</v>
      </c>
      <c r="AA22" s="17">
        <f t="shared" si="12"/>
        <v>10.357142857142858</v>
      </c>
      <c r="AB22" s="17">
        <f t="shared" si="12"/>
        <v>16.928571428571431</v>
      </c>
      <c r="AC22" s="17">
        <f t="shared" si="12"/>
        <v>419.42857142857144</v>
      </c>
      <c r="AD22" s="17">
        <f t="shared" si="12"/>
        <v>0</v>
      </c>
      <c r="AE22" s="31">
        <f>SUM(O55:O58)</f>
        <v>5691.4285714285716</v>
      </c>
      <c r="AF22" s="31">
        <f>SUM(P55:P58)</f>
        <v>10080.142857142859</v>
      </c>
    </row>
    <row r="23" spans="2:32" ht="23.1" customHeight="1" x14ac:dyDescent="0.25">
      <c r="B23" s="23" t="s">
        <v>50</v>
      </c>
      <c r="C23" s="49">
        <f>AVERAGE('22.07 Busega-Masanafu'!C23,'23.07 Busega-Masanafu'!C23,'24.07 Busega-Masanafu'!C23,'25.07 Busega-Masanafu'!C23,'26.07 Busega-Masanafu-24h'!C23,'27.07 Busega-Masanafu-24h'!C23,'28.07 Busega-Masanafu'!C23)</f>
        <v>71.142857142857139</v>
      </c>
      <c r="D23" s="49">
        <f>AVERAGE('22.07 Busega-Masanafu'!D23,'23.07 Busega-Masanafu'!D23,'24.07 Busega-Masanafu'!D23,'25.07 Busega-Masanafu'!D23,'26.07 Busega-Masanafu-24h'!D23,'27.07 Busega-Masanafu-24h'!D23,'28.07 Busega-Masanafu'!D23)</f>
        <v>13.142857142857142</v>
      </c>
      <c r="E23" s="49">
        <f>AVERAGE('22.07 Busega-Masanafu'!E23,'23.07 Busega-Masanafu'!E23,'24.07 Busega-Masanafu'!E23,'25.07 Busega-Masanafu'!E23,'26.07 Busega-Masanafu-24h'!E23,'27.07 Busega-Masanafu-24h'!E23,'28.07 Busega-Masanafu'!E23)</f>
        <v>7.4285714285714288</v>
      </c>
      <c r="F23" s="49">
        <f>AVERAGE('22.07 Busega-Masanafu'!F23,'23.07 Busega-Masanafu'!F23,'24.07 Busega-Masanafu'!F23,'25.07 Busega-Masanafu'!F23,'26.07 Busega-Masanafu-24h'!F23,'27.07 Busega-Masanafu-24h'!F23,'28.07 Busega-Masanafu'!F23)</f>
        <v>26.285714285714285</v>
      </c>
      <c r="G23" s="49">
        <f>AVERAGE('22.07 Busega-Masanafu'!G23,'23.07 Busega-Masanafu'!G23,'24.07 Busega-Masanafu'!G23,'25.07 Busega-Masanafu'!G23,'26.07 Busega-Masanafu-24h'!G23,'27.07 Busega-Masanafu-24h'!G23,'28.07 Busega-Masanafu'!G23)</f>
        <v>1</v>
      </c>
      <c r="H23" s="49">
        <f>AVERAGE('22.07 Busega-Masanafu'!H23,'23.07 Busega-Masanafu'!H23,'24.07 Busega-Masanafu'!H23,'25.07 Busega-Masanafu'!H23,'26.07 Busega-Masanafu-24h'!H23,'27.07 Busega-Masanafu-24h'!H23,'28.07 Busega-Masanafu'!H23)</f>
        <v>0.2857142857142857</v>
      </c>
      <c r="I23" s="49">
        <f>AVERAGE('22.07 Busega-Masanafu'!I23,'23.07 Busega-Masanafu'!I23,'24.07 Busega-Masanafu'!I23,'25.07 Busega-Masanafu'!I23,'26.07 Busega-Masanafu-24h'!I23,'27.07 Busega-Masanafu-24h'!I23,'28.07 Busega-Masanafu'!I23)</f>
        <v>8.8571428571428577</v>
      </c>
      <c r="J23" s="49">
        <f>AVERAGE('22.07 Busega-Masanafu'!J23,'23.07 Busega-Masanafu'!J23,'24.07 Busega-Masanafu'!J23,'25.07 Busega-Masanafu'!J23,'26.07 Busega-Masanafu-24h'!J23,'27.07 Busega-Masanafu-24h'!J23,'28.07 Busega-Masanafu'!J23)</f>
        <v>10.857142857142858</v>
      </c>
      <c r="K23" s="49">
        <f>AVERAGE('22.07 Busega-Masanafu'!K23,'23.07 Busega-Masanafu'!K23,'24.07 Busega-Masanafu'!K23,'25.07 Busega-Masanafu'!K23,'26.07 Busega-Masanafu-24h'!K23,'27.07 Busega-Masanafu-24h'!K23,'28.07 Busega-Masanafu'!K23)</f>
        <v>2.8571428571428572</v>
      </c>
      <c r="L23" s="49">
        <f>AVERAGE('22.07 Busega-Masanafu'!L23,'23.07 Busega-Masanafu'!L23,'24.07 Busega-Masanafu'!L23,'25.07 Busega-Masanafu'!L23,'26.07 Busega-Masanafu-24h'!L23,'27.07 Busega-Masanafu-24h'!L23,'28.07 Busega-Masanafu'!L23)</f>
        <v>3</v>
      </c>
      <c r="M23" s="49">
        <f>AVERAGE('22.07 Busega-Masanafu'!M23,'23.07 Busega-Masanafu'!M23,'24.07 Busega-Masanafu'!M23,'25.07 Busega-Masanafu'!M23,'26.07 Busega-Masanafu-24h'!M23,'27.07 Busega-Masanafu-24h'!M23,'28.07 Busega-Masanafu'!M23)</f>
        <v>128.71428571428572</v>
      </c>
      <c r="N23" s="49">
        <f>AVERAGE('22.07 Busega-Masanafu'!N23,'23.07 Busega-Masanafu'!N23,'24.07 Busega-Masanafu'!N23,'25.07 Busega-Masanafu'!N23,'26.07 Busega-Masanafu-24h'!N23,'27.07 Busega-Masanafu-24h'!N23,'28.07 Busega-Masanafu'!N23)</f>
        <v>0</v>
      </c>
      <c r="O23" s="49">
        <f>AVERAGE('22.07 Busega-Masanafu'!O23,'23.07 Busega-Masanafu'!O23,'24.07 Busega-Masanafu'!O23,'25.07 Busega-Masanafu'!O23,'26.07 Busega-Masanafu-24h'!O23,'27.07 Busega-Masanafu-24h'!O23,'28.07 Busega-Masanafu'!O23)</f>
        <v>144.85714285714286</v>
      </c>
      <c r="P23" s="49">
        <f>AVERAGE('22.07 Busega-Masanafu'!P23,'23.07 Busega-Masanafu'!P23,'24.07 Busega-Masanafu'!P23,'25.07 Busega-Masanafu'!P23,'26.07 Busega-Masanafu-24h'!P23,'27.07 Busega-Masanafu-24h'!P23,'28.07 Busega-Masanafu'!P23)</f>
        <v>273.57142857142856</v>
      </c>
      <c r="R23" s="1" t="s">
        <v>147</v>
      </c>
      <c r="S23" s="34">
        <f>SUM(C59:C62)</f>
        <v>273</v>
      </c>
      <c r="T23" s="34">
        <f t="shared" ref="T23:AF23" si="13">SUM(D59:D62)</f>
        <v>39.5</v>
      </c>
      <c r="U23" s="34">
        <f t="shared" si="13"/>
        <v>48.5</v>
      </c>
      <c r="V23" s="34">
        <f t="shared" si="13"/>
        <v>124</v>
      </c>
      <c r="W23" s="34">
        <f t="shared" si="13"/>
        <v>20.5</v>
      </c>
      <c r="X23" s="34">
        <f t="shared" si="13"/>
        <v>6</v>
      </c>
      <c r="Y23" s="34">
        <f t="shared" si="13"/>
        <v>36</v>
      </c>
      <c r="Z23" s="34">
        <f t="shared" si="13"/>
        <v>32.5</v>
      </c>
      <c r="AA23" s="34">
        <f t="shared" si="13"/>
        <v>16.5</v>
      </c>
      <c r="AB23" s="34">
        <f t="shared" si="13"/>
        <v>16.5</v>
      </c>
      <c r="AC23" s="34">
        <f t="shared" si="13"/>
        <v>364</v>
      </c>
      <c r="AD23" s="34">
        <f t="shared" si="13"/>
        <v>0</v>
      </c>
      <c r="AE23" s="31">
        <f t="shared" si="13"/>
        <v>613</v>
      </c>
      <c r="AF23" s="31">
        <f t="shared" si="13"/>
        <v>977</v>
      </c>
    </row>
    <row r="24" spans="2:32" ht="23.1" customHeight="1" x14ac:dyDescent="0.25">
      <c r="B24" s="23" t="s">
        <v>51</v>
      </c>
      <c r="C24" s="49">
        <f>AVERAGE('22.07 Busega-Masanafu'!C24,'23.07 Busega-Masanafu'!C24,'24.07 Busega-Masanafu'!C24,'25.07 Busega-Masanafu'!C24,'26.07 Busega-Masanafu-24h'!C24,'27.07 Busega-Masanafu-24h'!C24,'28.07 Busega-Masanafu'!C24)</f>
        <v>72.857142857142861</v>
      </c>
      <c r="D24" s="49">
        <f>AVERAGE('22.07 Busega-Masanafu'!D24,'23.07 Busega-Masanafu'!D24,'24.07 Busega-Masanafu'!D24,'25.07 Busega-Masanafu'!D24,'26.07 Busega-Masanafu-24h'!D24,'27.07 Busega-Masanafu-24h'!D24,'28.07 Busega-Masanafu'!D24)</f>
        <v>15</v>
      </c>
      <c r="E24" s="49">
        <f>AVERAGE('22.07 Busega-Masanafu'!E24,'23.07 Busega-Masanafu'!E24,'24.07 Busega-Masanafu'!E24,'25.07 Busega-Masanafu'!E24,'26.07 Busega-Masanafu-24h'!E24,'27.07 Busega-Masanafu-24h'!E24,'28.07 Busega-Masanafu'!E24)</f>
        <v>8.8571428571428577</v>
      </c>
      <c r="F24" s="49">
        <f>AVERAGE('22.07 Busega-Masanafu'!F24,'23.07 Busega-Masanafu'!F24,'24.07 Busega-Masanafu'!F24,'25.07 Busega-Masanafu'!F24,'26.07 Busega-Masanafu-24h'!F24,'27.07 Busega-Masanafu-24h'!F24,'28.07 Busega-Masanafu'!F24)</f>
        <v>26.142857142857142</v>
      </c>
      <c r="G24" s="49">
        <f>AVERAGE('22.07 Busega-Masanafu'!G24,'23.07 Busega-Masanafu'!G24,'24.07 Busega-Masanafu'!G24,'25.07 Busega-Masanafu'!G24,'26.07 Busega-Masanafu-24h'!G24,'27.07 Busega-Masanafu-24h'!G24,'28.07 Busega-Masanafu'!G24)</f>
        <v>1.2857142857142858</v>
      </c>
      <c r="H24" s="49">
        <f>AVERAGE('22.07 Busega-Masanafu'!H24,'23.07 Busega-Masanafu'!H24,'24.07 Busega-Masanafu'!H24,'25.07 Busega-Masanafu'!H24,'26.07 Busega-Masanafu-24h'!H24,'27.07 Busega-Masanafu-24h'!H24,'28.07 Busega-Masanafu'!H24)</f>
        <v>0.2857142857142857</v>
      </c>
      <c r="I24" s="49">
        <f>AVERAGE('22.07 Busega-Masanafu'!I24,'23.07 Busega-Masanafu'!I24,'24.07 Busega-Masanafu'!I24,'25.07 Busega-Masanafu'!I24,'26.07 Busega-Masanafu-24h'!I24,'27.07 Busega-Masanafu-24h'!I24,'28.07 Busega-Masanafu'!I24)</f>
        <v>9.7142857142857135</v>
      </c>
      <c r="J24" s="49">
        <f>AVERAGE('22.07 Busega-Masanafu'!J24,'23.07 Busega-Masanafu'!J24,'24.07 Busega-Masanafu'!J24,'25.07 Busega-Masanafu'!J24,'26.07 Busega-Masanafu-24h'!J24,'27.07 Busega-Masanafu-24h'!J24,'28.07 Busega-Masanafu'!J24)</f>
        <v>8.7142857142857135</v>
      </c>
      <c r="K24" s="49">
        <f>AVERAGE('22.07 Busega-Masanafu'!K24,'23.07 Busega-Masanafu'!K24,'24.07 Busega-Masanafu'!K24,'25.07 Busega-Masanafu'!K24,'26.07 Busega-Masanafu-24h'!K24,'27.07 Busega-Masanafu-24h'!K24,'28.07 Busega-Masanafu'!K24)</f>
        <v>5</v>
      </c>
      <c r="L24" s="49">
        <f>AVERAGE('22.07 Busega-Masanafu'!L24,'23.07 Busega-Masanafu'!L24,'24.07 Busega-Masanafu'!L24,'25.07 Busega-Masanafu'!L24,'26.07 Busega-Masanafu-24h'!L24,'27.07 Busega-Masanafu-24h'!L24,'28.07 Busega-Masanafu'!L24)</f>
        <v>3.8571428571428572</v>
      </c>
      <c r="M24" s="49">
        <f>AVERAGE('22.07 Busega-Masanafu'!M24,'23.07 Busega-Masanafu'!M24,'24.07 Busega-Masanafu'!M24,'25.07 Busega-Masanafu'!M24,'26.07 Busega-Masanafu-24h'!M24,'27.07 Busega-Masanafu-24h'!M24,'28.07 Busega-Masanafu'!M24)</f>
        <v>124.57142857142857</v>
      </c>
      <c r="N24" s="49">
        <f>AVERAGE('22.07 Busega-Masanafu'!N24,'23.07 Busega-Masanafu'!N24,'24.07 Busega-Masanafu'!N24,'25.07 Busega-Masanafu'!N24,'26.07 Busega-Masanafu-24h'!N24,'27.07 Busega-Masanafu-24h'!N24,'28.07 Busega-Masanafu'!N24)</f>
        <v>0</v>
      </c>
      <c r="O24" s="49">
        <f>AVERAGE('22.07 Busega-Masanafu'!O24,'23.07 Busega-Masanafu'!O24,'24.07 Busega-Masanafu'!O24,'25.07 Busega-Masanafu'!O24,'26.07 Busega-Masanafu-24h'!O24,'27.07 Busega-Masanafu-24h'!O24,'28.07 Busega-Masanafu'!O24)</f>
        <v>151.71428571428572</v>
      </c>
      <c r="P24" s="49">
        <f>AVERAGE('22.07 Busega-Masanafu'!P24,'23.07 Busega-Masanafu'!P24,'24.07 Busega-Masanafu'!P24,'25.07 Busega-Masanafu'!P24,'26.07 Busega-Masanafu-24h'!P24,'27.07 Busega-Masanafu-24h'!P24,'28.07 Busega-Masanafu'!P24)</f>
        <v>276.28571428571428</v>
      </c>
      <c r="R24" s="1" t="s">
        <v>148</v>
      </c>
      <c r="S24" s="34">
        <f>SUM(C63:C66)</f>
        <v>294.5</v>
      </c>
      <c r="T24" s="34">
        <f t="shared" ref="T24:AF24" si="14">SUM(D63:D66)</f>
        <v>42.5</v>
      </c>
      <c r="U24" s="34">
        <f t="shared" si="14"/>
        <v>49.5</v>
      </c>
      <c r="V24" s="34">
        <f t="shared" si="14"/>
        <v>126.5</v>
      </c>
      <c r="W24" s="34">
        <f t="shared" si="14"/>
        <v>12.5</v>
      </c>
      <c r="X24" s="34">
        <f t="shared" si="14"/>
        <v>3</v>
      </c>
      <c r="Y24" s="34">
        <f t="shared" si="14"/>
        <v>30</v>
      </c>
      <c r="Z24" s="34">
        <f t="shared" si="14"/>
        <v>33</v>
      </c>
      <c r="AA24" s="34">
        <f t="shared" si="14"/>
        <v>19</v>
      </c>
      <c r="AB24" s="34">
        <f t="shared" si="14"/>
        <v>22.5</v>
      </c>
      <c r="AC24" s="34">
        <f t="shared" si="14"/>
        <v>350.5</v>
      </c>
      <c r="AD24" s="34">
        <f t="shared" si="14"/>
        <v>0</v>
      </c>
      <c r="AE24" s="31">
        <f t="shared" si="14"/>
        <v>633</v>
      </c>
      <c r="AF24" s="31">
        <f t="shared" si="14"/>
        <v>983.5</v>
      </c>
    </row>
    <row r="25" spans="2:32" ht="23.1" customHeight="1" x14ac:dyDescent="0.25">
      <c r="B25" s="23" t="s">
        <v>52</v>
      </c>
      <c r="C25" s="49">
        <f>AVERAGE('22.07 Busega-Masanafu'!C25,'23.07 Busega-Masanafu'!C25,'24.07 Busega-Masanafu'!C25,'25.07 Busega-Masanafu'!C25,'26.07 Busega-Masanafu-24h'!C25,'27.07 Busega-Masanafu-24h'!C25,'28.07 Busega-Masanafu'!C25)</f>
        <v>60.714285714285715</v>
      </c>
      <c r="D25" s="49">
        <f>AVERAGE('22.07 Busega-Masanafu'!D25,'23.07 Busega-Masanafu'!D25,'24.07 Busega-Masanafu'!D25,'25.07 Busega-Masanafu'!D25,'26.07 Busega-Masanafu-24h'!D25,'27.07 Busega-Masanafu-24h'!D25,'28.07 Busega-Masanafu'!D25)</f>
        <v>13.571428571428571</v>
      </c>
      <c r="E25" s="49">
        <f>AVERAGE('22.07 Busega-Masanafu'!E25,'23.07 Busega-Masanafu'!E25,'24.07 Busega-Masanafu'!E25,'25.07 Busega-Masanafu'!E25,'26.07 Busega-Masanafu-24h'!E25,'27.07 Busega-Masanafu-24h'!E25,'28.07 Busega-Masanafu'!E25)</f>
        <v>8.2857142857142865</v>
      </c>
      <c r="F25" s="49">
        <f>AVERAGE('22.07 Busega-Masanafu'!F25,'23.07 Busega-Masanafu'!F25,'24.07 Busega-Masanafu'!F25,'25.07 Busega-Masanafu'!F25,'26.07 Busega-Masanafu-24h'!F25,'27.07 Busega-Masanafu-24h'!F25,'28.07 Busega-Masanafu'!F25)</f>
        <v>32.571428571428569</v>
      </c>
      <c r="G25" s="49">
        <f>AVERAGE('22.07 Busega-Masanafu'!G25,'23.07 Busega-Masanafu'!G25,'24.07 Busega-Masanafu'!G25,'25.07 Busega-Masanafu'!G25,'26.07 Busega-Masanafu-24h'!G25,'27.07 Busega-Masanafu-24h'!G25,'28.07 Busega-Masanafu'!G25)</f>
        <v>0.8571428571428571</v>
      </c>
      <c r="H25" s="49">
        <f>AVERAGE('22.07 Busega-Masanafu'!H25,'23.07 Busega-Masanafu'!H25,'24.07 Busega-Masanafu'!H25,'25.07 Busega-Masanafu'!H25,'26.07 Busega-Masanafu-24h'!H25,'27.07 Busega-Masanafu-24h'!H25,'28.07 Busega-Masanafu'!H25)</f>
        <v>0.2857142857142857</v>
      </c>
      <c r="I25" s="49">
        <f>AVERAGE('22.07 Busega-Masanafu'!I25,'23.07 Busega-Masanafu'!I25,'24.07 Busega-Masanafu'!I25,'25.07 Busega-Masanafu'!I25,'26.07 Busega-Masanafu-24h'!I25,'27.07 Busega-Masanafu-24h'!I25,'28.07 Busega-Masanafu'!I25)</f>
        <v>9.5714285714285712</v>
      </c>
      <c r="J25" s="49">
        <f>AVERAGE('22.07 Busega-Masanafu'!J25,'23.07 Busega-Masanafu'!J25,'24.07 Busega-Masanafu'!J25,'25.07 Busega-Masanafu'!J25,'26.07 Busega-Masanafu-24h'!J25,'27.07 Busega-Masanafu-24h'!J25,'28.07 Busega-Masanafu'!J25)</f>
        <v>9.7142857142857135</v>
      </c>
      <c r="K25" s="49">
        <f>AVERAGE('22.07 Busega-Masanafu'!K25,'23.07 Busega-Masanafu'!K25,'24.07 Busega-Masanafu'!K25,'25.07 Busega-Masanafu'!K25,'26.07 Busega-Masanafu-24h'!K25,'27.07 Busega-Masanafu-24h'!K25,'28.07 Busega-Masanafu'!K25)</f>
        <v>4</v>
      </c>
      <c r="L25" s="49">
        <f>AVERAGE('22.07 Busega-Masanafu'!L25,'23.07 Busega-Masanafu'!L25,'24.07 Busega-Masanafu'!L25,'25.07 Busega-Masanafu'!L25,'26.07 Busega-Masanafu-24h'!L25,'27.07 Busega-Masanafu-24h'!L25,'28.07 Busega-Masanafu'!L25)</f>
        <v>3.8571428571428572</v>
      </c>
      <c r="M25" s="49">
        <f>AVERAGE('22.07 Busega-Masanafu'!M25,'23.07 Busega-Masanafu'!M25,'24.07 Busega-Masanafu'!M25,'25.07 Busega-Masanafu'!M25,'26.07 Busega-Masanafu-24h'!M25,'27.07 Busega-Masanafu-24h'!M25,'28.07 Busega-Masanafu'!M25)</f>
        <v>122.28571428571429</v>
      </c>
      <c r="N25" s="49">
        <f>AVERAGE('22.07 Busega-Masanafu'!N25,'23.07 Busega-Masanafu'!N25,'24.07 Busega-Masanafu'!N25,'25.07 Busega-Masanafu'!N25,'26.07 Busega-Masanafu-24h'!N25,'27.07 Busega-Masanafu-24h'!N25,'28.07 Busega-Masanafu'!N25)</f>
        <v>0</v>
      </c>
      <c r="O25" s="49">
        <f>AVERAGE('22.07 Busega-Masanafu'!O25,'23.07 Busega-Masanafu'!O25,'24.07 Busega-Masanafu'!O25,'25.07 Busega-Masanafu'!O25,'26.07 Busega-Masanafu-24h'!O25,'27.07 Busega-Masanafu-24h'!O25,'28.07 Busega-Masanafu'!O25)</f>
        <v>143.42857142857142</v>
      </c>
      <c r="P25" s="49">
        <f>AVERAGE('22.07 Busega-Masanafu'!P25,'23.07 Busega-Masanafu'!P25,'24.07 Busega-Masanafu'!P25,'25.07 Busega-Masanafu'!P25,'26.07 Busega-Masanafu-24h'!P25,'27.07 Busega-Masanafu-24h'!P25,'28.07 Busega-Masanafu'!P25)</f>
        <v>265.71428571428572</v>
      </c>
      <c r="R25" s="1" t="s">
        <v>149</v>
      </c>
      <c r="S25" s="34">
        <f>SUM(C67:C70)</f>
        <v>228.5</v>
      </c>
      <c r="T25" s="34">
        <f t="shared" ref="T25:AF25" si="15">SUM(D67:D70)</f>
        <v>26</v>
      </c>
      <c r="U25" s="34">
        <f t="shared" si="15"/>
        <v>42</v>
      </c>
      <c r="V25" s="34">
        <f t="shared" si="15"/>
        <v>91</v>
      </c>
      <c r="W25" s="34">
        <f t="shared" si="15"/>
        <v>5</v>
      </c>
      <c r="X25" s="34">
        <f t="shared" si="15"/>
        <v>1.5</v>
      </c>
      <c r="Y25" s="34">
        <f t="shared" si="15"/>
        <v>14</v>
      </c>
      <c r="Z25" s="34">
        <f t="shared" si="15"/>
        <v>20</v>
      </c>
      <c r="AA25" s="34">
        <f t="shared" si="15"/>
        <v>6.5</v>
      </c>
      <c r="AB25" s="34">
        <f t="shared" si="15"/>
        <v>13</v>
      </c>
      <c r="AC25" s="34">
        <f t="shared" si="15"/>
        <v>282.5</v>
      </c>
      <c r="AD25" s="34">
        <f t="shared" si="15"/>
        <v>0</v>
      </c>
      <c r="AE25" s="31">
        <f t="shared" si="15"/>
        <v>447.5</v>
      </c>
      <c r="AF25" s="31">
        <f t="shared" si="15"/>
        <v>730</v>
      </c>
    </row>
    <row r="26" spans="2:32" ht="23.1" customHeight="1" x14ac:dyDescent="0.25">
      <c r="B26" s="23" t="s">
        <v>53</v>
      </c>
      <c r="C26" s="49">
        <f>AVERAGE('22.07 Busega-Masanafu'!C26,'23.07 Busega-Masanafu'!C26,'24.07 Busega-Masanafu'!C26,'25.07 Busega-Masanafu'!C26,'26.07 Busega-Masanafu-24h'!C26,'27.07 Busega-Masanafu-24h'!C26,'28.07 Busega-Masanafu'!C26)</f>
        <v>78.714285714285708</v>
      </c>
      <c r="D26" s="49">
        <f>AVERAGE('22.07 Busega-Masanafu'!D26,'23.07 Busega-Masanafu'!D26,'24.07 Busega-Masanafu'!D26,'25.07 Busega-Masanafu'!D26,'26.07 Busega-Masanafu-24h'!D26,'27.07 Busega-Masanafu-24h'!D26,'28.07 Busega-Masanafu'!D26)</f>
        <v>13</v>
      </c>
      <c r="E26" s="49">
        <f>AVERAGE('22.07 Busega-Masanafu'!E26,'23.07 Busega-Masanafu'!E26,'24.07 Busega-Masanafu'!E26,'25.07 Busega-Masanafu'!E26,'26.07 Busega-Masanafu-24h'!E26,'27.07 Busega-Masanafu-24h'!E26,'28.07 Busega-Masanafu'!E26)</f>
        <v>10.714285714285714</v>
      </c>
      <c r="F26" s="49">
        <f>AVERAGE('22.07 Busega-Masanafu'!F26,'23.07 Busega-Masanafu'!F26,'24.07 Busega-Masanafu'!F26,'25.07 Busega-Masanafu'!F26,'26.07 Busega-Masanafu-24h'!F26,'27.07 Busega-Masanafu-24h'!F26,'28.07 Busega-Masanafu'!F26)</f>
        <v>32.714285714285715</v>
      </c>
      <c r="G26" s="49">
        <f>AVERAGE('22.07 Busega-Masanafu'!G26,'23.07 Busega-Masanafu'!G26,'24.07 Busega-Masanafu'!G26,'25.07 Busega-Masanafu'!G26,'26.07 Busega-Masanafu-24h'!G26,'27.07 Busega-Masanafu-24h'!G26,'28.07 Busega-Masanafu'!G26)</f>
        <v>0.8571428571428571</v>
      </c>
      <c r="H26" s="49">
        <f>AVERAGE('22.07 Busega-Masanafu'!H26,'23.07 Busega-Masanafu'!H26,'24.07 Busega-Masanafu'!H26,'25.07 Busega-Masanafu'!H26,'26.07 Busega-Masanafu-24h'!H26,'27.07 Busega-Masanafu-24h'!H26,'28.07 Busega-Masanafu'!H26)</f>
        <v>0.42857142857142855</v>
      </c>
      <c r="I26" s="49">
        <f>AVERAGE('22.07 Busega-Masanafu'!I26,'23.07 Busega-Masanafu'!I26,'24.07 Busega-Masanafu'!I26,'25.07 Busega-Masanafu'!I26,'26.07 Busega-Masanafu-24h'!I26,'27.07 Busega-Masanafu-24h'!I26,'28.07 Busega-Masanafu'!I26)</f>
        <v>8.8571428571428577</v>
      </c>
      <c r="J26" s="49">
        <f>AVERAGE('22.07 Busega-Masanafu'!J26,'23.07 Busega-Masanafu'!J26,'24.07 Busega-Masanafu'!J26,'25.07 Busega-Masanafu'!J26,'26.07 Busega-Masanafu-24h'!J26,'27.07 Busega-Masanafu-24h'!J26,'28.07 Busega-Masanafu'!J26)</f>
        <v>11.285714285714286</v>
      </c>
      <c r="K26" s="49">
        <f>AVERAGE('22.07 Busega-Masanafu'!K26,'23.07 Busega-Masanafu'!K26,'24.07 Busega-Masanafu'!K26,'25.07 Busega-Masanafu'!K26,'26.07 Busega-Masanafu-24h'!K26,'27.07 Busega-Masanafu-24h'!K26,'28.07 Busega-Masanafu'!K26)</f>
        <v>4</v>
      </c>
      <c r="L26" s="49">
        <f>AVERAGE('22.07 Busega-Masanafu'!L26,'23.07 Busega-Masanafu'!L26,'24.07 Busega-Masanafu'!L26,'25.07 Busega-Masanafu'!L26,'26.07 Busega-Masanafu-24h'!L26,'27.07 Busega-Masanafu-24h'!L26,'28.07 Busega-Masanafu'!L26)</f>
        <v>4</v>
      </c>
      <c r="M26" s="49">
        <f>AVERAGE('22.07 Busega-Masanafu'!M26,'23.07 Busega-Masanafu'!M26,'24.07 Busega-Masanafu'!M26,'25.07 Busega-Masanafu'!M26,'26.07 Busega-Masanafu-24h'!M26,'27.07 Busega-Masanafu-24h'!M26,'28.07 Busega-Masanafu'!M26)</f>
        <v>100.14285714285714</v>
      </c>
      <c r="N26" s="49">
        <f>AVERAGE('22.07 Busega-Masanafu'!N26,'23.07 Busega-Masanafu'!N26,'24.07 Busega-Masanafu'!N26,'25.07 Busega-Masanafu'!N26,'26.07 Busega-Masanafu-24h'!N26,'27.07 Busega-Masanafu-24h'!N26,'28.07 Busega-Masanafu'!N26)</f>
        <v>0</v>
      </c>
      <c r="O26" s="49">
        <f>AVERAGE('22.07 Busega-Masanafu'!O26,'23.07 Busega-Masanafu'!O26,'24.07 Busega-Masanafu'!O26,'25.07 Busega-Masanafu'!O26,'26.07 Busega-Masanafu-24h'!O26,'27.07 Busega-Masanafu-24h'!O26,'28.07 Busega-Masanafu'!O26)</f>
        <v>164.57142857142858</v>
      </c>
      <c r="P26" s="49">
        <f>AVERAGE('22.07 Busega-Masanafu'!P26,'23.07 Busega-Masanafu'!P26,'24.07 Busega-Masanafu'!P26,'25.07 Busega-Masanafu'!P26,'26.07 Busega-Masanafu-24h'!P26,'27.07 Busega-Masanafu-24h'!P26,'28.07 Busega-Masanafu'!P26)</f>
        <v>264.71428571428572</v>
      </c>
      <c r="R26" s="1" t="s">
        <v>150</v>
      </c>
      <c r="S26" s="34">
        <f>SUM(C71:C74)</f>
        <v>181</v>
      </c>
      <c r="T26" s="34">
        <f t="shared" ref="T26:AF26" si="16">SUM(D71:D74)</f>
        <v>6.5</v>
      </c>
      <c r="U26" s="34">
        <f t="shared" si="16"/>
        <v>34.5</v>
      </c>
      <c r="V26" s="34">
        <f t="shared" si="16"/>
        <v>64</v>
      </c>
      <c r="W26" s="34">
        <f t="shared" si="16"/>
        <v>4</v>
      </c>
      <c r="X26" s="34">
        <f t="shared" si="16"/>
        <v>2.5</v>
      </c>
      <c r="Y26" s="34">
        <f t="shared" si="16"/>
        <v>18.5</v>
      </c>
      <c r="Z26" s="34">
        <f t="shared" si="16"/>
        <v>22.5</v>
      </c>
      <c r="AA26" s="34">
        <f t="shared" si="16"/>
        <v>9.5</v>
      </c>
      <c r="AB26" s="34">
        <f t="shared" si="16"/>
        <v>16.5</v>
      </c>
      <c r="AC26" s="34">
        <f t="shared" si="16"/>
        <v>209.5</v>
      </c>
      <c r="AD26" s="34">
        <f t="shared" si="16"/>
        <v>0</v>
      </c>
      <c r="AE26" s="31">
        <f t="shared" si="16"/>
        <v>359.5</v>
      </c>
      <c r="AF26" s="31">
        <f t="shared" si="16"/>
        <v>569</v>
      </c>
    </row>
    <row r="27" spans="2:32" ht="23.1" customHeight="1" x14ac:dyDescent="0.25">
      <c r="B27" s="23" t="s">
        <v>54</v>
      </c>
      <c r="C27" s="49">
        <f>AVERAGE('22.07 Busega-Masanafu'!C27,'23.07 Busega-Masanafu'!C27,'24.07 Busega-Masanafu'!C27,'25.07 Busega-Masanafu'!C27,'26.07 Busega-Masanafu-24h'!C27,'27.07 Busega-Masanafu-24h'!C27,'28.07 Busega-Masanafu'!C27)</f>
        <v>59.857142857142854</v>
      </c>
      <c r="D27" s="49">
        <f>AVERAGE('22.07 Busega-Masanafu'!D27,'23.07 Busega-Masanafu'!D27,'24.07 Busega-Masanafu'!D27,'25.07 Busega-Masanafu'!D27,'26.07 Busega-Masanafu-24h'!D27,'27.07 Busega-Masanafu-24h'!D27,'28.07 Busega-Masanafu'!D27)</f>
        <v>11.571428571428571</v>
      </c>
      <c r="E27" s="49">
        <f>AVERAGE('22.07 Busega-Masanafu'!E27,'23.07 Busega-Masanafu'!E27,'24.07 Busega-Masanafu'!E27,'25.07 Busega-Masanafu'!E27,'26.07 Busega-Masanafu-24h'!E27,'27.07 Busega-Masanafu-24h'!E27,'28.07 Busega-Masanafu'!E27)</f>
        <v>10.285714285714286</v>
      </c>
      <c r="F27" s="49">
        <f>AVERAGE('22.07 Busega-Masanafu'!F27,'23.07 Busega-Masanafu'!F27,'24.07 Busega-Masanafu'!F27,'25.07 Busega-Masanafu'!F27,'26.07 Busega-Masanafu-24h'!F27,'27.07 Busega-Masanafu-24h'!F27,'28.07 Busega-Masanafu'!F27)</f>
        <v>32.571428571428569</v>
      </c>
      <c r="G27" s="49">
        <f>AVERAGE('22.07 Busega-Masanafu'!G27,'23.07 Busega-Masanafu'!G27,'24.07 Busega-Masanafu'!G27,'25.07 Busega-Masanafu'!G27,'26.07 Busega-Masanafu-24h'!G27,'27.07 Busega-Masanafu-24h'!G27,'28.07 Busega-Masanafu'!G27)</f>
        <v>0.2857142857142857</v>
      </c>
      <c r="H27" s="49">
        <f>AVERAGE('22.07 Busega-Masanafu'!H27,'23.07 Busega-Masanafu'!H27,'24.07 Busega-Masanafu'!H27,'25.07 Busega-Masanafu'!H27,'26.07 Busega-Masanafu-24h'!H27,'27.07 Busega-Masanafu-24h'!H27,'28.07 Busega-Masanafu'!H27)</f>
        <v>0.14285714285714285</v>
      </c>
      <c r="I27" s="49">
        <f>AVERAGE('22.07 Busega-Masanafu'!I27,'23.07 Busega-Masanafu'!I27,'24.07 Busega-Masanafu'!I27,'25.07 Busega-Masanafu'!I27,'26.07 Busega-Masanafu-24h'!I27,'27.07 Busega-Masanafu-24h'!I27,'28.07 Busega-Masanafu'!I27)</f>
        <v>7.2857142857142856</v>
      </c>
      <c r="J27" s="49">
        <f>AVERAGE('22.07 Busega-Masanafu'!J27,'23.07 Busega-Masanafu'!J27,'24.07 Busega-Masanafu'!J27,'25.07 Busega-Masanafu'!J27,'26.07 Busega-Masanafu-24h'!J27,'27.07 Busega-Masanafu-24h'!J27,'28.07 Busega-Masanafu'!J27)</f>
        <v>10.571428571428571</v>
      </c>
      <c r="K27" s="49">
        <f>AVERAGE('22.07 Busega-Masanafu'!K27,'23.07 Busega-Masanafu'!K27,'24.07 Busega-Masanafu'!K27,'25.07 Busega-Masanafu'!K27,'26.07 Busega-Masanafu-24h'!K27,'27.07 Busega-Masanafu-24h'!K27,'28.07 Busega-Masanafu'!K27)</f>
        <v>5.1428571428571432</v>
      </c>
      <c r="L27" s="49">
        <f>AVERAGE('22.07 Busega-Masanafu'!L27,'23.07 Busega-Masanafu'!L27,'24.07 Busega-Masanafu'!L27,'25.07 Busega-Masanafu'!L27,'26.07 Busega-Masanafu-24h'!L27,'27.07 Busega-Masanafu-24h'!L27,'28.07 Busega-Masanafu'!L27)</f>
        <v>4.1428571428571432</v>
      </c>
      <c r="M27" s="49">
        <f>AVERAGE('22.07 Busega-Masanafu'!M27,'23.07 Busega-Masanafu'!M27,'24.07 Busega-Masanafu'!M27,'25.07 Busega-Masanafu'!M27,'26.07 Busega-Masanafu-24h'!M27,'27.07 Busega-Masanafu-24h'!M27,'28.07 Busega-Masanafu'!M27)</f>
        <v>119.57142857142857</v>
      </c>
      <c r="N27" s="49">
        <f>AVERAGE('22.07 Busega-Masanafu'!N27,'23.07 Busega-Masanafu'!N27,'24.07 Busega-Masanafu'!N27,'25.07 Busega-Masanafu'!N27,'26.07 Busega-Masanafu-24h'!N27,'27.07 Busega-Masanafu-24h'!N27,'28.07 Busega-Masanafu'!N27)</f>
        <v>0</v>
      </c>
      <c r="O27" s="49">
        <f>AVERAGE('22.07 Busega-Masanafu'!O27,'23.07 Busega-Masanafu'!O27,'24.07 Busega-Masanafu'!O27,'25.07 Busega-Masanafu'!O27,'26.07 Busega-Masanafu-24h'!O27,'27.07 Busega-Masanafu-24h'!O27,'28.07 Busega-Masanafu'!O27)</f>
        <v>141.85714285714286</v>
      </c>
      <c r="P27" s="49">
        <f>AVERAGE('22.07 Busega-Masanafu'!P27,'23.07 Busega-Masanafu'!P27,'24.07 Busega-Masanafu'!P27,'25.07 Busega-Masanafu'!P27,'26.07 Busega-Masanafu-24h'!P27,'27.07 Busega-Masanafu-24h'!P27,'28.07 Busega-Masanafu'!P27)</f>
        <v>261.42857142857144</v>
      </c>
      <c r="R27" s="1" t="s">
        <v>151</v>
      </c>
      <c r="S27" s="34">
        <f>SUM(C75:C78)</f>
        <v>95</v>
      </c>
      <c r="T27" s="34">
        <f t="shared" ref="T27:AF27" si="17">SUM(D75:D78)</f>
        <v>9.5</v>
      </c>
      <c r="U27" s="34">
        <f t="shared" si="17"/>
        <v>20</v>
      </c>
      <c r="V27" s="34">
        <f t="shared" si="17"/>
        <v>34</v>
      </c>
      <c r="W27" s="34">
        <f t="shared" si="17"/>
        <v>7.5</v>
      </c>
      <c r="X27" s="34">
        <f t="shared" si="17"/>
        <v>1</v>
      </c>
      <c r="Y27" s="34">
        <f t="shared" si="17"/>
        <v>19</v>
      </c>
      <c r="Z27" s="34">
        <f t="shared" si="17"/>
        <v>14</v>
      </c>
      <c r="AA27" s="34">
        <f t="shared" si="17"/>
        <v>21</v>
      </c>
      <c r="AB27" s="34">
        <f t="shared" si="17"/>
        <v>6.5</v>
      </c>
      <c r="AC27" s="34">
        <f t="shared" si="17"/>
        <v>151</v>
      </c>
      <c r="AD27" s="34">
        <f t="shared" si="17"/>
        <v>0</v>
      </c>
      <c r="AE27" s="31">
        <f t="shared" si="17"/>
        <v>227.5</v>
      </c>
      <c r="AF27" s="31">
        <f t="shared" si="17"/>
        <v>378.5</v>
      </c>
    </row>
    <row r="28" spans="2:32" ht="23.1" customHeight="1" x14ac:dyDescent="0.25">
      <c r="B28" s="23" t="s">
        <v>55</v>
      </c>
      <c r="C28" s="49">
        <f>AVERAGE('22.07 Busega-Masanafu'!C28,'23.07 Busega-Masanafu'!C28,'24.07 Busega-Masanafu'!C28,'25.07 Busega-Masanafu'!C28,'26.07 Busega-Masanafu-24h'!C28,'27.07 Busega-Masanafu-24h'!C28,'28.07 Busega-Masanafu'!C28)</f>
        <v>67.714285714285708</v>
      </c>
      <c r="D28" s="49">
        <f>AVERAGE('22.07 Busega-Masanafu'!D28,'23.07 Busega-Masanafu'!D28,'24.07 Busega-Masanafu'!D28,'25.07 Busega-Masanafu'!D28,'26.07 Busega-Masanafu-24h'!D28,'27.07 Busega-Masanafu-24h'!D28,'28.07 Busega-Masanafu'!D28)</f>
        <v>14.142857142857142</v>
      </c>
      <c r="E28" s="49">
        <f>AVERAGE('22.07 Busega-Masanafu'!E28,'23.07 Busega-Masanafu'!E28,'24.07 Busega-Masanafu'!E28,'25.07 Busega-Masanafu'!E28,'26.07 Busega-Masanafu-24h'!E28,'27.07 Busega-Masanafu-24h'!E28,'28.07 Busega-Masanafu'!E28)</f>
        <v>8.2857142857142865</v>
      </c>
      <c r="F28" s="49">
        <f>AVERAGE('22.07 Busega-Masanafu'!F28,'23.07 Busega-Masanafu'!F28,'24.07 Busega-Masanafu'!F28,'25.07 Busega-Masanafu'!F28,'26.07 Busega-Masanafu-24h'!F28,'27.07 Busega-Masanafu-24h'!F28,'28.07 Busega-Masanafu'!F28)</f>
        <v>33.142857142857146</v>
      </c>
      <c r="G28" s="49">
        <f>AVERAGE('22.07 Busega-Masanafu'!G28,'23.07 Busega-Masanafu'!G28,'24.07 Busega-Masanafu'!G28,'25.07 Busega-Masanafu'!G28,'26.07 Busega-Masanafu-24h'!G28,'27.07 Busega-Masanafu-24h'!G28,'28.07 Busega-Masanafu'!G28)</f>
        <v>0.5714285714285714</v>
      </c>
      <c r="H28" s="49">
        <f>AVERAGE('22.07 Busega-Masanafu'!H28,'23.07 Busega-Masanafu'!H28,'24.07 Busega-Masanafu'!H28,'25.07 Busega-Masanafu'!H28,'26.07 Busega-Masanafu-24h'!H28,'27.07 Busega-Masanafu-24h'!H28,'28.07 Busega-Masanafu'!H28)</f>
        <v>0.2857142857142857</v>
      </c>
      <c r="I28" s="49">
        <f>AVERAGE('22.07 Busega-Masanafu'!I28,'23.07 Busega-Masanafu'!I28,'24.07 Busega-Masanafu'!I28,'25.07 Busega-Masanafu'!I28,'26.07 Busega-Masanafu-24h'!I28,'27.07 Busega-Masanafu-24h'!I28,'28.07 Busega-Masanafu'!I28)</f>
        <v>7.5714285714285712</v>
      </c>
      <c r="J28" s="49">
        <f>AVERAGE('22.07 Busega-Masanafu'!J28,'23.07 Busega-Masanafu'!J28,'24.07 Busega-Masanafu'!J28,'25.07 Busega-Masanafu'!J28,'26.07 Busega-Masanafu-24h'!J28,'27.07 Busega-Masanafu-24h'!J28,'28.07 Busega-Masanafu'!J28)</f>
        <v>9.4285714285714288</v>
      </c>
      <c r="K28" s="49">
        <f>AVERAGE('22.07 Busega-Masanafu'!K28,'23.07 Busega-Masanafu'!K28,'24.07 Busega-Masanafu'!K28,'25.07 Busega-Masanafu'!K28,'26.07 Busega-Masanafu-24h'!K28,'27.07 Busega-Masanafu-24h'!K28,'28.07 Busega-Masanafu'!K28)</f>
        <v>3.2857142857142856</v>
      </c>
      <c r="L28" s="49">
        <f>AVERAGE('22.07 Busega-Masanafu'!L28,'23.07 Busega-Masanafu'!L28,'24.07 Busega-Masanafu'!L28,'25.07 Busega-Masanafu'!L28,'26.07 Busega-Masanafu-24h'!L28,'27.07 Busega-Masanafu-24h'!L28,'28.07 Busega-Masanafu'!L28)</f>
        <v>5.1428571428571432</v>
      </c>
      <c r="M28" s="49">
        <f>AVERAGE('22.07 Busega-Masanafu'!M28,'23.07 Busega-Masanafu'!M28,'24.07 Busega-Masanafu'!M28,'25.07 Busega-Masanafu'!M28,'26.07 Busega-Masanafu-24h'!M28,'27.07 Busega-Masanafu-24h'!M28,'28.07 Busega-Masanafu'!M28)</f>
        <v>127.57142857142857</v>
      </c>
      <c r="N28" s="49">
        <f>AVERAGE('22.07 Busega-Masanafu'!N28,'23.07 Busega-Masanafu'!N28,'24.07 Busega-Masanafu'!N28,'25.07 Busega-Masanafu'!N28,'26.07 Busega-Masanafu-24h'!N28,'27.07 Busega-Masanafu-24h'!N28,'28.07 Busega-Masanafu'!N28)</f>
        <v>0</v>
      </c>
      <c r="O28" s="49">
        <f>AVERAGE('22.07 Busega-Masanafu'!O28,'23.07 Busega-Masanafu'!O28,'24.07 Busega-Masanafu'!O28,'25.07 Busega-Masanafu'!O28,'26.07 Busega-Masanafu-24h'!O28,'27.07 Busega-Masanafu-24h'!O28,'28.07 Busega-Masanafu'!O28)</f>
        <v>149.57142857142858</v>
      </c>
      <c r="P28" s="49">
        <f>AVERAGE('22.07 Busega-Masanafu'!P28,'23.07 Busega-Masanafu'!P28,'24.07 Busega-Masanafu'!P28,'25.07 Busega-Masanafu'!P28,'26.07 Busega-Masanafu-24h'!P28,'27.07 Busega-Masanafu-24h'!P28,'28.07 Busega-Masanafu'!P28)</f>
        <v>277.14285714285717</v>
      </c>
      <c r="R28" s="1" t="s">
        <v>152</v>
      </c>
      <c r="S28" s="34">
        <f>SUM(C79:C82)</f>
        <v>75.5</v>
      </c>
      <c r="T28" s="34">
        <f t="shared" ref="T28:AF28" si="18">SUM(D79:D82)</f>
        <v>6.5</v>
      </c>
      <c r="U28" s="34">
        <f t="shared" si="18"/>
        <v>12</v>
      </c>
      <c r="V28" s="34">
        <f t="shared" si="18"/>
        <v>15</v>
      </c>
      <c r="W28" s="34">
        <f t="shared" si="18"/>
        <v>1.5</v>
      </c>
      <c r="X28" s="34">
        <f t="shared" si="18"/>
        <v>0.5</v>
      </c>
      <c r="Y28" s="34">
        <f t="shared" si="18"/>
        <v>22.5</v>
      </c>
      <c r="Z28" s="34">
        <f t="shared" si="18"/>
        <v>14.5</v>
      </c>
      <c r="AA28" s="34">
        <f t="shared" si="18"/>
        <v>21</v>
      </c>
      <c r="AB28" s="34">
        <f t="shared" si="18"/>
        <v>10.5</v>
      </c>
      <c r="AC28" s="34">
        <f t="shared" si="18"/>
        <v>64.5</v>
      </c>
      <c r="AD28" s="34">
        <f t="shared" si="18"/>
        <v>0</v>
      </c>
      <c r="AE28" s="31">
        <f t="shared" si="18"/>
        <v>179.5</v>
      </c>
      <c r="AF28" s="31">
        <f t="shared" si="18"/>
        <v>244</v>
      </c>
    </row>
    <row r="29" spans="2:32" ht="23.1" customHeight="1" x14ac:dyDescent="0.25">
      <c r="B29" s="23" t="s">
        <v>56</v>
      </c>
      <c r="C29" s="49">
        <f>AVERAGE('22.07 Busega-Masanafu'!C29,'23.07 Busega-Masanafu'!C29,'24.07 Busega-Masanafu'!C29,'25.07 Busega-Masanafu'!C29,'26.07 Busega-Masanafu-24h'!C29,'27.07 Busega-Masanafu-24h'!C29,'28.07 Busega-Masanafu'!C29)</f>
        <v>68</v>
      </c>
      <c r="D29" s="49">
        <f>AVERAGE('22.07 Busega-Masanafu'!D29,'23.07 Busega-Masanafu'!D29,'24.07 Busega-Masanafu'!D29,'25.07 Busega-Masanafu'!D29,'26.07 Busega-Masanafu-24h'!D29,'27.07 Busega-Masanafu-24h'!D29,'28.07 Busega-Masanafu'!D29)</f>
        <v>13.571428571428571</v>
      </c>
      <c r="E29" s="49">
        <f>AVERAGE('22.07 Busega-Masanafu'!E29,'23.07 Busega-Masanafu'!E29,'24.07 Busega-Masanafu'!E29,'25.07 Busega-Masanafu'!E29,'26.07 Busega-Masanafu-24h'!E29,'27.07 Busega-Masanafu-24h'!E29,'28.07 Busega-Masanafu'!E29)</f>
        <v>7.7142857142857144</v>
      </c>
      <c r="F29" s="49">
        <f>AVERAGE('22.07 Busega-Masanafu'!F29,'23.07 Busega-Masanafu'!F29,'24.07 Busega-Masanafu'!F29,'25.07 Busega-Masanafu'!F29,'26.07 Busega-Masanafu-24h'!F29,'27.07 Busega-Masanafu-24h'!F29,'28.07 Busega-Masanafu'!F29)</f>
        <v>31.142857142857142</v>
      </c>
      <c r="G29" s="49">
        <f>AVERAGE('22.07 Busega-Masanafu'!G29,'23.07 Busega-Masanafu'!G29,'24.07 Busega-Masanafu'!G29,'25.07 Busega-Masanafu'!G29,'26.07 Busega-Masanafu-24h'!G29,'27.07 Busega-Masanafu-24h'!G29,'28.07 Busega-Masanafu'!G29)</f>
        <v>0.5714285714285714</v>
      </c>
      <c r="H29" s="49">
        <f>AVERAGE('22.07 Busega-Masanafu'!H29,'23.07 Busega-Masanafu'!H29,'24.07 Busega-Masanafu'!H29,'25.07 Busega-Masanafu'!H29,'26.07 Busega-Masanafu-24h'!H29,'27.07 Busega-Masanafu-24h'!H29,'28.07 Busega-Masanafu'!H29)</f>
        <v>0.14285714285714285</v>
      </c>
      <c r="I29" s="49">
        <f>AVERAGE('22.07 Busega-Masanafu'!I29,'23.07 Busega-Masanafu'!I29,'24.07 Busega-Masanafu'!I29,'25.07 Busega-Masanafu'!I29,'26.07 Busega-Masanafu-24h'!I29,'27.07 Busega-Masanafu-24h'!I29,'28.07 Busega-Masanafu'!I29)</f>
        <v>11.714285714285714</v>
      </c>
      <c r="J29" s="49">
        <f>AVERAGE('22.07 Busega-Masanafu'!J29,'23.07 Busega-Masanafu'!J29,'24.07 Busega-Masanafu'!J29,'25.07 Busega-Masanafu'!J29,'26.07 Busega-Masanafu-24h'!J29,'27.07 Busega-Masanafu-24h'!J29,'28.07 Busega-Masanafu'!J29)</f>
        <v>10.571428571428571</v>
      </c>
      <c r="K29" s="49">
        <f>AVERAGE('22.07 Busega-Masanafu'!K29,'23.07 Busega-Masanafu'!K29,'24.07 Busega-Masanafu'!K29,'25.07 Busega-Masanafu'!K29,'26.07 Busega-Masanafu-24h'!K29,'27.07 Busega-Masanafu-24h'!K29,'28.07 Busega-Masanafu'!K29)</f>
        <v>2.5714285714285716</v>
      </c>
      <c r="L29" s="49">
        <f>AVERAGE('22.07 Busega-Masanafu'!L29,'23.07 Busega-Masanafu'!L29,'24.07 Busega-Masanafu'!L29,'25.07 Busega-Masanafu'!L29,'26.07 Busega-Masanafu-24h'!L29,'27.07 Busega-Masanafu-24h'!L29,'28.07 Busega-Masanafu'!L29)</f>
        <v>6.7142857142857144</v>
      </c>
      <c r="M29" s="49">
        <f>AVERAGE('22.07 Busega-Masanafu'!M29,'23.07 Busega-Masanafu'!M29,'24.07 Busega-Masanafu'!M29,'25.07 Busega-Masanafu'!M29,'26.07 Busega-Masanafu-24h'!M29,'27.07 Busega-Masanafu-24h'!M29,'28.07 Busega-Masanafu'!M29)</f>
        <v>113.14285714285714</v>
      </c>
      <c r="N29" s="49">
        <f>AVERAGE('22.07 Busega-Masanafu'!N29,'23.07 Busega-Masanafu'!N29,'24.07 Busega-Masanafu'!N29,'25.07 Busega-Masanafu'!N29,'26.07 Busega-Masanafu-24h'!N29,'27.07 Busega-Masanafu-24h'!N29,'28.07 Busega-Masanafu'!N29)</f>
        <v>0</v>
      </c>
      <c r="O29" s="49">
        <f>AVERAGE('22.07 Busega-Masanafu'!O29,'23.07 Busega-Masanafu'!O29,'24.07 Busega-Masanafu'!O29,'25.07 Busega-Masanafu'!O29,'26.07 Busega-Masanafu-24h'!O29,'27.07 Busega-Masanafu-24h'!O29,'28.07 Busega-Masanafu'!O29)</f>
        <v>152.71428571428572</v>
      </c>
      <c r="P29" s="49">
        <f>AVERAGE('22.07 Busega-Masanafu'!P29,'23.07 Busega-Masanafu'!P29,'24.07 Busega-Masanafu'!P29,'25.07 Busega-Masanafu'!P29,'26.07 Busega-Masanafu-24h'!P29,'27.07 Busega-Masanafu-24h'!P29,'28.07 Busega-Masanafu'!P29)</f>
        <v>265.85714285714283</v>
      </c>
      <c r="R29" s="1" t="s">
        <v>153</v>
      </c>
      <c r="S29" s="34">
        <f>SUM(C83:C86)</f>
        <v>39.5</v>
      </c>
      <c r="T29" s="34">
        <f t="shared" ref="T29:AF29" si="19">SUM(D83:D86)</f>
        <v>9</v>
      </c>
      <c r="U29" s="34">
        <f t="shared" si="19"/>
        <v>15.5</v>
      </c>
      <c r="V29" s="34">
        <f t="shared" si="19"/>
        <v>14.5</v>
      </c>
      <c r="W29" s="34">
        <f t="shared" si="19"/>
        <v>1.5</v>
      </c>
      <c r="X29" s="34">
        <f t="shared" si="19"/>
        <v>0.5</v>
      </c>
      <c r="Y29" s="34">
        <f t="shared" si="19"/>
        <v>20.5</v>
      </c>
      <c r="Z29" s="34">
        <f t="shared" si="19"/>
        <v>7.5</v>
      </c>
      <c r="AA29" s="34">
        <f t="shared" si="19"/>
        <v>19</v>
      </c>
      <c r="AB29" s="34">
        <f t="shared" si="19"/>
        <v>8</v>
      </c>
      <c r="AC29" s="34">
        <f t="shared" si="19"/>
        <v>44.5</v>
      </c>
      <c r="AD29" s="34">
        <f t="shared" si="19"/>
        <v>0</v>
      </c>
      <c r="AE29" s="31">
        <f t="shared" si="19"/>
        <v>135.5</v>
      </c>
      <c r="AF29" s="31">
        <f t="shared" si="19"/>
        <v>180</v>
      </c>
    </row>
    <row r="30" spans="2:32" ht="23.1" customHeight="1" x14ac:dyDescent="0.25">
      <c r="B30" s="23" t="s">
        <v>57</v>
      </c>
      <c r="C30" s="49">
        <f>AVERAGE('22.07 Busega-Masanafu'!C30,'23.07 Busega-Masanafu'!C30,'24.07 Busega-Masanafu'!C30,'25.07 Busega-Masanafu'!C30,'26.07 Busega-Masanafu-24h'!C30,'27.07 Busega-Masanafu-24h'!C30,'28.07 Busega-Masanafu'!C30)</f>
        <v>68.428571428571431</v>
      </c>
      <c r="D30" s="49">
        <f>AVERAGE('22.07 Busega-Masanafu'!D30,'23.07 Busega-Masanafu'!D30,'24.07 Busega-Masanafu'!D30,'25.07 Busega-Masanafu'!D30,'26.07 Busega-Masanafu-24h'!D30,'27.07 Busega-Masanafu-24h'!D30,'28.07 Busega-Masanafu'!D30)</f>
        <v>11.714285714285714</v>
      </c>
      <c r="E30" s="49">
        <f>AVERAGE('22.07 Busega-Masanafu'!E30,'23.07 Busega-Masanafu'!E30,'24.07 Busega-Masanafu'!E30,'25.07 Busega-Masanafu'!E30,'26.07 Busega-Masanafu-24h'!E30,'27.07 Busega-Masanafu-24h'!E30,'28.07 Busega-Masanafu'!E30)</f>
        <v>6.7142857142857144</v>
      </c>
      <c r="F30" s="49">
        <f>AVERAGE('22.07 Busega-Masanafu'!F30,'23.07 Busega-Masanafu'!F30,'24.07 Busega-Masanafu'!F30,'25.07 Busega-Masanafu'!F30,'26.07 Busega-Masanafu-24h'!F30,'27.07 Busega-Masanafu-24h'!F30,'28.07 Busega-Masanafu'!F30)</f>
        <v>32.857142857142854</v>
      </c>
      <c r="G30" s="49">
        <f>AVERAGE('22.07 Busega-Masanafu'!G30,'23.07 Busega-Masanafu'!G30,'24.07 Busega-Masanafu'!G30,'25.07 Busega-Masanafu'!G30,'26.07 Busega-Masanafu-24h'!G30,'27.07 Busega-Masanafu-24h'!G30,'28.07 Busega-Masanafu'!G30)</f>
        <v>3.4285714285714284</v>
      </c>
      <c r="H30" s="49">
        <f>AVERAGE('22.07 Busega-Masanafu'!H30,'23.07 Busega-Masanafu'!H30,'24.07 Busega-Masanafu'!H30,'25.07 Busega-Masanafu'!H30,'26.07 Busega-Masanafu-24h'!H30,'27.07 Busega-Masanafu-24h'!H30,'28.07 Busega-Masanafu'!H30)</f>
        <v>0.5714285714285714</v>
      </c>
      <c r="I30" s="49">
        <f>AVERAGE('22.07 Busega-Masanafu'!I30,'23.07 Busega-Masanafu'!I30,'24.07 Busega-Masanafu'!I30,'25.07 Busega-Masanafu'!I30,'26.07 Busega-Masanafu-24h'!I30,'27.07 Busega-Masanafu-24h'!I30,'28.07 Busega-Masanafu'!I30)</f>
        <v>12.428571428571429</v>
      </c>
      <c r="J30" s="49">
        <f>AVERAGE('22.07 Busega-Masanafu'!J30,'23.07 Busega-Masanafu'!J30,'24.07 Busega-Masanafu'!J30,'25.07 Busega-Masanafu'!J30,'26.07 Busega-Masanafu-24h'!J30,'27.07 Busega-Masanafu-24h'!J30,'28.07 Busega-Masanafu'!J30)</f>
        <v>11.285714285714286</v>
      </c>
      <c r="K30" s="49">
        <f>AVERAGE('22.07 Busega-Masanafu'!K30,'23.07 Busega-Masanafu'!K30,'24.07 Busega-Masanafu'!K30,'25.07 Busega-Masanafu'!K30,'26.07 Busega-Masanafu-24h'!K30,'27.07 Busega-Masanafu-24h'!K30,'28.07 Busega-Masanafu'!K30)</f>
        <v>2.8571428571428572</v>
      </c>
      <c r="L30" s="49">
        <f>AVERAGE('22.07 Busega-Masanafu'!L30,'23.07 Busega-Masanafu'!L30,'24.07 Busega-Masanafu'!L30,'25.07 Busega-Masanafu'!L30,'26.07 Busega-Masanafu-24h'!L30,'27.07 Busega-Masanafu-24h'!L30,'28.07 Busega-Masanafu'!L30)</f>
        <v>4.4285714285714288</v>
      </c>
      <c r="M30" s="49">
        <f>AVERAGE('22.07 Busega-Masanafu'!M30,'23.07 Busega-Masanafu'!M30,'24.07 Busega-Masanafu'!M30,'25.07 Busega-Masanafu'!M30,'26.07 Busega-Masanafu-24h'!M30,'27.07 Busega-Masanafu-24h'!M30,'28.07 Busega-Masanafu'!M30)</f>
        <v>127.57142857142857</v>
      </c>
      <c r="N30" s="49">
        <f>AVERAGE('22.07 Busega-Masanafu'!N30,'23.07 Busega-Masanafu'!N30,'24.07 Busega-Masanafu'!N30,'25.07 Busega-Masanafu'!N30,'26.07 Busega-Masanafu-24h'!N30,'27.07 Busega-Masanafu-24h'!N30,'28.07 Busega-Masanafu'!N30)</f>
        <v>0</v>
      </c>
      <c r="O30" s="49">
        <f>AVERAGE('22.07 Busega-Masanafu'!O30,'23.07 Busega-Masanafu'!O30,'24.07 Busega-Masanafu'!O30,'25.07 Busega-Masanafu'!O30,'26.07 Busega-Masanafu-24h'!O30,'27.07 Busega-Masanafu-24h'!O30,'28.07 Busega-Masanafu'!O30)</f>
        <v>154.71428571428572</v>
      </c>
      <c r="P30" s="49">
        <f>AVERAGE('22.07 Busega-Masanafu'!P30,'23.07 Busega-Masanafu'!P30,'24.07 Busega-Masanafu'!P30,'25.07 Busega-Masanafu'!P30,'26.07 Busega-Masanafu-24h'!P30,'27.07 Busega-Masanafu-24h'!P30,'28.07 Busega-Masanafu'!P30)</f>
        <v>282.28571428571428</v>
      </c>
      <c r="R30" s="1" t="s">
        <v>154</v>
      </c>
      <c r="S30" s="34">
        <f>SUM(C87:C90)</f>
        <v>35.5</v>
      </c>
      <c r="T30" s="34">
        <f t="shared" ref="T30:AF30" si="20">SUM(D87:D90)</f>
        <v>2</v>
      </c>
      <c r="U30" s="34">
        <f t="shared" si="20"/>
        <v>9.5</v>
      </c>
      <c r="V30" s="34">
        <f t="shared" si="20"/>
        <v>10.5</v>
      </c>
      <c r="W30" s="34">
        <f t="shared" si="20"/>
        <v>0.5</v>
      </c>
      <c r="X30" s="34">
        <f t="shared" si="20"/>
        <v>0.5</v>
      </c>
      <c r="Y30" s="34">
        <f t="shared" si="20"/>
        <v>21</v>
      </c>
      <c r="Z30" s="34">
        <f t="shared" si="20"/>
        <v>32.5</v>
      </c>
      <c r="AA30" s="34">
        <f t="shared" si="20"/>
        <v>22</v>
      </c>
      <c r="AB30" s="34">
        <f t="shared" si="20"/>
        <v>10</v>
      </c>
      <c r="AC30" s="34">
        <f t="shared" si="20"/>
        <v>31.5</v>
      </c>
      <c r="AD30" s="34">
        <f t="shared" si="20"/>
        <v>0</v>
      </c>
      <c r="AE30" s="31">
        <f t="shared" si="20"/>
        <v>144</v>
      </c>
      <c r="AF30" s="31">
        <f t="shared" si="20"/>
        <v>175.5</v>
      </c>
    </row>
    <row r="31" spans="2:32" ht="23.1" customHeight="1" x14ac:dyDescent="0.25">
      <c r="B31" s="24" t="s">
        <v>58</v>
      </c>
      <c r="C31" s="49">
        <f>AVERAGE('22.07 Busega-Masanafu'!C31,'23.07 Busega-Masanafu'!C31,'24.07 Busega-Masanafu'!C31,'25.07 Busega-Masanafu'!C31,'26.07 Busega-Masanafu-24h'!C31,'27.07 Busega-Masanafu-24h'!C31,'28.07 Busega-Masanafu'!C31)</f>
        <v>69.142857142857139</v>
      </c>
      <c r="D31" s="49">
        <f>AVERAGE('22.07 Busega-Masanafu'!D31,'23.07 Busega-Masanafu'!D31,'24.07 Busega-Masanafu'!D31,'25.07 Busega-Masanafu'!D31,'26.07 Busega-Masanafu-24h'!D31,'27.07 Busega-Masanafu-24h'!D31,'28.07 Busega-Masanafu'!D31)</f>
        <v>11.714285714285714</v>
      </c>
      <c r="E31" s="49">
        <f>AVERAGE('22.07 Busega-Masanafu'!E31,'23.07 Busega-Masanafu'!E31,'24.07 Busega-Masanafu'!E31,'25.07 Busega-Masanafu'!E31,'26.07 Busega-Masanafu-24h'!E31,'27.07 Busega-Masanafu-24h'!E31,'28.07 Busega-Masanafu'!E31)</f>
        <v>7.7142857142857144</v>
      </c>
      <c r="F31" s="49">
        <f>AVERAGE('22.07 Busega-Masanafu'!F31,'23.07 Busega-Masanafu'!F31,'24.07 Busega-Masanafu'!F31,'25.07 Busega-Masanafu'!F31,'26.07 Busega-Masanafu-24h'!F31,'27.07 Busega-Masanafu-24h'!F31,'28.07 Busega-Masanafu'!F31)</f>
        <v>30.142857142857142</v>
      </c>
      <c r="G31" s="49">
        <f>AVERAGE('22.07 Busega-Masanafu'!G31,'23.07 Busega-Masanafu'!G31,'24.07 Busega-Masanafu'!G31,'25.07 Busega-Masanafu'!G31,'26.07 Busega-Masanafu-24h'!G31,'27.07 Busega-Masanafu-24h'!G31,'28.07 Busega-Masanafu'!G31)</f>
        <v>0.42857142857142855</v>
      </c>
      <c r="H31" s="49">
        <f>AVERAGE('22.07 Busega-Masanafu'!H31,'23.07 Busega-Masanafu'!H31,'24.07 Busega-Masanafu'!H31,'25.07 Busega-Masanafu'!H31,'26.07 Busega-Masanafu-24h'!H31,'27.07 Busega-Masanafu-24h'!H31,'28.07 Busega-Masanafu'!H31)</f>
        <v>0</v>
      </c>
      <c r="I31" s="49">
        <f>AVERAGE('22.07 Busega-Masanafu'!I31,'23.07 Busega-Masanafu'!I31,'24.07 Busega-Masanafu'!I31,'25.07 Busega-Masanafu'!I31,'26.07 Busega-Masanafu-24h'!I31,'27.07 Busega-Masanafu-24h'!I31,'28.07 Busega-Masanafu'!I31)</f>
        <v>6.8571428571428568</v>
      </c>
      <c r="J31" s="49">
        <f>AVERAGE('22.07 Busega-Masanafu'!J31,'23.07 Busega-Masanafu'!J31,'24.07 Busega-Masanafu'!J31,'25.07 Busega-Masanafu'!J31,'26.07 Busega-Masanafu-24h'!J31,'27.07 Busega-Masanafu-24h'!J31,'28.07 Busega-Masanafu'!J31)</f>
        <v>10</v>
      </c>
      <c r="K31" s="49">
        <f>AVERAGE('22.07 Busega-Masanafu'!K31,'23.07 Busega-Masanafu'!K31,'24.07 Busega-Masanafu'!K31,'25.07 Busega-Masanafu'!K31,'26.07 Busega-Masanafu-24h'!K31,'27.07 Busega-Masanafu-24h'!K31,'28.07 Busega-Masanafu'!K31)</f>
        <v>2.2857142857142856</v>
      </c>
      <c r="L31" s="49">
        <f>AVERAGE('22.07 Busega-Masanafu'!L31,'23.07 Busega-Masanafu'!L31,'24.07 Busega-Masanafu'!L31,'25.07 Busega-Masanafu'!L31,'26.07 Busega-Masanafu-24h'!L31,'27.07 Busega-Masanafu-24h'!L31,'28.07 Busega-Masanafu'!L31)</f>
        <v>3.5714285714285716</v>
      </c>
      <c r="M31" s="49">
        <f>AVERAGE('22.07 Busega-Masanafu'!M31,'23.07 Busega-Masanafu'!M31,'24.07 Busega-Masanafu'!M31,'25.07 Busega-Masanafu'!M31,'26.07 Busega-Masanafu-24h'!M31,'27.07 Busega-Masanafu-24h'!M31,'28.07 Busega-Masanafu'!M31)</f>
        <v>124.85714285714286</v>
      </c>
      <c r="N31" s="49">
        <f>AVERAGE('22.07 Busega-Masanafu'!N31,'23.07 Busega-Masanafu'!N31,'24.07 Busega-Masanafu'!N31,'25.07 Busega-Masanafu'!N31,'26.07 Busega-Masanafu-24h'!N31,'27.07 Busega-Masanafu-24h'!N31,'28.07 Busega-Masanafu'!N31)</f>
        <v>0</v>
      </c>
      <c r="O31" s="49">
        <f>AVERAGE('22.07 Busega-Masanafu'!O31,'23.07 Busega-Masanafu'!O31,'24.07 Busega-Masanafu'!O31,'25.07 Busega-Masanafu'!O31,'26.07 Busega-Masanafu-24h'!O31,'27.07 Busega-Masanafu-24h'!O31,'28.07 Busega-Masanafu'!O31)</f>
        <v>141.85714285714286</v>
      </c>
      <c r="P31" s="49">
        <f>AVERAGE('22.07 Busega-Masanafu'!P31,'23.07 Busega-Masanafu'!P31,'24.07 Busega-Masanafu'!P31,'25.07 Busega-Masanafu'!P31,'26.07 Busega-Masanafu-24h'!P31,'27.07 Busega-Masanafu-24h'!P31,'28.07 Busega-Masanafu'!P31)</f>
        <v>266.71428571428572</v>
      </c>
      <c r="R31" s="1" t="s">
        <v>155</v>
      </c>
      <c r="S31" s="34">
        <f>SUM(C91:C94)</f>
        <v>34.5</v>
      </c>
      <c r="T31" s="34">
        <f t="shared" ref="T31:AF31" si="21">SUM(D91:D94)</f>
        <v>7.5</v>
      </c>
      <c r="U31" s="34">
        <f t="shared" si="21"/>
        <v>10.5</v>
      </c>
      <c r="V31" s="34">
        <f t="shared" si="21"/>
        <v>8.5</v>
      </c>
      <c r="W31" s="34">
        <f t="shared" si="21"/>
        <v>1.5</v>
      </c>
      <c r="X31" s="34">
        <f t="shared" si="21"/>
        <v>3</v>
      </c>
      <c r="Y31" s="34">
        <f t="shared" si="21"/>
        <v>30</v>
      </c>
      <c r="Z31" s="34">
        <f t="shared" si="21"/>
        <v>44</v>
      </c>
      <c r="AA31" s="34">
        <f t="shared" si="21"/>
        <v>8.5</v>
      </c>
      <c r="AB31" s="34">
        <f t="shared" si="21"/>
        <v>9.5</v>
      </c>
      <c r="AC31" s="34">
        <f t="shared" si="21"/>
        <v>46</v>
      </c>
      <c r="AD31" s="34">
        <f t="shared" si="21"/>
        <v>0</v>
      </c>
      <c r="AE31" s="31">
        <f t="shared" si="21"/>
        <v>157.5</v>
      </c>
      <c r="AF31" s="31">
        <f t="shared" si="21"/>
        <v>203.5</v>
      </c>
    </row>
    <row r="32" spans="2:32" ht="23.1" customHeight="1" x14ac:dyDescent="0.25">
      <c r="B32" s="24" t="s">
        <v>59</v>
      </c>
      <c r="C32" s="49">
        <f>AVERAGE('22.07 Busega-Masanafu'!C32,'23.07 Busega-Masanafu'!C32,'24.07 Busega-Masanafu'!C32,'25.07 Busega-Masanafu'!C32,'26.07 Busega-Masanafu-24h'!C32,'27.07 Busega-Masanafu-24h'!C32,'28.07 Busega-Masanafu'!C32)</f>
        <v>72.428571428571431</v>
      </c>
      <c r="D32" s="49">
        <f>AVERAGE('22.07 Busega-Masanafu'!D32,'23.07 Busega-Masanafu'!D32,'24.07 Busega-Masanafu'!D32,'25.07 Busega-Masanafu'!D32,'26.07 Busega-Masanafu-24h'!D32,'27.07 Busega-Masanafu-24h'!D32,'28.07 Busega-Masanafu'!D32)</f>
        <v>14.857142857142858</v>
      </c>
      <c r="E32" s="49">
        <f>AVERAGE('22.07 Busega-Masanafu'!E32,'23.07 Busega-Masanafu'!E32,'24.07 Busega-Masanafu'!E32,'25.07 Busega-Masanafu'!E32,'26.07 Busega-Masanafu-24h'!E32,'27.07 Busega-Masanafu-24h'!E32,'28.07 Busega-Masanafu'!E32)</f>
        <v>9.4285714285714288</v>
      </c>
      <c r="F32" s="49">
        <f>AVERAGE('22.07 Busega-Masanafu'!F32,'23.07 Busega-Masanafu'!F32,'24.07 Busega-Masanafu'!F32,'25.07 Busega-Masanafu'!F32,'26.07 Busega-Masanafu-24h'!F32,'27.07 Busega-Masanafu-24h'!F32,'28.07 Busega-Masanafu'!F32)</f>
        <v>31.142857142857142</v>
      </c>
      <c r="G32" s="49">
        <f>AVERAGE('22.07 Busega-Masanafu'!G32,'23.07 Busega-Masanafu'!G32,'24.07 Busega-Masanafu'!G32,'25.07 Busega-Masanafu'!G32,'26.07 Busega-Masanafu-24h'!G32,'27.07 Busega-Masanafu-24h'!G32,'28.07 Busega-Masanafu'!G32)</f>
        <v>2.7142857142857144</v>
      </c>
      <c r="H32" s="49">
        <f>AVERAGE('22.07 Busega-Masanafu'!H32,'23.07 Busega-Masanafu'!H32,'24.07 Busega-Masanafu'!H32,'25.07 Busega-Masanafu'!H32,'26.07 Busega-Masanafu-24h'!H32,'27.07 Busega-Masanafu-24h'!H32,'28.07 Busega-Masanafu'!H32)</f>
        <v>0.5714285714285714</v>
      </c>
      <c r="I32" s="49">
        <f>AVERAGE('22.07 Busega-Masanafu'!I32,'23.07 Busega-Masanafu'!I32,'24.07 Busega-Masanafu'!I32,'25.07 Busega-Masanafu'!I32,'26.07 Busega-Masanafu-24h'!I32,'27.07 Busega-Masanafu-24h'!I32,'28.07 Busega-Masanafu'!I32)</f>
        <v>9.2857142857142865</v>
      </c>
      <c r="J32" s="49">
        <f>AVERAGE('22.07 Busega-Masanafu'!J32,'23.07 Busega-Masanafu'!J32,'24.07 Busega-Masanafu'!J32,'25.07 Busega-Masanafu'!J32,'26.07 Busega-Masanafu-24h'!J32,'27.07 Busega-Masanafu-24h'!J32,'28.07 Busega-Masanafu'!J32)</f>
        <v>7.2857142857142856</v>
      </c>
      <c r="K32" s="49">
        <f>AVERAGE('22.07 Busega-Masanafu'!K32,'23.07 Busega-Masanafu'!K32,'24.07 Busega-Masanafu'!K32,'25.07 Busega-Masanafu'!K32,'26.07 Busega-Masanafu-24h'!K32,'27.07 Busega-Masanafu-24h'!K32,'28.07 Busega-Masanafu'!K32)</f>
        <v>3</v>
      </c>
      <c r="L32" s="49">
        <f>AVERAGE('22.07 Busega-Masanafu'!L32,'23.07 Busega-Masanafu'!L32,'24.07 Busega-Masanafu'!L32,'25.07 Busega-Masanafu'!L32,'26.07 Busega-Masanafu-24h'!L32,'27.07 Busega-Masanafu-24h'!L32,'28.07 Busega-Masanafu'!L32)</f>
        <v>6.4285714285714288</v>
      </c>
      <c r="M32" s="49">
        <f>AVERAGE('22.07 Busega-Masanafu'!M32,'23.07 Busega-Masanafu'!M32,'24.07 Busega-Masanafu'!M32,'25.07 Busega-Masanafu'!M32,'26.07 Busega-Masanafu-24h'!M32,'27.07 Busega-Masanafu-24h'!M32,'28.07 Busega-Masanafu'!M32)</f>
        <v>111.57142857142857</v>
      </c>
      <c r="N32" s="49">
        <f>AVERAGE('22.07 Busega-Masanafu'!N32,'23.07 Busega-Masanafu'!N32,'24.07 Busega-Masanafu'!N32,'25.07 Busega-Masanafu'!N32,'26.07 Busega-Masanafu-24h'!N32,'27.07 Busega-Masanafu-24h'!N32,'28.07 Busega-Masanafu'!N32)</f>
        <v>0</v>
      </c>
      <c r="O32" s="49">
        <f>AVERAGE('22.07 Busega-Masanafu'!O32,'23.07 Busega-Masanafu'!O32,'24.07 Busega-Masanafu'!O32,'25.07 Busega-Masanafu'!O32,'26.07 Busega-Masanafu-24h'!O32,'27.07 Busega-Masanafu-24h'!O32,'28.07 Busega-Masanafu'!O32)</f>
        <v>157.14285714285714</v>
      </c>
      <c r="P32" s="49">
        <f>AVERAGE('22.07 Busega-Masanafu'!P32,'23.07 Busega-Masanafu'!P32,'24.07 Busega-Masanafu'!P32,'25.07 Busega-Masanafu'!P32,'26.07 Busega-Masanafu-24h'!P32,'27.07 Busega-Masanafu-24h'!P32,'28.07 Busega-Masanafu'!P32)</f>
        <v>268.71428571428572</v>
      </c>
      <c r="R32" s="1" t="s">
        <v>156</v>
      </c>
      <c r="S32" s="34">
        <f>SUM(C95:C98)</f>
        <v>44</v>
      </c>
      <c r="T32" s="34">
        <f t="shared" ref="T32:AF32" si="22">SUM(D95:D98)</f>
        <v>9</v>
      </c>
      <c r="U32" s="34">
        <f t="shared" si="22"/>
        <v>11</v>
      </c>
      <c r="V32" s="34">
        <f t="shared" si="22"/>
        <v>19.5</v>
      </c>
      <c r="W32" s="34">
        <f t="shared" si="22"/>
        <v>3</v>
      </c>
      <c r="X32" s="34">
        <f t="shared" si="22"/>
        <v>1.5</v>
      </c>
      <c r="Y32" s="34">
        <f t="shared" si="22"/>
        <v>21.5</v>
      </c>
      <c r="Z32" s="34">
        <f t="shared" si="22"/>
        <v>25.5</v>
      </c>
      <c r="AA32" s="34">
        <f t="shared" si="22"/>
        <v>8</v>
      </c>
      <c r="AB32" s="34">
        <f t="shared" si="22"/>
        <v>6.5</v>
      </c>
      <c r="AC32" s="34">
        <f t="shared" si="22"/>
        <v>57</v>
      </c>
      <c r="AD32" s="34">
        <f t="shared" si="22"/>
        <v>0</v>
      </c>
      <c r="AE32" s="31">
        <f t="shared" si="22"/>
        <v>149.5</v>
      </c>
      <c r="AF32" s="31">
        <f t="shared" si="22"/>
        <v>206.5</v>
      </c>
    </row>
    <row r="33" spans="2:32" ht="23.1" customHeight="1" x14ac:dyDescent="0.25">
      <c r="B33" s="23" t="s">
        <v>60</v>
      </c>
      <c r="C33" s="49">
        <f>AVERAGE('22.07 Busega-Masanafu'!C33,'23.07 Busega-Masanafu'!C33,'24.07 Busega-Masanafu'!C33,'25.07 Busega-Masanafu'!C33,'26.07 Busega-Masanafu-24h'!C33,'27.07 Busega-Masanafu-24h'!C33,'28.07 Busega-Masanafu'!C33)</f>
        <v>60.285714285714285</v>
      </c>
      <c r="D33" s="49">
        <f>AVERAGE('22.07 Busega-Masanafu'!D33,'23.07 Busega-Masanafu'!D33,'24.07 Busega-Masanafu'!D33,'25.07 Busega-Masanafu'!D33,'26.07 Busega-Masanafu-24h'!D33,'27.07 Busega-Masanafu-24h'!D33,'28.07 Busega-Masanafu'!D33)</f>
        <v>12</v>
      </c>
      <c r="E33" s="49">
        <f>AVERAGE('22.07 Busega-Masanafu'!E33,'23.07 Busega-Masanafu'!E33,'24.07 Busega-Masanafu'!E33,'25.07 Busega-Masanafu'!E33,'26.07 Busega-Masanafu-24h'!E33,'27.07 Busega-Masanafu-24h'!E33,'28.07 Busega-Masanafu'!E33)</f>
        <v>7.7142857142857144</v>
      </c>
      <c r="F33" s="49">
        <f>AVERAGE('22.07 Busega-Masanafu'!F33,'23.07 Busega-Masanafu'!F33,'24.07 Busega-Masanafu'!F33,'25.07 Busega-Masanafu'!F33,'26.07 Busega-Masanafu-24h'!F33,'27.07 Busega-Masanafu-24h'!F33,'28.07 Busega-Masanafu'!F33)</f>
        <v>28.285714285714285</v>
      </c>
      <c r="G33" s="49">
        <f>AVERAGE('22.07 Busega-Masanafu'!G33,'23.07 Busega-Masanafu'!G33,'24.07 Busega-Masanafu'!G33,'25.07 Busega-Masanafu'!G33,'26.07 Busega-Masanafu-24h'!G33,'27.07 Busega-Masanafu-24h'!G33,'28.07 Busega-Masanafu'!G33)</f>
        <v>2.1428571428571428</v>
      </c>
      <c r="H33" s="49">
        <f>AVERAGE('22.07 Busega-Masanafu'!H33,'23.07 Busega-Masanafu'!H33,'24.07 Busega-Masanafu'!H33,'25.07 Busega-Masanafu'!H33,'26.07 Busega-Masanafu-24h'!H33,'27.07 Busega-Masanafu-24h'!H33,'28.07 Busega-Masanafu'!H33)</f>
        <v>1.7142857142857142</v>
      </c>
      <c r="I33" s="49">
        <f>AVERAGE('22.07 Busega-Masanafu'!I33,'23.07 Busega-Masanafu'!I33,'24.07 Busega-Masanafu'!I33,'25.07 Busega-Masanafu'!I33,'26.07 Busega-Masanafu-24h'!I33,'27.07 Busega-Masanafu-24h'!I33,'28.07 Busega-Masanafu'!I33)</f>
        <v>10.571428571428571</v>
      </c>
      <c r="J33" s="49">
        <f>AVERAGE('22.07 Busega-Masanafu'!J33,'23.07 Busega-Masanafu'!J33,'24.07 Busega-Masanafu'!J33,'25.07 Busega-Masanafu'!J33,'26.07 Busega-Masanafu-24h'!J33,'27.07 Busega-Masanafu-24h'!J33,'28.07 Busega-Masanafu'!J33)</f>
        <v>11.714285714285714</v>
      </c>
      <c r="K33" s="49">
        <f>AVERAGE('22.07 Busega-Masanafu'!K33,'23.07 Busega-Masanafu'!K33,'24.07 Busega-Masanafu'!K33,'25.07 Busega-Masanafu'!K33,'26.07 Busega-Masanafu-24h'!K33,'27.07 Busega-Masanafu-24h'!K33,'28.07 Busega-Masanafu'!K33)</f>
        <v>2.8571428571428572</v>
      </c>
      <c r="L33" s="49">
        <f>AVERAGE('22.07 Busega-Masanafu'!L33,'23.07 Busega-Masanafu'!L33,'24.07 Busega-Masanafu'!L33,'25.07 Busega-Masanafu'!L33,'26.07 Busega-Masanafu-24h'!L33,'27.07 Busega-Masanafu-24h'!L33,'28.07 Busega-Masanafu'!L33)</f>
        <v>5.5714285714285712</v>
      </c>
      <c r="M33" s="49">
        <f>AVERAGE('22.07 Busega-Masanafu'!M33,'23.07 Busega-Masanafu'!M33,'24.07 Busega-Masanafu'!M33,'25.07 Busega-Masanafu'!M33,'26.07 Busega-Masanafu-24h'!M33,'27.07 Busega-Masanafu-24h'!M33,'28.07 Busega-Masanafu'!M33)</f>
        <v>117</v>
      </c>
      <c r="N33" s="49">
        <f>AVERAGE('22.07 Busega-Masanafu'!N33,'23.07 Busega-Masanafu'!N33,'24.07 Busega-Masanafu'!N33,'25.07 Busega-Masanafu'!N33,'26.07 Busega-Masanafu-24h'!N33,'27.07 Busega-Masanafu-24h'!N33,'28.07 Busega-Masanafu'!N33)</f>
        <v>0</v>
      </c>
      <c r="O33" s="49">
        <f>AVERAGE('22.07 Busega-Masanafu'!O33,'23.07 Busega-Masanafu'!O33,'24.07 Busega-Masanafu'!O33,'25.07 Busega-Masanafu'!O33,'26.07 Busega-Masanafu-24h'!O33,'27.07 Busega-Masanafu-24h'!O33,'28.07 Busega-Masanafu'!O33)</f>
        <v>142.85714285714286</v>
      </c>
      <c r="P33" s="49">
        <f>AVERAGE('22.07 Busega-Masanafu'!P33,'23.07 Busega-Masanafu'!P33,'24.07 Busega-Masanafu'!P33,'25.07 Busega-Masanafu'!P33,'26.07 Busega-Masanafu-24h'!P33,'27.07 Busega-Masanafu-24h'!P33,'28.07 Busega-Masanafu'!P33)</f>
        <v>259.85714285714283</v>
      </c>
      <c r="R33" s="1" t="s">
        <v>157</v>
      </c>
      <c r="S33" s="34">
        <f>SUM(C99:C102)</f>
        <v>67.5</v>
      </c>
      <c r="T33" s="34">
        <f t="shared" ref="T33:AF33" si="23">SUM(D99:D102)</f>
        <v>9</v>
      </c>
      <c r="U33" s="34">
        <f t="shared" si="23"/>
        <v>16.5</v>
      </c>
      <c r="V33" s="34">
        <f t="shared" si="23"/>
        <v>44.5</v>
      </c>
      <c r="W33" s="34">
        <f t="shared" si="23"/>
        <v>2.5</v>
      </c>
      <c r="X33" s="34">
        <f t="shared" si="23"/>
        <v>1.5</v>
      </c>
      <c r="Y33" s="34">
        <f t="shared" si="23"/>
        <v>25</v>
      </c>
      <c r="Z33" s="34">
        <f t="shared" si="23"/>
        <v>32</v>
      </c>
      <c r="AA33" s="34">
        <f t="shared" si="23"/>
        <v>5</v>
      </c>
      <c r="AB33" s="34">
        <f t="shared" si="23"/>
        <v>16.5</v>
      </c>
      <c r="AC33" s="34">
        <f t="shared" si="23"/>
        <v>74.5</v>
      </c>
      <c r="AD33" s="34">
        <f t="shared" si="23"/>
        <v>0.5</v>
      </c>
      <c r="AE33" s="31">
        <f t="shared" si="23"/>
        <v>220.5</v>
      </c>
      <c r="AF33" s="31">
        <f t="shared" si="23"/>
        <v>295</v>
      </c>
    </row>
    <row r="34" spans="2:32" ht="23.1" customHeight="1" x14ac:dyDescent="0.25">
      <c r="B34" s="24" t="s">
        <v>61</v>
      </c>
      <c r="C34" s="49">
        <f>AVERAGE('22.07 Busega-Masanafu'!C34,'23.07 Busega-Masanafu'!C34,'24.07 Busega-Masanafu'!C34,'25.07 Busega-Masanafu'!C34,'26.07 Busega-Masanafu-24h'!C34,'27.07 Busega-Masanafu-24h'!C34,'28.07 Busega-Masanafu'!C34)</f>
        <v>58.285714285714285</v>
      </c>
      <c r="D34" s="49">
        <f>AVERAGE('22.07 Busega-Masanafu'!D34,'23.07 Busega-Masanafu'!D34,'24.07 Busega-Masanafu'!D34,'25.07 Busega-Masanafu'!D34,'26.07 Busega-Masanafu-24h'!D34,'27.07 Busega-Masanafu-24h'!D34,'28.07 Busega-Masanafu'!D34)</f>
        <v>13.857142857142858</v>
      </c>
      <c r="E34" s="49">
        <f>AVERAGE('22.07 Busega-Masanafu'!E34,'23.07 Busega-Masanafu'!E34,'24.07 Busega-Masanafu'!E34,'25.07 Busega-Masanafu'!E34,'26.07 Busega-Masanafu-24h'!E34,'27.07 Busega-Masanafu-24h'!E34,'28.07 Busega-Masanafu'!E34)</f>
        <v>7.4285714285714288</v>
      </c>
      <c r="F34" s="49">
        <f>AVERAGE('22.07 Busega-Masanafu'!F34,'23.07 Busega-Masanafu'!F34,'24.07 Busega-Masanafu'!F34,'25.07 Busega-Masanafu'!F34,'26.07 Busega-Masanafu-24h'!F34,'27.07 Busega-Masanafu-24h'!F34,'28.07 Busega-Masanafu'!F34)</f>
        <v>28.285714285714285</v>
      </c>
      <c r="G34" s="49">
        <f>AVERAGE('22.07 Busega-Masanafu'!G34,'23.07 Busega-Masanafu'!G34,'24.07 Busega-Masanafu'!G34,'25.07 Busega-Masanafu'!G34,'26.07 Busega-Masanafu-24h'!G34,'27.07 Busega-Masanafu-24h'!G34,'28.07 Busega-Masanafu'!G34)</f>
        <v>1</v>
      </c>
      <c r="H34" s="49">
        <f>AVERAGE('22.07 Busega-Masanafu'!H34,'23.07 Busega-Masanafu'!H34,'24.07 Busega-Masanafu'!H34,'25.07 Busega-Masanafu'!H34,'26.07 Busega-Masanafu-24h'!H34,'27.07 Busega-Masanafu-24h'!H34,'28.07 Busega-Masanafu'!H34)</f>
        <v>0.14285714285714285</v>
      </c>
      <c r="I34" s="49">
        <f>AVERAGE('22.07 Busega-Masanafu'!I34,'23.07 Busega-Masanafu'!I34,'24.07 Busega-Masanafu'!I34,'25.07 Busega-Masanafu'!I34,'26.07 Busega-Masanafu-24h'!I34,'27.07 Busega-Masanafu-24h'!I34,'28.07 Busega-Masanafu'!I34)</f>
        <v>10.428571428571429</v>
      </c>
      <c r="J34" s="49">
        <f>AVERAGE('22.07 Busega-Masanafu'!J34,'23.07 Busega-Masanafu'!J34,'24.07 Busega-Masanafu'!J34,'25.07 Busega-Masanafu'!J34,'26.07 Busega-Masanafu-24h'!J34,'27.07 Busega-Masanafu-24h'!J34,'28.07 Busega-Masanafu'!J34)</f>
        <v>10.285714285714286</v>
      </c>
      <c r="K34" s="49">
        <f>AVERAGE('22.07 Busega-Masanafu'!K34,'23.07 Busega-Masanafu'!K34,'24.07 Busega-Masanafu'!K34,'25.07 Busega-Masanafu'!K34,'26.07 Busega-Masanafu-24h'!K34,'27.07 Busega-Masanafu-24h'!K34,'28.07 Busega-Masanafu'!K34)</f>
        <v>3.7142857142857144</v>
      </c>
      <c r="L34" s="49">
        <f>AVERAGE('22.07 Busega-Masanafu'!L34,'23.07 Busega-Masanafu'!L34,'24.07 Busega-Masanafu'!L34,'25.07 Busega-Masanafu'!L34,'26.07 Busega-Masanafu-24h'!L34,'27.07 Busega-Masanafu-24h'!L34,'28.07 Busega-Masanafu'!L34)</f>
        <v>5.2857142857142856</v>
      </c>
      <c r="M34" s="49">
        <f>AVERAGE('22.07 Busega-Masanafu'!M34,'23.07 Busega-Masanafu'!M34,'24.07 Busega-Masanafu'!M34,'25.07 Busega-Masanafu'!M34,'26.07 Busega-Masanafu-24h'!M34,'27.07 Busega-Masanafu-24h'!M34,'28.07 Busega-Masanafu'!M34)</f>
        <v>109.14285714285714</v>
      </c>
      <c r="N34" s="49">
        <f>AVERAGE('22.07 Busega-Masanafu'!N34,'23.07 Busega-Masanafu'!N34,'24.07 Busega-Masanafu'!N34,'25.07 Busega-Masanafu'!N34,'26.07 Busega-Masanafu-24h'!N34,'27.07 Busega-Masanafu-24h'!N34,'28.07 Busega-Masanafu'!N34)</f>
        <v>0</v>
      </c>
      <c r="O34" s="49">
        <f>AVERAGE('22.07 Busega-Masanafu'!O34,'23.07 Busega-Masanafu'!O34,'24.07 Busega-Masanafu'!O34,'25.07 Busega-Masanafu'!O34,'26.07 Busega-Masanafu-24h'!O34,'27.07 Busega-Masanafu-24h'!O34,'28.07 Busega-Masanafu'!O34)</f>
        <v>138.71428571428572</v>
      </c>
      <c r="P34" s="49">
        <f>AVERAGE('22.07 Busega-Masanafu'!P34,'23.07 Busega-Masanafu'!P34,'24.07 Busega-Masanafu'!P34,'25.07 Busega-Masanafu'!P34,'26.07 Busega-Masanafu-24h'!P34,'27.07 Busega-Masanafu-24h'!P34,'28.07 Busega-Masanafu'!P34)</f>
        <v>247.85714285714286</v>
      </c>
      <c r="R34" s="38" t="s">
        <v>90</v>
      </c>
      <c r="S34" s="39">
        <f t="shared" ref="S34:AF34" si="24">MAX(S10:S12)</f>
        <v>268.85714285714289</v>
      </c>
      <c r="T34" s="39">
        <f t="shared" si="24"/>
        <v>51.571428571428577</v>
      </c>
      <c r="U34" s="39">
        <f t="shared" si="24"/>
        <v>38.142857142857146</v>
      </c>
      <c r="V34" s="39">
        <f t="shared" si="24"/>
        <v>102.71428571428572</v>
      </c>
      <c r="W34" s="39">
        <f t="shared" si="24"/>
        <v>9.5714285714285712</v>
      </c>
      <c r="X34" s="39">
        <f t="shared" si="24"/>
        <v>3</v>
      </c>
      <c r="Y34" s="39">
        <f t="shared" si="24"/>
        <v>33</v>
      </c>
      <c r="Z34" s="39">
        <f t="shared" si="24"/>
        <v>40.142857142857139</v>
      </c>
      <c r="AA34" s="39">
        <f t="shared" si="24"/>
        <v>14.285714285714285</v>
      </c>
      <c r="AB34" s="39">
        <f t="shared" si="24"/>
        <v>12.428571428571429</v>
      </c>
      <c r="AC34" s="39">
        <f t="shared" si="24"/>
        <v>642</v>
      </c>
      <c r="AD34" s="39">
        <f t="shared" si="24"/>
        <v>0</v>
      </c>
      <c r="AE34" s="40">
        <f t="shared" si="24"/>
        <v>568.57142857142856</v>
      </c>
      <c r="AF34" s="40">
        <f t="shared" si="24"/>
        <v>1174.8571428571427</v>
      </c>
    </row>
    <row r="35" spans="2:32" ht="23.1" customHeight="1" x14ac:dyDescent="0.25">
      <c r="B35" s="24" t="s">
        <v>62</v>
      </c>
      <c r="C35" s="49">
        <f>AVERAGE('22.07 Busega-Masanafu'!C35,'23.07 Busega-Masanafu'!C35,'24.07 Busega-Masanafu'!C35,'25.07 Busega-Masanafu'!C35,'26.07 Busega-Masanafu-24h'!C35,'27.07 Busega-Masanafu-24h'!C35,'28.07 Busega-Masanafu'!C35)</f>
        <v>62</v>
      </c>
      <c r="D35" s="49">
        <f>AVERAGE('22.07 Busega-Masanafu'!D35,'23.07 Busega-Masanafu'!D35,'24.07 Busega-Masanafu'!D35,'25.07 Busega-Masanafu'!D35,'26.07 Busega-Masanafu-24h'!D35,'27.07 Busega-Masanafu-24h'!D35,'28.07 Busega-Masanafu'!D35)</f>
        <v>15.571428571428571</v>
      </c>
      <c r="E35" s="49">
        <f>AVERAGE('22.07 Busega-Masanafu'!E35,'23.07 Busega-Masanafu'!E35,'24.07 Busega-Masanafu'!E35,'25.07 Busega-Masanafu'!E35,'26.07 Busega-Masanafu-24h'!E35,'27.07 Busega-Masanafu-24h'!E35,'28.07 Busega-Masanafu'!E35)</f>
        <v>11.571428571428571</v>
      </c>
      <c r="F35" s="49">
        <f>AVERAGE('22.07 Busega-Masanafu'!F35,'23.07 Busega-Masanafu'!F35,'24.07 Busega-Masanafu'!F35,'25.07 Busega-Masanafu'!F35,'26.07 Busega-Masanafu-24h'!F35,'27.07 Busega-Masanafu-24h'!F35,'28.07 Busega-Masanafu'!F35)</f>
        <v>25</v>
      </c>
      <c r="G35" s="49">
        <f>AVERAGE('22.07 Busega-Masanafu'!G35,'23.07 Busega-Masanafu'!G35,'24.07 Busega-Masanafu'!G35,'25.07 Busega-Masanafu'!G35,'26.07 Busega-Masanafu-24h'!G35,'27.07 Busega-Masanafu-24h'!G35,'28.07 Busega-Masanafu'!G35)</f>
        <v>0.5714285714285714</v>
      </c>
      <c r="H35" s="49">
        <f>AVERAGE('22.07 Busega-Masanafu'!H35,'23.07 Busega-Masanafu'!H35,'24.07 Busega-Masanafu'!H35,'25.07 Busega-Masanafu'!H35,'26.07 Busega-Masanafu-24h'!H35,'27.07 Busega-Masanafu-24h'!H35,'28.07 Busega-Masanafu'!H35)</f>
        <v>0.2857142857142857</v>
      </c>
      <c r="I35" s="49">
        <f>AVERAGE('22.07 Busega-Masanafu'!I35,'23.07 Busega-Masanafu'!I35,'24.07 Busega-Masanafu'!I35,'25.07 Busega-Masanafu'!I35,'26.07 Busega-Masanafu-24h'!I35,'27.07 Busega-Masanafu-24h'!I35,'28.07 Busega-Masanafu'!I35)</f>
        <v>11</v>
      </c>
      <c r="J35" s="49">
        <f>AVERAGE('22.07 Busega-Masanafu'!J35,'23.07 Busega-Masanafu'!J35,'24.07 Busega-Masanafu'!J35,'25.07 Busega-Masanafu'!J35,'26.07 Busega-Masanafu-24h'!J35,'27.07 Busega-Masanafu-24h'!J35,'28.07 Busega-Masanafu'!J35)</f>
        <v>11</v>
      </c>
      <c r="K35" s="49">
        <f>AVERAGE('22.07 Busega-Masanafu'!K35,'23.07 Busega-Masanafu'!K35,'24.07 Busega-Masanafu'!K35,'25.07 Busega-Masanafu'!K35,'26.07 Busega-Masanafu-24h'!K35,'27.07 Busega-Masanafu-24h'!K35,'28.07 Busega-Masanafu'!K35)</f>
        <v>3.1428571428571428</v>
      </c>
      <c r="L35" s="49">
        <f>AVERAGE('22.07 Busega-Masanafu'!L35,'23.07 Busega-Masanafu'!L35,'24.07 Busega-Masanafu'!L35,'25.07 Busega-Masanafu'!L35,'26.07 Busega-Masanafu-24h'!L35,'27.07 Busega-Masanafu-24h'!L35,'28.07 Busega-Masanafu'!L35)</f>
        <v>5.4285714285714288</v>
      </c>
      <c r="M35" s="49">
        <f>AVERAGE('22.07 Busega-Masanafu'!M35,'23.07 Busega-Masanafu'!M35,'24.07 Busega-Masanafu'!M35,'25.07 Busega-Masanafu'!M35,'26.07 Busega-Masanafu-24h'!M35,'27.07 Busega-Masanafu-24h'!M35,'28.07 Busega-Masanafu'!M35)</f>
        <v>125.14285714285714</v>
      </c>
      <c r="N35" s="49">
        <f>AVERAGE('22.07 Busega-Masanafu'!N35,'23.07 Busega-Masanafu'!N35,'24.07 Busega-Masanafu'!N35,'25.07 Busega-Masanafu'!N35,'26.07 Busega-Masanafu-24h'!N35,'27.07 Busega-Masanafu-24h'!N35,'28.07 Busega-Masanafu'!N35)</f>
        <v>0</v>
      </c>
      <c r="O35" s="49">
        <f>AVERAGE('22.07 Busega-Masanafu'!O35,'23.07 Busega-Masanafu'!O35,'24.07 Busega-Masanafu'!O35,'25.07 Busega-Masanafu'!O35,'26.07 Busega-Masanafu-24h'!O35,'27.07 Busega-Masanafu-24h'!O35,'28.07 Busega-Masanafu'!O35)</f>
        <v>145.57142857142858</v>
      </c>
      <c r="P35" s="49">
        <f>AVERAGE('22.07 Busega-Masanafu'!P35,'23.07 Busega-Masanafu'!P35,'24.07 Busega-Masanafu'!P35,'25.07 Busega-Masanafu'!P35,'26.07 Busega-Masanafu-24h'!P35,'27.07 Busega-Masanafu-24h'!P35,'28.07 Busega-Masanafu'!P35)</f>
        <v>270.71428571428572</v>
      </c>
      <c r="R35" s="38" t="s">
        <v>91</v>
      </c>
      <c r="S35" s="39">
        <f t="shared" ref="S35:AF35" si="25">MAX(S13:S18)</f>
        <v>350.85714285714289</v>
      </c>
      <c r="T35" s="39">
        <f t="shared" si="25"/>
        <v>73.285714285714292</v>
      </c>
      <c r="U35" s="39">
        <f t="shared" si="25"/>
        <v>47.285714285714292</v>
      </c>
      <c r="V35" s="39">
        <f t="shared" si="25"/>
        <v>129.57142857142856</v>
      </c>
      <c r="W35" s="39">
        <f t="shared" si="25"/>
        <v>8.7142857142857135</v>
      </c>
      <c r="X35" s="39">
        <f t="shared" si="25"/>
        <v>2.8571428571428568</v>
      </c>
      <c r="Y35" s="39">
        <f t="shared" si="25"/>
        <v>57.857142857142854</v>
      </c>
      <c r="Z35" s="39">
        <f t="shared" si="25"/>
        <v>42.857142857142854</v>
      </c>
      <c r="AA35" s="39">
        <f t="shared" si="25"/>
        <v>18.142857142857142</v>
      </c>
      <c r="AB35" s="39">
        <f t="shared" si="25"/>
        <v>23.142857142857142</v>
      </c>
      <c r="AC35" s="39">
        <f t="shared" si="25"/>
        <v>513.71428571428578</v>
      </c>
      <c r="AD35" s="39">
        <f t="shared" si="25"/>
        <v>0</v>
      </c>
      <c r="AE35" s="40">
        <f t="shared" si="25"/>
        <v>685.14285714285711</v>
      </c>
      <c r="AF35" s="40">
        <f t="shared" si="25"/>
        <v>1112.2857142857142</v>
      </c>
    </row>
    <row r="36" spans="2:32" ht="23.1" customHeight="1" x14ac:dyDescent="0.25">
      <c r="B36" s="24" t="s">
        <v>63</v>
      </c>
      <c r="C36" s="49">
        <f>AVERAGE('22.07 Busega-Masanafu'!C36,'23.07 Busega-Masanafu'!C36,'24.07 Busega-Masanafu'!C36,'25.07 Busega-Masanafu'!C36,'26.07 Busega-Masanafu-24h'!C36,'27.07 Busega-Masanafu-24h'!C36,'28.07 Busega-Masanafu'!C36)</f>
        <v>57.857142857142854</v>
      </c>
      <c r="D36" s="49">
        <f>AVERAGE('22.07 Busega-Masanafu'!D36,'23.07 Busega-Masanafu'!D36,'24.07 Busega-Masanafu'!D36,'25.07 Busega-Masanafu'!D36,'26.07 Busega-Masanafu-24h'!D36,'27.07 Busega-Masanafu-24h'!D36,'28.07 Busega-Masanafu'!D36)</f>
        <v>13.714285714285714</v>
      </c>
      <c r="E36" s="49">
        <f>AVERAGE('22.07 Busega-Masanafu'!E36,'23.07 Busega-Masanafu'!E36,'24.07 Busega-Masanafu'!E36,'25.07 Busega-Masanafu'!E36,'26.07 Busega-Masanafu-24h'!E36,'27.07 Busega-Masanafu-24h'!E36,'28.07 Busega-Masanafu'!E36)</f>
        <v>13.571428571428571</v>
      </c>
      <c r="F36" s="49">
        <f>AVERAGE('22.07 Busega-Masanafu'!F36,'23.07 Busega-Masanafu'!F36,'24.07 Busega-Masanafu'!F36,'25.07 Busega-Masanafu'!F36,'26.07 Busega-Masanafu-24h'!F36,'27.07 Busega-Masanafu-24h'!F36,'28.07 Busega-Masanafu'!F36)</f>
        <v>21.857142857142858</v>
      </c>
      <c r="G36" s="49">
        <f>AVERAGE('22.07 Busega-Masanafu'!G36,'23.07 Busega-Masanafu'!G36,'24.07 Busega-Masanafu'!G36,'25.07 Busega-Masanafu'!G36,'26.07 Busega-Masanafu-24h'!G36,'27.07 Busega-Masanafu-24h'!G36,'28.07 Busega-Masanafu'!G36)</f>
        <v>0.8571428571428571</v>
      </c>
      <c r="H36" s="49">
        <f>AVERAGE('22.07 Busega-Masanafu'!H36,'23.07 Busega-Masanafu'!H36,'24.07 Busega-Masanafu'!H36,'25.07 Busega-Masanafu'!H36,'26.07 Busega-Masanafu-24h'!H36,'27.07 Busega-Masanafu-24h'!H36,'28.07 Busega-Masanafu'!H36)</f>
        <v>0</v>
      </c>
      <c r="I36" s="49">
        <f>AVERAGE('22.07 Busega-Masanafu'!I36,'23.07 Busega-Masanafu'!I36,'24.07 Busega-Masanafu'!I36,'25.07 Busega-Masanafu'!I36,'26.07 Busega-Masanafu-24h'!I36,'27.07 Busega-Masanafu-24h'!I36,'28.07 Busega-Masanafu'!I36)</f>
        <v>9.7142857142857135</v>
      </c>
      <c r="J36" s="49">
        <f>AVERAGE('22.07 Busega-Masanafu'!J36,'23.07 Busega-Masanafu'!J36,'24.07 Busega-Masanafu'!J36,'25.07 Busega-Masanafu'!J36,'26.07 Busega-Masanafu-24h'!J36,'27.07 Busega-Masanafu-24h'!J36,'28.07 Busega-Masanafu'!J36)</f>
        <v>10.714285714285714</v>
      </c>
      <c r="K36" s="49">
        <f>AVERAGE('22.07 Busega-Masanafu'!K36,'23.07 Busega-Masanafu'!K36,'24.07 Busega-Masanafu'!K36,'25.07 Busega-Masanafu'!K36,'26.07 Busega-Masanafu-24h'!K36,'27.07 Busega-Masanafu-24h'!K36,'28.07 Busega-Masanafu'!K36)</f>
        <v>5</v>
      </c>
      <c r="L36" s="49">
        <f>AVERAGE('22.07 Busega-Masanafu'!L36,'23.07 Busega-Masanafu'!L36,'24.07 Busega-Masanafu'!L36,'25.07 Busega-Masanafu'!L36,'26.07 Busega-Masanafu-24h'!L36,'27.07 Busega-Masanafu-24h'!L36,'28.07 Busega-Masanafu'!L36)</f>
        <v>5.5714285714285712</v>
      </c>
      <c r="M36" s="49">
        <f>AVERAGE('22.07 Busega-Masanafu'!M36,'23.07 Busega-Masanafu'!M36,'24.07 Busega-Masanafu'!M36,'25.07 Busega-Masanafu'!M36,'26.07 Busega-Masanafu-24h'!M36,'27.07 Busega-Masanafu-24h'!M36,'28.07 Busega-Masanafu'!M36)</f>
        <v>120.71428571428571</v>
      </c>
      <c r="N36" s="49">
        <f>AVERAGE('22.07 Busega-Masanafu'!N36,'23.07 Busega-Masanafu'!N36,'24.07 Busega-Masanafu'!N36,'25.07 Busega-Masanafu'!N36,'26.07 Busega-Masanafu-24h'!N36,'27.07 Busega-Masanafu-24h'!N36,'28.07 Busega-Masanafu'!N36)</f>
        <v>0</v>
      </c>
      <c r="O36" s="49">
        <f>AVERAGE('22.07 Busega-Masanafu'!O36,'23.07 Busega-Masanafu'!O36,'24.07 Busega-Masanafu'!O36,'25.07 Busega-Masanafu'!O36,'26.07 Busega-Masanafu-24h'!O36,'27.07 Busega-Masanafu-24h'!O36,'28.07 Busega-Masanafu'!O36)</f>
        <v>138.85714285714286</v>
      </c>
      <c r="P36" s="49">
        <f>AVERAGE('22.07 Busega-Masanafu'!P36,'23.07 Busega-Masanafu'!P36,'24.07 Busega-Masanafu'!P36,'25.07 Busega-Masanafu'!P36,'26.07 Busega-Masanafu-24h'!P36,'27.07 Busega-Masanafu-24h'!P36,'28.07 Busega-Masanafu'!P36)</f>
        <v>259.57142857142856</v>
      </c>
      <c r="R36" s="38" t="s">
        <v>92</v>
      </c>
      <c r="S36" s="39">
        <f t="shared" ref="S36:AF36" si="26">MAX(S19:S21)</f>
        <v>316</v>
      </c>
      <c r="T36" s="39">
        <f t="shared" si="26"/>
        <v>66.714285714285708</v>
      </c>
      <c r="U36" s="39">
        <f t="shared" si="26"/>
        <v>46.857142857142861</v>
      </c>
      <c r="V36" s="39">
        <f t="shared" si="26"/>
        <v>141.42857142857142</v>
      </c>
      <c r="W36" s="39">
        <f t="shared" si="26"/>
        <v>16</v>
      </c>
      <c r="X36" s="39">
        <f t="shared" si="26"/>
        <v>2.714285714285714</v>
      </c>
      <c r="Y36" s="39">
        <f t="shared" si="26"/>
        <v>42</v>
      </c>
      <c r="Z36" s="39">
        <f t="shared" si="26"/>
        <v>42.428571428571431</v>
      </c>
      <c r="AA36" s="39">
        <f t="shared" si="26"/>
        <v>17.571428571428573</v>
      </c>
      <c r="AB36" s="39">
        <f t="shared" si="26"/>
        <v>30.857142857142861</v>
      </c>
      <c r="AC36" s="39">
        <f t="shared" si="26"/>
        <v>448.42857142857139</v>
      </c>
      <c r="AD36" s="39">
        <f t="shared" si="26"/>
        <v>0.2857142857142857</v>
      </c>
      <c r="AE36" s="40">
        <f t="shared" si="26"/>
        <v>687.28571428571422</v>
      </c>
      <c r="AF36" s="40">
        <f t="shared" si="26"/>
        <v>1127.5714285714284</v>
      </c>
    </row>
    <row r="37" spans="2:32" ht="23.1" customHeight="1" x14ac:dyDescent="0.25">
      <c r="B37" s="23" t="s">
        <v>64</v>
      </c>
      <c r="C37" s="49">
        <f>AVERAGE('22.07 Busega-Masanafu'!C37,'23.07 Busega-Masanafu'!C37,'24.07 Busega-Masanafu'!C37,'25.07 Busega-Masanafu'!C37,'26.07 Busega-Masanafu-24h'!C37,'27.07 Busega-Masanafu-24h'!C37,'28.07 Busega-Masanafu'!C37)</f>
        <v>61.714285714285715</v>
      </c>
      <c r="D37" s="49">
        <f>AVERAGE('22.07 Busega-Masanafu'!D37,'23.07 Busega-Masanafu'!D37,'24.07 Busega-Masanafu'!D37,'25.07 Busega-Masanafu'!D37,'26.07 Busega-Masanafu-24h'!D37,'27.07 Busega-Masanafu-24h'!D37,'28.07 Busega-Masanafu'!D37)</f>
        <v>12.714285714285714</v>
      </c>
      <c r="E37" s="49">
        <f>AVERAGE('22.07 Busega-Masanafu'!E37,'23.07 Busega-Masanafu'!E37,'24.07 Busega-Masanafu'!E37,'25.07 Busega-Masanafu'!E37,'26.07 Busega-Masanafu-24h'!E37,'27.07 Busega-Masanafu-24h'!E37,'28.07 Busega-Masanafu'!E37)</f>
        <v>13</v>
      </c>
      <c r="F37" s="49">
        <f>AVERAGE('22.07 Busega-Masanafu'!F37,'23.07 Busega-Masanafu'!F37,'24.07 Busega-Masanafu'!F37,'25.07 Busega-Masanafu'!F37,'26.07 Busega-Masanafu-24h'!F37,'27.07 Busega-Masanafu-24h'!F37,'28.07 Busega-Masanafu'!F37)</f>
        <v>24.571428571428573</v>
      </c>
      <c r="G37" s="49">
        <f>AVERAGE('22.07 Busega-Masanafu'!G37,'23.07 Busega-Masanafu'!G37,'24.07 Busega-Masanafu'!G37,'25.07 Busega-Masanafu'!G37,'26.07 Busega-Masanafu-24h'!G37,'27.07 Busega-Masanafu-24h'!G37,'28.07 Busega-Masanafu'!G37)</f>
        <v>0.5714285714285714</v>
      </c>
      <c r="H37" s="49">
        <f>AVERAGE('22.07 Busega-Masanafu'!H37,'23.07 Busega-Masanafu'!H37,'24.07 Busega-Masanafu'!H37,'25.07 Busega-Masanafu'!H37,'26.07 Busega-Masanafu-24h'!H37,'27.07 Busega-Masanafu-24h'!H37,'28.07 Busega-Masanafu'!H37)</f>
        <v>0.2857142857142857</v>
      </c>
      <c r="I37" s="49">
        <f>AVERAGE('22.07 Busega-Masanafu'!I37,'23.07 Busega-Masanafu'!I37,'24.07 Busega-Masanafu'!I37,'25.07 Busega-Masanafu'!I37,'26.07 Busega-Masanafu-24h'!I37,'27.07 Busega-Masanafu-24h'!I37,'28.07 Busega-Masanafu'!I37)</f>
        <v>8.4285714285714288</v>
      </c>
      <c r="J37" s="49">
        <f>AVERAGE('22.07 Busega-Masanafu'!J37,'23.07 Busega-Masanafu'!J37,'24.07 Busega-Masanafu'!J37,'25.07 Busega-Masanafu'!J37,'26.07 Busega-Masanafu-24h'!J37,'27.07 Busega-Masanafu-24h'!J37,'28.07 Busega-Masanafu'!J37)</f>
        <v>8.5714285714285712</v>
      </c>
      <c r="K37" s="49">
        <f>AVERAGE('22.07 Busega-Masanafu'!K37,'23.07 Busega-Masanafu'!K37,'24.07 Busega-Masanafu'!K37,'25.07 Busega-Masanafu'!K37,'26.07 Busega-Masanafu-24h'!K37,'27.07 Busega-Masanafu-24h'!K37,'28.07 Busega-Masanafu'!K37)</f>
        <v>3.8571428571428572</v>
      </c>
      <c r="L37" s="49">
        <f>AVERAGE('22.07 Busega-Masanafu'!L37,'23.07 Busega-Masanafu'!L37,'24.07 Busega-Masanafu'!L37,'25.07 Busega-Masanafu'!L37,'26.07 Busega-Masanafu-24h'!L37,'27.07 Busega-Masanafu-24h'!L37,'28.07 Busega-Masanafu'!L37)</f>
        <v>6</v>
      </c>
      <c r="M37" s="49">
        <f>AVERAGE('22.07 Busega-Masanafu'!M37,'23.07 Busega-Masanafu'!M37,'24.07 Busega-Masanafu'!M37,'25.07 Busega-Masanafu'!M37,'26.07 Busega-Masanafu-24h'!M37,'27.07 Busega-Masanafu-24h'!M37,'28.07 Busega-Masanafu'!M37)</f>
        <v>112.71428571428571</v>
      </c>
      <c r="N37" s="49">
        <f>AVERAGE('22.07 Busega-Masanafu'!N37,'23.07 Busega-Masanafu'!N37,'24.07 Busega-Masanafu'!N37,'25.07 Busega-Masanafu'!N37,'26.07 Busega-Masanafu-24h'!N37,'27.07 Busega-Masanafu-24h'!N37,'28.07 Busega-Masanafu'!N37)</f>
        <v>0</v>
      </c>
      <c r="O37" s="49">
        <f>AVERAGE('22.07 Busega-Masanafu'!O37,'23.07 Busega-Masanafu'!O37,'24.07 Busega-Masanafu'!O37,'25.07 Busega-Masanafu'!O37,'26.07 Busega-Masanafu-24h'!O37,'27.07 Busega-Masanafu-24h'!O37,'28.07 Busega-Masanafu'!O37)</f>
        <v>139.71428571428572</v>
      </c>
      <c r="P37" s="49">
        <f>AVERAGE('22.07 Busega-Masanafu'!P37,'23.07 Busega-Masanafu'!P37,'24.07 Busega-Masanafu'!P37,'25.07 Busega-Masanafu'!P37,'26.07 Busega-Masanafu-24h'!P37,'27.07 Busega-Masanafu-24h'!P37,'28.07 Busega-Masanafu'!P37)</f>
        <v>252.42857142857142</v>
      </c>
      <c r="R37" s="37" t="s">
        <v>85</v>
      </c>
      <c r="S37" s="35">
        <f t="shared" ref="S37:AF37" si="27">SUM(S10:S12)</f>
        <v>780.57142857142867</v>
      </c>
      <c r="T37" s="16">
        <f t="shared" si="27"/>
        <v>127.71428571428572</v>
      </c>
      <c r="U37" s="16">
        <f t="shared" si="27"/>
        <v>95.714285714285722</v>
      </c>
      <c r="V37" s="16">
        <f t="shared" si="27"/>
        <v>283.71428571428572</v>
      </c>
      <c r="W37" s="16">
        <f t="shared" si="27"/>
        <v>24.142857142857142</v>
      </c>
      <c r="X37" s="16">
        <f t="shared" si="27"/>
        <v>7.1428571428571423</v>
      </c>
      <c r="Y37" s="16">
        <f t="shared" si="27"/>
        <v>96.571428571428584</v>
      </c>
      <c r="Z37" s="16">
        <f t="shared" si="27"/>
        <v>116</v>
      </c>
      <c r="AA37" s="16">
        <f t="shared" si="27"/>
        <v>39.857142857142861</v>
      </c>
      <c r="AB37" s="16">
        <f t="shared" si="27"/>
        <v>34.142857142857146</v>
      </c>
      <c r="AC37" s="16">
        <f t="shared" si="27"/>
        <v>1802.5714285714284</v>
      </c>
      <c r="AD37" s="16">
        <f t="shared" si="27"/>
        <v>0</v>
      </c>
      <c r="AE37" s="32">
        <f t="shared" si="27"/>
        <v>1605.5714285714284</v>
      </c>
      <c r="AF37" s="32">
        <f t="shared" si="27"/>
        <v>3408.1428571428569</v>
      </c>
    </row>
    <row r="38" spans="2:32" ht="23.1" customHeight="1" x14ac:dyDescent="0.25">
      <c r="B38" s="24" t="s">
        <v>65</v>
      </c>
      <c r="C38" s="49">
        <f>AVERAGE('22.07 Busega-Masanafu'!C38,'23.07 Busega-Masanafu'!C38,'24.07 Busega-Masanafu'!C38,'25.07 Busega-Masanafu'!C38,'26.07 Busega-Masanafu-24h'!C38,'27.07 Busega-Masanafu-24h'!C38,'28.07 Busega-Masanafu'!C38)</f>
        <v>62</v>
      </c>
      <c r="D38" s="49">
        <f>AVERAGE('22.07 Busega-Masanafu'!D38,'23.07 Busega-Masanafu'!D38,'24.07 Busega-Masanafu'!D38,'25.07 Busega-Masanafu'!D38,'26.07 Busega-Masanafu-24h'!D38,'27.07 Busega-Masanafu-24h'!D38,'28.07 Busega-Masanafu'!D38)</f>
        <v>15.857142857142858</v>
      </c>
      <c r="E38" s="49">
        <f>AVERAGE('22.07 Busega-Masanafu'!E38,'23.07 Busega-Masanafu'!E38,'24.07 Busega-Masanafu'!E38,'25.07 Busega-Masanafu'!E38,'26.07 Busega-Masanafu-24h'!E38,'27.07 Busega-Masanafu-24h'!E38,'28.07 Busega-Masanafu'!E38)</f>
        <v>9</v>
      </c>
      <c r="F38" s="49">
        <f>AVERAGE('22.07 Busega-Masanafu'!F38,'23.07 Busega-Masanafu'!F38,'24.07 Busega-Masanafu'!F38,'25.07 Busega-Masanafu'!F38,'26.07 Busega-Masanafu-24h'!F38,'27.07 Busega-Masanafu-24h'!F38,'28.07 Busega-Masanafu'!F38)</f>
        <v>27</v>
      </c>
      <c r="G38" s="49">
        <f>AVERAGE('22.07 Busega-Masanafu'!G38,'23.07 Busega-Masanafu'!G38,'24.07 Busega-Masanafu'!G38,'25.07 Busega-Masanafu'!G38,'26.07 Busega-Masanafu-24h'!G38,'27.07 Busega-Masanafu-24h'!G38,'28.07 Busega-Masanafu'!G38)</f>
        <v>0.2857142857142857</v>
      </c>
      <c r="H38" s="49">
        <f>AVERAGE('22.07 Busega-Masanafu'!H38,'23.07 Busega-Masanafu'!H38,'24.07 Busega-Masanafu'!H38,'25.07 Busega-Masanafu'!H38,'26.07 Busega-Masanafu-24h'!H38,'27.07 Busega-Masanafu-24h'!H38,'28.07 Busega-Masanafu'!H38)</f>
        <v>0.2857142857142857</v>
      </c>
      <c r="I38" s="49">
        <f>AVERAGE('22.07 Busega-Masanafu'!I38,'23.07 Busega-Masanafu'!I38,'24.07 Busega-Masanafu'!I38,'25.07 Busega-Masanafu'!I38,'26.07 Busega-Masanafu-24h'!I38,'27.07 Busega-Masanafu-24h'!I38,'28.07 Busega-Masanafu'!I38)</f>
        <v>10.857142857142858</v>
      </c>
      <c r="J38" s="49">
        <f>AVERAGE('22.07 Busega-Masanafu'!J38,'23.07 Busega-Masanafu'!J38,'24.07 Busega-Masanafu'!J38,'25.07 Busega-Masanafu'!J38,'26.07 Busega-Masanafu-24h'!J38,'27.07 Busega-Masanafu-24h'!J38,'28.07 Busega-Masanafu'!J38)</f>
        <v>12.142857142857142</v>
      </c>
      <c r="K38" s="49">
        <f>AVERAGE('22.07 Busega-Masanafu'!K38,'23.07 Busega-Masanafu'!K38,'24.07 Busega-Masanafu'!K38,'25.07 Busega-Masanafu'!K38,'26.07 Busega-Masanafu-24h'!K38,'27.07 Busega-Masanafu-24h'!K38,'28.07 Busega-Masanafu'!K38)</f>
        <v>4.2857142857142856</v>
      </c>
      <c r="L38" s="49">
        <f>AVERAGE('22.07 Busega-Masanafu'!L38,'23.07 Busega-Masanafu'!L38,'24.07 Busega-Masanafu'!L38,'25.07 Busega-Masanafu'!L38,'26.07 Busega-Masanafu-24h'!L38,'27.07 Busega-Masanafu-24h'!L38,'28.07 Busega-Masanafu'!L38)</f>
        <v>6.5714285714285712</v>
      </c>
      <c r="M38" s="49">
        <f>AVERAGE('22.07 Busega-Masanafu'!M38,'23.07 Busega-Masanafu'!M38,'24.07 Busega-Masanafu'!M38,'25.07 Busega-Masanafu'!M38,'26.07 Busega-Masanafu-24h'!M38,'27.07 Busega-Masanafu-24h'!M38,'28.07 Busega-Masanafu'!M38)</f>
        <v>108</v>
      </c>
      <c r="N38" s="49">
        <f>AVERAGE('22.07 Busega-Masanafu'!N38,'23.07 Busega-Masanafu'!N38,'24.07 Busega-Masanafu'!N38,'25.07 Busega-Masanafu'!N38,'26.07 Busega-Masanafu-24h'!N38,'27.07 Busega-Masanafu-24h'!N38,'28.07 Busega-Masanafu'!N38)</f>
        <v>0</v>
      </c>
      <c r="O38" s="49">
        <f>AVERAGE('22.07 Busega-Masanafu'!O38,'23.07 Busega-Masanafu'!O38,'24.07 Busega-Masanafu'!O38,'25.07 Busega-Masanafu'!O38,'26.07 Busega-Masanafu-24h'!O38,'27.07 Busega-Masanafu-24h'!O38,'28.07 Busega-Masanafu'!O38)</f>
        <v>148.28571428571428</v>
      </c>
      <c r="P38" s="49">
        <f>AVERAGE('22.07 Busega-Masanafu'!P38,'23.07 Busega-Masanafu'!P38,'24.07 Busega-Masanafu'!P38,'25.07 Busega-Masanafu'!P38,'26.07 Busega-Masanafu-24h'!P38,'27.07 Busega-Masanafu-24h'!P38,'28.07 Busega-Masanafu'!P38)</f>
        <v>256.28571428571428</v>
      </c>
      <c r="R38" s="28" t="s">
        <v>86</v>
      </c>
      <c r="S38" s="16">
        <f t="shared" ref="S38:AF38" si="28">SUM(S13:S18)</f>
        <v>1687.7142857142858</v>
      </c>
      <c r="T38" s="16">
        <f t="shared" si="28"/>
        <v>346.71428571428572</v>
      </c>
      <c r="U38" s="16">
        <f t="shared" si="28"/>
        <v>232.14285714285711</v>
      </c>
      <c r="V38" s="16">
        <f t="shared" si="28"/>
        <v>670.142857142857</v>
      </c>
      <c r="W38" s="16">
        <f t="shared" si="28"/>
        <v>25.857142857142858</v>
      </c>
      <c r="X38" s="16">
        <f t="shared" si="28"/>
        <v>8.1428571428571423</v>
      </c>
      <c r="Y38" s="16">
        <f t="shared" si="28"/>
        <v>259.85714285714283</v>
      </c>
      <c r="Z38" s="16">
        <f t="shared" si="28"/>
        <v>242.42857142857144</v>
      </c>
      <c r="AA38" s="16">
        <f t="shared" si="28"/>
        <v>93.714285714285722</v>
      </c>
      <c r="AB38" s="16">
        <f t="shared" si="28"/>
        <v>121</v>
      </c>
      <c r="AC38" s="16">
        <f t="shared" si="28"/>
        <v>2707.5714285714289</v>
      </c>
      <c r="AD38" s="16">
        <f t="shared" si="28"/>
        <v>0</v>
      </c>
      <c r="AE38" s="32">
        <f t="shared" si="28"/>
        <v>3687.7142857142853</v>
      </c>
      <c r="AF38" s="32">
        <f t="shared" si="28"/>
        <v>6395.2857142857138</v>
      </c>
    </row>
    <row r="39" spans="2:32" ht="23.1" customHeight="1" x14ac:dyDescent="0.25">
      <c r="B39" s="24" t="s">
        <v>66</v>
      </c>
      <c r="C39" s="49">
        <f>AVERAGE('22.07 Busega-Masanafu'!C39,'23.07 Busega-Masanafu'!C39,'24.07 Busega-Masanafu'!C39,'25.07 Busega-Masanafu'!C39,'26.07 Busega-Masanafu-24h'!C39,'27.07 Busega-Masanafu-24h'!C39,'28.07 Busega-Masanafu'!C39)</f>
        <v>62.714285714285715</v>
      </c>
      <c r="D39" s="49">
        <f>AVERAGE('22.07 Busega-Masanafu'!D39,'23.07 Busega-Masanafu'!D39,'24.07 Busega-Masanafu'!D39,'25.07 Busega-Masanafu'!D39,'26.07 Busega-Masanafu-24h'!D39,'27.07 Busega-Masanafu-24h'!D39,'28.07 Busega-Masanafu'!D39)</f>
        <v>14.142857142857142</v>
      </c>
      <c r="E39" s="49">
        <f>AVERAGE('22.07 Busega-Masanafu'!E39,'23.07 Busega-Masanafu'!E39,'24.07 Busega-Masanafu'!E39,'25.07 Busega-Masanafu'!E39,'26.07 Busega-Masanafu-24h'!E39,'27.07 Busega-Masanafu-24h'!E39,'28.07 Busega-Masanafu'!E39)</f>
        <v>7.5714285714285712</v>
      </c>
      <c r="F39" s="49">
        <f>AVERAGE('22.07 Busega-Masanafu'!F39,'23.07 Busega-Masanafu'!F39,'24.07 Busega-Masanafu'!F39,'25.07 Busega-Masanafu'!F39,'26.07 Busega-Masanafu-24h'!F39,'27.07 Busega-Masanafu-24h'!F39,'28.07 Busega-Masanafu'!F39)</f>
        <v>23</v>
      </c>
      <c r="G39" s="49">
        <f>AVERAGE('22.07 Busega-Masanafu'!G39,'23.07 Busega-Masanafu'!G39,'24.07 Busega-Masanafu'!G39,'25.07 Busega-Masanafu'!G39,'26.07 Busega-Masanafu-24h'!G39,'27.07 Busega-Masanafu-24h'!G39,'28.07 Busega-Masanafu'!G39)</f>
        <v>0.14285714285714285</v>
      </c>
      <c r="H39" s="49">
        <f>AVERAGE('22.07 Busega-Masanafu'!H39,'23.07 Busega-Masanafu'!H39,'24.07 Busega-Masanafu'!H39,'25.07 Busega-Masanafu'!H39,'26.07 Busega-Masanafu-24h'!H39,'27.07 Busega-Masanafu-24h'!H39,'28.07 Busega-Masanafu'!H39)</f>
        <v>0.14285714285714285</v>
      </c>
      <c r="I39" s="49">
        <f>AVERAGE('22.07 Busega-Masanafu'!I39,'23.07 Busega-Masanafu'!I39,'24.07 Busega-Masanafu'!I39,'25.07 Busega-Masanafu'!I39,'26.07 Busega-Masanafu-24h'!I39,'27.07 Busega-Masanafu-24h'!I39,'28.07 Busega-Masanafu'!I39)</f>
        <v>13.571428571428571</v>
      </c>
      <c r="J39" s="49">
        <f>AVERAGE('22.07 Busega-Masanafu'!J39,'23.07 Busega-Masanafu'!J39,'24.07 Busega-Masanafu'!J39,'25.07 Busega-Masanafu'!J39,'26.07 Busega-Masanafu-24h'!J39,'27.07 Busega-Masanafu-24h'!J39,'28.07 Busega-Masanafu'!J39)</f>
        <v>9.5714285714285712</v>
      </c>
      <c r="K39" s="49">
        <f>AVERAGE('22.07 Busega-Masanafu'!K39,'23.07 Busega-Masanafu'!K39,'24.07 Busega-Masanafu'!K39,'25.07 Busega-Masanafu'!K39,'26.07 Busega-Masanafu-24h'!K39,'27.07 Busega-Masanafu-24h'!K39,'28.07 Busega-Masanafu'!K39)</f>
        <v>6</v>
      </c>
      <c r="L39" s="49">
        <f>AVERAGE('22.07 Busega-Masanafu'!L39,'23.07 Busega-Masanafu'!L39,'24.07 Busega-Masanafu'!L39,'25.07 Busega-Masanafu'!L39,'26.07 Busega-Masanafu-24h'!L39,'27.07 Busega-Masanafu-24h'!L39,'28.07 Busega-Masanafu'!L39)</f>
        <v>5</v>
      </c>
      <c r="M39" s="49">
        <f>AVERAGE('22.07 Busega-Masanafu'!M39,'23.07 Busega-Masanafu'!M39,'24.07 Busega-Masanafu'!M39,'25.07 Busega-Masanafu'!M39,'26.07 Busega-Masanafu-24h'!M39,'27.07 Busega-Masanafu-24h'!M39,'28.07 Busega-Masanafu'!M39)</f>
        <v>102.14285714285714</v>
      </c>
      <c r="N39" s="49">
        <f>AVERAGE('22.07 Busega-Masanafu'!N39,'23.07 Busega-Masanafu'!N39,'24.07 Busega-Masanafu'!N39,'25.07 Busega-Masanafu'!N39,'26.07 Busega-Masanafu-24h'!N39,'27.07 Busega-Masanafu-24h'!N39,'28.07 Busega-Masanafu'!N39)</f>
        <v>0</v>
      </c>
      <c r="O39" s="49">
        <f>AVERAGE('22.07 Busega-Masanafu'!O39,'23.07 Busega-Masanafu'!O39,'24.07 Busega-Masanafu'!O39,'25.07 Busega-Masanafu'!O39,'26.07 Busega-Masanafu-24h'!O39,'27.07 Busega-Masanafu-24h'!O39,'28.07 Busega-Masanafu'!O39)</f>
        <v>141.85714285714286</v>
      </c>
      <c r="P39" s="49">
        <f>AVERAGE('22.07 Busega-Masanafu'!P39,'23.07 Busega-Masanafu'!P39,'24.07 Busega-Masanafu'!P39,'25.07 Busega-Masanafu'!P39,'26.07 Busega-Masanafu-24h'!P39,'27.07 Busega-Masanafu-24h'!P39,'28.07 Busega-Masanafu'!P39)</f>
        <v>244</v>
      </c>
      <c r="R39" s="29" t="s">
        <v>87</v>
      </c>
      <c r="S39" s="16">
        <f t="shared" ref="S39:AF39" si="29">SUM(S19:S21)</f>
        <v>927.71428571428567</v>
      </c>
      <c r="T39" s="16">
        <f t="shared" si="29"/>
        <v>193.14285714285711</v>
      </c>
      <c r="U39" s="16">
        <f t="shared" si="29"/>
        <v>133</v>
      </c>
      <c r="V39" s="16">
        <f t="shared" si="29"/>
        <v>373.57142857142856</v>
      </c>
      <c r="W39" s="16">
        <f t="shared" si="29"/>
        <v>35</v>
      </c>
      <c r="X39" s="16">
        <f t="shared" si="29"/>
        <v>6.4285714285714288</v>
      </c>
      <c r="Y39" s="16">
        <f t="shared" si="29"/>
        <v>119.28571428571428</v>
      </c>
      <c r="Z39" s="16">
        <f t="shared" si="29"/>
        <v>121.42857142857142</v>
      </c>
      <c r="AA39" s="16">
        <f t="shared" si="29"/>
        <v>44.714285714285715</v>
      </c>
      <c r="AB39" s="16">
        <f t="shared" si="29"/>
        <v>73</v>
      </c>
      <c r="AC39" s="16">
        <f t="shared" si="29"/>
        <v>1248.1428571428571</v>
      </c>
      <c r="AD39" s="16">
        <f t="shared" si="29"/>
        <v>0.2857142857142857</v>
      </c>
      <c r="AE39" s="32">
        <f t="shared" si="29"/>
        <v>2027.5714285714284</v>
      </c>
      <c r="AF39" s="32">
        <f t="shared" si="29"/>
        <v>3275.7142857142853</v>
      </c>
    </row>
    <row r="40" spans="2:32" ht="23.1" customHeight="1" x14ac:dyDescent="0.25">
      <c r="B40" s="24" t="s">
        <v>67</v>
      </c>
      <c r="C40" s="49">
        <f>AVERAGE('22.07 Busega-Masanafu'!C40,'23.07 Busega-Masanafu'!C40,'24.07 Busega-Masanafu'!C40,'25.07 Busega-Masanafu'!C40,'26.07 Busega-Masanafu-24h'!C40,'27.07 Busega-Masanafu-24h'!C40,'28.07 Busega-Masanafu'!C40)</f>
        <v>56.142857142857146</v>
      </c>
      <c r="D40" s="49">
        <f>AVERAGE('22.07 Busega-Masanafu'!D40,'23.07 Busega-Masanafu'!D40,'24.07 Busega-Masanafu'!D40,'25.07 Busega-Masanafu'!D40,'26.07 Busega-Masanafu-24h'!D40,'27.07 Busega-Masanafu-24h'!D40,'28.07 Busega-Masanafu'!D40)</f>
        <v>16.428571428571427</v>
      </c>
      <c r="E40" s="49">
        <f>AVERAGE('22.07 Busega-Masanafu'!E40,'23.07 Busega-Masanafu'!E40,'24.07 Busega-Masanafu'!E40,'25.07 Busega-Masanafu'!E40,'26.07 Busega-Masanafu-24h'!E40,'27.07 Busega-Masanafu-24h'!E40,'28.07 Busega-Masanafu'!E40)</f>
        <v>10.714285714285714</v>
      </c>
      <c r="F40" s="49">
        <f>AVERAGE('22.07 Busega-Masanafu'!F40,'23.07 Busega-Masanafu'!F40,'24.07 Busega-Masanafu'!F40,'25.07 Busega-Masanafu'!F40,'26.07 Busega-Masanafu-24h'!F40,'27.07 Busega-Masanafu-24h'!F40,'28.07 Busega-Masanafu'!F40)</f>
        <v>25.285714285714285</v>
      </c>
      <c r="G40" s="49">
        <f>AVERAGE('22.07 Busega-Masanafu'!G40,'23.07 Busega-Masanafu'!G40,'24.07 Busega-Masanafu'!G40,'25.07 Busega-Masanafu'!G40,'26.07 Busega-Masanafu-24h'!G40,'27.07 Busega-Masanafu-24h'!G40,'28.07 Busega-Masanafu'!G40)</f>
        <v>1.2857142857142858</v>
      </c>
      <c r="H40" s="49">
        <f>AVERAGE('22.07 Busega-Masanafu'!H40,'23.07 Busega-Masanafu'!H40,'24.07 Busega-Masanafu'!H40,'25.07 Busega-Masanafu'!H40,'26.07 Busega-Masanafu-24h'!H40,'27.07 Busega-Masanafu-24h'!H40,'28.07 Busega-Masanafu'!H40)</f>
        <v>0.2857142857142857</v>
      </c>
      <c r="I40" s="49">
        <f>AVERAGE('22.07 Busega-Masanafu'!I40,'23.07 Busega-Masanafu'!I40,'24.07 Busega-Masanafu'!I40,'25.07 Busega-Masanafu'!I40,'26.07 Busega-Masanafu-24h'!I40,'27.07 Busega-Masanafu-24h'!I40,'28.07 Busega-Masanafu'!I40)</f>
        <v>10</v>
      </c>
      <c r="J40" s="49">
        <f>AVERAGE('22.07 Busega-Masanafu'!J40,'23.07 Busega-Masanafu'!J40,'24.07 Busega-Masanafu'!J40,'25.07 Busega-Masanafu'!J40,'26.07 Busega-Masanafu-24h'!J40,'27.07 Busega-Masanafu-24h'!J40,'28.07 Busega-Masanafu'!J40)</f>
        <v>10.571428571428571</v>
      </c>
      <c r="K40" s="49">
        <f>AVERAGE('22.07 Busega-Masanafu'!K40,'23.07 Busega-Masanafu'!K40,'24.07 Busega-Masanafu'!K40,'25.07 Busega-Masanafu'!K40,'26.07 Busega-Masanafu-24h'!K40,'27.07 Busega-Masanafu-24h'!K40,'28.07 Busega-Masanafu'!K40)</f>
        <v>4.2857142857142856</v>
      </c>
      <c r="L40" s="49">
        <f>AVERAGE('22.07 Busega-Masanafu'!L40,'23.07 Busega-Masanafu'!L40,'24.07 Busega-Masanafu'!L40,'25.07 Busega-Masanafu'!L40,'26.07 Busega-Masanafu-24h'!L40,'27.07 Busega-Masanafu-24h'!L40,'28.07 Busega-Masanafu'!L40)</f>
        <v>6.2857142857142856</v>
      </c>
      <c r="M40" s="49">
        <f>AVERAGE('22.07 Busega-Masanafu'!M40,'23.07 Busega-Masanafu'!M40,'24.07 Busega-Masanafu'!M40,'25.07 Busega-Masanafu'!M40,'26.07 Busega-Masanafu-24h'!M40,'27.07 Busega-Masanafu-24h'!M40,'28.07 Busega-Masanafu'!M40)</f>
        <v>101.14285714285714</v>
      </c>
      <c r="N40" s="49">
        <f>AVERAGE('22.07 Busega-Masanafu'!N40,'23.07 Busega-Masanafu'!N40,'24.07 Busega-Masanafu'!N40,'25.07 Busega-Masanafu'!N40,'26.07 Busega-Masanafu-24h'!N40,'27.07 Busega-Masanafu-24h'!N40,'28.07 Busega-Masanafu'!N40)</f>
        <v>0</v>
      </c>
      <c r="O40" s="49">
        <f>AVERAGE('22.07 Busega-Masanafu'!O40,'23.07 Busega-Masanafu'!O40,'24.07 Busega-Masanafu'!O40,'25.07 Busega-Masanafu'!O40,'26.07 Busega-Masanafu-24h'!O40,'27.07 Busega-Masanafu-24h'!O40,'28.07 Busega-Masanafu'!O40)</f>
        <v>141.28571428571428</v>
      </c>
      <c r="P40" s="49">
        <f>AVERAGE('22.07 Busega-Masanafu'!P40,'23.07 Busega-Masanafu'!P40,'24.07 Busega-Masanafu'!P40,'25.07 Busega-Masanafu'!P40,'26.07 Busega-Masanafu-24h'!P40,'27.07 Busega-Masanafu-24h'!P40,'28.07 Busega-Masanafu'!P40)</f>
        <v>242.42857142857142</v>
      </c>
      <c r="R40" s="5" t="s">
        <v>17</v>
      </c>
      <c r="S40" s="16">
        <f t="shared" ref="S40:AF40" si="30">SUM(S10:S21)</f>
        <v>3396</v>
      </c>
      <c r="T40" s="16">
        <f t="shared" si="30"/>
        <v>667.57142857142856</v>
      </c>
      <c r="U40" s="16">
        <f t="shared" si="30"/>
        <v>460.85714285714289</v>
      </c>
      <c r="V40" s="16">
        <f t="shared" si="30"/>
        <v>1327.4285714285713</v>
      </c>
      <c r="W40" s="16">
        <f t="shared" si="30"/>
        <v>85</v>
      </c>
      <c r="X40" s="16">
        <f t="shared" si="30"/>
        <v>21.714285714285715</v>
      </c>
      <c r="Y40" s="16">
        <f t="shared" si="30"/>
        <v>475.71428571428572</v>
      </c>
      <c r="Z40" s="16">
        <f t="shared" si="30"/>
        <v>479.85714285714289</v>
      </c>
      <c r="AA40" s="16">
        <f t="shared" si="30"/>
        <v>178.28571428571428</v>
      </c>
      <c r="AB40" s="16">
        <f t="shared" si="30"/>
        <v>228.14285714285714</v>
      </c>
      <c r="AC40" s="16">
        <f t="shared" si="30"/>
        <v>5758.2857142857147</v>
      </c>
      <c r="AD40" s="16">
        <f t="shared" si="30"/>
        <v>0.2857142857142857</v>
      </c>
      <c r="AE40" s="32">
        <f t="shared" si="30"/>
        <v>7320.8571428571413</v>
      </c>
      <c r="AF40" s="32">
        <f t="shared" si="30"/>
        <v>13079.142857142855</v>
      </c>
    </row>
    <row r="41" spans="2:32" ht="23.1" customHeight="1" x14ac:dyDescent="0.25">
      <c r="B41" s="23" t="s">
        <v>68</v>
      </c>
      <c r="C41" s="49">
        <f>AVERAGE('22.07 Busega-Masanafu'!C41,'23.07 Busega-Masanafu'!C41,'24.07 Busega-Masanafu'!C41,'25.07 Busega-Masanafu'!C41,'26.07 Busega-Masanafu-24h'!C41,'27.07 Busega-Masanafu-24h'!C41,'28.07 Busega-Masanafu'!C41)</f>
        <v>170</v>
      </c>
      <c r="D41" s="49">
        <f>AVERAGE('22.07 Busega-Masanafu'!D41,'23.07 Busega-Masanafu'!D41,'24.07 Busega-Masanafu'!D41,'25.07 Busega-Masanafu'!D41,'26.07 Busega-Masanafu-24h'!D41,'27.07 Busega-Masanafu-24h'!D41,'28.07 Busega-Masanafu'!D41)</f>
        <v>14.571428571428571</v>
      </c>
      <c r="E41" s="49">
        <f>AVERAGE('22.07 Busega-Masanafu'!E41,'23.07 Busega-Masanafu'!E41,'24.07 Busega-Masanafu'!E41,'25.07 Busega-Masanafu'!E41,'26.07 Busega-Masanafu-24h'!E41,'27.07 Busega-Masanafu-24h'!E41,'28.07 Busega-Masanafu'!E41)</f>
        <v>11.142857142857142</v>
      </c>
      <c r="F41" s="49">
        <f>AVERAGE('22.07 Busega-Masanafu'!F41,'23.07 Busega-Masanafu'!F41,'24.07 Busega-Masanafu'!F41,'25.07 Busega-Masanafu'!F41,'26.07 Busega-Masanafu-24h'!F41,'27.07 Busega-Masanafu-24h'!F41,'28.07 Busega-Masanafu'!F41)</f>
        <v>26.285714285714285</v>
      </c>
      <c r="G41" s="49">
        <f>AVERAGE('22.07 Busega-Masanafu'!G41,'23.07 Busega-Masanafu'!G41,'24.07 Busega-Masanafu'!G41,'25.07 Busega-Masanafu'!G41,'26.07 Busega-Masanafu-24h'!G41,'27.07 Busega-Masanafu-24h'!G41,'28.07 Busega-Masanafu'!G41)</f>
        <v>1</v>
      </c>
      <c r="H41" s="49">
        <f>AVERAGE('22.07 Busega-Masanafu'!H41,'23.07 Busega-Masanafu'!H41,'24.07 Busega-Masanafu'!H41,'25.07 Busega-Masanafu'!H41,'26.07 Busega-Masanafu-24h'!H41,'27.07 Busega-Masanafu-24h'!H41,'28.07 Busega-Masanafu'!H41)</f>
        <v>0.14285714285714285</v>
      </c>
      <c r="I41" s="49">
        <f>AVERAGE('22.07 Busega-Masanafu'!I41,'23.07 Busega-Masanafu'!I41,'24.07 Busega-Masanafu'!I41,'25.07 Busega-Masanafu'!I41,'26.07 Busega-Masanafu-24h'!I41,'27.07 Busega-Masanafu-24h'!I41,'28.07 Busega-Masanafu'!I41)</f>
        <v>11.142857142857142</v>
      </c>
      <c r="J41" s="49">
        <f>AVERAGE('22.07 Busega-Masanafu'!J41,'23.07 Busega-Masanafu'!J41,'24.07 Busega-Masanafu'!J41,'25.07 Busega-Masanafu'!J41,'26.07 Busega-Masanafu-24h'!J41,'27.07 Busega-Masanafu-24h'!J41,'28.07 Busega-Masanafu'!J41)</f>
        <v>10.571428571428571</v>
      </c>
      <c r="K41" s="49">
        <f>AVERAGE('22.07 Busega-Masanafu'!K41,'23.07 Busega-Masanafu'!K41,'24.07 Busega-Masanafu'!K41,'25.07 Busega-Masanafu'!K41,'26.07 Busega-Masanafu-24h'!K41,'27.07 Busega-Masanafu-24h'!K41,'28.07 Busega-Masanafu'!K41)</f>
        <v>3.5714285714285716</v>
      </c>
      <c r="L41" s="49">
        <f>AVERAGE('22.07 Busega-Masanafu'!L41,'23.07 Busega-Masanafu'!L41,'24.07 Busega-Masanafu'!L41,'25.07 Busega-Masanafu'!L41,'26.07 Busega-Masanafu-24h'!L41,'27.07 Busega-Masanafu-24h'!L41,'28.07 Busega-Masanafu'!L41)</f>
        <v>5.2857142857142856</v>
      </c>
      <c r="M41" s="49">
        <f>AVERAGE('22.07 Busega-Masanafu'!M41,'23.07 Busega-Masanafu'!M41,'24.07 Busega-Masanafu'!M41,'25.07 Busega-Masanafu'!M41,'26.07 Busega-Masanafu-24h'!M41,'27.07 Busega-Masanafu-24h'!M41,'28.07 Busega-Masanafu'!M41)</f>
        <v>97.142857142857139</v>
      </c>
      <c r="N41" s="49">
        <f>AVERAGE('22.07 Busega-Masanafu'!N41,'23.07 Busega-Masanafu'!N41,'24.07 Busega-Masanafu'!N41,'25.07 Busega-Masanafu'!N41,'26.07 Busega-Masanafu-24h'!N41,'27.07 Busega-Masanafu-24h'!N41,'28.07 Busega-Masanafu'!N41)</f>
        <v>0</v>
      </c>
      <c r="O41" s="49">
        <f>AVERAGE('22.07 Busega-Masanafu'!O41,'23.07 Busega-Masanafu'!O41,'24.07 Busega-Masanafu'!O41,'25.07 Busega-Masanafu'!O41,'26.07 Busega-Masanafu-24h'!O41,'27.07 Busega-Masanafu-24h'!O41,'28.07 Busega-Masanafu'!O41)</f>
        <v>253.71428571428572</v>
      </c>
      <c r="P41" s="49">
        <f>AVERAGE('22.07 Busega-Masanafu'!P41,'23.07 Busega-Masanafu'!P41,'24.07 Busega-Masanafu'!P41,'25.07 Busega-Masanafu'!P41,'26.07 Busega-Masanafu-24h'!P41,'27.07 Busega-Masanafu-24h'!P41,'28.07 Busega-Masanafu'!P41)</f>
        <v>350.85714285714283</v>
      </c>
      <c r="R41" s="5" t="s">
        <v>176</v>
      </c>
      <c r="S41" s="51">
        <f>SUM(S10:S33)</f>
        <v>5052.3571428571431</v>
      </c>
      <c r="T41" s="51">
        <f t="shared" ref="T41:AF41" si="31">SUM(T10:T33)</f>
        <v>887.85714285714289</v>
      </c>
      <c r="U41" s="51">
        <f t="shared" si="31"/>
        <v>765.28571428571433</v>
      </c>
      <c r="V41" s="51">
        <f t="shared" si="31"/>
        <v>1995.3571428571427</v>
      </c>
      <c r="W41" s="51">
        <f t="shared" si="31"/>
        <v>158</v>
      </c>
      <c r="X41" s="51">
        <f t="shared" si="31"/>
        <v>46.071428571428569</v>
      </c>
      <c r="Y41" s="51">
        <f t="shared" si="31"/>
        <v>761.35714285714289</v>
      </c>
      <c r="Z41" s="51">
        <f t="shared" si="31"/>
        <v>788.21428571428578</v>
      </c>
      <c r="AA41" s="51">
        <f t="shared" si="31"/>
        <v>344.64285714285711</v>
      </c>
      <c r="AB41" s="51">
        <f t="shared" si="31"/>
        <v>381.07142857142856</v>
      </c>
      <c r="AC41" s="51">
        <f t="shared" si="31"/>
        <v>7853.2142857142862</v>
      </c>
      <c r="AD41" s="51">
        <f t="shared" si="31"/>
        <v>0.7857142857142857</v>
      </c>
      <c r="AE41" s="51">
        <f t="shared" si="31"/>
        <v>16279.285714285714</v>
      </c>
      <c r="AF41" s="51">
        <f t="shared" si="31"/>
        <v>28101.785714285714</v>
      </c>
    </row>
    <row r="42" spans="2:32" ht="23.1" customHeight="1" x14ac:dyDescent="0.25">
      <c r="B42" s="24" t="s">
        <v>69</v>
      </c>
      <c r="C42" s="49">
        <f>AVERAGE('22.07 Busega-Masanafu'!C42,'23.07 Busega-Masanafu'!C42,'24.07 Busega-Masanafu'!C42,'25.07 Busega-Masanafu'!C42,'26.07 Busega-Masanafu-24h'!C42,'27.07 Busega-Masanafu-24h'!C42,'28.07 Busega-Masanafu'!C42)</f>
        <v>73.571428571428569</v>
      </c>
      <c r="D42" s="49">
        <f>AVERAGE('22.07 Busega-Masanafu'!D42,'23.07 Busega-Masanafu'!D42,'24.07 Busega-Masanafu'!D42,'25.07 Busega-Masanafu'!D42,'26.07 Busega-Masanafu-24h'!D42,'27.07 Busega-Masanafu-24h'!D42,'28.07 Busega-Masanafu'!D42)</f>
        <v>17.285714285714285</v>
      </c>
      <c r="E42" s="49">
        <f>AVERAGE('22.07 Busega-Masanafu'!E42,'23.07 Busega-Masanafu'!E42,'24.07 Busega-Masanafu'!E42,'25.07 Busega-Masanafu'!E42,'26.07 Busega-Masanafu-24h'!E42,'27.07 Busega-Masanafu-24h'!E42,'28.07 Busega-Masanafu'!E42)</f>
        <v>11.857142857142858</v>
      </c>
      <c r="F42" s="49">
        <f>AVERAGE('22.07 Busega-Masanafu'!F42,'23.07 Busega-Masanafu'!F42,'24.07 Busega-Masanafu'!F42,'25.07 Busega-Masanafu'!F42,'26.07 Busega-Masanafu-24h'!F42,'27.07 Busega-Masanafu-24h'!F42,'28.07 Busega-Masanafu'!F42)</f>
        <v>27</v>
      </c>
      <c r="G42" s="49">
        <f>AVERAGE('22.07 Busega-Masanafu'!G42,'23.07 Busega-Masanafu'!G42,'24.07 Busega-Masanafu'!G42,'25.07 Busega-Masanafu'!G42,'26.07 Busega-Masanafu-24h'!G42,'27.07 Busega-Masanafu-24h'!G42,'28.07 Busega-Masanafu'!G42)</f>
        <v>0.7142857142857143</v>
      </c>
      <c r="H42" s="49">
        <f>AVERAGE('22.07 Busega-Masanafu'!H42,'23.07 Busega-Masanafu'!H42,'24.07 Busega-Masanafu'!H42,'25.07 Busega-Masanafu'!H42,'26.07 Busega-Masanafu-24h'!H42,'27.07 Busega-Masanafu-24h'!H42,'28.07 Busega-Masanafu'!H42)</f>
        <v>0.42857142857142855</v>
      </c>
      <c r="I42" s="49">
        <f>AVERAGE('22.07 Busega-Masanafu'!I42,'23.07 Busega-Masanafu'!I42,'24.07 Busega-Masanafu'!I42,'25.07 Busega-Masanafu'!I42,'26.07 Busega-Masanafu-24h'!I42,'27.07 Busega-Masanafu-24h'!I42,'28.07 Busega-Masanafu'!I42)</f>
        <v>11.714285714285714</v>
      </c>
      <c r="J42" s="49">
        <f>AVERAGE('22.07 Busega-Masanafu'!J42,'23.07 Busega-Masanafu'!J42,'24.07 Busega-Masanafu'!J42,'25.07 Busega-Masanafu'!J42,'26.07 Busega-Masanafu-24h'!J42,'27.07 Busega-Masanafu-24h'!J42,'28.07 Busega-Masanafu'!J42)</f>
        <v>11.428571428571429</v>
      </c>
      <c r="K42" s="49">
        <f>AVERAGE('22.07 Busega-Masanafu'!K42,'23.07 Busega-Masanafu'!K42,'24.07 Busega-Masanafu'!K42,'25.07 Busega-Masanafu'!K42,'26.07 Busega-Masanafu-24h'!K42,'27.07 Busega-Masanafu-24h'!K42,'28.07 Busega-Masanafu'!K42)</f>
        <v>3.5714285714285716</v>
      </c>
      <c r="L42" s="49">
        <f>AVERAGE('22.07 Busega-Masanafu'!L42,'23.07 Busega-Masanafu'!L42,'24.07 Busega-Masanafu'!L42,'25.07 Busega-Masanafu'!L42,'26.07 Busega-Masanafu-24h'!L42,'27.07 Busega-Masanafu-24h'!L42,'28.07 Busega-Masanafu'!L42)</f>
        <v>4.5714285714285712</v>
      </c>
      <c r="M42" s="49">
        <f>AVERAGE('22.07 Busega-Masanafu'!M42,'23.07 Busega-Masanafu'!M42,'24.07 Busega-Masanafu'!M42,'25.07 Busega-Masanafu'!M42,'26.07 Busega-Masanafu-24h'!M42,'27.07 Busega-Masanafu-24h'!M42,'28.07 Busega-Masanafu'!M42)</f>
        <v>105</v>
      </c>
      <c r="N42" s="49">
        <f>AVERAGE('22.07 Busega-Masanafu'!N42,'23.07 Busega-Masanafu'!N42,'24.07 Busega-Masanafu'!N42,'25.07 Busega-Masanafu'!N42,'26.07 Busega-Masanafu-24h'!N42,'27.07 Busega-Masanafu-24h'!N42,'28.07 Busega-Masanafu'!N42)</f>
        <v>0</v>
      </c>
      <c r="O42" s="49">
        <f>AVERAGE('22.07 Busega-Masanafu'!O42,'23.07 Busega-Masanafu'!O42,'24.07 Busega-Masanafu'!O42,'25.07 Busega-Masanafu'!O42,'26.07 Busega-Masanafu-24h'!O42,'27.07 Busega-Masanafu-24h'!O42,'28.07 Busega-Masanafu'!O42)</f>
        <v>162.14285714285714</v>
      </c>
      <c r="P42" s="49">
        <f>AVERAGE('22.07 Busega-Masanafu'!P42,'23.07 Busega-Masanafu'!P42,'24.07 Busega-Masanafu'!P42,'25.07 Busega-Masanafu'!P42,'26.07 Busega-Masanafu-24h'!P42,'27.07 Busega-Masanafu-24h'!P42,'28.07 Busega-Masanafu'!P42)</f>
        <v>267.14285714285717</v>
      </c>
      <c r="R42" s="5" t="s">
        <v>160</v>
      </c>
      <c r="S42" s="48">
        <f>S41/S40</f>
        <v>1.4877376745751305</v>
      </c>
      <c r="T42" s="48">
        <f t="shared" ref="T42:AF42" si="32">T41/T40</f>
        <v>1.3299807404237107</v>
      </c>
      <c r="U42" s="48">
        <f t="shared" si="32"/>
        <v>1.6605703657780533</v>
      </c>
      <c r="V42" s="48">
        <f t="shared" si="32"/>
        <v>1.503174773999139</v>
      </c>
      <c r="W42" s="48">
        <f t="shared" si="32"/>
        <v>1.8588235294117648</v>
      </c>
      <c r="X42" s="48">
        <f t="shared" si="32"/>
        <v>2.1217105263157894</v>
      </c>
      <c r="Y42" s="48">
        <f t="shared" si="32"/>
        <v>1.6004504504504504</v>
      </c>
      <c r="Z42" s="48">
        <f t="shared" si="32"/>
        <v>1.6426019648704973</v>
      </c>
      <c r="AA42" s="48">
        <f t="shared" si="32"/>
        <v>1.9330929487179487</v>
      </c>
      <c r="AB42" s="48">
        <f t="shared" si="32"/>
        <v>1.6703193487789605</v>
      </c>
      <c r="AC42" s="48">
        <f t="shared" si="32"/>
        <v>1.3638111541133273</v>
      </c>
      <c r="AD42" s="48">
        <f t="shared" si="32"/>
        <v>2.75</v>
      </c>
      <c r="AE42" s="48">
        <f t="shared" si="32"/>
        <v>2.2236857510830119</v>
      </c>
      <c r="AF42" s="48">
        <f t="shared" si="32"/>
        <v>2.1485953644843483</v>
      </c>
    </row>
    <row r="43" spans="2:32" ht="23.1" customHeight="1" x14ac:dyDescent="0.25">
      <c r="B43" s="23" t="s">
        <v>70</v>
      </c>
      <c r="C43" s="49">
        <f>AVERAGE('22.07 Busega-Masanafu'!C43,'23.07 Busega-Masanafu'!C43,'24.07 Busega-Masanafu'!C43,'25.07 Busega-Masanafu'!C43,'26.07 Busega-Masanafu-24h'!C43,'27.07 Busega-Masanafu-24h'!C43,'28.07 Busega-Masanafu'!C43)</f>
        <v>69.285714285714292</v>
      </c>
      <c r="D43" s="49">
        <f>AVERAGE('22.07 Busega-Masanafu'!D43,'23.07 Busega-Masanafu'!D43,'24.07 Busega-Masanafu'!D43,'25.07 Busega-Masanafu'!D43,'26.07 Busega-Masanafu-24h'!D43,'27.07 Busega-Masanafu-24h'!D43,'28.07 Busega-Masanafu'!D43)</f>
        <v>17.571428571428573</v>
      </c>
      <c r="E43" s="49">
        <f>AVERAGE('22.07 Busega-Masanafu'!E43,'23.07 Busega-Masanafu'!E43,'24.07 Busega-Masanafu'!E43,'25.07 Busega-Masanafu'!E43,'26.07 Busega-Masanafu-24h'!E43,'27.07 Busega-Masanafu-24h'!E43,'28.07 Busega-Masanafu'!E43)</f>
        <v>12.285714285714286</v>
      </c>
      <c r="F43" s="49">
        <f>AVERAGE('22.07 Busega-Masanafu'!F43,'23.07 Busega-Masanafu'!F43,'24.07 Busega-Masanafu'!F43,'25.07 Busega-Masanafu'!F43,'26.07 Busega-Masanafu-24h'!F43,'27.07 Busega-Masanafu-24h'!F43,'28.07 Busega-Masanafu'!F43)</f>
        <v>23.142857142857142</v>
      </c>
      <c r="G43" s="49">
        <f>AVERAGE('22.07 Busega-Masanafu'!G43,'23.07 Busega-Masanafu'!G43,'24.07 Busega-Masanafu'!G43,'25.07 Busega-Masanafu'!G43,'26.07 Busega-Masanafu-24h'!G43,'27.07 Busega-Masanafu-24h'!G43,'28.07 Busega-Masanafu'!G43)</f>
        <v>0.8571428571428571</v>
      </c>
      <c r="H43" s="49">
        <f>AVERAGE('22.07 Busega-Masanafu'!H43,'23.07 Busega-Masanafu'!H43,'24.07 Busega-Masanafu'!H43,'25.07 Busega-Masanafu'!H43,'26.07 Busega-Masanafu-24h'!H43,'27.07 Busega-Masanafu-24h'!H43,'28.07 Busega-Masanafu'!H43)</f>
        <v>0.42857142857142855</v>
      </c>
      <c r="I43" s="49">
        <f>AVERAGE('22.07 Busega-Masanafu'!I43,'23.07 Busega-Masanafu'!I43,'24.07 Busega-Masanafu'!I43,'25.07 Busega-Masanafu'!I43,'26.07 Busega-Masanafu-24h'!I43,'27.07 Busega-Masanafu-24h'!I43,'28.07 Busega-Masanafu'!I43)</f>
        <v>9</v>
      </c>
      <c r="J43" s="49">
        <f>AVERAGE('22.07 Busega-Masanafu'!J43,'23.07 Busega-Masanafu'!J43,'24.07 Busega-Masanafu'!J43,'25.07 Busega-Masanafu'!J43,'26.07 Busega-Masanafu-24h'!J43,'27.07 Busega-Masanafu-24h'!J43,'28.07 Busega-Masanafu'!J43)</f>
        <v>10.142857142857142</v>
      </c>
      <c r="K43" s="49">
        <f>AVERAGE('22.07 Busega-Masanafu'!K43,'23.07 Busega-Masanafu'!K43,'24.07 Busega-Masanafu'!K43,'25.07 Busega-Masanafu'!K43,'26.07 Busega-Masanafu-24h'!K43,'27.07 Busega-Masanafu-24h'!K43,'28.07 Busega-Masanafu'!K43)</f>
        <v>5.5714285714285712</v>
      </c>
      <c r="L43" s="49">
        <f>AVERAGE('22.07 Busega-Masanafu'!L43,'23.07 Busega-Masanafu'!L43,'24.07 Busega-Masanafu'!L43,'25.07 Busega-Masanafu'!L43,'26.07 Busega-Masanafu-24h'!L43,'27.07 Busega-Masanafu-24h'!L43,'28.07 Busega-Masanafu'!L43)</f>
        <v>3.7142857142857144</v>
      </c>
      <c r="M43" s="49">
        <f>AVERAGE('22.07 Busega-Masanafu'!M43,'23.07 Busega-Masanafu'!M43,'24.07 Busega-Masanafu'!M43,'25.07 Busega-Masanafu'!M43,'26.07 Busega-Masanafu-24h'!M43,'27.07 Busega-Masanafu-24h'!M43,'28.07 Busega-Masanafu'!M43)</f>
        <v>97.857142857142861</v>
      </c>
      <c r="N43" s="49">
        <f>AVERAGE('22.07 Busega-Masanafu'!N43,'23.07 Busega-Masanafu'!N43,'24.07 Busega-Masanafu'!N43,'25.07 Busega-Masanafu'!N43,'26.07 Busega-Masanafu-24h'!N43,'27.07 Busega-Masanafu-24h'!N43,'28.07 Busega-Masanafu'!N43)</f>
        <v>0</v>
      </c>
      <c r="O43" s="49">
        <f>AVERAGE('22.07 Busega-Masanafu'!O43,'23.07 Busega-Masanafu'!O43,'24.07 Busega-Masanafu'!O43,'25.07 Busega-Masanafu'!O43,'26.07 Busega-Masanafu-24h'!O43,'27.07 Busega-Masanafu-24h'!O43,'28.07 Busega-Masanafu'!O43)</f>
        <v>152</v>
      </c>
      <c r="P43" s="49">
        <f>AVERAGE('22.07 Busega-Masanafu'!P43,'23.07 Busega-Masanafu'!P43,'24.07 Busega-Masanafu'!P43,'25.07 Busega-Masanafu'!P43,'26.07 Busega-Masanafu-24h'!P43,'27.07 Busega-Masanafu-24h'!P43,'28.07 Busega-Masanafu'!P43)</f>
        <v>249.85714285714286</v>
      </c>
    </row>
    <row r="44" spans="2:32" ht="23.1" customHeight="1" x14ac:dyDescent="0.25">
      <c r="B44" s="25" t="s">
        <v>71</v>
      </c>
      <c r="C44" s="49">
        <f>AVERAGE('22.07 Busega-Masanafu'!C44,'23.07 Busega-Masanafu'!C44,'24.07 Busega-Masanafu'!C44,'25.07 Busega-Masanafu'!C44,'26.07 Busega-Masanafu-24h'!C44,'27.07 Busega-Masanafu-24h'!C44,'28.07 Busega-Masanafu'!C44)</f>
        <v>62.142857142857146</v>
      </c>
      <c r="D44" s="49">
        <f>AVERAGE('22.07 Busega-Masanafu'!D44,'23.07 Busega-Masanafu'!D44,'24.07 Busega-Masanafu'!D44,'25.07 Busega-Masanafu'!D44,'26.07 Busega-Masanafu-24h'!D44,'27.07 Busega-Masanafu-24h'!D44,'28.07 Busega-Masanafu'!D44)</f>
        <v>18.285714285714285</v>
      </c>
      <c r="E44" s="49">
        <f>AVERAGE('22.07 Busega-Masanafu'!E44,'23.07 Busega-Masanafu'!E44,'24.07 Busega-Masanafu'!E44,'25.07 Busega-Masanafu'!E44,'26.07 Busega-Masanafu-24h'!E44,'27.07 Busega-Masanafu-24h'!E44,'28.07 Busega-Masanafu'!E44)</f>
        <v>10.285714285714286</v>
      </c>
      <c r="F44" s="49">
        <f>AVERAGE('22.07 Busega-Masanafu'!F44,'23.07 Busega-Masanafu'!F44,'24.07 Busega-Masanafu'!F44,'25.07 Busega-Masanafu'!F44,'26.07 Busega-Masanafu-24h'!F44,'27.07 Busega-Masanafu-24h'!F44,'28.07 Busega-Masanafu'!F44)</f>
        <v>26.285714285714285</v>
      </c>
      <c r="G44" s="49">
        <f>AVERAGE('22.07 Busega-Masanafu'!G44,'23.07 Busega-Masanafu'!G44,'24.07 Busega-Masanafu'!G44,'25.07 Busega-Masanafu'!G44,'26.07 Busega-Masanafu-24h'!G44,'27.07 Busega-Masanafu-24h'!G44,'28.07 Busega-Masanafu'!G44)</f>
        <v>3</v>
      </c>
      <c r="H44" s="49">
        <f>AVERAGE('22.07 Busega-Masanafu'!H44,'23.07 Busega-Masanafu'!H44,'24.07 Busega-Masanafu'!H44,'25.07 Busega-Masanafu'!H44,'26.07 Busega-Masanafu-24h'!H44,'27.07 Busega-Masanafu-24h'!H44,'28.07 Busega-Masanafu'!H44)</f>
        <v>0</v>
      </c>
      <c r="I44" s="49">
        <f>AVERAGE('22.07 Busega-Masanafu'!I44,'23.07 Busega-Masanafu'!I44,'24.07 Busega-Masanafu'!I44,'25.07 Busega-Masanafu'!I44,'26.07 Busega-Masanafu-24h'!I44,'27.07 Busega-Masanafu-24h'!I44,'28.07 Busega-Masanafu'!I44)</f>
        <v>11.142857142857142</v>
      </c>
      <c r="J44" s="49">
        <f>AVERAGE('22.07 Busega-Masanafu'!J44,'23.07 Busega-Masanafu'!J44,'24.07 Busega-Masanafu'!J44,'25.07 Busega-Masanafu'!J44,'26.07 Busega-Masanafu-24h'!J44,'27.07 Busega-Masanafu-24h'!J44,'28.07 Busega-Masanafu'!J44)</f>
        <v>7.8571428571428568</v>
      </c>
      <c r="K44" s="49">
        <f>AVERAGE('22.07 Busega-Masanafu'!K44,'23.07 Busega-Masanafu'!K44,'24.07 Busega-Masanafu'!K44,'25.07 Busega-Masanafu'!K44,'26.07 Busega-Masanafu-24h'!K44,'27.07 Busega-Masanafu-24h'!K44,'28.07 Busega-Masanafu'!K44)</f>
        <v>4.7142857142857144</v>
      </c>
      <c r="L44" s="49">
        <f>AVERAGE('22.07 Busega-Masanafu'!L44,'23.07 Busega-Masanafu'!L44,'24.07 Busega-Masanafu'!L44,'25.07 Busega-Masanafu'!L44,'26.07 Busega-Masanafu-24h'!L44,'27.07 Busega-Masanafu-24h'!L44,'28.07 Busega-Masanafu'!L44)</f>
        <v>6.2857142857142856</v>
      </c>
      <c r="M44" s="49">
        <f>AVERAGE('22.07 Busega-Masanafu'!M44,'23.07 Busega-Masanafu'!M44,'24.07 Busega-Masanafu'!M44,'25.07 Busega-Masanafu'!M44,'26.07 Busega-Masanafu-24h'!M44,'27.07 Busega-Masanafu-24h'!M44,'28.07 Busega-Masanafu'!M44)</f>
        <v>89.142857142857139</v>
      </c>
      <c r="N44" s="49">
        <f>AVERAGE('22.07 Busega-Masanafu'!N44,'23.07 Busega-Masanafu'!N44,'24.07 Busega-Masanafu'!N44,'25.07 Busega-Masanafu'!N44,'26.07 Busega-Masanafu-24h'!N44,'27.07 Busega-Masanafu-24h'!N44,'28.07 Busega-Masanafu'!N44)</f>
        <v>0</v>
      </c>
      <c r="O44" s="49">
        <f>AVERAGE('22.07 Busega-Masanafu'!O44,'23.07 Busega-Masanafu'!O44,'24.07 Busega-Masanafu'!O44,'25.07 Busega-Masanafu'!O44,'26.07 Busega-Masanafu-24h'!O44,'27.07 Busega-Masanafu-24h'!O44,'28.07 Busega-Masanafu'!O44)</f>
        <v>150</v>
      </c>
      <c r="P44" s="49">
        <f>AVERAGE('22.07 Busega-Masanafu'!P44,'23.07 Busega-Masanafu'!P44,'24.07 Busega-Masanafu'!P44,'25.07 Busega-Masanafu'!P44,'26.07 Busega-Masanafu-24h'!P44,'27.07 Busega-Masanafu-24h'!P44,'28.07 Busega-Masanafu'!P44)</f>
        <v>239.14285714285714</v>
      </c>
    </row>
    <row r="45" spans="2:32" ht="23.1" customHeight="1" x14ac:dyDescent="0.25">
      <c r="B45" s="23" t="s">
        <v>72</v>
      </c>
      <c r="C45" s="49">
        <f>AVERAGE('22.07 Busega-Masanafu'!C45,'23.07 Busega-Masanafu'!C45,'24.07 Busega-Masanafu'!C45,'25.07 Busega-Masanafu'!C45,'26.07 Busega-Masanafu-24h'!C45,'27.07 Busega-Masanafu-24h'!C45,'28.07 Busega-Masanafu'!C45)</f>
        <v>78.714285714285708</v>
      </c>
      <c r="D45" s="49">
        <f>AVERAGE('22.07 Busega-Masanafu'!D45,'23.07 Busega-Masanafu'!D45,'24.07 Busega-Masanafu'!D45,'25.07 Busega-Masanafu'!D45,'26.07 Busega-Masanafu-24h'!D45,'27.07 Busega-Masanafu-24h'!D45,'28.07 Busega-Masanafu'!D45)</f>
        <v>20.142857142857142</v>
      </c>
      <c r="E45" s="49">
        <f>AVERAGE('22.07 Busega-Masanafu'!E45,'23.07 Busega-Masanafu'!E45,'24.07 Busega-Masanafu'!E45,'25.07 Busega-Masanafu'!E45,'26.07 Busega-Masanafu-24h'!E45,'27.07 Busega-Masanafu-24h'!E45,'28.07 Busega-Masanafu'!E45)</f>
        <v>12.857142857142858</v>
      </c>
      <c r="F45" s="49">
        <f>AVERAGE('22.07 Busega-Masanafu'!F45,'23.07 Busega-Masanafu'!F45,'24.07 Busega-Masanafu'!F45,'25.07 Busega-Masanafu'!F45,'26.07 Busega-Masanafu-24h'!F45,'27.07 Busega-Masanafu-24h'!F45,'28.07 Busega-Masanafu'!F45)</f>
        <v>27.142857142857142</v>
      </c>
      <c r="G45" s="49">
        <f>AVERAGE('22.07 Busega-Masanafu'!G45,'23.07 Busega-Masanafu'!G45,'24.07 Busega-Masanafu'!G45,'25.07 Busega-Masanafu'!G45,'26.07 Busega-Masanafu-24h'!G45,'27.07 Busega-Masanafu-24h'!G45,'28.07 Busega-Masanafu'!G45)</f>
        <v>0.14285714285714285</v>
      </c>
      <c r="H45" s="49">
        <f>AVERAGE('22.07 Busega-Masanafu'!H45,'23.07 Busega-Masanafu'!H45,'24.07 Busega-Masanafu'!H45,'25.07 Busega-Masanafu'!H45,'26.07 Busega-Masanafu-24h'!H45,'27.07 Busega-Masanafu-24h'!H45,'28.07 Busega-Masanafu'!H45)</f>
        <v>0.14285714285714285</v>
      </c>
      <c r="I45" s="49">
        <f>AVERAGE('22.07 Busega-Masanafu'!I45,'23.07 Busega-Masanafu'!I45,'24.07 Busega-Masanafu'!I45,'25.07 Busega-Masanafu'!I45,'26.07 Busega-Masanafu-24h'!I45,'27.07 Busega-Masanafu-24h'!I45,'28.07 Busega-Masanafu'!I45)</f>
        <v>10.428571428571429</v>
      </c>
      <c r="J45" s="49">
        <f>AVERAGE('22.07 Busega-Masanafu'!J45,'23.07 Busega-Masanafu'!J45,'24.07 Busega-Masanafu'!J45,'25.07 Busega-Masanafu'!J45,'26.07 Busega-Masanafu-24h'!J45,'27.07 Busega-Masanafu-24h'!J45,'28.07 Busega-Masanafu'!J45)</f>
        <v>11.714285714285714</v>
      </c>
      <c r="K45" s="49">
        <f>AVERAGE('22.07 Busega-Masanafu'!K45,'23.07 Busega-Masanafu'!K45,'24.07 Busega-Masanafu'!K45,'25.07 Busega-Masanafu'!K45,'26.07 Busega-Masanafu-24h'!K45,'27.07 Busega-Masanafu-24h'!K45,'28.07 Busega-Masanafu'!K45)</f>
        <v>3.5714285714285716</v>
      </c>
      <c r="L45" s="49">
        <f>AVERAGE('22.07 Busega-Masanafu'!L45,'23.07 Busega-Masanafu'!L45,'24.07 Busega-Masanafu'!L45,'25.07 Busega-Masanafu'!L45,'26.07 Busega-Masanafu-24h'!L45,'27.07 Busega-Masanafu-24h'!L45,'28.07 Busega-Masanafu'!L45)</f>
        <v>6.8571428571428568</v>
      </c>
      <c r="M45" s="49">
        <f>AVERAGE('22.07 Busega-Masanafu'!M45,'23.07 Busega-Masanafu'!M45,'24.07 Busega-Masanafu'!M45,'25.07 Busega-Masanafu'!M45,'26.07 Busega-Masanafu-24h'!M45,'27.07 Busega-Masanafu-24h'!M45,'28.07 Busega-Masanafu'!M45)</f>
        <v>84.285714285714292</v>
      </c>
      <c r="N45" s="49">
        <f>AVERAGE('22.07 Busega-Masanafu'!N45,'23.07 Busega-Masanafu'!N45,'24.07 Busega-Masanafu'!N45,'25.07 Busega-Masanafu'!N45,'26.07 Busega-Masanafu-24h'!N45,'27.07 Busega-Masanafu-24h'!N45,'28.07 Busega-Masanafu'!N45)</f>
        <v>0</v>
      </c>
      <c r="O45" s="49">
        <f>AVERAGE('22.07 Busega-Masanafu'!O45,'23.07 Busega-Masanafu'!O45,'24.07 Busega-Masanafu'!O45,'25.07 Busega-Masanafu'!O45,'26.07 Busega-Masanafu-24h'!O45,'27.07 Busega-Masanafu-24h'!O45,'28.07 Busega-Masanafu'!O45)</f>
        <v>171.71428571428572</v>
      </c>
      <c r="P45" s="49">
        <f>AVERAGE('22.07 Busega-Masanafu'!P45,'23.07 Busega-Masanafu'!P45,'24.07 Busega-Masanafu'!P45,'25.07 Busega-Masanafu'!P45,'26.07 Busega-Masanafu-24h'!P45,'27.07 Busega-Masanafu-24h'!P45,'28.07 Busega-Masanafu'!P45)</f>
        <v>256</v>
      </c>
    </row>
    <row r="46" spans="2:32" ht="23.1" customHeight="1" x14ac:dyDescent="0.25">
      <c r="B46" s="24" t="s">
        <v>73</v>
      </c>
      <c r="C46" s="49">
        <f>AVERAGE('22.07 Busega-Masanafu'!C46,'23.07 Busega-Masanafu'!C46,'24.07 Busega-Masanafu'!C46,'25.07 Busega-Masanafu'!C46,'26.07 Busega-Masanafu-24h'!C46,'27.07 Busega-Masanafu-24h'!C46,'28.07 Busega-Masanafu'!C46)</f>
        <v>71.571428571428569</v>
      </c>
      <c r="D46" s="49">
        <f>AVERAGE('22.07 Busega-Masanafu'!D46,'23.07 Busega-Masanafu'!D46,'24.07 Busega-Masanafu'!D46,'25.07 Busega-Masanafu'!D46,'26.07 Busega-Masanafu-24h'!D46,'27.07 Busega-Masanafu-24h'!D46,'28.07 Busega-Masanafu'!D46)</f>
        <v>13.428571428571429</v>
      </c>
      <c r="E46" s="49">
        <f>AVERAGE('22.07 Busega-Masanafu'!E46,'23.07 Busega-Masanafu'!E46,'24.07 Busega-Masanafu'!E46,'25.07 Busega-Masanafu'!E46,'26.07 Busega-Masanafu-24h'!E46,'27.07 Busega-Masanafu-24h'!E46,'28.07 Busega-Masanafu'!E46)</f>
        <v>9.2857142857142865</v>
      </c>
      <c r="F46" s="49">
        <f>AVERAGE('22.07 Busega-Masanafu'!F46,'23.07 Busega-Masanafu'!F46,'24.07 Busega-Masanafu'!F46,'25.07 Busega-Masanafu'!F46,'26.07 Busega-Masanafu-24h'!F46,'27.07 Busega-Masanafu-24h'!F46,'28.07 Busega-Masanafu'!F46)</f>
        <v>25</v>
      </c>
      <c r="G46" s="49">
        <f>AVERAGE('22.07 Busega-Masanafu'!G46,'23.07 Busega-Masanafu'!G46,'24.07 Busega-Masanafu'!G46,'25.07 Busega-Masanafu'!G46,'26.07 Busega-Masanafu-24h'!G46,'27.07 Busega-Masanafu-24h'!G46,'28.07 Busega-Masanafu'!G46)</f>
        <v>1.2857142857142858</v>
      </c>
      <c r="H46" s="49">
        <f>AVERAGE('22.07 Busega-Masanafu'!H46,'23.07 Busega-Masanafu'!H46,'24.07 Busega-Masanafu'!H46,'25.07 Busega-Masanafu'!H46,'26.07 Busega-Masanafu-24h'!H46,'27.07 Busega-Masanafu-24h'!H46,'28.07 Busega-Masanafu'!H46)</f>
        <v>0.2857142857142857</v>
      </c>
      <c r="I46" s="49">
        <f>AVERAGE('22.07 Busega-Masanafu'!I46,'23.07 Busega-Masanafu'!I46,'24.07 Busega-Masanafu'!I46,'25.07 Busega-Masanafu'!I46,'26.07 Busega-Masanafu-24h'!I46,'27.07 Busega-Masanafu-24h'!I46,'28.07 Busega-Masanafu'!I46)</f>
        <v>10.142857142857142</v>
      </c>
      <c r="J46" s="49">
        <f>AVERAGE('22.07 Busega-Masanafu'!J46,'23.07 Busega-Masanafu'!J46,'24.07 Busega-Masanafu'!J46,'25.07 Busega-Masanafu'!J46,'26.07 Busega-Masanafu-24h'!J46,'27.07 Busega-Masanafu-24h'!J46,'28.07 Busega-Masanafu'!J46)</f>
        <v>10</v>
      </c>
      <c r="K46" s="49">
        <f>AVERAGE('22.07 Busega-Masanafu'!K46,'23.07 Busega-Masanafu'!K46,'24.07 Busega-Masanafu'!K46,'25.07 Busega-Masanafu'!K46,'26.07 Busega-Masanafu-24h'!K46,'27.07 Busega-Masanafu-24h'!K46,'28.07 Busega-Masanafu'!K46)</f>
        <v>5.2857142857142856</v>
      </c>
      <c r="L46" s="49">
        <f>AVERAGE('22.07 Busega-Masanafu'!L46,'23.07 Busega-Masanafu'!L46,'24.07 Busega-Masanafu'!L46,'25.07 Busega-Masanafu'!L46,'26.07 Busega-Masanafu-24h'!L46,'27.07 Busega-Masanafu-24h'!L46,'28.07 Busega-Masanafu'!L46)</f>
        <v>6.5714285714285712</v>
      </c>
      <c r="M46" s="49">
        <f>AVERAGE('22.07 Busega-Masanafu'!M46,'23.07 Busega-Masanafu'!M46,'24.07 Busega-Masanafu'!M46,'25.07 Busega-Masanafu'!M46,'26.07 Busega-Masanafu-24h'!M46,'27.07 Busega-Masanafu-24h'!M46,'28.07 Busega-Masanafu'!M46)</f>
        <v>92.142857142857139</v>
      </c>
      <c r="N46" s="49">
        <f>AVERAGE('22.07 Busega-Masanafu'!N46,'23.07 Busega-Masanafu'!N46,'24.07 Busega-Masanafu'!N46,'25.07 Busega-Masanafu'!N46,'26.07 Busega-Masanafu-24h'!N46,'27.07 Busega-Masanafu-24h'!N46,'28.07 Busega-Masanafu'!N46)</f>
        <v>0</v>
      </c>
      <c r="O46" s="49">
        <f>AVERAGE('22.07 Busega-Masanafu'!O46,'23.07 Busega-Masanafu'!O46,'24.07 Busega-Masanafu'!O46,'25.07 Busega-Masanafu'!O46,'26.07 Busega-Masanafu-24h'!O46,'27.07 Busega-Masanafu-24h'!O46,'28.07 Busega-Masanafu'!O46)</f>
        <v>152.85714285714286</v>
      </c>
      <c r="P46" s="49">
        <f>AVERAGE('22.07 Busega-Masanafu'!P46,'23.07 Busega-Masanafu'!P46,'24.07 Busega-Masanafu'!P46,'25.07 Busega-Masanafu'!P46,'26.07 Busega-Masanafu-24h'!P46,'27.07 Busega-Masanafu-24h'!P46,'28.07 Busega-Masanafu'!P46)</f>
        <v>245</v>
      </c>
    </row>
    <row r="47" spans="2:32" ht="23.1" customHeight="1" x14ac:dyDescent="0.25">
      <c r="B47" s="24" t="s">
        <v>74</v>
      </c>
      <c r="C47" s="49">
        <f>AVERAGE('22.07 Busega-Masanafu'!C47,'23.07 Busega-Masanafu'!C47,'24.07 Busega-Masanafu'!C47,'25.07 Busega-Masanafu'!C47,'26.07 Busega-Masanafu-24h'!C47,'27.07 Busega-Masanafu-24h'!C47,'28.07 Busega-Masanafu'!C47)</f>
        <v>80.714285714285708</v>
      </c>
      <c r="D47" s="49">
        <f>AVERAGE('22.07 Busega-Masanafu'!D47,'23.07 Busega-Masanafu'!D47,'24.07 Busega-Masanafu'!D47,'25.07 Busega-Masanafu'!D47,'26.07 Busega-Masanafu-24h'!D47,'27.07 Busega-Masanafu-24h'!D47,'28.07 Busega-Masanafu'!D47)</f>
        <v>18.142857142857142</v>
      </c>
      <c r="E47" s="49">
        <f>AVERAGE('22.07 Busega-Masanafu'!E47,'23.07 Busega-Masanafu'!E47,'24.07 Busega-Masanafu'!E47,'25.07 Busega-Masanafu'!E47,'26.07 Busega-Masanafu-24h'!E47,'27.07 Busega-Masanafu-24h'!E47,'28.07 Busega-Masanafu'!E47)</f>
        <v>13</v>
      </c>
      <c r="F47" s="49">
        <f>AVERAGE('22.07 Busega-Masanafu'!F47,'23.07 Busega-Masanafu'!F47,'24.07 Busega-Masanafu'!F47,'25.07 Busega-Masanafu'!F47,'26.07 Busega-Masanafu-24h'!F47,'27.07 Busega-Masanafu-24h'!F47,'28.07 Busega-Masanafu'!F47)</f>
        <v>25.571428571428573</v>
      </c>
      <c r="G47" s="49">
        <f>AVERAGE('22.07 Busega-Masanafu'!G47,'23.07 Busega-Masanafu'!G47,'24.07 Busega-Masanafu'!G47,'25.07 Busega-Masanafu'!G47,'26.07 Busega-Masanafu-24h'!G47,'27.07 Busega-Masanafu-24h'!G47,'28.07 Busega-Masanafu'!G47)</f>
        <v>2.1428571428571428</v>
      </c>
      <c r="H47" s="49">
        <f>AVERAGE('22.07 Busega-Masanafu'!H47,'23.07 Busega-Masanafu'!H47,'24.07 Busega-Masanafu'!H47,'25.07 Busega-Masanafu'!H47,'26.07 Busega-Masanafu-24h'!H47,'27.07 Busega-Masanafu-24h'!H47,'28.07 Busega-Masanafu'!H47)</f>
        <v>0.14285714285714285</v>
      </c>
      <c r="I47" s="49">
        <f>AVERAGE('22.07 Busega-Masanafu'!I47,'23.07 Busega-Masanafu'!I47,'24.07 Busega-Masanafu'!I47,'25.07 Busega-Masanafu'!I47,'26.07 Busega-Masanafu-24h'!I47,'27.07 Busega-Masanafu-24h'!I47,'28.07 Busega-Masanafu'!I47)</f>
        <v>10.571428571428571</v>
      </c>
      <c r="J47" s="49">
        <f>AVERAGE('22.07 Busega-Masanafu'!J47,'23.07 Busega-Masanafu'!J47,'24.07 Busega-Masanafu'!J47,'25.07 Busega-Masanafu'!J47,'26.07 Busega-Masanafu-24h'!J47,'27.07 Busega-Masanafu-24h'!J47,'28.07 Busega-Masanafu'!J47)</f>
        <v>11.714285714285714</v>
      </c>
      <c r="K47" s="49">
        <f>AVERAGE('22.07 Busega-Masanafu'!K47,'23.07 Busega-Masanafu'!K47,'24.07 Busega-Masanafu'!K47,'25.07 Busega-Masanafu'!K47,'26.07 Busega-Masanafu-24h'!K47,'27.07 Busega-Masanafu-24h'!K47,'28.07 Busega-Masanafu'!K47)</f>
        <v>3.8571428571428572</v>
      </c>
      <c r="L47" s="49">
        <f>AVERAGE('22.07 Busega-Masanafu'!L47,'23.07 Busega-Masanafu'!L47,'24.07 Busega-Masanafu'!L47,'25.07 Busega-Masanafu'!L47,'26.07 Busega-Masanafu-24h'!L47,'27.07 Busega-Masanafu-24h'!L47,'28.07 Busega-Masanafu'!L47)</f>
        <v>6.2857142857142856</v>
      </c>
      <c r="M47" s="49">
        <f>AVERAGE('22.07 Busega-Masanafu'!M47,'23.07 Busega-Masanafu'!M47,'24.07 Busega-Masanafu'!M47,'25.07 Busega-Masanafu'!M47,'26.07 Busega-Masanafu-24h'!M47,'27.07 Busega-Masanafu-24h'!M47,'28.07 Busega-Masanafu'!M47)</f>
        <v>90.714285714285708</v>
      </c>
      <c r="N47" s="49">
        <f>AVERAGE('22.07 Busega-Masanafu'!N47,'23.07 Busega-Masanafu'!N47,'24.07 Busega-Masanafu'!N47,'25.07 Busega-Masanafu'!N47,'26.07 Busega-Masanafu-24h'!N47,'27.07 Busega-Masanafu-24h'!N47,'28.07 Busega-Masanafu'!N47)</f>
        <v>0</v>
      </c>
      <c r="O47" s="49">
        <f>AVERAGE('22.07 Busega-Masanafu'!O47,'23.07 Busega-Masanafu'!O47,'24.07 Busega-Masanafu'!O47,'25.07 Busega-Masanafu'!O47,'26.07 Busega-Masanafu-24h'!O47,'27.07 Busega-Masanafu-24h'!O47,'28.07 Busega-Masanafu'!O47)</f>
        <v>172.14285714285714</v>
      </c>
      <c r="P47" s="49">
        <f>AVERAGE('22.07 Busega-Masanafu'!P47,'23.07 Busega-Masanafu'!P47,'24.07 Busega-Masanafu'!P47,'25.07 Busega-Masanafu'!P47,'26.07 Busega-Masanafu-24h'!P47,'27.07 Busega-Masanafu-24h'!P47,'28.07 Busega-Masanafu'!P47)</f>
        <v>262.85714285714283</v>
      </c>
    </row>
    <row r="48" spans="2:32" ht="23.1" customHeight="1" x14ac:dyDescent="0.25">
      <c r="B48" s="24" t="s">
        <v>75</v>
      </c>
      <c r="C48" s="49">
        <f>AVERAGE('22.07 Busega-Masanafu'!C48,'23.07 Busega-Masanafu'!C48,'24.07 Busega-Masanafu'!C48,'25.07 Busega-Masanafu'!C48,'26.07 Busega-Masanafu-24h'!C48,'27.07 Busega-Masanafu-24h'!C48,'28.07 Busega-Masanafu'!C48)</f>
        <v>74.857142857142861</v>
      </c>
      <c r="D48" s="49">
        <f>AVERAGE('22.07 Busega-Masanafu'!D48,'23.07 Busega-Masanafu'!D48,'24.07 Busega-Masanafu'!D48,'25.07 Busega-Masanafu'!D48,'26.07 Busega-Masanafu-24h'!D48,'27.07 Busega-Masanafu-24h'!D48,'28.07 Busega-Masanafu'!D48)</f>
        <v>16.714285714285715</v>
      </c>
      <c r="E48" s="49">
        <f>AVERAGE('22.07 Busega-Masanafu'!E48,'23.07 Busega-Masanafu'!E48,'24.07 Busega-Masanafu'!E48,'25.07 Busega-Masanafu'!E48,'26.07 Busega-Masanafu-24h'!E48,'27.07 Busega-Masanafu-24h'!E48,'28.07 Busega-Masanafu'!E48)</f>
        <v>10.428571428571429</v>
      </c>
      <c r="F48" s="49">
        <f>AVERAGE('22.07 Busega-Masanafu'!F48,'23.07 Busega-Masanafu'!F48,'24.07 Busega-Masanafu'!F48,'25.07 Busega-Masanafu'!F48,'26.07 Busega-Masanafu-24h'!F48,'27.07 Busega-Masanafu-24h'!F48,'28.07 Busega-Masanafu'!F48)</f>
        <v>27.714285714285715</v>
      </c>
      <c r="G48" s="49">
        <f>AVERAGE('22.07 Busega-Masanafu'!G48,'23.07 Busega-Masanafu'!G48,'24.07 Busega-Masanafu'!G48,'25.07 Busega-Masanafu'!G48,'26.07 Busega-Masanafu-24h'!G48,'27.07 Busega-Masanafu-24h'!G48,'28.07 Busega-Masanafu'!G48)</f>
        <v>2.2857142857142856</v>
      </c>
      <c r="H48" s="49">
        <f>AVERAGE('22.07 Busega-Masanafu'!H48,'23.07 Busega-Masanafu'!H48,'24.07 Busega-Masanafu'!H48,'25.07 Busega-Masanafu'!H48,'26.07 Busega-Masanafu-24h'!H48,'27.07 Busega-Masanafu-24h'!H48,'28.07 Busega-Masanafu'!H48)</f>
        <v>1</v>
      </c>
      <c r="I48" s="49">
        <f>AVERAGE('22.07 Busega-Masanafu'!I48,'23.07 Busega-Masanafu'!I48,'24.07 Busega-Masanafu'!I48,'25.07 Busega-Masanafu'!I48,'26.07 Busega-Masanafu-24h'!I48,'27.07 Busega-Masanafu-24h'!I48,'28.07 Busega-Masanafu'!I48)</f>
        <v>11.857142857142858</v>
      </c>
      <c r="J48" s="49">
        <f>AVERAGE('22.07 Busega-Masanafu'!J48,'23.07 Busega-Masanafu'!J48,'24.07 Busega-Masanafu'!J48,'25.07 Busega-Masanafu'!J48,'26.07 Busega-Masanafu-24h'!J48,'27.07 Busega-Masanafu-24h'!J48,'28.07 Busega-Masanafu'!J48)</f>
        <v>10.142857142857142</v>
      </c>
      <c r="K48" s="49">
        <f>AVERAGE('22.07 Busega-Masanafu'!K48,'23.07 Busega-Masanafu'!K48,'24.07 Busega-Masanafu'!K48,'25.07 Busega-Masanafu'!K48,'26.07 Busega-Masanafu-24h'!K48,'27.07 Busega-Masanafu-24h'!K48,'28.07 Busega-Masanafu'!K48)</f>
        <v>2.8571428571428572</v>
      </c>
      <c r="L48" s="49">
        <f>AVERAGE('22.07 Busega-Masanafu'!L48,'23.07 Busega-Masanafu'!L48,'24.07 Busega-Masanafu'!L48,'25.07 Busega-Masanafu'!L48,'26.07 Busega-Masanafu-24h'!L48,'27.07 Busega-Masanafu-24h'!L48,'28.07 Busega-Masanafu'!L48)</f>
        <v>6.7142857142857144</v>
      </c>
      <c r="M48" s="49">
        <f>AVERAGE('22.07 Busega-Masanafu'!M48,'23.07 Busega-Masanafu'!M48,'24.07 Busega-Masanafu'!M48,'25.07 Busega-Masanafu'!M48,'26.07 Busega-Masanafu-24h'!M48,'27.07 Busega-Masanafu-24h'!M48,'28.07 Busega-Masanafu'!M48)</f>
        <v>97.714285714285708</v>
      </c>
      <c r="N48" s="49">
        <f>AVERAGE('22.07 Busega-Masanafu'!N48,'23.07 Busega-Masanafu'!N48,'24.07 Busega-Masanafu'!N48,'25.07 Busega-Masanafu'!N48,'26.07 Busega-Masanafu-24h'!N48,'27.07 Busega-Masanafu-24h'!N48,'28.07 Busega-Masanafu'!N48)</f>
        <v>0</v>
      </c>
      <c r="O48" s="49">
        <f>AVERAGE('22.07 Busega-Masanafu'!O48,'23.07 Busega-Masanafu'!O48,'24.07 Busega-Masanafu'!O48,'25.07 Busega-Masanafu'!O48,'26.07 Busega-Masanafu-24h'!O48,'27.07 Busega-Masanafu-24h'!O48,'28.07 Busega-Masanafu'!O48)</f>
        <v>164.57142857142858</v>
      </c>
      <c r="P48" s="49">
        <f>AVERAGE('22.07 Busega-Masanafu'!P48,'23.07 Busega-Masanafu'!P48,'24.07 Busega-Masanafu'!P48,'25.07 Busega-Masanafu'!P48,'26.07 Busega-Masanafu-24h'!P48,'27.07 Busega-Masanafu-24h'!P48,'28.07 Busega-Masanafu'!P48)</f>
        <v>262.28571428571428</v>
      </c>
    </row>
    <row r="49" spans="2:20" ht="23.1" customHeight="1" x14ac:dyDescent="0.25">
      <c r="B49" s="23" t="s">
        <v>76</v>
      </c>
      <c r="C49" s="49">
        <f>AVERAGE('22.07 Busega-Masanafu'!C49,'23.07 Busega-Masanafu'!C49,'24.07 Busega-Masanafu'!C49,'25.07 Busega-Masanafu'!C49,'26.07 Busega-Masanafu-24h'!C49,'27.07 Busega-Masanafu-24h'!C49,'28.07 Busega-Masanafu'!C49)</f>
        <v>79.142857142857139</v>
      </c>
      <c r="D49" s="49">
        <f>AVERAGE('22.07 Busega-Masanafu'!D49,'23.07 Busega-Masanafu'!D49,'24.07 Busega-Masanafu'!D49,'25.07 Busega-Masanafu'!D49,'26.07 Busega-Masanafu-24h'!D49,'27.07 Busega-Masanafu-24h'!D49,'28.07 Busega-Masanafu'!D49)</f>
        <v>15.857142857142858</v>
      </c>
      <c r="E49" s="49">
        <f>AVERAGE('22.07 Busega-Masanafu'!E49,'23.07 Busega-Masanafu'!E49,'24.07 Busega-Masanafu'!E49,'25.07 Busega-Masanafu'!E49,'26.07 Busega-Masanafu-24h'!E49,'27.07 Busega-Masanafu-24h'!E49,'28.07 Busega-Masanafu'!E49)</f>
        <v>10.571428571428571</v>
      </c>
      <c r="F49" s="49">
        <f>AVERAGE('22.07 Busega-Masanafu'!F49,'23.07 Busega-Masanafu'!F49,'24.07 Busega-Masanafu'!F49,'25.07 Busega-Masanafu'!F49,'26.07 Busega-Masanafu-24h'!F49,'27.07 Busega-Masanafu-24h'!F49,'28.07 Busega-Masanafu'!F49)</f>
        <v>28.857142857142858</v>
      </c>
      <c r="G49" s="49">
        <f>AVERAGE('22.07 Busega-Masanafu'!G49,'23.07 Busega-Masanafu'!G49,'24.07 Busega-Masanafu'!G49,'25.07 Busega-Masanafu'!G49,'26.07 Busega-Masanafu-24h'!G49,'27.07 Busega-Masanafu-24h'!G49,'28.07 Busega-Masanafu'!G49)</f>
        <v>1.5714285714285714</v>
      </c>
      <c r="H49" s="49">
        <f>AVERAGE('22.07 Busega-Masanafu'!H49,'23.07 Busega-Masanafu'!H49,'24.07 Busega-Masanafu'!H49,'25.07 Busega-Masanafu'!H49,'26.07 Busega-Masanafu-24h'!H49,'27.07 Busega-Masanafu-24h'!H49,'28.07 Busega-Masanafu'!H49)</f>
        <v>0.5714285714285714</v>
      </c>
      <c r="I49" s="49">
        <f>AVERAGE('22.07 Busega-Masanafu'!I49,'23.07 Busega-Masanafu'!I49,'24.07 Busega-Masanafu'!I49,'25.07 Busega-Masanafu'!I49,'26.07 Busega-Masanafu-24h'!I49,'27.07 Busega-Masanafu-24h'!I49,'28.07 Busega-Masanafu'!I49)</f>
        <v>9.1428571428571423</v>
      </c>
      <c r="J49" s="49">
        <f>AVERAGE('22.07 Busega-Masanafu'!J49,'23.07 Busega-Masanafu'!J49,'24.07 Busega-Masanafu'!J49,'25.07 Busega-Masanafu'!J49,'26.07 Busega-Masanafu-24h'!J49,'27.07 Busega-Masanafu-24h'!J49,'28.07 Busega-Masanafu'!J49)</f>
        <v>10.571428571428571</v>
      </c>
      <c r="K49" s="49">
        <f>AVERAGE('22.07 Busega-Masanafu'!K49,'23.07 Busega-Masanafu'!K49,'24.07 Busega-Masanafu'!K49,'25.07 Busega-Masanafu'!K49,'26.07 Busega-Masanafu-24h'!K49,'27.07 Busega-Masanafu-24h'!K49,'28.07 Busega-Masanafu'!K49)</f>
        <v>4</v>
      </c>
      <c r="L49" s="49">
        <f>AVERAGE('22.07 Busega-Masanafu'!L49,'23.07 Busega-Masanafu'!L49,'24.07 Busega-Masanafu'!L49,'25.07 Busega-Masanafu'!L49,'26.07 Busega-Masanafu-24h'!L49,'27.07 Busega-Masanafu-24h'!L49,'28.07 Busega-Masanafu'!L49)</f>
        <v>11.285714285714286</v>
      </c>
      <c r="M49" s="49">
        <f>AVERAGE('22.07 Busega-Masanafu'!M49,'23.07 Busega-Masanafu'!M49,'24.07 Busega-Masanafu'!M49,'25.07 Busega-Masanafu'!M49,'26.07 Busega-Masanafu-24h'!M49,'27.07 Busega-Masanafu-24h'!M49,'28.07 Busega-Masanafu'!M49)</f>
        <v>102</v>
      </c>
      <c r="N49" s="49">
        <f>AVERAGE('22.07 Busega-Masanafu'!N49,'23.07 Busega-Masanafu'!N49,'24.07 Busega-Masanafu'!N49,'25.07 Busega-Masanafu'!N49,'26.07 Busega-Masanafu-24h'!N49,'27.07 Busega-Masanafu-24h'!N49,'28.07 Busega-Masanafu'!N49)</f>
        <v>0</v>
      </c>
      <c r="O49" s="49">
        <f>AVERAGE('22.07 Busega-Masanafu'!O49,'23.07 Busega-Masanafu'!O49,'24.07 Busega-Masanafu'!O49,'25.07 Busega-Masanafu'!O49,'26.07 Busega-Masanafu-24h'!O49,'27.07 Busega-Masanafu-24h'!O49,'28.07 Busega-Masanafu'!O49)</f>
        <v>171.57142857142858</v>
      </c>
      <c r="P49" s="49">
        <f>AVERAGE('22.07 Busega-Masanafu'!P49,'23.07 Busega-Masanafu'!P49,'24.07 Busega-Masanafu'!P49,'25.07 Busega-Masanafu'!P49,'26.07 Busega-Masanafu-24h'!P49,'27.07 Busega-Masanafu-24h'!P49,'28.07 Busega-Masanafu'!P49)</f>
        <v>273.57142857142856</v>
      </c>
    </row>
    <row r="50" spans="2:20" ht="23.1" customHeight="1" x14ac:dyDescent="0.25">
      <c r="B50" s="24" t="s">
        <v>77</v>
      </c>
      <c r="C50" s="49">
        <f>AVERAGE('22.07 Busega-Masanafu'!C50,'23.07 Busega-Masanafu'!C50,'24.07 Busega-Masanafu'!C50,'25.07 Busega-Masanafu'!C50,'26.07 Busega-Masanafu-24h'!C50,'27.07 Busega-Masanafu-24h'!C50,'28.07 Busega-Masanafu'!C50)</f>
        <v>79.857142857142861</v>
      </c>
      <c r="D50" s="49">
        <f>AVERAGE('22.07 Busega-Masanafu'!D50,'23.07 Busega-Masanafu'!D50,'24.07 Busega-Masanafu'!D50,'25.07 Busega-Masanafu'!D50,'26.07 Busega-Masanafu-24h'!D50,'27.07 Busega-Masanafu-24h'!D50,'28.07 Busega-Masanafu'!D50)</f>
        <v>13.285714285714286</v>
      </c>
      <c r="E50" s="49">
        <f>AVERAGE('22.07 Busega-Masanafu'!E50,'23.07 Busega-Masanafu'!E50,'24.07 Busega-Masanafu'!E50,'25.07 Busega-Masanafu'!E50,'26.07 Busega-Masanafu-24h'!E50,'27.07 Busega-Masanafu-24h'!E50,'28.07 Busega-Masanafu'!E50)</f>
        <v>11.428571428571429</v>
      </c>
      <c r="F50" s="49">
        <f>AVERAGE('22.07 Busega-Masanafu'!F50,'23.07 Busega-Masanafu'!F50,'24.07 Busega-Masanafu'!F50,'25.07 Busega-Masanafu'!F50,'26.07 Busega-Masanafu-24h'!F50,'27.07 Busega-Masanafu-24h'!F50,'28.07 Busega-Masanafu'!F50)</f>
        <v>28.714285714285715</v>
      </c>
      <c r="G50" s="49">
        <f>AVERAGE('22.07 Busega-Masanafu'!G50,'23.07 Busega-Masanafu'!G50,'24.07 Busega-Masanafu'!G50,'25.07 Busega-Masanafu'!G50,'26.07 Busega-Masanafu-24h'!G50,'27.07 Busega-Masanafu-24h'!G50,'28.07 Busega-Masanafu'!G50)</f>
        <v>4.1428571428571432</v>
      </c>
      <c r="H50" s="49">
        <f>AVERAGE('22.07 Busega-Masanafu'!H50,'23.07 Busega-Masanafu'!H50,'24.07 Busega-Masanafu'!H50,'25.07 Busega-Masanafu'!H50,'26.07 Busega-Masanafu-24h'!H50,'27.07 Busega-Masanafu-24h'!H50,'28.07 Busega-Masanafu'!H50)</f>
        <v>0.2857142857142857</v>
      </c>
      <c r="I50" s="49">
        <f>AVERAGE('22.07 Busega-Masanafu'!I50,'23.07 Busega-Masanafu'!I50,'24.07 Busega-Masanafu'!I50,'25.07 Busega-Masanafu'!I50,'26.07 Busega-Masanafu-24h'!I50,'27.07 Busega-Masanafu-24h'!I50,'28.07 Busega-Masanafu'!I50)</f>
        <v>10.285714285714286</v>
      </c>
      <c r="J50" s="49">
        <f>AVERAGE('22.07 Busega-Masanafu'!J50,'23.07 Busega-Masanafu'!J50,'24.07 Busega-Masanafu'!J50,'25.07 Busega-Masanafu'!J50,'26.07 Busega-Masanafu-24h'!J50,'27.07 Busega-Masanafu-24h'!J50,'28.07 Busega-Masanafu'!J50)</f>
        <v>9.8571428571428577</v>
      </c>
      <c r="K50" s="49">
        <f>AVERAGE('22.07 Busega-Masanafu'!K50,'23.07 Busega-Masanafu'!K50,'24.07 Busega-Masanafu'!K50,'25.07 Busega-Masanafu'!K50,'26.07 Busega-Masanafu-24h'!K50,'27.07 Busega-Masanafu-24h'!K50,'28.07 Busega-Masanafu'!K50)</f>
        <v>3.5714285714285716</v>
      </c>
      <c r="L50" s="49">
        <f>AVERAGE('22.07 Busega-Masanafu'!L50,'23.07 Busega-Masanafu'!L50,'24.07 Busega-Masanafu'!L50,'25.07 Busega-Masanafu'!L50,'26.07 Busega-Masanafu-24h'!L50,'27.07 Busega-Masanafu-24h'!L50,'28.07 Busega-Masanafu'!L50)</f>
        <v>7.5714285714285712</v>
      </c>
      <c r="M50" s="49">
        <f>AVERAGE('22.07 Busega-Masanafu'!M50,'23.07 Busega-Masanafu'!M50,'24.07 Busega-Masanafu'!M50,'25.07 Busega-Masanafu'!M50,'26.07 Busega-Masanafu-24h'!M50,'27.07 Busega-Masanafu-24h'!M50,'28.07 Busega-Masanafu'!M50)</f>
        <v>100.28571428571429</v>
      </c>
      <c r="N50" s="49">
        <f>AVERAGE('22.07 Busega-Masanafu'!N50,'23.07 Busega-Masanafu'!N50,'24.07 Busega-Masanafu'!N50,'25.07 Busega-Masanafu'!N50,'26.07 Busega-Masanafu-24h'!N50,'27.07 Busega-Masanafu-24h'!N50,'28.07 Busega-Masanafu'!N50)</f>
        <v>0.14285714285714285</v>
      </c>
      <c r="O50" s="49">
        <f>AVERAGE('22.07 Busega-Masanafu'!O50,'23.07 Busega-Masanafu'!O50,'24.07 Busega-Masanafu'!O50,'25.07 Busega-Masanafu'!O50,'26.07 Busega-Masanafu-24h'!O50,'27.07 Busega-Masanafu-24h'!O50,'28.07 Busega-Masanafu'!O50)</f>
        <v>169.14285714285714</v>
      </c>
      <c r="P50" s="49">
        <f>AVERAGE('22.07 Busega-Masanafu'!P50,'23.07 Busega-Masanafu'!P50,'24.07 Busega-Masanafu'!P50,'25.07 Busega-Masanafu'!P50,'26.07 Busega-Masanafu-24h'!P50,'27.07 Busega-Masanafu-24h'!P50,'28.07 Busega-Masanafu'!P50)</f>
        <v>269.42857142857144</v>
      </c>
    </row>
    <row r="51" spans="2:20" ht="23.1" customHeight="1" x14ac:dyDescent="0.25">
      <c r="B51" s="24" t="s">
        <v>78</v>
      </c>
      <c r="C51" s="49">
        <f>AVERAGE('22.07 Busega-Masanafu'!C51,'23.07 Busega-Masanafu'!C51,'24.07 Busega-Masanafu'!C51,'25.07 Busega-Masanafu'!C51,'26.07 Busega-Masanafu-24h'!C51,'27.07 Busega-Masanafu-24h'!C51,'28.07 Busega-Masanafu'!C51)</f>
        <v>77</v>
      </c>
      <c r="D51" s="49">
        <f>AVERAGE('22.07 Busega-Masanafu'!D51,'23.07 Busega-Masanafu'!D51,'24.07 Busega-Masanafu'!D51,'25.07 Busega-Masanafu'!D51,'26.07 Busega-Masanafu-24h'!D51,'27.07 Busega-Masanafu-24h'!D51,'28.07 Busega-Masanafu'!D51)</f>
        <v>14.571428571428571</v>
      </c>
      <c r="E51" s="49">
        <f>AVERAGE('22.07 Busega-Masanafu'!E51,'23.07 Busega-Masanafu'!E51,'24.07 Busega-Masanafu'!E51,'25.07 Busega-Masanafu'!E51,'26.07 Busega-Masanafu-24h'!E51,'27.07 Busega-Masanafu-24h'!E51,'28.07 Busega-Masanafu'!E51)</f>
        <v>11.285714285714286</v>
      </c>
      <c r="F51" s="49">
        <f>AVERAGE('22.07 Busega-Masanafu'!F51,'23.07 Busega-Masanafu'!F51,'24.07 Busega-Masanafu'!F51,'25.07 Busega-Masanafu'!F51,'26.07 Busega-Masanafu-24h'!F51,'27.07 Busega-Masanafu-24h'!F51,'28.07 Busega-Masanafu'!F51)</f>
        <v>27.428571428571427</v>
      </c>
      <c r="G51" s="49">
        <f>AVERAGE('22.07 Busega-Masanafu'!G51,'23.07 Busega-Masanafu'!G51,'24.07 Busega-Masanafu'!G51,'25.07 Busega-Masanafu'!G51,'26.07 Busega-Masanafu-24h'!G51,'27.07 Busega-Masanafu-24h'!G51,'28.07 Busega-Masanafu'!G51)</f>
        <v>2.5714285714285716</v>
      </c>
      <c r="H51" s="49">
        <f>AVERAGE('22.07 Busega-Masanafu'!H51,'23.07 Busega-Masanafu'!H51,'24.07 Busega-Masanafu'!H51,'25.07 Busega-Masanafu'!H51,'26.07 Busega-Masanafu-24h'!H51,'27.07 Busega-Masanafu-24h'!H51,'28.07 Busega-Masanafu'!H51)</f>
        <v>0.42857142857142855</v>
      </c>
      <c r="I51" s="49">
        <f>AVERAGE('22.07 Busega-Masanafu'!I51,'23.07 Busega-Masanafu'!I51,'24.07 Busega-Masanafu'!I51,'25.07 Busega-Masanafu'!I51,'26.07 Busega-Masanafu-24h'!I51,'27.07 Busega-Masanafu-24h'!I51,'28.07 Busega-Masanafu'!I51)</f>
        <v>11</v>
      </c>
      <c r="J51" s="49">
        <f>AVERAGE('22.07 Busega-Masanafu'!J51,'23.07 Busega-Masanafu'!J51,'24.07 Busega-Masanafu'!J51,'25.07 Busega-Masanafu'!J51,'26.07 Busega-Masanafu-24h'!J51,'27.07 Busega-Masanafu-24h'!J51,'28.07 Busega-Masanafu'!J51)</f>
        <v>12.571428571428571</v>
      </c>
      <c r="K51" s="49">
        <f>AVERAGE('22.07 Busega-Masanafu'!K51,'23.07 Busega-Masanafu'!K51,'24.07 Busega-Masanafu'!K51,'25.07 Busega-Masanafu'!K51,'26.07 Busega-Masanafu-24h'!K51,'27.07 Busega-Masanafu-24h'!K51,'28.07 Busega-Masanafu'!K51)</f>
        <v>7.1428571428571432</v>
      </c>
      <c r="L51" s="49">
        <f>AVERAGE('22.07 Busega-Masanafu'!L51,'23.07 Busega-Masanafu'!L51,'24.07 Busega-Masanafu'!L51,'25.07 Busega-Masanafu'!L51,'26.07 Busega-Masanafu-24h'!L51,'27.07 Busega-Masanafu-24h'!L51,'28.07 Busega-Masanafu'!L51)</f>
        <v>6.5714285714285712</v>
      </c>
      <c r="M51" s="49">
        <f>AVERAGE('22.07 Busega-Masanafu'!M51,'23.07 Busega-Masanafu'!M51,'24.07 Busega-Masanafu'!M51,'25.07 Busega-Masanafu'!M51,'26.07 Busega-Masanafu-24h'!M51,'27.07 Busega-Masanafu-24h'!M51,'28.07 Busega-Masanafu'!M51)</f>
        <v>102.14285714285714</v>
      </c>
      <c r="N51" s="49">
        <f>AVERAGE('22.07 Busega-Masanafu'!N51,'23.07 Busega-Masanafu'!N51,'24.07 Busega-Masanafu'!N51,'25.07 Busega-Masanafu'!N51,'26.07 Busega-Masanafu-24h'!N51,'27.07 Busega-Masanafu-24h'!N51,'28.07 Busega-Masanafu'!N51)</f>
        <v>0.14285714285714285</v>
      </c>
      <c r="O51" s="49">
        <f>AVERAGE('22.07 Busega-Masanafu'!O51,'23.07 Busega-Masanafu'!O51,'24.07 Busega-Masanafu'!O51,'25.07 Busega-Masanafu'!O51,'26.07 Busega-Masanafu-24h'!O51,'27.07 Busega-Masanafu-24h'!O51,'28.07 Busega-Masanafu'!O51)</f>
        <v>170.71428571428572</v>
      </c>
      <c r="P51" s="49">
        <f>AVERAGE('22.07 Busega-Masanafu'!P51,'23.07 Busega-Masanafu'!P51,'24.07 Busega-Masanafu'!P51,'25.07 Busega-Masanafu'!P51,'26.07 Busega-Masanafu-24h'!P51,'27.07 Busega-Masanafu-24h'!P51,'28.07 Busega-Masanafu'!P51)</f>
        <v>272.85714285714283</v>
      </c>
    </row>
    <row r="52" spans="2:20" ht="23.1" customHeight="1" x14ac:dyDescent="0.25">
      <c r="B52" s="24" t="s">
        <v>79</v>
      </c>
      <c r="C52" s="49">
        <f>AVERAGE('22.07 Busega-Masanafu'!C52,'23.07 Busega-Masanafu'!C52,'24.07 Busega-Masanafu'!C52,'25.07 Busega-Masanafu'!C52,'26.07 Busega-Masanafu-24h'!C52,'27.07 Busega-Masanafu-24h'!C52,'28.07 Busega-Masanafu'!C52)</f>
        <v>86.285714285714292</v>
      </c>
      <c r="D52" s="49">
        <f>AVERAGE('22.07 Busega-Masanafu'!D52,'23.07 Busega-Masanafu'!D52,'24.07 Busega-Masanafu'!D52,'25.07 Busega-Masanafu'!D52,'26.07 Busega-Masanafu-24h'!D52,'27.07 Busega-Masanafu-24h'!D52,'28.07 Busega-Masanafu'!D52)</f>
        <v>18.285714285714285</v>
      </c>
      <c r="E52" s="49">
        <f>AVERAGE('22.07 Busega-Masanafu'!E52,'23.07 Busega-Masanafu'!E52,'24.07 Busega-Masanafu'!E52,'25.07 Busega-Masanafu'!E52,'26.07 Busega-Masanafu-24h'!E52,'27.07 Busega-Masanafu-24h'!E52,'28.07 Busega-Masanafu'!E52)</f>
        <v>12.714285714285714</v>
      </c>
      <c r="F52" s="49">
        <f>AVERAGE('22.07 Busega-Masanafu'!F52,'23.07 Busega-Masanafu'!F52,'24.07 Busega-Masanafu'!F52,'25.07 Busega-Masanafu'!F52,'26.07 Busega-Masanafu-24h'!F52,'27.07 Busega-Masanafu-24h'!F52,'28.07 Busega-Masanafu'!F52)</f>
        <v>33.714285714285715</v>
      </c>
      <c r="G52" s="49">
        <f>AVERAGE('22.07 Busega-Masanafu'!G52,'23.07 Busega-Masanafu'!G52,'24.07 Busega-Masanafu'!G52,'25.07 Busega-Masanafu'!G52,'26.07 Busega-Masanafu-24h'!G52,'27.07 Busega-Masanafu-24h'!G52,'28.07 Busega-Masanafu'!G52)</f>
        <v>3</v>
      </c>
      <c r="H52" s="49">
        <f>AVERAGE('22.07 Busega-Masanafu'!H52,'23.07 Busega-Masanafu'!H52,'24.07 Busega-Masanafu'!H52,'25.07 Busega-Masanafu'!H52,'26.07 Busega-Masanafu-24h'!H52,'27.07 Busega-Masanafu-24h'!H52,'28.07 Busega-Masanafu'!H52)</f>
        <v>0.42857142857142855</v>
      </c>
      <c r="I52" s="49">
        <f>AVERAGE('22.07 Busega-Masanafu'!I52,'23.07 Busega-Masanafu'!I52,'24.07 Busega-Masanafu'!I52,'25.07 Busega-Masanafu'!I52,'26.07 Busega-Masanafu-24h'!I52,'27.07 Busega-Masanafu-24h'!I52,'28.07 Busega-Masanafu'!I52)</f>
        <v>9.1428571428571423</v>
      </c>
      <c r="J52" s="49">
        <f>AVERAGE('22.07 Busega-Masanafu'!J52,'23.07 Busega-Masanafu'!J52,'24.07 Busega-Masanafu'!J52,'25.07 Busega-Masanafu'!J52,'26.07 Busega-Masanafu-24h'!J52,'27.07 Busega-Masanafu-24h'!J52,'28.07 Busega-Masanafu'!J52)</f>
        <v>8</v>
      </c>
      <c r="K52" s="49">
        <f>AVERAGE('22.07 Busega-Masanafu'!K52,'23.07 Busega-Masanafu'!K52,'24.07 Busega-Masanafu'!K52,'25.07 Busega-Masanafu'!K52,'26.07 Busega-Masanafu-24h'!K52,'27.07 Busega-Masanafu-24h'!K52,'28.07 Busega-Masanafu'!K52)</f>
        <v>3</v>
      </c>
      <c r="L52" s="49">
        <f>AVERAGE('22.07 Busega-Masanafu'!L52,'23.07 Busega-Masanafu'!L52,'24.07 Busega-Masanafu'!L52,'25.07 Busega-Masanafu'!L52,'26.07 Busega-Masanafu-24h'!L52,'27.07 Busega-Masanafu-24h'!L52,'28.07 Busega-Masanafu'!L52)</f>
        <v>5.5714285714285712</v>
      </c>
      <c r="M52" s="49">
        <f>AVERAGE('22.07 Busega-Masanafu'!M52,'23.07 Busega-Masanafu'!M52,'24.07 Busega-Masanafu'!M52,'25.07 Busega-Masanafu'!M52,'26.07 Busega-Masanafu-24h'!M52,'27.07 Busega-Masanafu-24h'!M52,'28.07 Busega-Masanafu'!M52)</f>
        <v>110.42857142857143</v>
      </c>
      <c r="N52" s="49">
        <f>AVERAGE('22.07 Busega-Masanafu'!N52,'23.07 Busega-Masanafu'!N52,'24.07 Busega-Masanafu'!N52,'25.07 Busega-Masanafu'!N52,'26.07 Busega-Masanafu-24h'!N52,'27.07 Busega-Masanafu-24h'!N52,'28.07 Busega-Masanafu'!N52)</f>
        <v>0</v>
      </c>
      <c r="O52" s="49">
        <f>AVERAGE('22.07 Busega-Masanafu'!O52,'23.07 Busega-Masanafu'!O52,'24.07 Busega-Masanafu'!O52,'25.07 Busega-Masanafu'!O52,'26.07 Busega-Masanafu-24h'!O52,'27.07 Busega-Masanafu-24h'!O52,'28.07 Busega-Masanafu'!O52)</f>
        <v>180.14285714285714</v>
      </c>
      <c r="P52" s="49">
        <f>AVERAGE('22.07 Busega-Masanafu'!P52,'23.07 Busega-Masanafu'!P52,'24.07 Busega-Masanafu'!P52,'25.07 Busega-Masanafu'!P52,'26.07 Busega-Masanafu-24h'!P52,'27.07 Busega-Masanafu-24h'!P52,'28.07 Busega-Masanafu'!P52)</f>
        <v>290.57142857142856</v>
      </c>
    </row>
    <row r="53" spans="2:20" ht="23.1" customHeight="1" x14ac:dyDescent="0.25">
      <c r="B53" s="23" t="s">
        <v>80</v>
      </c>
      <c r="C53" s="49">
        <f>AVERAGE('22.07 Busega-Masanafu'!C53,'23.07 Busega-Masanafu'!C53,'24.07 Busega-Masanafu'!C53,'25.07 Busega-Masanafu'!C53,'26.07 Busega-Masanafu-24h'!C53,'27.07 Busega-Masanafu-24h'!C53,'28.07 Busega-Masanafu'!C53)</f>
        <v>72.857142857142861</v>
      </c>
      <c r="D53" s="49">
        <f>AVERAGE('22.07 Busega-Masanafu'!D53,'23.07 Busega-Masanafu'!D53,'24.07 Busega-Masanafu'!D53,'25.07 Busega-Masanafu'!D53,'26.07 Busega-Masanafu-24h'!D53,'27.07 Busega-Masanafu-24h'!D53,'28.07 Busega-Masanafu'!D53)</f>
        <v>16.142857142857142</v>
      </c>
      <c r="E53" s="49">
        <f>AVERAGE('22.07 Busega-Masanafu'!E53,'23.07 Busega-Masanafu'!E53,'24.07 Busega-Masanafu'!E53,'25.07 Busega-Masanafu'!E53,'26.07 Busega-Masanafu-24h'!E53,'27.07 Busega-Masanafu-24h'!E53,'28.07 Busega-Masanafu'!E53)</f>
        <v>11.428571428571429</v>
      </c>
      <c r="F53" s="49">
        <f>AVERAGE('22.07 Busega-Masanafu'!F53,'23.07 Busega-Masanafu'!F53,'24.07 Busega-Masanafu'!F53,'25.07 Busega-Masanafu'!F53,'26.07 Busega-Masanafu-24h'!F53,'27.07 Busega-Masanafu-24h'!F53,'28.07 Busega-Masanafu'!F53)</f>
        <v>35.142857142857146</v>
      </c>
      <c r="G53" s="49">
        <f>AVERAGE('22.07 Busega-Masanafu'!G53,'23.07 Busega-Masanafu'!G53,'24.07 Busega-Masanafu'!G53,'25.07 Busega-Masanafu'!G53,'26.07 Busega-Masanafu-24h'!G53,'27.07 Busega-Masanafu-24h'!G53,'28.07 Busega-Masanafu'!G53)</f>
        <v>2</v>
      </c>
      <c r="H53" s="49">
        <f>AVERAGE('22.07 Busega-Masanafu'!H53,'23.07 Busega-Masanafu'!H53,'24.07 Busega-Masanafu'!H53,'25.07 Busega-Masanafu'!H53,'26.07 Busega-Masanafu-24h'!H53,'27.07 Busega-Masanafu-24h'!H53,'28.07 Busega-Masanafu'!H53)</f>
        <v>0.5714285714285714</v>
      </c>
      <c r="I53" s="49">
        <f>AVERAGE('22.07 Busega-Masanafu'!I53,'23.07 Busega-Masanafu'!I53,'24.07 Busega-Masanafu'!I53,'25.07 Busega-Masanafu'!I53,'26.07 Busega-Masanafu-24h'!I53,'27.07 Busega-Masanafu-24h'!I53,'28.07 Busega-Masanafu'!I53)</f>
        <v>11.571428571428571</v>
      </c>
      <c r="J53" s="49">
        <f>AVERAGE('22.07 Busega-Masanafu'!J53,'23.07 Busega-Masanafu'!J53,'24.07 Busega-Masanafu'!J53,'25.07 Busega-Masanafu'!J53,'26.07 Busega-Masanafu-24h'!J53,'27.07 Busega-Masanafu-24h'!J53,'28.07 Busega-Masanafu'!J53)</f>
        <v>9.2857142857142865</v>
      </c>
      <c r="K53" s="49">
        <f>AVERAGE('22.07 Busega-Masanafu'!K53,'23.07 Busega-Masanafu'!K53,'24.07 Busega-Masanafu'!K53,'25.07 Busega-Masanafu'!K53,'26.07 Busega-Masanafu-24h'!K53,'27.07 Busega-Masanafu-24h'!K53,'28.07 Busega-Masanafu'!K53)</f>
        <v>3.8571428571428572</v>
      </c>
      <c r="L53" s="49">
        <f>AVERAGE('22.07 Busega-Masanafu'!L53,'23.07 Busega-Masanafu'!L53,'24.07 Busega-Masanafu'!L53,'25.07 Busega-Masanafu'!L53,'26.07 Busega-Masanafu-24h'!L53,'27.07 Busega-Masanafu-24h'!L53,'28.07 Busega-Masanafu'!L53)</f>
        <v>4.4285714285714288</v>
      </c>
      <c r="M53" s="49">
        <f>AVERAGE('22.07 Busega-Masanafu'!M53,'23.07 Busega-Masanafu'!M53,'24.07 Busega-Masanafu'!M53,'25.07 Busega-Masanafu'!M53,'26.07 Busega-Masanafu-24h'!M53,'27.07 Busega-Masanafu-24h'!M53,'28.07 Busega-Masanafu'!M53)</f>
        <v>104.28571428571429</v>
      </c>
      <c r="N53" s="49">
        <f>AVERAGE('22.07 Busega-Masanafu'!N53,'23.07 Busega-Masanafu'!N53,'24.07 Busega-Masanafu'!N53,'25.07 Busega-Masanafu'!N53,'26.07 Busega-Masanafu-24h'!N53,'27.07 Busega-Masanafu-24h'!N53,'28.07 Busega-Masanafu'!N53)</f>
        <v>0</v>
      </c>
      <c r="O53" s="49">
        <f>AVERAGE('22.07 Busega-Masanafu'!O53,'23.07 Busega-Masanafu'!O53,'24.07 Busega-Masanafu'!O53,'25.07 Busega-Masanafu'!O53,'26.07 Busega-Masanafu-24h'!O53,'27.07 Busega-Masanafu-24h'!O53,'28.07 Busega-Masanafu'!O53)</f>
        <v>167.28571428571428</v>
      </c>
      <c r="P53" s="49">
        <f>AVERAGE('22.07 Busega-Masanafu'!P53,'23.07 Busega-Masanafu'!P53,'24.07 Busega-Masanafu'!P53,'25.07 Busega-Masanafu'!P53,'26.07 Busega-Masanafu-24h'!P53,'27.07 Busega-Masanafu-24h'!P53,'28.07 Busega-Masanafu'!P53)</f>
        <v>271.57142857142856</v>
      </c>
    </row>
    <row r="54" spans="2:20" ht="23.1" customHeight="1" x14ac:dyDescent="0.25">
      <c r="B54" s="23" t="s">
        <v>81</v>
      </c>
      <c r="C54" s="49">
        <f>AVERAGE('22.07 Busega-Masanafu'!C54,'23.07 Busega-Masanafu'!C54,'24.07 Busega-Masanafu'!C54,'25.07 Busega-Masanafu'!C54,'26.07 Busega-Masanafu-24h'!C54,'27.07 Busega-Masanafu-24h'!C54,'28.07 Busega-Masanafu'!C54)</f>
        <v>67.571428571428569</v>
      </c>
      <c r="D54" s="49">
        <f>AVERAGE('22.07 Busega-Masanafu'!D54,'23.07 Busega-Masanafu'!D54,'24.07 Busega-Masanafu'!D54,'25.07 Busega-Masanafu'!D54,'26.07 Busega-Masanafu-24h'!D54,'27.07 Busega-Masanafu-24h'!D54,'28.07 Busega-Masanafu'!D54)</f>
        <v>17.428571428571427</v>
      </c>
      <c r="E54" s="49">
        <f>AVERAGE('22.07 Busega-Masanafu'!E54,'23.07 Busega-Masanafu'!E54,'24.07 Busega-Masanafu'!E54,'25.07 Busega-Masanafu'!E54,'26.07 Busega-Masanafu-24h'!E54,'27.07 Busega-Masanafu-24h'!E54,'28.07 Busega-Masanafu'!E54)</f>
        <v>12.428571428571429</v>
      </c>
      <c r="F54" s="49">
        <f>AVERAGE('22.07 Busega-Masanafu'!F54,'23.07 Busega-Masanafu'!F54,'24.07 Busega-Masanafu'!F54,'25.07 Busega-Masanafu'!F54,'26.07 Busega-Masanafu-24h'!F54,'27.07 Busega-Masanafu-24h'!F54,'28.07 Busega-Masanafu'!F54)</f>
        <v>36</v>
      </c>
      <c r="G54" s="49">
        <f>AVERAGE('22.07 Busega-Masanafu'!G54,'23.07 Busega-Masanafu'!G54,'24.07 Busega-Masanafu'!G54,'25.07 Busega-Masanafu'!G54,'26.07 Busega-Masanafu-24h'!G54,'27.07 Busega-Masanafu-24h'!G54,'28.07 Busega-Masanafu'!G54)</f>
        <v>5</v>
      </c>
      <c r="H54" s="49">
        <f>AVERAGE('22.07 Busega-Masanafu'!H54,'23.07 Busega-Masanafu'!H54,'24.07 Busega-Masanafu'!H54,'25.07 Busega-Masanafu'!H54,'26.07 Busega-Masanafu-24h'!H54,'27.07 Busega-Masanafu-24h'!H54,'28.07 Busega-Masanafu'!H54)</f>
        <v>0.8571428571428571</v>
      </c>
      <c r="I54" s="49">
        <f>AVERAGE('22.07 Busega-Masanafu'!I54,'23.07 Busega-Masanafu'!I54,'24.07 Busega-Masanafu'!I54,'25.07 Busega-Masanafu'!I54,'26.07 Busega-Masanafu-24h'!I54,'27.07 Busega-Masanafu-24h'!I54,'28.07 Busega-Masanafu'!I54)</f>
        <v>11.428571428571429</v>
      </c>
      <c r="J54" s="49">
        <f>AVERAGE('22.07 Busega-Masanafu'!J54,'23.07 Busega-Masanafu'!J54,'24.07 Busega-Masanafu'!J54,'25.07 Busega-Masanafu'!J54,'26.07 Busega-Masanafu-24h'!J54,'27.07 Busega-Masanafu-24h'!J54,'28.07 Busega-Masanafu'!J54)</f>
        <v>9.4285714285714288</v>
      </c>
      <c r="K54" s="49">
        <f>AVERAGE('22.07 Busega-Masanafu'!K54,'23.07 Busega-Masanafu'!K54,'24.07 Busega-Masanafu'!K54,'25.07 Busega-Masanafu'!K54,'26.07 Busega-Masanafu-24h'!K54,'27.07 Busega-Masanafu-24h'!K54,'28.07 Busega-Masanafu'!K54)</f>
        <v>2.2857142857142856</v>
      </c>
      <c r="L54" s="49">
        <f>AVERAGE('22.07 Busega-Masanafu'!L54,'23.07 Busega-Masanafu'!L54,'24.07 Busega-Masanafu'!L54,'25.07 Busega-Masanafu'!L54,'26.07 Busega-Masanafu-24h'!L54,'27.07 Busega-Masanafu-24h'!L54,'28.07 Busega-Masanafu'!L54)</f>
        <v>3.5714285714285716</v>
      </c>
      <c r="M54" s="49">
        <f>AVERAGE('22.07 Busega-Masanafu'!M54,'23.07 Busega-Masanafu'!M54,'24.07 Busega-Masanafu'!M54,'25.07 Busega-Masanafu'!M54,'26.07 Busega-Masanafu-24h'!M54,'27.07 Busega-Masanafu-24h'!M54,'28.07 Busega-Masanafu'!M54)</f>
        <v>114</v>
      </c>
      <c r="N54" s="49">
        <f>AVERAGE('22.07 Busega-Masanafu'!N54,'23.07 Busega-Masanafu'!N54,'24.07 Busega-Masanafu'!N54,'25.07 Busega-Masanafu'!N54,'26.07 Busega-Masanafu-24h'!N54,'27.07 Busega-Masanafu-24h'!N54,'28.07 Busega-Masanafu'!N54)</f>
        <v>0</v>
      </c>
      <c r="O54" s="49">
        <f>AVERAGE('22.07 Busega-Masanafu'!O54,'23.07 Busega-Masanafu'!O54,'24.07 Busega-Masanafu'!O54,'25.07 Busega-Masanafu'!O54,'26.07 Busega-Masanafu-24h'!O54,'27.07 Busega-Masanafu-24h'!O54,'28.07 Busega-Masanafu'!O54)</f>
        <v>166</v>
      </c>
      <c r="P54" s="49">
        <f>AVERAGE('22.07 Busega-Masanafu'!P54,'23.07 Busega-Masanafu'!P54,'24.07 Busega-Masanafu'!P54,'25.07 Busega-Masanafu'!P54,'26.07 Busega-Masanafu-24h'!P54,'27.07 Busega-Masanafu-24h'!P54,'28.07 Busega-Masanafu'!P54)</f>
        <v>280</v>
      </c>
      <c r="R54" s="8"/>
      <c r="T54"/>
    </row>
    <row r="55" spans="2:20" ht="23.1" customHeight="1" x14ac:dyDescent="0.25">
      <c r="B55" s="23" t="s">
        <v>82</v>
      </c>
      <c r="C55" s="49">
        <f>AVERAGE('22.07 Busega-Masanafu'!C55,'23.07 Busega-Masanafu'!C55,'24.07 Busega-Masanafu'!C55,'25.07 Busega-Masanafu'!C55,'26.07 Busega-Masanafu-24h'!C55,'27.07 Busega-Masanafu-24h'!C55,'28.07 Busega-Masanafu'!C55)</f>
        <v>73.428571428571431</v>
      </c>
      <c r="D55" s="49">
        <f>AVERAGE('22.07 Busega-Masanafu'!D55,'23.07 Busega-Masanafu'!D55,'24.07 Busega-Masanafu'!D55,'25.07 Busega-Masanafu'!D55,'26.07 Busega-Masanafu-24h'!D55,'27.07 Busega-Masanafu-24h'!D55,'28.07 Busega-Masanafu'!D55)</f>
        <v>15.142857142857142</v>
      </c>
      <c r="E55" s="49">
        <f>AVERAGE('22.07 Busega-Masanafu'!E55,'23.07 Busega-Masanafu'!E55,'24.07 Busega-Masanafu'!E55,'25.07 Busega-Masanafu'!E55,'26.07 Busega-Masanafu-24h'!E55,'27.07 Busega-Masanafu-24h'!E55,'28.07 Busega-Masanafu'!E55)</f>
        <v>9.8571428571428577</v>
      </c>
      <c r="F55" s="49">
        <f>AVERAGE('22.07 Busega-Masanafu'!F55,'23.07 Busega-Masanafu'!F55,'24.07 Busega-Masanafu'!F55,'25.07 Busega-Masanafu'!F55,'26.07 Busega-Masanafu-24h'!F55,'27.07 Busega-Masanafu-24h'!F55,'28.07 Busega-Masanafu'!F55)</f>
        <v>36.571428571428569</v>
      </c>
      <c r="G55" s="49">
        <f>AVERAGE('22.07 Busega-Masanafu'!G55,'23.07 Busega-Masanafu'!G55,'24.07 Busega-Masanafu'!G55,'25.07 Busega-Masanafu'!G55,'26.07 Busega-Masanafu-24h'!G55,'27.07 Busega-Masanafu-24h'!G55,'28.07 Busega-Masanafu'!G55)</f>
        <v>3.7142857142857144</v>
      </c>
      <c r="H55" s="49">
        <f>AVERAGE('22.07 Busega-Masanafu'!H55,'23.07 Busega-Masanafu'!H55,'24.07 Busega-Masanafu'!H55,'25.07 Busega-Masanafu'!H55,'26.07 Busega-Masanafu-24h'!H55,'27.07 Busega-Masanafu-24h'!H55,'28.07 Busega-Masanafu'!H55)</f>
        <v>0.8571428571428571</v>
      </c>
      <c r="I55" s="49">
        <f>AVERAGE('22.07 Busega-Masanafu'!I55,'23.07 Busega-Masanafu'!I55,'24.07 Busega-Masanafu'!I55,'25.07 Busega-Masanafu'!I55,'26.07 Busega-Masanafu-24h'!I55,'27.07 Busega-Masanafu-24h'!I55,'28.07 Busega-Masanafu'!I55)</f>
        <v>7</v>
      </c>
      <c r="J55" s="49">
        <f>AVERAGE('22.07 Busega-Masanafu'!J55,'23.07 Busega-Masanafu'!J55,'24.07 Busega-Masanafu'!J55,'25.07 Busega-Masanafu'!J55,'26.07 Busega-Masanafu-24h'!J55,'27.07 Busega-Masanafu-24h'!J55,'28.07 Busega-Masanafu'!J55)</f>
        <v>11.857142857142858</v>
      </c>
      <c r="K55" s="49">
        <f>AVERAGE('22.07 Busega-Masanafu'!K55,'23.07 Busega-Masanafu'!K55,'24.07 Busega-Masanafu'!K55,'25.07 Busega-Masanafu'!K55,'26.07 Busega-Masanafu-24h'!K55,'27.07 Busega-Masanafu-24h'!K55,'28.07 Busega-Masanafu'!K55)</f>
        <v>4.1428571428571432</v>
      </c>
      <c r="L55" s="49">
        <f>AVERAGE('22.07 Busega-Masanafu'!L55,'23.07 Busega-Masanafu'!L55,'24.07 Busega-Masanafu'!L55,'25.07 Busega-Masanafu'!L55,'26.07 Busega-Masanafu-24h'!L55,'27.07 Busega-Masanafu-24h'!L55,'28.07 Busega-Masanafu'!L55)</f>
        <v>4.5714285714285712</v>
      </c>
      <c r="M55" s="49">
        <f>AVERAGE('22.07 Busega-Masanafu'!M55,'23.07 Busega-Masanafu'!M55,'24.07 Busega-Masanafu'!M55,'25.07 Busega-Masanafu'!M55,'26.07 Busega-Masanafu-24h'!M55,'27.07 Busega-Masanafu-24h'!M55,'28.07 Busega-Masanafu'!M55)</f>
        <v>105.57142857142857</v>
      </c>
      <c r="N55" s="49">
        <f>AVERAGE('22.07 Busega-Masanafu'!N55,'23.07 Busega-Masanafu'!N55,'24.07 Busega-Masanafu'!N55,'25.07 Busega-Masanafu'!N55,'26.07 Busega-Masanafu-24h'!N55,'27.07 Busega-Masanafu-24h'!N55,'28.07 Busega-Masanafu'!N55)</f>
        <v>0</v>
      </c>
      <c r="O55" s="49">
        <f>AVERAGE('22.07 Busega-Masanafu'!O55,'23.07 Busega-Masanafu'!O55,'24.07 Busega-Masanafu'!O55,'25.07 Busega-Masanafu'!O55,'26.07 Busega-Masanafu-24h'!O55,'27.07 Busega-Masanafu-24h'!O55,'28.07 Busega-Masanafu'!O55)</f>
        <v>167.14285714285714</v>
      </c>
      <c r="P55" s="49">
        <f>AVERAGE('22.07 Busega-Masanafu'!P55,'23.07 Busega-Masanafu'!P55,'24.07 Busega-Masanafu'!P55,'25.07 Busega-Masanafu'!P55,'26.07 Busega-Masanafu-24h'!P55,'27.07 Busega-Masanafu-24h'!P55,'28.07 Busega-Masanafu'!P55)</f>
        <v>272.71428571428572</v>
      </c>
      <c r="R55" s="8"/>
      <c r="T55"/>
    </row>
    <row r="56" spans="2:20" ht="23.1" customHeight="1" x14ac:dyDescent="0.25">
      <c r="B56" s="23" t="s">
        <v>83</v>
      </c>
      <c r="C56" s="49">
        <f>AVERAGE('22.07 Busega-Masanafu'!C56,'23.07 Busega-Masanafu'!C56,'24.07 Busega-Masanafu'!C56,'25.07 Busega-Masanafu'!C56,'26.07 Busega-Masanafu-24h'!C56,'27.07 Busega-Masanafu-24h'!C56,'28.07 Busega-Masanafu'!C56)</f>
        <v>79</v>
      </c>
      <c r="D56" s="49">
        <f>AVERAGE('22.07 Busega-Masanafu'!D56,'23.07 Busega-Masanafu'!D56,'24.07 Busega-Masanafu'!D56,'25.07 Busega-Masanafu'!D56,'26.07 Busega-Masanafu-24h'!D56,'27.07 Busega-Masanafu-24h'!D56,'28.07 Busega-Masanafu'!D56)</f>
        <v>15.571428571428571</v>
      </c>
      <c r="E56" s="49">
        <f>AVERAGE('22.07 Busega-Masanafu'!E56,'23.07 Busega-Masanafu'!E56,'24.07 Busega-Masanafu'!E56,'25.07 Busega-Masanafu'!E56,'26.07 Busega-Masanafu-24h'!E56,'27.07 Busega-Masanafu-24h'!E56,'28.07 Busega-Masanafu'!E56)</f>
        <v>9.7142857142857135</v>
      </c>
      <c r="F56" s="49">
        <f>AVERAGE('22.07 Busega-Masanafu'!F56,'23.07 Busega-Masanafu'!F56,'24.07 Busega-Masanafu'!F56,'25.07 Busega-Masanafu'!F56,'26.07 Busega-Masanafu-24h'!F56,'27.07 Busega-Masanafu-24h'!F56,'28.07 Busega-Masanafu'!F56)</f>
        <v>34.714285714285715</v>
      </c>
      <c r="G56" s="49">
        <f>AVERAGE('22.07 Busega-Masanafu'!G56,'23.07 Busega-Masanafu'!G56,'24.07 Busega-Masanafu'!G56,'25.07 Busega-Masanafu'!G56,'26.07 Busega-Masanafu-24h'!G56,'27.07 Busega-Masanafu-24h'!G56,'28.07 Busega-Masanafu'!G56)</f>
        <v>3.1428571428571428</v>
      </c>
      <c r="H56" s="49">
        <f>AVERAGE('22.07 Busega-Masanafu'!H56,'23.07 Busega-Masanafu'!H56,'24.07 Busega-Masanafu'!H56,'25.07 Busega-Masanafu'!H56,'26.07 Busega-Masanafu-24h'!H56,'27.07 Busega-Masanafu-24h'!H56,'28.07 Busega-Masanafu'!H56)</f>
        <v>0.5714285714285714</v>
      </c>
      <c r="I56" s="49">
        <f>AVERAGE('22.07 Busega-Masanafu'!I56,'23.07 Busega-Masanafu'!I56,'24.07 Busega-Masanafu'!I56,'25.07 Busega-Masanafu'!I56,'26.07 Busega-Masanafu-24h'!I56,'27.07 Busega-Masanafu-24h'!I56,'28.07 Busega-Masanafu'!I56)</f>
        <v>9.8571428571428577</v>
      </c>
      <c r="J56" s="49">
        <f>AVERAGE('22.07 Busega-Masanafu'!J56,'23.07 Busega-Masanafu'!J56,'24.07 Busega-Masanafu'!J56,'25.07 Busega-Masanafu'!J56,'26.07 Busega-Masanafu-24h'!J56,'27.07 Busega-Masanafu-24h'!J56,'28.07 Busega-Masanafu'!J56)</f>
        <v>9.1428571428571423</v>
      </c>
      <c r="K56" s="49">
        <f>AVERAGE('22.07 Busega-Masanafu'!K56,'23.07 Busega-Masanafu'!K56,'24.07 Busega-Masanafu'!K56,'25.07 Busega-Masanafu'!K56,'26.07 Busega-Masanafu-24h'!K56,'27.07 Busega-Masanafu-24h'!K56,'28.07 Busega-Masanafu'!K56)</f>
        <v>2.8571428571428572</v>
      </c>
      <c r="L56" s="49">
        <f>AVERAGE('22.07 Busega-Masanafu'!L56,'23.07 Busega-Masanafu'!L56,'24.07 Busega-Masanafu'!L56,'25.07 Busega-Masanafu'!L56,'26.07 Busega-Masanafu-24h'!L56,'27.07 Busega-Masanafu-24h'!L56,'28.07 Busega-Masanafu'!L56)</f>
        <v>6.4285714285714288</v>
      </c>
      <c r="M56" s="49">
        <f>AVERAGE('22.07 Busega-Masanafu'!M56,'23.07 Busega-Masanafu'!M56,'24.07 Busega-Masanafu'!M56,'25.07 Busega-Masanafu'!M56,'26.07 Busega-Masanafu-24h'!M56,'27.07 Busega-Masanafu-24h'!M56,'28.07 Busega-Masanafu'!M56)</f>
        <v>105.28571428571429</v>
      </c>
      <c r="N56" s="49">
        <f>AVERAGE('22.07 Busega-Masanafu'!N56,'23.07 Busega-Masanafu'!N56,'24.07 Busega-Masanafu'!N56,'25.07 Busega-Masanafu'!N56,'26.07 Busega-Masanafu-24h'!N56,'27.07 Busega-Masanafu-24h'!N56,'28.07 Busega-Masanafu'!N56)</f>
        <v>0</v>
      </c>
      <c r="O56" s="49">
        <f>AVERAGE('22.07 Busega-Masanafu'!O56,'23.07 Busega-Masanafu'!O56,'24.07 Busega-Masanafu'!O56,'25.07 Busega-Masanafu'!O56,'26.07 Busega-Masanafu-24h'!O56,'27.07 Busega-Masanafu-24h'!O56,'28.07 Busega-Masanafu'!O56)</f>
        <v>171</v>
      </c>
      <c r="P56" s="49">
        <f>AVERAGE('22.07 Busega-Masanafu'!P56,'23.07 Busega-Masanafu'!P56,'24.07 Busega-Masanafu'!P56,'25.07 Busega-Masanafu'!P56,'26.07 Busega-Masanafu-24h'!P56,'27.07 Busega-Masanafu-24h'!P56,'28.07 Busega-Masanafu'!P56)</f>
        <v>276.28571428571428</v>
      </c>
      <c r="R56" s="8"/>
      <c r="T56"/>
    </row>
    <row r="57" spans="2:20" ht="23.1" customHeight="1" x14ac:dyDescent="0.25">
      <c r="B57" s="23" t="s">
        <v>84</v>
      </c>
      <c r="C57" s="49">
        <f>AVERAGE('22.07 Busega-Masanafu'!C57,'23.07 Busega-Masanafu'!C57,'24.07 Busega-Masanafu'!C57,'25.07 Busega-Masanafu'!C57,'26.07 Busega-Masanafu-24h'!C57,'27.07 Busega-Masanafu-24h'!C57,'28.07 Busega-Masanafu'!C57)</f>
        <v>85.428571428571431</v>
      </c>
      <c r="D57" s="49">
        <f>AVERAGE('22.07 Busega-Masanafu'!D57,'23.07 Busega-Masanafu'!D57,'24.07 Busega-Masanafu'!D57,'25.07 Busega-Masanafu'!D57,'26.07 Busega-Masanafu-24h'!D57,'27.07 Busega-Masanafu-24h'!D57,'28.07 Busega-Masanafu'!D57)</f>
        <v>18.571428571428573</v>
      </c>
      <c r="E57" s="49">
        <f>AVERAGE('22.07 Busega-Masanafu'!E57,'23.07 Busega-Masanafu'!E57,'24.07 Busega-Masanafu'!E57,'25.07 Busega-Masanafu'!E57,'26.07 Busega-Masanafu-24h'!E57,'27.07 Busega-Masanafu-24h'!E57,'28.07 Busega-Masanafu'!E57)</f>
        <v>10.857142857142858</v>
      </c>
      <c r="F57" s="49">
        <f>AVERAGE('22.07 Busega-Masanafu'!F57,'23.07 Busega-Masanafu'!F57,'24.07 Busega-Masanafu'!F57,'25.07 Busega-Masanafu'!F57,'26.07 Busega-Masanafu-24h'!F57,'27.07 Busega-Masanafu-24h'!F57,'28.07 Busega-Masanafu'!F57)</f>
        <v>34.142857142857146</v>
      </c>
      <c r="G57" s="49">
        <f>AVERAGE('22.07 Busega-Masanafu'!G57,'23.07 Busega-Masanafu'!G57,'24.07 Busega-Masanafu'!G57,'25.07 Busega-Masanafu'!G57,'26.07 Busega-Masanafu-24h'!G57,'27.07 Busega-Masanafu-24h'!G57,'28.07 Busega-Masanafu'!G57)</f>
        <v>4.1428571428571432</v>
      </c>
      <c r="H57" s="49">
        <f>AVERAGE('22.07 Busega-Masanafu'!H57,'23.07 Busega-Masanafu'!H57,'24.07 Busega-Masanafu'!H57,'25.07 Busega-Masanafu'!H57,'26.07 Busega-Masanafu-24h'!H57,'27.07 Busega-Masanafu-24h'!H57,'28.07 Busega-Masanafu'!H57)</f>
        <v>0.42857142857142855</v>
      </c>
      <c r="I57" s="49">
        <f>AVERAGE('22.07 Busega-Masanafu'!I57,'23.07 Busega-Masanafu'!I57,'24.07 Busega-Masanafu'!I57,'25.07 Busega-Masanafu'!I57,'26.07 Busega-Masanafu-24h'!I57,'27.07 Busega-Masanafu-24h'!I57,'28.07 Busega-Masanafu'!I57)</f>
        <v>7.2857142857142856</v>
      </c>
      <c r="J57" s="49">
        <f>AVERAGE('22.07 Busega-Masanafu'!J57,'23.07 Busega-Masanafu'!J57,'24.07 Busega-Masanafu'!J57,'25.07 Busega-Masanafu'!J57,'26.07 Busega-Masanafu-24h'!J57,'27.07 Busega-Masanafu-24h'!J57,'28.07 Busega-Masanafu'!J57)</f>
        <v>8.8571428571428577</v>
      </c>
      <c r="K57" s="49">
        <f>AVERAGE('22.07 Busega-Masanafu'!K57,'23.07 Busega-Masanafu'!K57,'24.07 Busega-Masanafu'!K57,'25.07 Busega-Masanafu'!K57,'26.07 Busega-Masanafu-24h'!K57,'27.07 Busega-Masanafu-24h'!K57,'28.07 Busega-Masanafu'!K57)</f>
        <v>1.8571428571428572</v>
      </c>
      <c r="L57" s="49">
        <f>AVERAGE('22.07 Busega-Masanafu'!L57,'23.07 Busega-Masanafu'!L57,'24.07 Busega-Masanafu'!L57,'25.07 Busega-Masanafu'!L57,'26.07 Busega-Masanafu-24h'!L57,'27.07 Busega-Masanafu-24h'!L57,'28.07 Busega-Masanafu'!L57)</f>
        <v>3.4285714285714284</v>
      </c>
      <c r="M57" s="49">
        <f>AVERAGE('22.07 Busega-Masanafu'!M57,'23.07 Busega-Masanafu'!M57,'24.07 Busega-Masanafu'!M57,'25.07 Busega-Masanafu'!M57,'26.07 Busega-Masanafu-24h'!M57,'27.07 Busega-Masanafu-24h'!M57,'28.07 Busega-Masanafu'!M57)</f>
        <v>123.57142857142857</v>
      </c>
      <c r="N57" s="49">
        <f>AVERAGE('22.07 Busega-Masanafu'!N57,'23.07 Busega-Masanafu'!N57,'24.07 Busega-Masanafu'!N57,'25.07 Busega-Masanafu'!N57,'26.07 Busega-Masanafu-24h'!N57,'27.07 Busega-Masanafu-24h'!N57,'28.07 Busega-Masanafu'!N57)</f>
        <v>0</v>
      </c>
      <c r="O57" s="49">
        <f>AVERAGE('22.07 Busega-Masanafu'!O57,'23.07 Busega-Masanafu'!O57,'24.07 Busega-Masanafu'!O57,'25.07 Busega-Masanafu'!O57,'26.07 Busega-Masanafu-24h'!O57,'27.07 Busega-Masanafu-24h'!O57,'28.07 Busega-Masanafu'!O57)</f>
        <v>175</v>
      </c>
      <c r="P57" s="49">
        <f>AVERAGE('22.07 Busega-Masanafu'!P57,'23.07 Busega-Masanafu'!P57,'24.07 Busega-Masanafu'!P57,'25.07 Busega-Masanafu'!P57,'26.07 Busega-Masanafu-24h'!P57,'27.07 Busega-Masanafu-24h'!P57,'28.07 Busega-Masanafu'!P57)</f>
        <v>298.57142857142856</v>
      </c>
      <c r="R57" s="8"/>
      <c r="T57"/>
    </row>
    <row r="58" spans="2:20" ht="23.1" customHeight="1" x14ac:dyDescent="0.25">
      <c r="B58" s="23" t="s">
        <v>99</v>
      </c>
      <c r="C58" s="49">
        <f>AVERAGE('26.07 Busega-Masanafu-24h'!C58,'27.07 Busega-Masanafu-24h'!C58)</f>
        <v>50</v>
      </c>
      <c r="D58" s="49">
        <f>AVERAGE('26.07 Busega-Masanafu-24h'!D58,'27.07 Busega-Masanafu-24h'!D58)</f>
        <v>4</v>
      </c>
      <c r="E58" s="49">
        <f>AVERAGE('26.07 Busega-Masanafu-24h'!E58,'27.07 Busega-Masanafu-24h'!E58)</f>
        <v>4.5</v>
      </c>
      <c r="F58" s="49">
        <f>AVERAGE('26.07 Busega-Masanafu-24h'!F58,'27.07 Busega-Masanafu-24h'!F58)</f>
        <v>10.5</v>
      </c>
      <c r="G58" s="49">
        <f>AVERAGE('26.07 Busega-Masanafu-24h'!G58,'27.07 Busega-Masanafu-24h'!G58)</f>
        <v>2</v>
      </c>
      <c r="H58" s="49">
        <f>AVERAGE('26.07 Busega-Masanafu-24h'!H58,'27.07 Busega-Masanafu-24h'!H58)</f>
        <v>1</v>
      </c>
      <c r="I58" s="49">
        <f>AVERAGE('26.07 Busega-Masanafu-24h'!I58,'27.07 Busega-Masanafu-24h'!I58)</f>
        <v>3.5</v>
      </c>
      <c r="J58" s="49">
        <f>AVERAGE('26.07 Busega-Masanafu-24h'!J58,'27.07 Busega-Masanafu-24h'!J58)</f>
        <v>0.5</v>
      </c>
      <c r="K58" s="49">
        <f>AVERAGE('26.07 Busega-Masanafu-24h'!K58,'27.07 Busega-Masanafu-24h'!K58)</f>
        <v>1.5</v>
      </c>
      <c r="L58" s="49">
        <f>AVERAGE('26.07 Busega-Masanafu-24h'!L58,'27.07 Busega-Masanafu-24h'!L58)</f>
        <v>2.5</v>
      </c>
      <c r="M58" s="49">
        <f>AVERAGE('26.07 Busega-Masanafu-24h'!M58,'27.07 Busega-Masanafu-24h'!M58)</f>
        <v>85</v>
      </c>
      <c r="N58" s="49">
        <f>AVERAGE('26.07 Busega-Masanafu-24h'!N58,'27.07 Busega-Masanafu-24h'!N58)</f>
        <v>0</v>
      </c>
      <c r="O58" s="49">
        <f>AVERAGE('22.07 Busega-Masanafu'!O58,'23.07 Busega-Masanafu'!O58,'24.07 Busega-Masanafu'!O58,'25.07 Busega-Masanafu'!O58,'26.07 Busega-Masanafu-24h'!O58,'27.07 Busega-Masanafu-24h'!O58,'28.07 Busega-Masanafu'!O58)</f>
        <v>5178.2857142857147</v>
      </c>
      <c r="P58" s="49">
        <f>AVERAGE('22.07 Busega-Masanafu'!P58,'23.07 Busega-Masanafu'!P58,'24.07 Busega-Masanafu'!P58,'25.07 Busega-Masanafu'!P58,'26.07 Busega-Masanafu-24h'!P58,'27.07 Busega-Masanafu-24h'!P58,'28.07 Busega-Masanafu'!P58)</f>
        <v>9232.5714285714294</v>
      </c>
      <c r="R58" s="8"/>
      <c r="T58"/>
    </row>
    <row r="59" spans="2:20" ht="23.1" customHeight="1" x14ac:dyDescent="0.25">
      <c r="B59" s="23" t="s">
        <v>100</v>
      </c>
      <c r="C59" s="49">
        <f>AVERAGE('26.07 Busega-Masanafu-24h'!C59,'27.07 Busega-Masanafu-24h'!C59)</f>
        <v>70</v>
      </c>
      <c r="D59" s="49">
        <f>AVERAGE('26.07 Busega-Masanafu-24h'!D59,'27.07 Busega-Masanafu-24h'!D59)</f>
        <v>18</v>
      </c>
      <c r="E59" s="49">
        <f>AVERAGE('26.07 Busega-Masanafu-24h'!E59,'27.07 Busega-Masanafu-24h'!E59)</f>
        <v>17</v>
      </c>
      <c r="F59" s="49">
        <f>AVERAGE('26.07 Busega-Masanafu-24h'!F59,'27.07 Busega-Masanafu-24h'!F59)</f>
        <v>33</v>
      </c>
      <c r="G59" s="49">
        <f>AVERAGE('26.07 Busega-Masanafu-24h'!G59,'27.07 Busega-Masanafu-24h'!G59)</f>
        <v>4</v>
      </c>
      <c r="H59" s="49">
        <f>AVERAGE('26.07 Busega-Masanafu-24h'!H59,'27.07 Busega-Masanafu-24h'!H59)</f>
        <v>2</v>
      </c>
      <c r="I59" s="49">
        <f>AVERAGE('26.07 Busega-Masanafu-24h'!I59,'27.07 Busega-Masanafu-24h'!I59)</f>
        <v>9.5</v>
      </c>
      <c r="J59" s="49">
        <f>AVERAGE('26.07 Busega-Masanafu-24h'!J59,'27.07 Busega-Masanafu-24h'!J59)</f>
        <v>10</v>
      </c>
      <c r="K59" s="49">
        <f>AVERAGE('26.07 Busega-Masanafu-24h'!K59,'27.07 Busega-Masanafu-24h'!K59)</f>
        <v>5.5</v>
      </c>
      <c r="L59" s="49">
        <f>AVERAGE('26.07 Busega-Masanafu-24h'!L59,'27.07 Busega-Masanafu-24h'!L59)</f>
        <v>5</v>
      </c>
      <c r="M59" s="49">
        <f>AVERAGE('26.07 Busega-Masanafu-24h'!M59,'27.07 Busega-Masanafu-24h'!M59)</f>
        <v>102.5</v>
      </c>
      <c r="N59" s="49">
        <f>AVERAGE('26.07 Busega-Masanafu-24h'!N59,'27.07 Busega-Masanafu-24h'!N59)</f>
        <v>0</v>
      </c>
      <c r="O59" s="49">
        <f>AVERAGE('22.07 Busega-Masanafu'!O59,'23.07 Busega-Masanafu'!O59,'24.07 Busega-Masanafu'!O59,'25.07 Busega-Masanafu'!O59,'26.07 Busega-Masanafu-24h'!O59,'27.07 Busega-Masanafu-24h'!O59,'28.07 Busega-Masanafu'!O59)</f>
        <v>174</v>
      </c>
      <c r="P59" s="49">
        <f>AVERAGE('22.07 Busega-Masanafu'!P59,'23.07 Busega-Masanafu'!P59,'24.07 Busega-Masanafu'!P59,'25.07 Busega-Masanafu'!P59,'26.07 Busega-Masanafu-24h'!P59,'27.07 Busega-Masanafu-24h'!P59,'28.07 Busega-Masanafu'!P59)</f>
        <v>276.5</v>
      </c>
      <c r="R59" s="8"/>
      <c r="T59"/>
    </row>
    <row r="60" spans="2:20" ht="23.1" customHeight="1" x14ac:dyDescent="0.25">
      <c r="B60" s="23" t="s">
        <v>101</v>
      </c>
      <c r="C60" s="49">
        <f>AVERAGE('26.07 Busega-Masanafu-24h'!C60,'27.07 Busega-Masanafu-24h'!C60)</f>
        <v>80.5</v>
      </c>
      <c r="D60" s="49">
        <f>AVERAGE('26.07 Busega-Masanafu-24h'!D60,'27.07 Busega-Masanafu-24h'!D60)</f>
        <v>10</v>
      </c>
      <c r="E60" s="49">
        <f>AVERAGE('26.07 Busega-Masanafu-24h'!E60,'27.07 Busega-Masanafu-24h'!E60)</f>
        <v>11</v>
      </c>
      <c r="F60" s="49">
        <f>AVERAGE('26.07 Busega-Masanafu-24h'!F60,'27.07 Busega-Masanafu-24h'!F60)</f>
        <v>34</v>
      </c>
      <c r="G60" s="49">
        <f>AVERAGE('26.07 Busega-Masanafu-24h'!G60,'27.07 Busega-Masanafu-24h'!G60)</f>
        <v>7.5</v>
      </c>
      <c r="H60" s="49">
        <f>AVERAGE('26.07 Busega-Masanafu-24h'!H60,'27.07 Busega-Masanafu-24h'!H60)</f>
        <v>1.5</v>
      </c>
      <c r="I60" s="49">
        <f>AVERAGE('26.07 Busega-Masanafu-24h'!I60,'27.07 Busega-Masanafu-24h'!I60)</f>
        <v>12</v>
      </c>
      <c r="J60" s="49">
        <f>AVERAGE('26.07 Busega-Masanafu-24h'!J60,'27.07 Busega-Masanafu-24h'!J60)</f>
        <v>9</v>
      </c>
      <c r="K60" s="49">
        <f>AVERAGE('26.07 Busega-Masanafu-24h'!K60,'27.07 Busega-Masanafu-24h'!K60)</f>
        <v>4.5</v>
      </c>
      <c r="L60" s="49">
        <f>AVERAGE('26.07 Busega-Masanafu-24h'!L60,'27.07 Busega-Masanafu-24h'!L60)</f>
        <v>4</v>
      </c>
      <c r="M60" s="49">
        <f>AVERAGE('26.07 Busega-Masanafu-24h'!M60,'27.07 Busega-Masanafu-24h'!M60)</f>
        <v>100</v>
      </c>
      <c r="N60" s="49">
        <f>AVERAGE('26.07 Busega-Masanafu-24h'!N60,'27.07 Busega-Masanafu-24h'!N60)</f>
        <v>0</v>
      </c>
      <c r="O60" s="49">
        <f>AVERAGE('22.07 Busega-Masanafu'!O60,'23.07 Busega-Masanafu'!O60,'24.07 Busega-Masanafu'!O60,'25.07 Busega-Masanafu'!O60,'26.07 Busega-Masanafu-24h'!O60,'27.07 Busega-Masanafu-24h'!O60,'28.07 Busega-Masanafu'!O60)</f>
        <v>174</v>
      </c>
      <c r="P60" s="49">
        <f>AVERAGE('22.07 Busega-Masanafu'!P60,'23.07 Busega-Masanafu'!P60,'24.07 Busega-Masanafu'!P60,'25.07 Busega-Masanafu'!P60,'26.07 Busega-Masanafu-24h'!P60,'27.07 Busega-Masanafu-24h'!P60,'28.07 Busega-Masanafu'!P60)</f>
        <v>274</v>
      </c>
      <c r="R60" s="8"/>
      <c r="T60"/>
    </row>
    <row r="61" spans="2:20" ht="23.1" customHeight="1" x14ac:dyDescent="0.25">
      <c r="B61" s="23" t="s">
        <v>102</v>
      </c>
      <c r="C61" s="49">
        <f>AVERAGE('26.07 Busega-Masanafu-24h'!C61,'27.07 Busega-Masanafu-24h'!C61)</f>
        <v>54.5</v>
      </c>
      <c r="D61" s="49">
        <f>AVERAGE('26.07 Busega-Masanafu-24h'!D61,'27.07 Busega-Masanafu-24h'!D61)</f>
        <v>5.5</v>
      </c>
      <c r="E61" s="49">
        <f>AVERAGE('26.07 Busega-Masanafu-24h'!E61,'27.07 Busega-Masanafu-24h'!E61)</f>
        <v>11</v>
      </c>
      <c r="F61" s="49">
        <f>AVERAGE('26.07 Busega-Masanafu-24h'!F61,'27.07 Busega-Masanafu-24h'!F61)</f>
        <v>23.5</v>
      </c>
      <c r="G61" s="49">
        <f>AVERAGE('26.07 Busega-Masanafu-24h'!G61,'27.07 Busega-Masanafu-24h'!G61)</f>
        <v>3.5</v>
      </c>
      <c r="H61" s="49">
        <f>AVERAGE('26.07 Busega-Masanafu-24h'!H61,'27.07 Busega-Masanafu-24h'!H61)</f>
        <v>0.5</v>
      </c>
      <c r="I61" s="49">
        <f>AVERAGE('26.07 Busega-Masanafu-24h'!I61,'27.07 Busega-Masanafu-24h'!I61)</f>
        <v>9</v>
      </c>
      <c r="J61" s="49">
        <f>AVERAGE('26.07 Busega-Masanafu-24h'!J61,'27.07 Busega-Masanafu-24h'!J61)</f>
        <v>5</v>
      </c>
      <c r="K61" s="49">
        <f>AVERAGE('26.07 Busega-Masanafu-24h'!K61,'27.07 Busega-Masanafu-24h'!K61)</f>
        <v>1.5</v>
      </c>
      <c r="L61" s="49">
        <f>AVERAGE('26.07 Busega-Masanafu-24h'!L61,'27.07 Busega-Masanafu-24h'!L61)</f>
        <v>3</v>
      </c>
      <c r="M61" s="49">
        <f>AVERAGE('26.07 Busega-Masanafu-24h'!M61,'27.07 Busega-Masanafu-24h'!M61)</f>
        <v>82.5</v>
      </c>
      <c r="N61" s="49">
        <f>AVERAGE('26.07 Busega-Masanafu-24h'!N61,'27.07 Busega-Masanafu-24h'!N61)</f>
        <v>0</v>
      </c>
      <c r="O61" s="49">
        <f>AVERAGE('22.07 Busega-Masanafu'!O61,'23.07 Busega-Masanafu'!O61,'24.07 Busega-Masanafu'!O61,'25.07 Busega-Masanafu'!O61,'26.07 Busega-Masanafu-24h'!O61,'27.07 Busega-Masanafu-24h'!O61,'28.07 Busega-Masanafu'!O61)</f>
        <v>117</v>
      </c>
      <c r="P61" s="49">
        <f>AVERAGE('22.07 Busega-Masanafu'!P61,'23.07 Busega-Masanafu'!P61,'24.07 Busega-Masanafu'!P61,'25.07 Busega-Masanafu'!P61,'26.07 Busega-Masanafu-24h'!P61,'27.07 Busega-Masanafu-24h'!P61,'28.07 Busega-Masanafu'!P61)</f>
        <v>199.5</v>
      </c>
      <c r="R61" s="8"/>
      <c r="T61"/>
    </row>
    <row r="62" spans="2:20" ht="23.1" customHeight="1" x14ac:dyDescent="0.25">
      <c r="B62" s="23" t="s">
        <v>107</v>
      </c>
      <c r="C62" s="49">
        <f>AVERAGE('26.07 Busega-Masanafu-24h'!C62,'27.07 Busega-Masanafu-24h'!C62)</f>
        <v>68</v>
      </c>
      <c r="D62" s="49">
        <f>AVERAGE('26.07 Busega-Masanafu-24h'!D62,'27.07 Busega-Masanafu-24h'!D62)</f>
        <v>6</v>
      </c>
      <c r="E62" s="49">
        <f>AVERAGE('26.07 Busega-Masanafu-24h'!E62,'27.07 Busega-Masanafu-24h'!E62)</f>
        <v>9.5</v>
      </c>
      <c r="F62" s="49">
        <f>AVERAGE('26.07 Busega-Masanafu-24h'!F62,'27.07 Busega-Masanafu-24h'!F62)</f>
        <v>33.5</v>
      </c>
      <c r="G62" s="49">
        <f>AVERAGE('26.07 Busega-Masanafu-24h'!G62,'27.07 Busega-Masanafu-24h'!G62)</f>
        <v>5.5</v>
      </c>
      <c r="H62" s="49">
        <f>AVERAGE('26.07 Busega-Masanafu-24h'!H62,'27.07 Busega-Masanafu-24h'!H62)</f>
        <v>2</v>
      </c>
      <c r="I62" s="49">
        <f>AVERAGE('26.07 Busega-Masanafu-24h'!I62,'27.07 Busega-Masanafu-24h'!I62)</f>
        <v>5.5</v>
      </c>
      <c r="J62" s="49">
        <f>AVERAGE('26.07 Busega-Masanafu-24h'!J62,'27.07 Busega-Masanafu-24h'!J62)</f>
        <v>8.5</v>
      </c>
      <c r="K62" s="49">
        <f>AVERAGE('26.07 Busega-Masanafu-24h'!K62,'27.07 Busega-Masanafu-24h'!K62)</f>
        <v>5</v>
      </c>
      <c r="L62" s="49">
        <f>AVERAGE('26.07 Busega-Masanafu-24h'!L62,'27.07 Busega-Masanafu-24h'!L62)</f>
        <v>4.5</v>
      </c>
      <c r="M62" s="49">
        <f>AVERAGE('26.07 Busega-Masanafu-24h'!M62,'27.07 Busega-Masanafu-24h'!M62)</f>
        <v>79</v>
      </c>
      <c r="N62" s="49">
        <f>AVERAGE('26.07 Busega-Masanafu-24h'!N62,'27.07 Busega-Masanafu-24h'!N62)</f>
        <v>0</v>
      </c>
      <c r="O62" s="49">
        <f>AVERAGE('22.07 Busega-Masanafu'!O62,'23.07 Busega-Masanafu'!O62,'24.07 Busega-Masanafu'!O62,'25.07 Busega-Masanafu'!O62,'26.07 Busega-Masanafu-24h'!O62,'27.07 Busega-Masanafu-24h'!O62,'28.07 Busega-Masanafu'!O62)</f>
        <v>148</v>
      </c>
      <c r="P62" s="49">
        <f>AVERAGE('22.07 Busega-Masanafu'!P62,'23.07 Busega-Masanafu'!P62,'24.07 Busega-Masanafu'!P62,'25.07 Busega-Masanafu'!P62,'26.07 Busega-Masanafu-24h'!P62,'27.07 Busega-Masanafu-24h'!P62,'28.07 Busega-Masanafu'!P62)</f>
        <v>227</v>
      </c>
      <c r="R62" s="8"/>
      <c r="T62"/>
    </row>
    <row r="63" spans="2:20" ht="23.1" customHeight="1" x14ac:dyDescent="0.25">
      <c r="B63" s="23" t="s">
        <v>108</v>
      </c>
      <c r="C63" s="49">
        <f>AVERAGE('26.07 Busega-Masanafu-24h'!C63,'27.07 Busega-Masanafu-24h'!C63)</f>
        <v>72.5</v>
      </c>
      <c r="D63" s="49">
        <f>AVERAGE('26.07 Busega-Masanafu-24h'!D63,'27.07 Busega-Masanafu-24h'!D63)</f>
        <v>12</v>
      </c>
      <c r="E63" s="49">
        <f>AVERAGE('26.07 Busega-Masanafu-24h'!E63,'27.07 Busega-Masanafu-24h'!E63)</f>
        <v>19</v>
      </c>
      <c r="F63" s="49">
        <f>AVERAGE('26.07 Busega-Masanafu-24h'!F63,'27.07 Busega-Masanafu-24h'!F63)</f>
        <v>32</v>
      </c>
      <c r="G63" s="49">
        <f>AVERAGE('26.07 Busega-Masanafu-24h'!G63,'27.07 Busega-Masanafu-24h'!G63)</f>
        <v>3.5</v>
      </c>
      <c r="H63" s="49">
        <f>AVERAGE('26.07 Busega-Masanafu-24h'!H63,'27.07 Busega-Masanafu-24h'!H63)</f>
        <v>1</v>
      </c>
      <c r="I63" s="49">
        <f>AVERAGE('26.07 Busega-Masanafu-24h'!I63,'27.07 Busega-Masanafu-24h'!I63)</f>
        <v>9</v>
      </c>
      <c r="J63" s="49">
        <f>AVERAGE('26.07 Busega-Masanafu-24h'!J63,'27.07 Busega-Masanafu-24h'!J63)</f>
        <v>12</v>
      </c>
      <c r="K63" s="49">
        <f>AVERAGE('26.07 Busega-Masanafu-24h'!K63,'27.07 Busega-Masanafu-24h'!K63)</f>
        <v>5.5</v>
      </c>
      <c r="L63" s="49">
        <f>AVERAGE('26.07 Busega-Masanafu-24h'!L63,'27.07 Busega-Masanafu-24h'!L63)</f>
        <v>6.5</v>
      </c>
      <c r="M63" s="49">
        <f>AVERAGE('26.07 Busega-Masanafu-24h'!M63,'27.07 Busega-Masanafu-24h'!M63)</f>
        <v>97.5</v>
      </c>
      <c r="N63" s="49">
        <f>AVERAGE('26.07 Busega-Masanafu-24h'!N63,'27.07 Busega-Masanafu-24h'!N63)</f>
        <v>0</v>
      </c>
      <c r="O63" s="49">
        <f>AVERAGE('22.07 Busega-Masanafu'!O63,'23.07 Busega-Masanafu'!O63,'24.07 Busega-Masanafu'!O63,'25.07 Busega-Masanafu'!O63,'26.07 Busega-Masanafu-24h'!O63,'27.07 Busega-Masanafu-24h'!O63,'28.07 Busega-Masanafu'!O63)</f>
        <v>173</v>
      </c>
      <c r="P63" s="49">
        <f>AVERAGE('22.07 Busega-Masanafu'!P63,'23.07 Busega-Masanafu'!P63,'24.07 Busega-Masanafu'!P63,'25.07 Busega-Masanafu'!P63,'26.07 Busega-Masanafu-24h'!P63,'27.07 Busega-Masanafu-24h'!P63,'28.07 Busega-Masanafu'!P63)</f>
        <v>270.5</v>
      </c>
      <c r="R63" s="8"/>
      <c r="T63"/>
    </row>
    <row r="64" spans="2:20" ht="23.1" customHeight="1" x14ac:dyDescent="0.25">
      <c r="B64" s="23" t="s">
        <v>109</v>
      </c>
      <c r="C64" s="49">
        <f>AVERAGE('26.07 Busega-Masanafu-24h'!C64,'27.07 Busega-Masanafu-24h'!C64)</f>
        <v>67</v>
      </c>
      <c r="D64" s="49">
        <f>AVERAGE('26.07 Busega-Masanafu-24h'!D64,'27.07 Busega-Masanafu-24h'!D64)</f>
        <v>11</v>
      </c>
      <c r="E64" s="49">
        <f>AVERAGE('26.07 Busega-Masanafu-24h'!E64,'27.07 Busega-Masanafu-24h'!E64)</f>
        <v>10</v>
      </c>
      <c r="F64" s="49">
        <f>AVERAGE('26.07 Busega-Masanafu-24h'!F64,'27.07 Busega-Masanafu-24h'!F64)</f>
        <v>31.5</v>
      </c>
      <c r="G64" s="49">
        <f>AVERAGE('26.07 Busega-Masanafu-24h'!G64,'27.07 Busega-Masanafu-24h'!G64)</f>
        <v>2.5</v>
      </c>
      <c r="H64" s="49">
        <f>AVERAGE('26.07 Busega-Masanafu-24h'!H64,'27.07 Busega-Masanafu-24h'!H64)</f>
        <v>0.5</v>
      </c>
      <c r="I64" s="49">
        <f>AVERAGE('26.07 Busega-Masanafu-24h'!I64,'27.07 Busega-Masanafu-24h'!I64)</f>
        <v>7</v>
      </c>
      <c r="J64" s="49">
        <f>AVERAGE('26.07 Busega-Masanafu-24h'!J64,'27.07 Busega-Masanafu-24h'!J64)</f>
        <v>4.5</v>
      </c>
      <c r="K64" s="49">
        <f>AVERAGE('26.07 Busega-Masanafu-24h'!K64,'27.07 Busega-Masanafu-24h'!K64)</f>
        <v>3</v>
      </c>
      <c r="L64" s="49">
        <f>AVERAGE('26.07 Busega-Masanafu-24h'!L64,'27.07 Busega-Masanafu-24h'!L64)</f>
        <v>5.5</v>
      </c>
      <c r="M64" s="49">
        <f>AVERAGE('26.07 Busega-Masanafu-24h'!M64,'27.07 Busega-Masanafu-24h'!M64)</f>
        <v>89</v>
      </c>
      <c r="N64" s="49">
        <f>AVERAGE('26.07 Busega-Masanafu-24h'!N64,'27.07 Busega-Masanafu-24h'!N64)</f>
        <v>0</v>
      </c>
      <c r="O64" s="49">
        <f>AVERAGE('22.07 Busega-Masanafu'!O64,'23.07 Busega-Masanafu'!O64,'24.07 Busega-Masanafu'!O64,'25.07 Busega-Masanafu'!O64,'26.07 Busega-Masanafu-24h'!O64,'27.07 Busega-Masanafu-24h'!O64,'28.07 Busega-Masanafu'!O64)</f>
        <v>142.5</v>
      </c>
      <c r="P64" s="49">
        <f>AVERAGE('22.07 Busega-Masanafu'!P64,'23.07 Busega-Masanafu'!P64,'24.07 Busega-Masanafu'!P64,'25.07 Busega-Masanafu'!P64,'26.07 Busega-Masanafu-24h'!P64,'27.07 Busega-Masanafu-24h'!P64,'28.07 Busega-Masanafu'!P64)</f>
        <v>231.5</v>
      </c>
      <c r="R64" s="8"/>
      <c r="T64"/>
    </row>
    <row r="65" spans="2:20" ht="23.1" customHeight="1" x14ac:dyDescent="0.25">
      <c r="B65" s="23" t="s">
        <v>158</v>
      </c>
      <c r="C65" s="49">
        <f>AVERAGE('26.07 Busega-Masanafu-24h'!C65,'27.07 Busega-Masanafu-24h'!C65)</f>
        <v>76.5</v>
      </c>
      <c r="D65" s="49">
        <f>AVERAGE('26.07 Busega-Masanafu-24h'!D65,'27.07 Busega-Masanafu-24h'!D65)</f>
        <v>15</v>
      </c>
      <c r="E65" s="49">
        <f>AVERAGE('26.07 Busega-Masanafu-24h'!E65,'27.07 Busega-Masanafu-24h'!E65)</f>
        <v>12.5</v>
      </c>
      <c r="F65" s="49">
        <f>AVERAGE('26.07 Busega-Masanafu-24h'!F65,'27.07 Busega-Masanafu-24h'!F65)</f>
        <v>34.5</v>
      </c>
      <c r="G65" s="49">
        <f>AVERAGE('26.07 Busega-Masanafu-24h'!G65,'27.07 Busega-Masanafu-24h'!G65)</f>
        <v>2.5</v>
      </c>
      <c r="H65" s="49">
        <f>AVERAGE('26.07 Busega-Masanafu-24h'!H65,'27.07 Busega-Masanafu-24h'!H65)</f>
        <v>1</v>
      </c>
      <c r="I65" s="49">
        <f>AVERAGE('26.07 Busega-Masanafu-24h'!I65,'27.07 Busega-Masanafu-24h'!I65)</f>
        <v>9.5</v>
      </c>
      <c r="J65" s="49">
        <f>AVERAGE('26.07 Busega-Masanafu-24h'!J65,'27.07 Busega-Masanafu-24h'!J65)</f>
        <v>8</v>
      </c>
      <c r="K65" s="49">
        <f>AVERAGE('26.07 Busega-Masanafu-24h'!K65,'27.07 Busega-Masanafu-24h'!K65)</f>
        <v>6</v>
      </c>
      <c r="L65" s="49">
        <f>AVERAGE('26.07 Busega-Masanafu-24h'!L65,'27.07 Busega-Masanafu-24h'!L65)</f>
        <v>4.5</v>
      </c>
      <c r="M65" s="49">
        <f>AVERAGE('26.07 Busega-Masanafu-24h'!M65,'27.07 Busega-Masanafu-24h'!M65)</f>
        <v>79</v>
      </c>
      <c r="N65" s="49">
        <f>AVERAGE('26.07 Busega-Masanafu-24h'!N65,'27.07 Busega-Masanafu-24h'!N65)</f>
        <v>0</v>
      </c>
      <c r="O65" s="49">
        <f>AVERAGE('22.07 Busega-Masanafu'!O65,'23.07 Busega-Masanafu'!O65,'24.07 Busega-Masanafu'!O65,'25.07 Busega-Masanafu'!O65,'26.07 Busega-Masanafu-24h'!O65,'27.07 Busega-Masanafu-24h'!O65,'28.07 Busega-Masanafu'!O65)</f>
        <v>170</v>
      </c>
      <c r="P65" s="49">
        <f>AVERAGE('22.07 Busega-Masanafu'!P65,'23.07 Busega-Masanafu'!P65,'24.07 Busega-Masanafu'!P65,'25.07 Busega-Masanafu'!P65,'26.07 Busega-Masanafu-24h'!P65,'27.07 Busega-Masanafu-24h'!P65,'28.07 Busega-Masanafu'!P65)</f>
        <v>249</v>
      </c>
      <c r="R65" s="8"/>
      <c r="T65"/>
    </row>
    <row r="66" spans="2:20" ht="23.1" customHeight="1" x14ac:dyDescent="0.25">
      <c r="B66" s="23" t="s">
        <v>103</v>
      </c>
      <c r="C66" s="49">
        <f>AVERAGE('26.07 Busega-Masanafu-24h'!C66,'27.07 Busega-Masanafu-24h'!C66)</f>
        <v>78.5</v>
      </c>
      <c r="D66" s="49">
        <f>AVERAGE('26.07 Busega-Masanafu-24h'!D66,'27.07 Busega-Masanafu-24h'!D66)</f>
        <v>4.5</v>
      </c>
      <c r="E66" s="49">
        <f>AVERAGE('26.07 Busega-Masanafu-24h'!E66,'27.07 Busega-Masanafu-24h'!E66)</f>
        <v>8</v>
      </c>
      <c r="F66" s="49">
        <f>AVERAGE('26.07 Busega-Masanafu-24h'!F66,'27.07 Busega-Masanafu-24h'!F66)</f>
        <v>28.5</v>
      </c>
      <c r="G66" s="49">
        <f>AVERAGE('26.07 Busega-Masanafu-24h'!G66,'27.07 Busega-Masanafu-24h'!G66)</f>
        <v>4</v>
      </c>
      <c r="H66" s="49">
        <f>AVERAGE('26.07 Busega-Masanafu-24h'!H66,'27.07 Busega-Masanafu-24h'!H66)</f>
        <v>0.5</v>
      </c>
      <c r="I66" s="49">
        <f>AVERAGE('26.07 Busega-Masanafu-24h'!I66,'27.07 Busega-Masanafu-24h'!I66)</f>
        <v>4.5</v>
      </c>
      <c r="J66" s="49">
        <f>AVERAGE('26.07 Busega-Masanafu-24h'!J66,'27.07 Busega-Masanafu-24h'!J66)</f>
        <v>8.5</v>
      </c>
      <c r="K66" s="49">
        <f>AVERAGE('26.07 Busega-Masanafu-24h'!K66,'27.07 Busega-Masanafu-24h'!K66)</f>
        <v>4.5</v>
      </c>
      <c r="L66" s="49">
        <f>AVERAGE('26.07 Busega-Masanafu-24h'!L66,'27.07 Busega-Masanafu-24h'!L66)</f>
        <v>6</v>
      </c>
      <c r="M66" s="49">
        <f>AVERAGE('26.07 Busega-Masanafu-24h'!M66,'27.07 Busega-Masanafu-24h'!M66)</f>
        <v>85</v>
      </c>
      <c r="N66" s="49">
        <f>AVERAGE('26.07 Busega-Masanafu-24h'!N66,'27.07 Busega-Masanafu-24h'!N66)</f>
        <v>0</v>
      </c>
      <c r="O66" s="49">
        <f>AVERAGE('22.07 Busega-Masanafu'!O66,'23.07 Busega-Masanafu'!O66,'24.07 Busega-Masanafu'!O66,'25.07 Busega-Masanafu'!O66,'26.07 Busega-Masanafu-24h'!O66,'27.07 Busega-Masanafu-24h'!O66,'28.07 Busega-Masanafu'!O66)</f>
        <v>147.5</v>
      </c>
      <c r="P66" s="49">
        <f>AVERAGE('22.07 Busega-Masanafu'!P66,'23.07 Busega-Masanafu'!P66,'24.07 Busega-Masanafu'!P66,'25.07 Busega-Masanafu'!P66,'26.07 Busega-Masanafu-24h'!P66,'27.07 Busega-Masanafu-24h'!P66,'28.07 Busega-Masanafu'!P66)</f>
        <v>232.5</v>
      </c>
      <c r="R66" s="8"/>
      <c r="T66"/>
    </row>
    <row r="67" spans="2:20" ht="23.1" customHeight="1" x14ac:dyDescent="0.25">
      <c r="B67" s="23" t="s">
        <v>104</v>
      </c>
      <c r="C67" s="49">
        <f>AVERAGE('26.07 Busega-Masanafu-24h'!C67,'27.07 Busega-Masanafu-24h'!C67)</f>
        <v>57.5</v>
      </c>
      <c r="D67" s="49">
        <f>AVERAGE('26.07 Busega-Masanafu-24h'!D67,'27.07 Busega-Masanafu-24h'!D67)</f>
        <v>11</v>
      </c>
      <c r="E67" s="49">
        <f>AVERAGE('26.07 Busega-Masanafu-24h'!E67,'27.07 Busega-Masanafu-24h'!E67)</f>
        <v>12</v>
      </c>
      <c r="F67" s="49">
        <f>AVERAGE('26.07 Busega-Masanafu-24h'!F67,'27.07 Busega-Masanafu-24h'!F67)</f>
        <v>24</v>
      </c>
      <c r="G67" s="49">
        <f>AVERAGE('26.07 Busega-Masanafu-24h'!G67,'27.07 Busega-Masanafu-24h'!G67)</f>
        <v>1.5</v>
      </c>
      <c r="H67" s="49">
        <f>AVERAGE('26.07 Busega-Masanafu-24h'!H67,'27.07 Busega-Masanafu-24h'!H67)</f>
        <v>0.5</v>
      </c>
      <c r="I67" s="49">
        <f>AVERAGE('26.07 Busega-Masanafu-24h'!I67,'27.07 Busega-Masanafu-24h'!I67)</f>
        <v>5</v>
      </c>
      <c r="J67" s="49">
        <f>AVERAGE('26.07 Busega-Masanafu-24h'!J67,'27.07 Busega-Masanafu-24h'!J67)</f>
        <v>5</v>
      </c>
      <c r="K67" s="49">
        <f>AVERAGE('26.07 Busega-Masanafu-24h'!K67,'27.07 Busega-Masanafu-24h'!K67)</f>
        <v>3</v>
      </c>
      <c r="L67" s="49">
        <f>AVERAGE('26.07 Busega-Masanafu-24h'!L67,'27.07 Busega-Masanafu-24h'!L67)</f>
        <v>5.5</v>
      </c>
      <c r="M67" s="49">
        <f>AVERAGE('26.07 Busega-Masanafu-24h'!M67,'27.07 Busega-Masanafu-24h'!M67)</f>
        <v>86.5</v>
      </c>
      <c r="N67" s="49">
        <f>AVERAGE('26.07 Busega-Masanafu-24h'!N67,'27.07 Busega-Masanafu-24h'!N67)</f>
        <v>0</v>
      </c>
      <c r="O67" s="49">
        <f>AVERAGE('22.07 Busega-Masanafu'!O67,'23.07 Busega-Masanafu'!O67,'24.07 Busega-Masanafu'!O67,'25.07 Busega-Masanafu'!O67,'26.07 Busega-Masanafu-24h'!O67,'27.07 Busega-Masanafu-24h'!O67,'28.07 Busega-Masanafu'!O67)</f>
        <v>125</v>
      </c>
      <c r="P67" s="49">
        <f>AVERAGE('22.07 Busega-Masanafu'!P67,'23.07 Busega-Masanafu'!P67,'24.07 Busega-Masanafu'!P67,'25.07 Busega-Masanafu'!P67,'26.07 Busega-Masanafu-24h'!P67,'27.07 Busega-Masanafu-24h'!P67,'28.07 Busega-Masanafu'!P67)</f>
        <v>211.5</v>
      </c>
      <c r="R67" s="8"/>
      <c r="T67"/>
    </row>
    <row r="68" spans="2:20" ht="23.1" customHeight="1" x14ac:dyDescent="0.25">
      <c r="B68" s="23" t="s">
        <v>105</v>
      </c>
      <c r="C68" s="49">
        <f>AVERAGE('26.07 Busega-Masanafu-24h'!C68,'27.07 Busega-Masanafu-24h'!C68)</f>
        <v>64</v>
      </c>
      <c r="D68" s="49">
        <f>AVERAGE('26.07 Busega-Masanafu-24h'!D68,'27.07 Busega-Masanafu-24h'!D68)</f>
        <v>7</v>
      </c>
      <c r="E68" s="49">
        <f>AVERAGE('26.07 Busega-Masanafu-24h'!E68,'27.07 Busega-Masanafu-24h'!E68)</f>
        <v>12.5</v>
      </c>
      <c r="F68" s="49">
        <f>AVERAGE('26.07 Busega-Masanafu-24h'!F68,'27.07 Busega-Masanafu-24h'!F68)</f>
        <v>33.5</v>
      </c>
      <c r="G68" s="49">
        <f>AVERAGE('26.07 Busega-Masanafu-24h'!G68,'27.07 Busega-Masanafu-24h'!G68)</f>
        <v>1</v>
      </c>
      <c r="H68" s="49">
        <f>AVERAGE('26.07 Busega-Masanafu-24h'!H68,'27.07 Busega-Masanafu-24h'!H68)</f>
        <v>0</v>
      </c>
      <c r="I68" s="49">
        <f>AVERAGE('26.07 Busega-Masanafu-24h'!I68,'27.07 Busega-Masanafu-24h'!I68)</f>
        <v>2</v>
      </c>
      <c r="J68" s="49">
        <f>AVERAGE('26.07 Busega-Masanafu-24h'!J68,'27.07 Busega-Masanafu-24h'!J68)</f>
        <v>7.5</v>
      </c>
      <c r="K68" s="49">
        <f>AVERAGE('26.07 Busega-Masanafu-24h'!K68,'27.07 Busega-Masanafu-24h'!K68)</f>
        <v>1.5</v>
      </c>
      <c r="L68" s="49">
        <f>AVERAGE('26.07 Busega-Masanafu-24h'!L68,'27.07 Busega-Masanafu-24h'!L68)</f>
        <v>2</v>
      </c>
      <c r="M68" s="49">
        <f>AVERAGE('26.07 Busega-Masanafu-24h'!M68,'27.07 Busega-Masanafu-24h'!M68)</f>
        <v>78.5</v>
      </c>
      <c r="N68" s="49">
        <f>AVERAGE('26.07 Busega-Masanafu-24h'!N68,'27.07 Busega-Masanafu-24h'!N68)</f>
        <v>0</v>
      </c>
      <c r="O68" s="49">
        <f>AVERAGE('22.07 Busega-Masanafu'!O68,'23.07 Busega-Masanafu'!O68,'24.07 Busega-Masanafu'!O68,'25.07 Busega-Masanafu'!O68,'26.07 Busega-Masanafu-24h'!O68,'27.07 Busega-Masanafu-24h'!O68,'28.07 Busega-Masanafu'!O68)</f>
        <v>131</v>
      </c>
      <c r="P68" s="49">
        <f>AVERAGE('22.07 Busega-Masanafu'!P68,'23.07 Busega-Masanafu'!P68,'24.07 Busega-Masanafu'!P68,'25.07 Busega-Masanafu'!P68,'26.07 Busega-Masanafu-24h'!P68,'27.07 Busega-Masanafu-24h'!P68,'28.07 Busega-Masanafu'!P68)</f>
        <v>209.5</v>
      </c>
      <c r="R68" s="8"/>
      <c r="T68"/>
    </row>
    <row r="69" spans="2:20" ht="23.1" customHeight="1" x14ac:dyDescent="0.25">
      <c r="B69" s="23" t="s">
        <v>106</v>
      </c>
      <c r="C69" s="49">
        <f>AVERAGE('26.07 Busega-Masanafu-24h'!C69,'27.07 Busega-Masanafu-24h'!C69)</f>
        <v>59.5</v>
      </c>
      <c r="D69" s="49">
        <f>AVERAGE('26.07 Busega-Masanafu-24h'!D69,'27.07 Busega-Masanafu-24h'!D69)</f>
        <v>5.5</v>
      </c>
      <c r="E69" s="49">
        <f>AVERAGE('26.07 Busega-Masanafu-24h'!E69,'27.07 Busega-Masanafu-24h'!E69)</f>
        <v>7.5</v>
      </c>
      <c r="F69" s="49">
        <f>AVERAGE('26.07 Busega-Masanafu-24h'!F69,'27.07 Busega-Masanafu-24h'!F69)</f>
        <v>16.5</v>
      </c>
      <c r="G69" s="49">
        <f>AVERAGE('26.07 Busega-Masanafu-24h'!G69,'27.07 Busega-Masanafu-24h'!G69)</f>
        <v>1.5</v>
      </c>
      <c r="H69" s="49">
        <f>AVERAGE('26.07 Busega-Masanafu-24h'!H69,'27.07 Busega-Masanafu-24h'!H69)</f>
        <v>0.5</v>
      </c>
      <c r="I69" s="49">
        <f>AVERAGE('26.07 Busega-Masanafu-24h'!I69,'27.07 Busega-Masanafu-24h'!I69)</f>
        <v>3</v>
      </c>
      <c r="J69" s="49">
        <f>AVERAGE('26.07 Busega-Masanafu-24h'!J69,'27.07 Busega-Masanafu-24h'!J69)</f>
        <v>4</v>
      </c>
      <c r="K69" s="49">
        <f>AVERAGE('26.07 Busega-Masanafu-24h'!K69,'27.07 Busega-Masanafu-24h'!K69)</f>
        <v>0</v>
      </c>
      <c r="L69" s="49">
        <f>AVERAGE('26.07 Busega-Masanafu-24h'!L69,'27.07 Busega-Masanafu-24h'!L69)</f>
        <v>4</v>
      </c>
      <c r="M69" s="49">
        <f>AVERAGE('26.07 Busega-Masanafu-24h'!M69,'27.07 Busega-Masanafu-24h'!M69)</f>
        <v>58</v>
      </c>
      <c r="N69" s="49">
        <f>AVERAGE('26.07 Busega-Masanafu-24h'!N69,'27.07 Busega-Masanafu-24h'!N69)</f>
        <v>0</v>
      </c>
      <c r="O69" s="49">
        <f>AVERAGE('22.07 Busega-Masanafu'!O69,'23.07 Busega-Masanafu'!O69,'24.07 Busega-Masanafu'!O69,'25.07 Busega-Masanafu'!O69,'26.07 Busega-Masanafu-24h'!O69,'27.07 Busega-Masanafu-24h'!O69,'28.07 Busega-Masanafu'!O69)</f>
        <v>102</v>
      </c>
      <c r="P69" s="49">
        <f>AVERAGE('22.07 Busega-Masanafu'!P69,'23.07 Busega-Masanafu'!P69,'24.07 Busega-Masanafu'!P69,'25.07 Busega-Masanafu'!P69,'26.07 Busega-Masanafu-24h'!P69,'27.07 Busega-Masanafu-24h'!P69,'28.07 Busega-Masanafu'!P69)</f>
        <v>160</v>
      </c>
      <c r="R69" s="8"/>
      <c r="T69"/>
    </row>
    <row r="70" spans="2:20" ht="23.1" customHeight="1" x14ac:dyDescent="0.25">
      <c r="B70" s="23" t="s">
        <v>110</v>
      </c>
      <c r="C70" s="49">
        <f>AVERAGE('26.07 Busega-Masanafu-24h'!C70,'27.07 Busega-Masanafu-24h'!C70)</f>
        <v>47.5</v>
      </c>
      <c r="D70" s="49">
        <f>AVERAGE('26.07 Busega-Masanafu-24h'!D70,'27.07 Busega-Masanafu-24h'!D70)</f>
        <v>2.5</v>
      </c>
      <c r="E70" s="49">
        <f>AVERAGE('26.07 Busega-Masanafu-24h'!E70,'27.07 Busega-Masanafu-24h'!E70)</f>
        <v>10</v>
      </c>
      <c r="F70" s="49">
        <f>AVERAGE('26.07 Busega-Masanafu-24h'!F70,'27.07 Busega-Masanafu-24h'!F70)</f>
        <v>17</v>
      </c>
      <c r="G70" s="49">
        <f>AVERAGE('26.07 Busega-Masanafu-24h'!G70,'27.07 Busega-Masanafu-24h'!G70)</f>
        <v>1</v>
      </c>
      <c r="H70" s="49">
        <f>AVERAGE('26.07 Busega-Masanafu-24h'!H70,'27.07 Busega-Masanafu-24h'!H70)</f>
        <v>0.5</v>
      </c>
      <c r="I70" s="49">
        <f>AVERAGE('26.07 Busega-Masanafu-24h'!I70,'27.07 Busega-Masanafu-24h'!I70)</f>
        <v>4</v>
      </c>
      <c r="J70" s="49">
        <f>AVERAGE('26.07 Busega-Masanafu-24h'!J70,'27.07 Busega-Masanafu-24h'!J70)</f>
        <v>3.5</v>
      </c>
      <c r="K70" s="49">
        <f>AVERAGE('26.07 Busega-Masanafu-24h'!K70,'27.07 Busega-Masanafu-24h'!K70)</f>
        <v>2</v>
      </c>
      <c r="L70" s="49">
        <f>AVERAGE('26.07 Busega-Masanafu-24h'!L70,'27.07 Busega-Masanafu-24h'!L70)</f>
        <v>1.5</v>
      </c>
      <c r="M70" s="49">
        <f>AVERAGE('26.07 Busega-Masanafu-24h'!M70,'27.07 Busega-Masanafu-24h'!M70)</f>
        <v>59.5</v>
      </c>
      <c r="N70" s="49">
        <f>AVERAGE('26.07 Busega-Masanafu-24h'!N70,'27.07 Busega-Masanafu-24h'!N70)</f>
        <v>0</v>
      </c>
      <c r="O70" s="49">
        <f>AVERAGE('22.07 Busega-Masanafu'!O70,'23.07 Busega-Masanafu'!O70,'24.07 Busega-Masanafu'!O70,'25.07 Busega-Masanafu'!O70,'26.07 Busega-Masanafu-24h'!O70,'27.07 Busega-Masanafu-24h'!O70,'28.07 Busega-Masanafu'!O70)</f>
        <v>89.5</v>
      </c>
      <c r="P70" s="49">
        <f>AVERAGE('22.07 Busega-Masanafu'!P70,'23.07 Busega-Masanafu'!P70,'24.07 Busega-Masanafu'!P70,'25.07 Busega-Masanafu'!P70,'26.07 Busega-Masanafu-24h'!P70,'27.07 Busega-Masanafu-24h'!P70,'28.07 Busega-Masanafu'!P70)</f>
        <v>149</v>
      </c>
      <c r="R70" s="8"/>
      <c r="T70"/>
    </row>
    <row r="71" spans="2:20" ht="23.1" customHeight="1" x14ac:dyDescent="0.25">
      <c r="B71" s="23" t="s">
        <v>111</v>
      </c>
      <c r="C71" s="49">
        <f>AVERAGE('26.07 Busega-Masanafu-24h'!C71,'27.07 Busega-Masanafu-24h'!C71)</f>
        <v>48</v>
      </c>
      <c r="D71" s="49">
        <f>AVERAGE('26.07 Busega-Masanafu-24h'!D71,'27.07 Busega-Masanafu-24h'!D71)</f>
        <v>1.5</v>
      </c>
      <c r="E71" s="49">
        <f>AVERAGE('26.07 Busega-Masanafu-24h'!E71,'27.07 Busega-Masanafu-24h'!E71)</f>
        <v>9</v>
      </c>
      <c r="F71" s="49">
        <f>AVERAGE('26.07 Busega-Masanafu-24h'!F71,'27.07 Busega-Masanafu-24h'!F71)</f>
        <v>18</v>
      </c>
      <c r="G71" s="49">
        <f>AVERAGE('26.07 Busega-Masanafu-24h'!G71,'27.07 Busega-Masanafu-24h'!G71)</f>
        <v>1</v>
      </c>
      <c r="H71" s="49">
        <f>AVERAGE('26.07 Busega-Masanafu-24h'!H71,'27.07 Busega-Masanafu-24h'!H71)</f>
        <v>2</v>
      </c>
      <c r="I71" s="49">
        <f>AVERAGE('26.07 Busega-Masanafu-24h'!I71,'27.07 Busega-Masanafu-24h'!I71)</f>
        <v>3.5</v>
      </c>
      <c r="J71" s="49">
        <f>AVERAGE('26.07 Busega-Masanafu-24h'!J71,'27.07 Busega-Masanafu-24h'!J71)</f>
        <v>8.5</v>
      </c>
      <c r="K71" s="49">
        <f>AVERAGE('26.07 Busega-Masanafu-24h'!K71,'27.07 Busega-Masanafu-24h'!K71)</f>
        <v>1</v>
      </c>
      <c r="L71" s="49">
        <f>AVERAGE('26.07 Busega-Masanafu-24h'!L71,'27.07 Busega-Masanafu-24h'!L71)</f>
        <v>5.5</v>
      </c>
      <c r="M71" s="49">
        <f>AVERAGE('26.07 Busega-Masanafu-24h'!M71,'27.07 Busega-Masanafu-24h'!M71)</f>
        <v>60.5</v>
      </c>
      <c r="N71" s="49">
        <f>AVERAGE('26.07 Busega-Masanafu-24h'!N71,'27.07 Busega-Masanafu-24h'!N71)</f>
        <v>0</v>
      </c>
      <c r="O71" s="49">
        <f>AVERAGE('22.07 Busega-Masanafu'!O71,'23.07 Busega-Masanafu'!O71,'24.07 Busega-Masanafu'!O71,'25.07 Busega-Masanafu'!O71,'26.07 Busega-Masanafu-24h'!O71,'27.07 Busega-Masanafu-24h'!O71,'28.07 Busega-Masanafu'!O71)</f>
        <v>98</v>
      </c>
      <c r="P71" s="49">
        <f>AVERAGE('22.07 Busega-Masanafu'!P71,'23.07 Busega-Masanafu'!P71,'24.07 Busega-Masanafu'!P71,'25.07 Busega-Masanafu'!P71,'26.07 Busega-Masanafu-24h'!P71,'27.07 Busega-Masanafu-24h'!P71,'28.07 Busega-Masanafu'!P71)</f>
        <v>158.5</v>
      </c>
      <c r="R71" s="8"/>
      <c r="T71"/>
    </row>
    <row r="72" spans="2:20" ht="23.1" customHeight="1" x14ac:dyDescent="0.25">
      <c r="B72" s="23" t="s">
        <v>112</v>
      </c>
      <c r="C72" s="49">
        <f>AVERAGE('26.07 Busega-Masanafu-24h'!C72,'27.07 Busega-Masanafu-24h'!C72)</f>
        <v>42</v>
      </c>
      <c r="D72" s="49">
        <f>AVERAGE('26.07 Busega-Masanafu-24h'!D72,'27.07 Busega-Masanafu-24h'!D72)</f>
        <v>0</v>
      </c>
      <c r="E72" s="49">
        <f>AVERAGE('26.07 Busega-Masanafu-24h'!E72,'27.07 Busega-Masanafu-24h'!E72)</f>
        <v>9.5</v>
      </c>
      <c r="F72" s="49">
        <f>AVERAGE('26.07 Busega-Masanafu-24h'!F72,'27.07 Busega-Masanafu-24h'!F72)</f>
        <v>14.5</v>
      </c>
      <c r="G72" s="49">
        <f>AVERAGE('26.07 Busega-Masanafu-24h'!G72,'27.07 Busega-Masanafu-24h'!G72)</f>
        <v>0.5</v>
      </c>
      <c r="H72" s="49">
        <f>AVERAGE('26.07 Busega-Masanafu-24h'!H72,'27.07 Busega-Masanafu-24h'!H72)</f>
        <v>0</v>
      </c>
      <c r="I72" s="49">
        <f>AVERAGE('26.07 Busega-Masanafu-24h'!I72,'27.07 Busega-Masanafu-24h'!I72)</f>
        <v>7</v>
      </c>
      <c r="J72" s="49">
        <f>AVERAGE('26.07 Busega-Masanafu-24h'!J72,'27.07 Busega-Masanafu-24h'!J72)</f>
        <v>5.5</v>
      </c>
      <c r="K72" s="49">
        <f>AVERAGE('26.07 Busega-Masanafu-24h'!K72,'27.07 Busega-Masanafu-24h'!K72)</f>
        <v>4</v>
      </c>
      <c r="L72" s="49">
        <f>AVERAGE('26.07 Busega-Masanafu-24h'!L72,'27.07 Busega-Masanafu-24h'!L72)</f>
        <v>5</v>
      </c>
      <c r="M72" s="49">
        <f>AVERAGE('26.07 Busega-Masanafu-24h'!M72,'27.07 Busega-Masanafu-24h'!M72)</f>
        <v>48</v>
      </c>
      <c r="N72" s="49">
        <f>AVERAGE('26.07 Busega-Masanafu-24h'!N72,'27.07 Busega-Masanafu-24h'!N72)</f>
        <v>0</v>
      </c>
      <c r="O72" s="49">
        <f>AVERAGE('22.07 Busega-Masanafu'!O72,'23.07 Busega-Masanafu'!O72,'24.07 Busega-Masanafu'!O72,'25.07 Busega-Masanafu'!O72,'26.07 Busega-Masanafu-24h'!O72,'27.07 Busega-Masanafu-24h'!O72,'28.07 Busega-Masanafu'!O72)</f>
        <v>88</v>
      </c>
      <c r="P72" s="49">
        <f>AVERAGE('22.07 Busega-Masanafu'!P72,'23.07 Busega-Masanafu'!P72,'24.07 Busega-Masanafu'!P72,'25.07 Busega-Masanafu'!P72,'26.07 Busega-Masanafu-24h'!P72,'27.07 Busega-Masanafu-24h'!P72,'28.07 Busega-Masanafu'!P72)</f>
        <v>136</v>
      </c>
      <c r="R72" s="8"/>
      <c r="T72"/>
    </row>
    <row r="73" spans="2:20" ht="23.1" customHeight="1" x14ac:dyDescent="0.25">
      <c r="B73" s="23" t="s">
        <v>113</v>
      </c>
      <c r="C73" s="49">
        <f>AVERAGE('26.07 Busega-Masanafu-24h'!C73,'27.07 Busega-Masanafu-24h'!C73)</f>
        <v>55.5</v>
      </c>
      <c r="D73" s="49">
        <f>AVERAGE('26.07 Busega-Masanafu-24h'!D73,'27.07 Busega-Masanafu-24h'!D73)</f>
        <v>3.5</v>
      </c>
      <c r="E73" s="49">
        <f>AVERAGE('26.07 Busega-Masanafu-24h'!E73,'27.07 Busega-Masanafu-24h'!E73)</f>
        <v>10.5</v>
      </c>
      <c r="F73" s="49">
        <f>AVERAGE('26.07 Busega-Masanafu-24h'!F73,'27.07 Busega-Masanafu-24h'!F73)</f>
        <v>19</v>
      </c>
      <c r="G73" s="49">
        <f>AVERAGE('26.07 Busega-Masanafu-24h'!G73,'27.07 Busega-Masanafu-24h'!G73)</f>
        <v>2</v>
      </c>
      <c r="H73" s="49">
        <f>AVERAGE('26.07 Busega-Masanafu-24h'!H73,'27.07 Busega-Masanafu-24h'!H73)</f>
        <v>0</v>
      </c>
      <c r="I73" s="49">
        <f>AVERAGE('26.07 Busega-Masanafu-24h'!I73,'27.07 Busega-Masanafu-24h'!I73)</f>
        <v>4</v>
      </c>
      <c r="J73" s="49">
        <f>AVERAGE('26.07 Busega-Masanafu-24h'!J73,'27.07 Busega-Masanafu-24h'!J73)</f>
        <v>5.5</v>
      </c>
      <c r="K73" s="49">
        <f>AVERAGE('26.07 Busega-Masanafu-24h'!K73,'27.07 Busega-Masanafu-24h'!K73)</f>
        <v>1.5</v>
      </c>
      <c r="L73" s="49">
        <f>AVERAGE('26.07 Busega-Masanafu-24h'!L73,'27.07 Busega-Masanafu-24h'!L73)</f>
        <v>4</v>
      </c>
      <c r="M73" s="49">
        <f>AVERAGE('26.07 Busega-Masanafu-24h'!M73,'27.07 Busega-Masanafu-24h'!M73)</f>
        <v>54.5</v>
      </c>
      <c r="N73" s="49">
        <f>AVERAGE('26.07 Busega-Masanafu-24h'!N73,'27.07 Busega-Masanafu-24h'!N73)</f>
        <v>0</v>
      </c>
      <c r="O73" s="49">
        <f>AVERAGE('22.07 Busega-Masanafu'!O73,'23.07 Busega-Masanafu'!O73,'24.07 Busega-Masanafu'!O73,'25.07 Busega-Masanafu'!O73,'26.07 Busega-Masanafu-24h'!O73,'27.07 Busega-Masanafu-24h'!O73,'28.07 Busega-Masanafu'!O73)</f>
        <v>105.5</v>
      </c>
      <c r="P73" s="49">
        <f>AVERAGE('22.07 Busega-Masanafu'!P73,'23.07 Busega-Masanafu'!P73,'24.07 Busega-Masanafu'!P73,'25.07 Busega-Masanafu'!P73,'26.07 Busega-Masanafu-24h'!P73,'27.07 Busega-Masanafu-24h'!P73,'28.07 Busega-Masanafu'!P73)</f>
        <v>160</v>
      </c>
      <c r="R73" s="8"/>
      <c r="T73"/>
    </row>
    <row r="74" spans="2:20" ht="23.1" customHeight="1" x14ac:dyDescent="0.25">
      <c r="B74" s="23" t="s">
        <v>114</v>
      </c>
      <c r="C74" s="49">
        <f>AVERAGE('26.07 Busega-Masanafu-24h'!C74,'27.07 Busega-Masanafu-24h'!C74)</f>
        <v>35.5</v>
      </c>
      <c r="D74" s="49">
        <f>AVERAGE('26.07 Busega-Masanafu-24h'!D74,'27.07 Busega-Masanafu-24h'!D74)</f>
        <v>1.5</v>
      </c>
      <c r="E74" s="49">
        <f>AVERAGE('26.07 Busega-Masanafu-24h'!E74,'27.07 Busega-Masanafu-24h'!E74)</f>
        <v>5.5</v>
      </c>
      <c r="F74" s="49">
        <f>AVERAGE('26.07 Busega-Masanafu-24h'!F74,'27.07 Busega-Masanafu-24h'!F74)</f>
        <v>12.5</v>
      </c>
      <c r="G74" s="49">
        <f>AVERAGE('26.07 Busega-Masanafu-24h'!G74,'27.07 Busega-Masanafu-24h'!G74)</f>
        <v>0.5</v>
      </c>
      <c r="H74" s="49">
        <f>AVERAGE('26.07 Busega-Masanafu-24h'!H74,'27.07 Busega-Masanafu-24h'!H74)</f>
        <v>0.5</v>
      </c>
      <c r="I74" s="49">
        <f>AVERAGE('26.07 Busega-Masanafu-24h'!I74,'27.07 Busega-Masanafu-24h'!I74)</f>
        <v>4</v>
      </c>
      <c r="J74" s="49">
        <f>AVERAGE('26.07 Busega-Masanafu-24h'!J74,'27.07 Busega-Masanafu-24h'!J74)</f>
        <v>3</v>
      </c>
      <c r="K74" s="49">
        <f>AVERAGE('26.07 Busega-Masanafu-24h'!K74,'27.07 Busega-Masanafu-24h'!K74)</f>
        <v>3</v>
      </c>
      <c r="L74" s="49">
        <f>AVERAGE('26.07 Busega-Masanafu-24h'!L74,'27.07 Busega-Masanafu-24h'!L74)</f>
        <v>2</v>
      </c>
      <c r="M74" s="49">
        <f>AVERAGE('26.07 Busega-Masanafu-24h'!M74,'27.07 Busega-Masanafu-24h'!M74)</f>
        <v>46.5</v>
      </c>
      <c r="N74" s="49">
        <f>AVERAGE('26.07 Busega-Masanafu-24h'!N74,'27.07 Busega-Masanafu-24h'!N74)</f>
        <v>0</v>
      </c>
      <c r="O74" s="49">
        <f>AVERAGE('22.07 Busega-Masanafu'!O74,'23.07 Busega-Masanafu'!O74,'24.07 Busega-Masanafu'!O74,'25.07 Busega-Masanafu'!O74,'26.07 Busega-Masanafu-24h'!O74,'27.07 Busega-Masanafu-24h'!O74,'28.07 Busega-Masanafu'!O74)</f>
        <v>68</v>
      </c>
      <c r="P74" s="49">
        <f>AVERAGE('22.07 Busega-Masanafu'!P74,'23.07 Busega-Masanafu'!P74,'24.07 Busega-Masanafu'!P74,'25.07 Busega-Masanafu'!P74,'26.07 Busega-Masanafu-24h'!P74,'27.07 Busega-Masanafu-24h'!P74,'28.07 Busega-Masanafu'!P74)</f>
        <v>114.5</v>
      </c>
      <c r="R74" s="8"/>
      <c r="T74"/>
    </row>
    <row r="75" spans="2:20" ht="23.1" customHeight="1" x14ac:dyDescent="0.25">
      <c r="B75" s="23" t="s">
        <v>115</v>
      </c>
      <c r="C75" s="49">
        <f>AVERAGE('26.07 Busega-Masanafu-24h'!C75,'27.07 Busega-Masanafu-24h'!C75)</f>
        <v>26</v>
      </c>
      <c r="D75" s="49">
        <f>AVERAGE('26.07 Busega-Masanafu-24h'!D75,'27.07 Busega-Masanafu-24h'!D75)</f>
        <v>4</v>
      </c>
      <c r="E75" s="49">
        <f>AVERAGE('26.07 Busega-Masanafu-24h'!E75,'27.07 Busega-Masanafu-24h'!E75)</f>
        <v>5</v>
      </c>
      <c r="F75" s="49">
        <f>AVERAGE('26.07 Busega-Masanafu-24h'!F75,'27.07 Busega-Masanafu-24h'!F75)</f>
        <v>12</v>
      </c>
      <c r="G75" s="49">
        <f>AVERAGE('26.07 Busega-Masanafu-24h'!G75,'27.07 Busega-Masanafu-24h'!G75)</f>
        <v>2</v>
      </c>
      <c r="H75" s="49">
        <f>AVERAGE('26.07 Busega-Masanafu-24h'!H75,'27.07 Busega-Masanafu-24h'!H75)</f>
        <v>0</v>
      </c>
      <c r="I75" s="49">
        <f>AVERAGE('26.07 Busega-Masanafu-24h'!I75,'27.07 Busega-Masanafu-24h'!I75)</f>
        <v>3</v>
      </c>
      <c r="J75" s="49">
        <f>AVERAGE('26.07 Busega-Masanafu-24h'!J75,'27.07 Busega-Masanafu-24h'!J75)</f>
        <v>3.5</v>
      </c>
      <c r="K75" s="49">
        <f>AVERAGE('26.07 Busega-Masanafu-24h'!K75,'27.07 Busega-Masanafu-24h'!K75)</f>
        <v>8.5</v>
      </c>
      <c r="L75" s="49">
        <f>AVERAGE('26.07 Busega-Masanafu-24h'!L75,'27.07 Busega-Masanafu-24h'!L75)</f>
        <v>1.5</v>
      </c>
      <c r="M75" s="49">
        <f>AVERAGE('26.07 Busega-Masanafu-24h'!M75,'27.07 Busega-Masanafu-24h'!M75)</f>
        <v>38.5</v>
      </c>
      <c r="N75" s="49">
        <f>AVERAGE('26.07 Busega-Masanafu-24h'!N75,'27.07 Busega-Masanafu-24h'!N75)</f>
        <v>0</v>
      </c>
      <c r="O75" s="49">
        <f>AVERAGE('22.07 Busega-Masanafu'!O75,'23.07 Busega-Masanafu'!O75,'24.07 Busega-Masanafu'!O75,'25.07 Busega-Masanafu'!O75,'26.07 Busega-Masanafu-24h'!O75,'27.07 Busega-Masanafu-24h'!O75,'28.07 Busega-Masanafu'!O75)</f>
        <v>65.5</v>
      </c>
      <c r="P75" s="49">
        <f>AVERAGE('22.07 Busega-Masanafu'!P75,'23.07 Busega-Masanafu'!P75,'24.07 Busega-Masanafu'!P75,'25.07 Busega-Masanafu'!P75,'26.07 Busega-Masanafu-24h'!P75,'27.07 Busega-Masanafu-24h'!P75,'28.07 Busega-Masanafu'!P75)</f>
        <v>104</v>
      </c>
      <c r="R75" s="8"/>
      <c r="T75"/>
    </row>
    <row r="76" spans="2:20" ht="23.1" customHeight="1" x14ac:dyDescent="0.25">
      <c r="B76" s="23" t="s">
        <v>116</v>
      </c>
      <c r="C76" s="49">
        <f>AVERAGE('26.07 Busega-Masanafu-24h'!C76,'27.07 Busega-Masanafu-24h'!C76)</f>
        <v>26.5</v>
      </c>
      <c r="D76" s="49">
        <f>AVERAGE('26.07 Busega-Masanafu-24h'!D76,'27.07 Busega-Masanafu-24h'!D76)</f>
        <v>1.5</v>
      </c>
      <c r="E76" s="49">
        <f>AVERAGE('26.07 Busega-Masanafu-24h'!E76,'27.07 Busega-Masanafu-24h'!E76)</f>
        <v>6.5</v>
      </c>
      <c r="F76" s="49">
        <f>AVERAGE('26.07 Busega-Masanafu-24h'!F76,'27.07 Busega-Masanafu-24h'!F76)</f>
        <v>11</v>
      </c>
      <c r="G76" s="49">
        <f>AVERAGE('26.07 Busega-Masanafu-24h'!G76,'27.07 Busega-Masanafu-24h'!G76)</f>
        <v>1.5</v>
      </c>
      <c r="H76" s="49">
        <f>AVERAGE('26.07 Busega-Masanafu-24h'!H76,'27.07 Busega-Masanafu-24h'!H76)</f>
        <v>0.5</v>
      </c>
      <c r="I76" s="49">
        <f>AVERAGE('26.07 Busega-Masanafu-24h'!I76,'27.07 Busega-Masanafu-24h'!I76)</f>
        <v>7</v>
      </c>
      <c r="J76" s="49">
        <f>AVERAGE('26.07 Busega-Masanafu-24h'!J76,'27.07 Busega-Masanafu-24h'!J76)</f>
        <v>1</v>
      </c>
      <c r="K76" s="49">
        <f>AVERAGE('26.07 Busega-Masanafu-24h'!K76,'27.07 Busega-Masanafu-24h'!K76)</f>
        <v>3</v>
      </c>
      <c r="L76" s="49">
        <f>AVERAGE('26.07 Busega-Masanafu-24h'!L76,'27.07 Busega-Masanafu-24h'!L76)</f>
        <v>0</v>
      </c>
      <c r="M76" s="49">
        <f>AVERAGE('26.07 Busega-Masanafu-24h'!M76,'27.07 Busega-Masanafu-24h'!M76)</f>
        <v>47.5</v>
      </c>
      <c r="N76" s="49">
        <f>AVERAGE('26.07 Busega-Masanafu-24h'!N76,'27.07 Busega-Masanafu-24h'!N76)</f>
        <v>0</v>
      </c>
      <c r="O76" s="49">
        <f>AVERAGE('22.07 Busega-Masanafu'!O76,'23.07 Busega-Masanafu'!O76,'24.07 Busega-Masanafu'!O76,'25.07 Busega-Masanafu'!O76,'26.07 Busega-Masanafu-24h'!O76,'27.07 Busega-Masanafu-24h'!O76,'28.07 Busega-Masanafu'!O76)</f>
        <v>58.5</v>
      </c>
      <c r="P76" s="49">
        <f>AVERAGE('22.07 Busega-Masanafu'!P76,'23.07 Busega-Masanafu'!P76,'24.07 Busega-Masanafu'!P76,'25.07 Busega-Masanafu'!P76,'26.07 Busega-Masanafu-24h'!P76,'27.07 Busega-Masanafu-24h'!P76,'28.07 Busega-Masanafu'!P76)</f>
        <v>106</v>
      </c>
      <c r="R76" s="8"/>
      <c r="T76"/>
    </row>
    <row r="77" spans="2:20" ht="23.1" customHeight="1" x14ac:dyDescent="0.25">
      <c r="B77" s="23" t="s">
        <v>117</v>
      </c>
      <c r="C77" s="49">
        <f>AVERAGE('26.07 Busega-Masanafu-24h'!C77,'27.07 Busega-Masanafu-24h'!C77)</f>
        <v>22.5</v>
      </c>
      <c r="D77" s="49">
        <f>AVERAGE('26.07 Busega-Masanafu-24h'!D77,'27.07 Busega-Masanafu-24h'!D77)</f>
        <v>2.5</v>
      </c>
      <c r="E77" s="49">
        <f>AVERAGE('26.07 Busega-Masanafu-24h'!E77,'27.07 Busega-Masanafu-24h'!E77)</f>
        <v>3</v>
      </c>
      <c r="F77" s="49">
        <f>AVERAGE('26.07 Busega-Masanafu-24h'!F77,'27.07 Busega-Masanafu-24h'!F77)</f>
        <v>8</v>
      </c>
      <c r="G77" s="49">
        <f>AVERAGE('26.07 Busega-Masanafu-24h'!G77,'27.07 Busega-Masanafu-24h'!G77)</f>
        <v>3.5</v>
      </c>
      <c r="H77" s="49">
        <f>AVERAGE('26.07 Busega-Masanafu-24h'!H77,'27.07 Busega-Masanafu-24h'!H77)</f>
        <v>0</v>
      </c>
      <c r="I77" s="49">
        <f>AVERAGE('26.07 Busega-Masanafu-24h'!I77,'27.07 Busega-Masanafu-24h'!I77)</f>
        <v>6.5</v>
      </c>
      <c r="J77" s="49">
        <f>AVERAGE('26.07 Busega-Masanafu-24h'!J77,'27.07 Busega-Masanafu-24h'!J77)</f>
        <v>5</v>
      </c>
      <c r="K77" s="49">
        <f>AVERAGE('26.07 Busega-Masanafu-24h'!K77,'27.07 Busega-Masanafu-24h'!K77)</f>
        <v>5</v>
      </c>
      <c r="L77" s="49">
        <f>AVERAGE('26.07 Busega-Masanafu-24h'!L77,'27.07 Busega-Masanafu-24h'!L77)</f>
        <v>1.5</v>
      </c>
      <c r="M77" s="49">
        <f>AVERAGE('26.07 Busega-Masanafu-24h'!M77,'27.07 Busega-Masanafu-24h'!M77)</f>
        <v>42</v>
      </c>
      <c r="N77" s="49">
        <f>AVERAGE('26.07 Busega-Masanafu-24h'!N77,'27.07 Busega-Masanafu-24h'!N77)</f>
        <v>0</v>
      </c>
      <c r="O77" s="49">
        <f>AVERAGE('22.07 Busega-Masanafu'!O77,'23.07 Busega-Masanafu'!O77,'24.07 Busega-Masanafu'!O77,'25.07 Busega-Masanafu'!O77,'26.07 Busega-Masanafu-24h'!O77,'27.07 Busega-Masanafu-24h'!O77,'28.07 Busega-Masanafu'!O77)</f>
        <v>57.5</v>
      </c>
      <c r="P77" s="49">
        <f>AVERAGE('22.07 Busega-Masanafu'!P77,'23.07 Busega-Masanafu'!P77,'24.07 Busega-Masanafu'!P77,'25.07 Busega-Masanafu'!P77,'26.07 Busega-Masanafu-24h'!P77,'27.07 Busega-Masanafu-24h'!P77,'28.07 Busega-Masanafu'!P77)</f>
        <v>99.5</v>
      </c>
      <c r="R77" s="8"/>
      <c r="T77"/>
    </row>
    <row r="78" spans="2:20" ht="23.1" customHeight="1" x14ac:dyDescent="0.25">
      <c r="B78" s="24" t="s">
        <v>118</v>
      </c>
      <c r="C78" s="49">
        <f>AVERAGE('26.07 Busega-Masanafu-24h'!C78,'27.07 Busega-Masanafu-24h'!C78)</f>
        <v>20</v>
      </c>
      <c r="D78" s="49">
        <f>AVERAGE('26.07 Busega-Masanafu-24h'!D78,'27.07 Busega-Masanafu-24h'!D78)</f>
        <v>1.5</v>
      </c>
      <c r="E78" s="49">
        <f>AVERAGE('26.07 Busega-Masanafu-24h'!E78,'27.07 Busega-Masanafu-24h'!E78)</f>
        <v>5.5</v>
      </c>
      <c r="F78" s="49">
        <f>AVERAGE('26.07 Busega-Masanafu-24h'!F78,'27.07 Busega-Masanafu-24h'!F78)</f>
        <v>3</v>
      </c>
      <c r="G78" s="49">
        <f>AVERAGE('26.07 Busega-Masanafu-24h'!G78,'27.07 Busega-Masanafu-24h'!G78)</f>
        <v>0.5</v>
      </c>
      <c r="H78" s="49">
        <f>AVERAGE('26.07 Busega-Masanafu-24h'!H78,'27.07 Busega-Masanafu-24h'!H78)</f>
        <v>0.5</v>
      </c>
      <c r="I78" s="49">
        <f>AVERAGE('26.07 Busega-Masanafu-24h'!I78,'27.07 Busega-Masanafu-24h'!I78)</f>
        <v>2.5</v>
      </c>
      <c r="J78" s="49">
        <f>AVERAGE('26.07 Busega-Masanafu-24h'!J78,'27.07 Busega-Masanafu-24h'!J78)</f>
        <v>4.5</v>
      </c>
      <c r="K78" s="49">
        <f>AVERAGE('26.07 Busega-Masanafu-24h'!K78,'27.07 Busega-Masanafu-24h'!K78)</f>
        <v>4.5</v>
      </c>
      <c r="L78" s="49">
        <f>AVERAGE('26.07 Busega-Masanafu-24h'!L78,'27.07 Busega-Masanafu-24h'!L78)</f>
        <v>3.5</v>
      </c>
      <c r="M78" s="49">
        <f>AVERAGE('26.07 Busega-Masanafu-24h'!M78,'27.07 Busega-Masanafu-24h'!M78)</f>
        <v>23</v>
      </c>
      <c r="N78" s="49">
        <f>AVERAGE('26.07 Busega-Masanafu-24h'!N78,'27.07 Busega-Masanafu-24h'!N78)</f>
        <v>0</v>
      </c>
      <c r="O78" s="49">
        <f>AVERAGE('22.07 Busega-Masanafu'!O78,'23.07 Busega-Masanafu'!O78,'24.07 Busega-Masanafu'!O78,'25.07 Busega-Masanafu'!O78,'26.07 Busega-Masanafu-24h'!O78,'27.07 Busega-Masanafu-24h'!O78,'28.07 Busega-Masanafu'!O78)</f>
        <v>46</v>
      </c>
      <c r="P78" s="49">
        <f>AVERAGE('22.07 Busega-Masanafu'!P78,'23.07 Busega-Masanafu'!P78,'24.07 Busega-Masanafu'!P78,'25.07 Busega-Masanafu'!P78,'26.07 Busega-Masanafu-24h'!P78,'27.07 Busega-Masanafu-24h'!P78,'28.07 Busega-Masanafu'!P78)</f>
        <v>69</v>
      </c>
      <c r="R78" s="8"/>
      <c r="T78"/>
    </row>
    <row r="79" spans="2:20" ht="23.1" customHeight="1" x14ac:dyDescent="0.25">
      <c r="B79" s="23" t="s">
        <v>119</v>
      </c>
      <c r="C79" s="49">
        <f>AVERAGE('26.07 Busega-Masanafu-24h'!C79,'27.07 Busega-Masanafu-24h'!C79)</f>
        <v>28</v>
      </c>
      <c r="D79" s="49">
        <f>AVERAGE('26.07 Busega-Masanafu-24h'!D79,'27.07 Busega-Masanafu-24h'!D79)</f>
        <v>1.5</v>
      </c>
      <c r="E79" s="49">
        <f>AVERAGE('26.07 Busega-Masanafu-24h'!E79,'27.07 Busega-Masanafu-24h'!E79)</f>
        <v>1.5</v>
      </c>
      <c r="F79" s="49">
        <f>AVERAGE('26.07 Busega-Masanafu-24h'!F79,'27.07 Busega-Masanafu-24h'!F79)</f>
        <v>5</v>
      </c>
      <c r="G79" s="49">
        <f>AVERAGE('26.07 Busega-Masanafu-24h'!G79,'27.07 Busega-Masanafu-24h'!G79)</f>
        <v>1</v>
      </c>
      <c r="H79" s="49">
        <f>AVERAGE('26.07 Busega-Masanafu-24h'!H79,'27.07 Busega-Masanafu-24h'!H79)</f>
        <v>0</v>
      </c>
      <c r="I79" s="49">
        <f>AVERAGE('26.07 Busega-Masanafu-24h'!I79,'27.07 Busega-Masanafu-24h'!I79)</f>
        <v>5.5</v>
      </c>
      <c r="J79" s="49">
        <f>AVERAGE('26.07 Busega-Masanafu-24h'!J79,'27.07 Busega-Masanafu-24h'!J79)</f>
        <v>6</v>
      </c>
      <c r="K79" s="49">
        <f>AVERAGE('26.07 Busega-Masanafu-24h'!K79,'27.07 Busega-Masanafu-24h'!K79)</f>
        <v>3</v>
      </c>
      <c r="L79" s="49">
        <f>AVERAGE('26.07 Busega-Masanafu-24h'!L79,'27.07 Busega-Masanafu-24h'!L79)</f>
        <v>2</v>
      </c>
      <c r="M79" s="49">
        <f>AVERAGE('26.07 Busega-Masanafu-24h'!M79,'27.07 Busega-Masanafu-24h'!M79)</f>
        <v>21.5</v>
      </c>
      <c r="N79" s="49">
        <f>AVERAGE('26.07 Busega-Masanafu-24h'!N79,'27.07 Busega-Masanafu-24h'!N79)</f>
        <v>0</v>
      </c>
      <c r="O79" s="49">
        <f>AVERAGE('22.07 Busega-Masanafu'!O79,'23.07 Busega-Masanafu'!O79,'24.07 Busega-Masanafu'!O79,'25.07 Busega-Masanafu'!O79,'26.07 Busega-Masanafu-24h'!O79,'27.07 Busega-Masanafu-24h'!O79,'28.07 Busega-Masanafu'!O79)</f>
        <v>53.5</v>
      </c>
      <c r="P79" s="49">
        <f>AVERAGE('22.07 Busega-Masanafu'!P79,'23.07 Busega-Masanafu'!P79,'24.07 Busega-Masanafu'!P79,'25.07 Busega-Masanafu'!P79,'26.07 Busega-Masanafu-24h'!P79,'27.07 Busega-Masanafu-24h'!P79,'28.07 Busega-Masanafu'!P79)</f>
        <v>75</v>
      </c>
      <c r="R79" s="8"/>
      <c r="T79"/>
    </row>
    <row r="80" spans="2:20" ht="23.1" customHeight="1" x14ac:dyDescent="0.25">
      <c r="B80" s="25" t="s">
        <v>120</v>
      </c>
      <c r="C80" s="49">
        <f>AVERAGE('26.07 Busega-Masanafu-24h'!C80,'27.07 Busega-Masanafu-24h'!C80)</f>
        <v>18</v>
      </c>
      <c r="D80" s="49">
        <f>AVERAGE('26.07 Busega-Masanafu-24h'!D80,'27.07 Busega-Masanafu-24h'!D80)</f>
        <v>3.5</v>
      </c>
      <c r="E80" s="49">
        <f>AVERAGE('26.07 Busega-Masanafu-24h'!E80,'27.07 Busega-Masanafu-24h'!E80)</f>
        <v>3.5</v>
      </c>
      <c r="F80" s="49">
        <f>AVERAGE('26.07 Busega-Masanafu-24h'!F80,'27.07 Busega-Masanafu-24h'!F80)</f>
        <v>3.5</v>
      </c>
      <c r="G80" s="49">
        <f>AVERAGE('26.07 Busega-Masanafu-24h'!G80,'27.07 Busega-Masanafu-24h'!G80)</f>
        <v>0</v>
      </c>
      <c r="H80" s="49">
        <f>AVERAGE('26.07 Busega-Masanafu-24h'!H80,'27.07 Busega-Masanafu-24h'!H80)</f>
        <v>0</v>
      </c>
      <c r="I80" s="49">
        <f>AVERAGE('26.07 Busega-Masanafu-24h'!I80,'27.07 Busega-Masanafu-24h'!I80)</f>
        <v>5</v>
      </c>
      <c r="J80" s="49">
        <f>AVERAGE('26.07 Busega-Masanafu-24h'!J80,'27.07 Busega-Masanafu-24h'!J80)</f>
        <v>3.5</v>
      </c>
      <c r="K80" s="49">
        <f>AVERAGE('26.07 Busega-Masanafu-24h'!K80,'27.07 Busega-Masanafu-24h'!K80)</f>
        <v>3</v>
      </c>
      <c r="L80" s="49">
        <f>AVERAGE('26.07 Busega-Masanafu-24h'!L80,'27.07 Busega-Masanafu-24h'!L80)</f>
        <v>1</v>
      </c>
      <c r="M80" s="49">
        <f>AVERAGE('26.07 Busega-Masanafu-24h'!M80,'27.07 Busega-Masanafu-24h'!M80)</f>
        <v>14.5</v>
      </c>
      <c r="N80" s="49">
        <f>AVERAGE('26.07 Busega-Masanafu-24h'!N80,'27.07 Busega-Masanafu-24h'!N80)</f>
        <v>0</v>
      </c>
      <c r="O80" s="49">
        <f>AVERAGE('22.07 Busega-Masanafu'!O80,'23.07 Busega-Masanafu'!O80,'24.07 Busega-Masanafu'!O80,'25.07 Busega-Masanafu'!O80,'26.07 Busega-Masanafu-24h'!O80,'27.07 Busega-Masanafu-24h'!O80,'28.07 Busega-Masanafu'!O80)</f>
        <v>41</v>
      </c>
      <c r="P80" s="49">
        <f>AVERAGE('22.07 Busega-Masanafu'!P80,'23.07 Busega-Masanafu'!P80,'24.07 Busega-Masanafu'!P80,'25.07 Busega-Masanafu'!P80,'26.07 Busega-Masanafu-24h'!P80,'27.07 Busega-Masanafu-24h'!P80,'28.07 Busega-Masanafu'!P80)</f>
        <v>55.5</v>
      </c>
      <c r="R80" s="8"/>
      <c r="T80"/>
    </row>
    <row r="81" spans="2:20" ht="23.1" customHeight="1" x14ac:dyDescent="0.25">
      <c r="B81" s="23" t="s">
        <v>121</v>
      </c>
      <c r="C81" s="49">
        <f>AVERAGE('26.07 Busega-Masanafu-24h'!C81,'27.07 Busega-Masanafu-24h'!C81)</f>
        <v>15.5</v>
      </c>
      <c r="D81" s="49">
        <f>AVERAGE('26.07 Busega-Masanafu-24h'!D81,'27.07 Busega-Masanafu-24h'!D81)</f>
        <v>0.5</v>
      </c>
      <c r="E81" s="49">
        <f>AVERAGE('26.07 Busega-Masanafu-24h'!E81,'27.07 Busega-Masanafu-24h'!E81)</f>
        <v>2.5</v>
      </c>
      <c r="F81" s="49">
        <f>AVERAGE('26.07 Busega-Masanafu-24h'!F81,'27.07 Busega-Masanafu-24h'!F81)</f>
        <v>3</v>
      </c>
      <c r="G81" s="49">
        <f>AVERAGE('26.07 Busega-Masanafu-24h'!G81,'27.07 Busega-Masanafu-24h'!G81)</f>
        <v>0</v>
      </c>
      <c r="H81" s="49">
        <f>AVERAGE('26.07 Busega-Masanafu-24h'!H81,'27.07 Busega-Masanafu-24h'!H81)</f>
        <v>0.5</v>
      </c>
      <c r="I81" s="49">
        <f>AVERAGE('26.07 Busega-Masanafu-24h'!I81,'27.07 Busega-Masanafu-24h'!I81)</f>
        <v>6</v>
      </c>
      <c r="J81" s="49">
        <f>AVERAGE('26.07 Busega-Masanafu-24h'!J81,'27.07 Busega-Masanafu-24h'!J81)</f>
        <v>2</v>
      </c>
      <c r="K81" s="49">
        <f>AVERAGE('26.07 Busega-Masanafu-24h'!K81,'27.07 Busega-Masanafu-24h'!K81)</f>
        <v>7.5</v>
      </c>
      <c r="L81" s="49">
        <f>AVERAGE('26.07 Busega-Masanafu-24h'!L81,'27.07 Busega-Masanafu-24h'!L81)</f>
        <v>2.5</v>
      </c>
      <c r="M81" s="49">
        <f>AVERAGE('26.07 Busega-Masanafu-24h'!M81,'27.07 Busega-Masanafu-24h'!M81)</f>
        <v>14.5</v>
      </c>
      <c r="N81" s="49">
        <f>AVERAGE('26.07 Busega-Masanafu-24h'!N81,'27.07 Busega-Masanafu-24h'!N81)</f>
        <v>0</v>
      </c>
      <c r="O81" s="49">
        <f>AVERAGE('22.07 Busega-Masanafu'!O81,'23.07 Busega-Masanafu'!O81,'24.07 Busega-Masanafu'!O81,'25.07 Busega-Masanafu'!O81,'26.07 Busega-Masanafu-24h'!O81,'27.07 Busega-Masanafu-24h'!O81,'28.07 Busega-Masanafu'!O81)</f>
        <v>40</v>
      </c>
      <c r="P81" s="49">
        <f>AVERAGE('22.07 Busega-Masanafu'!P81,'23.07 Busega-Masanafu'!P81,'24.07 Busega-Masanafu'!P81,'25.07 Busega-Masanafu'!P81,'26.07 Busega-Masanafu-24h'!P81,'27.07 Busega-Masanafu-24h'!P81,'28.07 Busega-Masanafu'!P81)</f>
        <v>54.5</v>
      </c>
      <c r="R81" s="8"/>
      <c r="T81"/>
    </row>
    <row r="82" spans="2:20" ht="23.1" customHeight="1" x14ac:dyDescent="0.25">
      <c r="B82" s="24" t="s">
        <v>122</v>
      </c>
      <c r="C82" s="49">
        <f>AVERAGE('26.07 Busega-Masanafu-24h'!C82,'27.07 Busega-Masanafu-24h'!C82)</f>
        <v>14</v>
      </c>
      <c r="D82" s="49">
        <f>AVERAGE('26.07 Busega-Masanafu-24h'!D82,'27.07 Busega-Masanafu-24h'!D82)</f>
        <v>1</v>
      </c>
      <c r="E82" s="49">
        <f>AVERAGE('26.07 Busega-Masanafu-24h'!E82,'27.07 Busega-Masanafu-24h'!E82)</f>
        <v>4.5</v>
      </c>
      <c r="F82" s="49">
        <f>AVERAGE('26.07 Busega-Masanafu-24h'!F82,'27.07 Busega-Masanafu-24h'!F82)</f>
        <v>3.5</v>
      </c>
      <c r="G82" s="49">
        <f>AVERAGE('26.07 Busega-Masanafu-24h'!G82,'27.07 Busega-Masanafu-24h'!G82)</f>
        <v>0.5</v>
      </c>
      <c r="H82" s="49">
        <f>AVERAGE('26.07 Busega-Masanafu-24h'!H82,'27.07 Busega-Masanafu-24h'!H82)</f>
        <v>0</v>
      </c>
      <c r="I82" s="49">
        <f>AVERAGE('26.07 Busega-Masanafu-24h'!I82,'27.07 Busega-Masanafu-24h'!I82)</f>
        <v>6</v>
      </c>
      <c r="J82" s="49">
        <f>AVERAGE('26.07 Busega-Masanafu-24h'!J82,'27.07 Busega-Masanafu-24h'!J82)</f>
        <v>3</v>
      </c>
      <c r="K82" s="49">
        <f>AVERAGE('26.07 Busega-Masanafu-24h'!K82,'27.07 Busega-Masanafu-24h'!K82)</f>
        <v>7.5</v>
      </c>
      <c r="L82" s="49">
        <f>AVERAGE('26.07 Busega-Masanafu-24h'!L82,'27.07 Busega-Masanafu-24h'!L82)</f>
        <v>5</v>
      </c>
      <c r="M82" s="49">
        <f>AVERAGE('26.07 Busega-Masanafu-24h'!M82,'27.07 Busega-Masanafu-24h'!M82)</f>
        <v>14</v>
      </c>
      <c r="N82" s="49">
        <f>AVERAGE('26.07 Busega-Masanafu-24h'!N82,'27.07 Busega-Masanafu-24h'!N82)</f>
        <v>0</v>
      </c>
      <c r="O82" s="49">
        <f>AVERAGE('22.07 Busega-Masanafu'!O82,'23.07 Busega-Masanafu'!O82,'24.07 Busega-Masanafu'!O82,'25.07 Busega-Masanafu'!O82,'26.07 Busega-Masanafu-24h'!O82,'27.07 Busega-Masanafu-24h'!O82,'28.07 Busega-Masanafu'!O82)</f>
        <v>45</v>
      </c>
      <c r="P82" s="49">
        <f>AVERAGE('22.07 Busega-Masanafu'!P82,'23.07 Busega-Masanafu'!P82,'24.07 Busega-Masanafu'!P82,'25.07 Busega-Masanafu'!P82,'26.07 Busega-Masanafu-24h'!P82,'27.07 Busega-Masanafu-24h'!P82,'28.07 Busega-Masanafu'!P82)</f>
        <v>59</v>
      </c>
      <c r="R82" s="8"/>
      <c r="T82"/>
    </row>
    <row r="83" spans="2:20" ht="23.1" customHeight="1" x14ac:dyDescent="0.25">
      <c r="B83" s="23" t="s">
        <v>123</v>
      </c>
      <c r="C83" s="49">
        <f>AVERAGE('26.07 Busega-Masanafu-24h'!C83,'27.07 Busega-Masanafu-24h'!C83)</f>
        <v>10.5</v>
      </c>
      <c r="D83" s="49">
        <f>AVERAGE('26.07 Busega-Masanafu-24h'!D83,'27.07 Busega-Masanafu-24h'!D83)</f>
        <v>2</v>
      </c>
      <c r="E83" s="49">
        <f>AVERAGE('26.07 Busega-Masanafu-24h'!E83,'27.07 Busega-Masanafu-24h'!E83)</f>
        <v>2.5</v>
      </c>
      <c r="F83" s="49">
        <f>AVERAGE('26.07 Busega-Masanafu-24h'!F83,'27.07 Busega-Masanafu-24h'!F83)</f>
        <v>4.5</v>
      </c>
      <c r="G83" s="49">
        <f>AVERAGE('26.07 Busega-Masanafu-24h'!G83,'27.07 Busega-Masanafu-24h'!G83)</f>
        <v>0</v>
      </c>
      <c r="H83" s="49">
        <f>AVERAGE('26.07 Busega-Masanafu-24h'!H83,'27.07 Busega-Masanafu-24h'!H83)</f>
        <v>0</v>
      </c>
      <c r="I83" s="49">
        <f>AVERAGE('26.07 Busega-Masanafu-24h'!I83,'27.07 Busega-Masanafu-24h'!I83)</f>
        <v>5.5</v>
      </c>
      <c r="J83" s="49">
        <f>AVERAGE('26.07 Busega-Masanafu-24h'!J83,'27.07 Busega-Masanafu-24h'!J83)</f>
        <v>0.5</v>
      </c>
      <c r="K83" s="49">
        <f>AVERAGE('26.07 Busega-Masanafu-24h'!K83,'27.07 Busega-Masanafu-24h'!K83)</f>
        <v>2.5</v>
      </c>
      <c r="L83" s="49">
        <f>AVERAGE('26.07 Busega-Masanafu-24h'!L83,'27.07 Busega-Masanafu-24h'!L83)</f>
        <v>2</v>
      </c>
      <c r="M83" s="49">
        <f>AVERAGE('26.07 Busega-Masanafu-24h'!M83,'27.07 Busega-Masanafu-24h'!M83)</f>
        <v>10.5</v>
      </c>
      <c r="N83" s="49">
        <f>AVERAGE('26.07 Busega-Masanafu-24h'!N83,'27.07 Busega-Masanafu-24h'!N83)</f>
        <v>0</v>
      </c>
      <c r="O83" s="49">
        <f>AVERAGE('22.07 Busega-Masanafu'!O83,'23.07 Busega-Masanafu'!O83,'24.07 Busega-Masanafu'!O83,'25.07 Busega-Masanafu'!O83,'26.07 Busega-Masanafu-24h'!O83,'27.07 Busega-Masanafu-24h'!O83,'28.07 Busega-Masanafu'!O83)</f>
        <v>30</v>
      </c>
      <c r="P83" s="49">
        <f>AVERAGE('22.07 Busega-Masanafu'!P83,'23.07 Busega-Masanafu'!P83,'24.07 Busega-Masanafu'!P83,'25.07 Busega-Masanafu'!P83,'26.07 Busega-Masanafu-24h'!P83,'27.07 Busega-Masanafu-24h'!P83,'28.07 Busega-Masanafu'!P83)</f>
        <v>40.5</v>
      </c>
      <c r="R83" s="8"/>
      <c r="T83"/>
    </row>
    <row r="84" spans="2:20" ht="23.1" customHeight="1" x14ac:dyDescent="0.25">
      <c r="B84" s="25" t="s">
        <v>124</v>
      </c>
      <c r="C84" s="49">
        <f>AVERAGE('26.07 Busega-Masanafu-24h'!C84,'27.07 Busega-Masanafu-24h'!C84)</f>
        <v>9</v>
      </c>
      <c r="D84" s="49">
        <f>AVERAGE('26.07 Busega-Masanafu-24h'!D84,'27.07 Busega-Masanafu-24h'!D84)</f>
        <v>2.5</v>
      </c>
      <c r="E84" s="49">
        <f>AVERAGE('26.07 Busega-Masanafu-24h'!E84,'27.07 Busega-Masanafu-24h'!E84)</f>
        <v>2.5</v>
      </c>
      <c r="F84" s="49">
        <f>AVERAGE('26.07 Busega-Masanafu-24h'!F84,'27.07 Busega-Masanafu-24h'!F84)</f>
        <v>5.5</v>
      </c>
      <c r="G84" s="49">
        <f>AVERAGE('26.07 Busega-Masanafu-24h'!G84,'27.07 Busega-Masanafu-24h'!G84)</f>
        <v>0.5</v>
      </c>
      <c r="H84" s="49">
        <f>AVERAGE('26.07 Busega-Masanafu-24h'!H84,'27.07 Busega-Masanafu-24h'!H84)</f>
        <v>0</v>
      </c>
      <c r="I84" s="49">
        <f>AVERAGE('26.07 Busega-Masanafu-24h'!I84,'27.07 Busega-Masanafu-24h'!I84)</f>
        <v>4.5</v>
      </c>
      <c r="J84" s="49">
        <f>AVERAGE('26.07 Busega-Masanafu-24h'!J84,'27.07 Busega-Masanafu-24h'!J84)</f>
        <v>1</v>
      </c>
      <c r="K84" s="49">
        <f>AVERAGE('26.07 Busega-Masanafu-24h'!K84,'27.07 Busega-Masanafu-24h'!K84)</f>
        <v>3.5</v>
      </c>
      <c r="L84" s="49">
        <f>AVERAGE('26.07 Busega-Masanafu-24h'!L84,'27.07 Busega-Masanafu-24h'!L84)</f>
        <v>1.5</v>
      </c>
      <c r="M84" s="49">
        <f>AVERAGE('26.07 Busega-Masanafu-24h'!M84,'27.07 Busega-Masanafu-24h'!M84)</f>
        <v>13</v>
      </c>
      <c r="N84" s="49">
        <f>AVERAGE('26.07 Busega-Masanafu-24h'!N84,'27.07 Busega-Masanafu-24h'!N84)</f>
        <v>0</v>
      </c>
      <c r="O84" s="49">
        <f>AVERAGE('22.07 Busega-Masanafu'!O84,'23.07 Busega-Masanafu'!O84,'24.07 Busega-Masanafu'!O84,'25.07 Busega-Masanafu'!O84,'26.07 Busega-Masanafu-24h'!O84,'27.07 Busega-Masanafu-24h'!O84,'28.07 Busega-Masanafu'!O84)</f>
        <v>30.5</v>
      </c>
      <c r="P84" s="49">
        <f>AVERAGE('22.07 Busega-Masanafu'!P84,'23.07 Busega-Masanafu'!P84,'24.07 Busega-Masanafu'!P84,'25.07 Busega-Masanafu'!P84,'26.07 Busega-Masanafu-24h'!P84,'27.07 Busega-Masanafu-24h'!P84,'28.07 Busega-Masanafu'!P84)</f>
        <v>43.5</v>
      </c>
      <c r="R84" s="8"/>
      <c r="T84"/>
    </row>
    <row r="85" spans="2:20" ht="23.1" customHeight="1" x14ac:dyDescent="0.25">
      <c r="B85" s="23" t="s">
        <v>125</v>
      </c>
      <c r="C85" s="49">
        <f>AVERAGE('26.07 Busega-Masanafu-24h'!C85,'27.07 Busega-Masanafu-24h'!C85)</f>
        <v>10</v>
      </c>
      <c r="D85" s="49">
        <f>AVERAGE('26.07 Busega-Masanafu-24h'!D85,'27.07 Busega-Masanafu-24h'!D85)</f>
        <v>3</v>
      </c>
      <c r="E85" s="49">
        <f>AVERAGE('26.07 Busega-Masanafu-24h'!E85,'27.07 Busega-Masanafu-24h'!E85)</f>
        <v>6</v>
      </c>
      <c r="F85" s="49">
        <f>AVERAGE('26.07 Busega-Masanafu-24h'!F85,'27.07 Busega-Masanafu-24h'!F85)</f>
        <v>2.5</v>
      </c>
      <c r="G85" s="49">
        <f>AVERAGE('26.07 Busega-Masanafu-24h'!G85,'27.07 Busega-Masanafu-24h'!G85)</f>
        <v>1</v>
      </c>
      <c r="H85" s="49">
        <f>AVERAGE('26.07 Busega-Masanafu-24h'!H85,'27.07 Busega-Masanafu-24h'!H85)</f>
        <v>0.5</v>
      </c>
      <c r="I85" s="49">
        <f>AVERAGE('26.07 Busega-Masanafu-24h'!I85,'27.07 Busega-Masanafu-24h'!I85)</f>
        <v>4.5</v>
      </c>
      <c r="J85" s="49">
        <f>AVERAGE('26.07 Busega-Masanafu-24h'!J85,'27.07 Busega-Masanafu-24h'!J85)</f>
        <v>3</v>
      </c>
      <c r="K85" s="49">
        <f>AVERAGE('26.07 Busega-Masanafu-24h'!K85,'27.07 Busega-Masanafu-24h'!K85)</f>
        <v>5.5</v>
      </c>
      <c r="L85" s="49">
        <f>AVERAGE('26.07 Busega-Masanafu-24h'!L85,'27.07 Busega-Masanafu-24h'!L85)</f>
        <v>2.5</v>
      </c>
      <c r="M85" s="49">
        <f>AVERAGE('26.07 Busega-Masanafu-24h'!M85,'27.07 Busega-Masanafu-24h'!M85)</f>
        <v>13</v>
      </c>
      <c r="N85" s="49">
        <f>AVERAGE('26.07 Busega-Masanafu-24h'!N85,'27.07 Busega-Masanafu-24h'!N85)</f>
        <v>0</v>
      </c>
      <c r="O85" s="49">
        <f>AVERAGE('22.07 Busega-Masanafu'!O85,'23.07 Busega-Masanafu'!O85,'24.07 Busega-Masanafu'!O85,'25.07 Busega-Masanafu'!O85,'26.07 Busega-Masanafu-24h'!O85,'27.07 Busega-Masanafu-24h'!O85,'28.07 Busega-Masanafu'!O85)</f>
        <v>38.5</v>
      </c>
      <c r="P85" s="49">
        <f>AVERAGE('22.07 Busega-Masanafu'!P85,'23.07 Busega-Masanafu'!P85,'24.07 Busega-Masanafu'!P85,'25.07 Busega-Masanafu'!P85,'26.07 Busega-Masanafu-24h'!P85,'27.07 Busega-Masanafu-24h'!P85,'28.07 Busega-Masanafu'!P85)</f>
        <v>51.5</v>
      </c>
      <c r="R85" s="8"/>
      <c r="T85"/>
    </row>
    <row r="86" spans="2:20" ht="23.1" customHeight="1" x14ac:dyDescent="0.25">
      <c r="B86" s="24" t="s">
        <v>126</v>
      </c>
      <c r="C86" s="49">
        <f>AVERAGE('26.07 Busega-Masanafu-24h'!C86,'27.07 Busega-Masanafu-24h'!C86)</f>
        <v>10</v>
      </c>
      <c r="D86" s="49">
        <f>AVERAGE('26.07 Busega-Masanafu-24h'!D86,'27.07 Busega-Masanafu-24h'!D86)</f>
        <v>1.5</v>
      </c>
      <c r="E86" s="49">
        <f>AVERAGE('26.07 Busega-Masanafu-24h'!E86,'27.07 Busega-Masanafu-24h'!E86)</f>
        <v>4.5</v>
      </c>
      <c r="F86" s="49">
        <f>AVERAGE('26.07 Busega-Masanafu-24h'!F86,'27.07 Busega-Masanafu-24h'!F86)</f>
        <v>2</v>
      </c>
      <c r="G86" s="49">
        <f>AVERAGE('26.07 Busega-Masanafu-24h'!G86,'27.07 Busega-Masanafu-24h'!G86)</f>
        <v>0</v>
      </c>
      <c r="H86" s="49">
        <f>AVERAGE('26.07 Busega-Masanafu-24h'!H86,'27.07 Busega-Masanafu-24h'!H86)</f>
        <v>0</v>
      </c>
      <c r="I86" s="49">
        <f>AVERAGE('26.07 Busega-Masanafu-24h'!I86,'27.07 Busega-Masanafu-24h'!I86)</f>
        <v>6</v>
      </c>
      <c r="J86" s="49">
        <f>AVERAGE('26.07 Busega-Masanafu-24h'!J86,'27.07 Busega-Masanafu-24h'!J86)</f>
        <v>3</v>
      </c>
      <c r="K86" s="49">
        <f>AVERAGE('26.07 Busega-Masanafu-24h'!K86,'27.07 Busega-Masanafu-24h'!K86)</f>
        <v>7.5</v>
      </c>
      <c r="L86" s="49">
        <f>AVERAGE('26.07 Busega-Masanafu-24h'!L86,'27.07 Busega-Masanafu-24h'!L86)</f>
        <v>2</v>
      </c>
      <c r="M86" s="49">
        <f>AVERAGE('26.07 Busega-Masanafu-24h'!M86,'27.07 Busega-Masanafu-24h'!M86)</f>
        <v>8</v>
      </c>
      <c r="N86" s="49">
        <f>AVERAGE('26.07 Busega-Masanafu-24h'!N86,'27.07 Busega-Masanafu-24h'!N86)</f>
        <v>0</v>
      </c>
      <c r="O86" s="49">
        <f>AVERAGE('22.07 Busega-Masanafu'!O86,'23.07 Busega-Masanafu'!O86,'24.07 Busega-Masanafu'!O86,'25.07 Busega-Masanafu'!O86,'26.07 Busega-Masanafu-24h'!O86,'27.07 Busega-Masanafu-24h'!O86,'28.07 Busega-Masanafu'!O86)</f>
        <v>36.5</v>
      </c>
      <c r="P86" s="49">
        <f>AVERAGE('22.07 Busega-Masanafu'!P86,'23.07 Busega-Masanafu'!P86,'24.07 Busega-Masanafu'!P86,'25.07 Busega-Masanafu'!P86,'26.07 Busega-Masanafu-24h'!P86,'27.07 Busega-Masanafu-24h'!P86,'28.07 Busega-Masanafu'!P86)</f>
        <v>44.5</v>
      </c>
      <c r="R86" s="8"/>
      <c r="T86"/>
    </row>
    <row r="87" spans="2:20" ht="23.1" customHeight="1" x14ac:dyDescent="0.25">
      <c r="B87" s="23" t="s">
        <v>127</v>
      </c>
      <c r="C87" s="49">
        <f>AVERAGE('26.07 Busega-Masanafu-24h'!C87,'27.07 Busega-Masanafu-24h'!C87)</f>
        <v>11</v>
      </c>
      <c r="D87" s="49">
        <f>AVERAGE('26.07 Busega-Masanafu-24h'!D87,'27.07 Busega-Masanafu-24h'!D87)</f>
        <v>0.5</v>
      </c>
      <c r="E87" s="49">
        <f>AVERAGE('26.07 Busega-Masanafu-24h'!E87,'27.07 Busega-Masanafu-24h'!E87)</f>
        <v>4</v>
      </c>
      <c r="F87" s="49">
        <f>AVERAGE('26.07 Busega-Masanafu-24h'!F87,'27.07 Busega-Masanafu-24h'!F87)</f>
        <v>3.5</v>
      </c>
      <c r="G87" s="49">
        <f>AVERAGE('26.07 Busega-Masanafu-24h'!G87,'27.07 Busega-Masanafu-24h'!G87)</f>
        <v>0</v>
      </c>
      <c r="H87" s="49">
        <f>AVERAGE('26.07 Busega-Masanafu-24h'!H87,'27.07 Busega-Masanafu-24h'!H87)</f>
        <v>0</v>
      </c>
      <c r="I87" s="49">
        <f>AVERAGE('26.07 Busega-Masanafu-24h'!I87,'27.07 Busega-Masanafu-24h'!I87)</f>
        <v>5.5</v>
      </c>
      <c r="J87" s="49">
        <f>AVERAGE('26.07 Busega-Masanafu-24h'!J87,'27.07 Busega-Masanafu-24h'!J87)</f>
        <v>5</v>
      </c>
      <c r="K87" s="49">
        <f>AVERAGE('26.07 Busega-Masanafu-24h'!K87,'27.07 Busega-Masanafu-24h'!K87)</f>
        <v>5.5</v>
      </c>
      <c r="L87" s="49">
        <f>AVERAGE('26.07 Busega-Masanafu-24h'!L87,'27.07 Busega-Masanafu-24h'!L87)</f>
        <v>2</v>
      </c>
      <c r="M87" s="49">
        <f>AVERAGE('26.07 Busega-Masanafu-24h'!M87,'27.07 Busega-Masanafu-24h'!M87)</f>
        <v>6</v>
      </c>
      <c r="N87" s="49">
        <f>AVERAGE('26.07 Busega-Masanafu-24h'!N87,'27.07 Busega-Masanafu-24h'!N87)</f>
        <v>0</v>
      </c>
      <c r="O87" s="49">
        <f>AVERAGE('22.07 Busega-Masanafu'!O87,'23.07 Busega-Masanafu'!O87,'24.07 Busega-Masanafu'!O87,'25.07 Busega-Masanafu'!O87,'26.07 Busega-Masanafu-24h'!O87,'27.07 Busega-Masanafu-24h'!O87,'28.07 Busega-Masanafu'!O87)</f>
        <v>37</v>
      </c>
      <c r="P87" s="49">
        <f>AVERAGE('22.07 Busega-Masanafu'!P87,'23.07 Busega-Masanafu'!P87,'24.07 Busega-Masanafu'!P87,'25.07 Busega-Masanafu'!P87,'26.07 Busega-Masanafu-24h'!P87,'27.07 Busega-Masanafu-24h'!P87,'28.07 Busega-Masanafu'!P87)</f>
        <v>43</v>
      </c>
      <c r="R87" s="8"/>
      <c r="T87"/>
    </row>
    <row r="88" spans="2:20" ht="23.1" customHeight="1" x14ac:dyDescent="0.25">
      <c r="B88" s="25" t="s">
        <v>128</v>
      </c>
      <c r="C88" s="49">
        <f>AVERAGE('26.07 Busega-Masanafu-24h'!C88,'27.07 Busega-Masanafu-24h'!C88)</f>
        <v>9</v>
      </c>
      <c r="D88" s="49">
        <f>AVERAGE('26.07 Busega-Masanafu-24h'!D88,'27.07 Busega-Masanafu-24h'!D88)</f>
        <v>0</v>
      </c>
      <c r="E88" s="49">
        <f>AVERAGE('26.07 Busega-Masanafu-24h'!E88,'27.07 Busega-Masanafu-24h'!E88)</f>
        <v>1.5</v>
      </c>
      <c r="F88" s="49">
        <f>AVERAGE('26.07 Busega-Masanafu-24h'!F88,'27.07 Busega-Masanafu-24h'!F88)</f>
        <v>2</v>
      </c>
      <c r="G88" s="49">
        <f>AVERAGE('26.07 Busega-Masanafu-24h'!G88,'27.07 Busega-Masanafu-24h'!G88)</f>
        <v>0</v>
      </c>
      <c r="H88" s="49">
        <f>AVERAGE('26.07 Busega-Masanafu-24h'!H88,'27.07 Busega-Masanafu-24h'!H88)</f>
        <v>0</v>
      </c>
      <c r="I88" s="49">
        <f>AVERAGE('26.07 Busega-Masanafu-24h'!I88,'27.07 Busega-Masanafu-24h'!I88)</f>
        <v>6</v>
      </c>
      <c r="J88" s="49">
        <f>AVERAGE('26.07 Busega-Masanafu-24h'!J88,'27.07 Busega-Masanafu-24h'!J88)</f>
        <v>5</v>
      </c>
      <c r="K88" s="49">
        <f>AVERAGE('26.07 Busega-Masanafu-24h'!K88,'27.07 Busega-Masanafu-24h'!K88)</f>
        <v>5</v>
      </c>
      <c r="L88" s="49">
        <f>AVERAGE('26.07 Busega-Masanafu-24h'!L88,'27.07 Busega-Masanafu-24h'!L88)</f>
        <v>3.5</v>
      </c>
      <c r="M88" s="49">
        <f>AVERAGE('26.07 Busega-Masanafu-24h'!M88,'27.07 Busega-Masanafu-24h'!M88)</f>
        <v>8.5</v>
      </c>
      <c r="N88" s="49">
        <f>AVERAGE('26.07 Busega-Masanafu-24h'!N88,'27.07 Busega-Masanafu-24h'!N88)</f>
        <v>0</v>
      </c>
      <c r="O88" s="49">
        <f>AVERAGE('22.07 Busega-Masanafu'!O88,'23.07 Busega-Masanafu'!O88,'24.07 Busega-Masanafu'!O88,'25.07 Busega-Masanafu'!O88,'26.07 Busega-Masanafu-24h'!O88,'27.07 Busega-Masanafu-24h'!O88,'28.07 Busega-Masanafu'!O88)</f>
        <v>32</v>
      </c>
      <c r="P88" s="49">
        <f>AVERAGE('22.07 Busega-Masanafu'!P88,'23.07 Busega-Masanafu'!P88,'24.07 Busega-Masanafu'!P88,'25.07 Busega-Masanafu'!P88,'26.07 Busega-Masanafu-24h'!P88,'27.07 Busega-Masanafu-24h'!P88,'28.07 Busega-Masanafu'!P88)</f>
        <v>40.5</v>
      </c>
      <c r="R88" s="8"/>
      <c r="T88"/>
    </row>
    <row r="89" spans="2:20" ht="23.1" customHeight="1" x14ac:dyDescent="0.25">
      <c r="B89" s="23" t="s">
        <v>129</v>
      </c>
      <c r="C89" s="49">
        <f>AVERAGE('26.07 Busega-Masanafu-24h'!C89,'27.07 Busega-Masanafu-24h'!C89)</f>
        <v>6.5</v>
      </c>
      <c r="D89" s="49">
        <f>AVERAGE('26.07 Busega-Masanafu-24h'!D89,'27.07 Busega-Masanafu-24h'!D89)</f>
        <v>1</v>
      </c>
      <c r="E89" s="49">
        <f>AVERAGE('26.07 Busega-Masanafu-24h'!E89,'27.07 Busega-Masanafu-24h'!E89)</f>
        <v>2.5</v>
      </c>
      <c r="F89" s="49">
        <f>AVERAGE('26.07 Busega-Masanafu-24h'!F89,'27.07 Busega-Masanafu-24h'!F89)</f>
        <v>3</v>
      </c>
      <c r="G89" s="49">
        <f>AVERAGE('26.07 Busega-Masanafu-24h'!G89,'27.07 Busega-Masanafu-24h'!G89)</f>
        <v>0.5</v>
      </c>
      <c r="H89" s="49">
        <f>AVERAGE('26.07 Busega-Masanafu-24h'!H89,'27.07 Busega-Masanafu-24h'!H89)</f>
        <v>0</v>
      </c>
      <c r="I89" s="49">
        <f>AVERAGE('26.07 Busega-Masanafu-24h'!I89,'27.07 Busega-Masanafu-24h'!I89)</f>
        <v>3</v>
      </c>
      <c r="J89" s="49">
        <f>AVERAGE('26.07 Busega-Masanafu-24h'!J89,'27.07 Busega-Masanafu-24h'!J89)</f>
        <v>7.5</v>
      </c>
      <c r="K89" s="49">
        <f>AVERAGE('26.07 Busega-Masanafu-24h'!K89,'27.07 Busega-Masanafu-24h'!K89)</f>
        <v>6.5</v>
      </c>
      <c r="L89" s="49">
        <f>AVERAGE('26.07 Busega-Masanafu-24h'!L89,'27.07 Busega-Masanafu-24h'!L89)</f>
        <v>1</v>
      </c>
      <c r="M89" s="49">
        <f>AVERAGE('26.07 Busega-Masanafu-24h'!M89,'27.07 Busega-Masanafu-24h'!M89)</f>
        <v>11</v>
      </c>
      <c r="N89" s="49">
        <f>AVERAGE('26.07 Busega-Masanafu-24h'!N89,'27.07 Busega-Masanafu-24h'!N89)</f>
        <v>0</v>
      </c>
      <c r="O89" s="49">
        <f>AVERAGE('22.07 Busega-Masanafu'!O89,'23.07 Busega-Masanafu'!O89,'24.07 Busega-Masanafu'!O89,'25.07 Busega-Masanafu'!O89,'26.07 Busega-Masanafu-24h'!O89,'27.07 Busega-Masanafu-24h'!O89,'28.07 Busega-Masanafu'!O89)</f>
        <v>31.5</v>
      </c>
      <c r="P89" s="49">
        <f>AVERAGE('22.07 Busega-Masanafu'!P89,'23.07 Busega-Masanafu'!P89,'24.07 Busega-Masanafu'!P89,'25.07 Busega-Masanafu'!P89,'26.07 Busega-Masanafu-24h'!P89,'27.07 Busega-Masanafu-24h'!P89,'28.07 Busega-Masanafu'!P89)</f>
        <v>42.5</v>
      </c>
      <c r="R89" s="8"/>
      <c r="T89"/>
    </row>
    <row r="90" spans="2:20" ht="23.1" customHeight="1" x14ac:dyDescent="0.25">
      <c r="B90" s="24" t="s">
        <v>130</v>
      </c>
      <c r="C90" s="49">
        <f>AVERAGE('26.07 Busega-Masanafu-24h'!C90,'27.07 Busega-Masanafu-24h'!C90)</f>
        <v>9</v>
      </c>
      <c r="D90" s="49">
        <f>AVERAGE('26.07 Busega-Masanafu-24h'!D90,'27.07 Busega-Masanafu-24h'!D90)</f>
        <v>0.5</v>
      </c>
      <c r="E90" s="49">
        <f>AVERAGE('26.07 Busega-Masanafu-24h'!E90,'27.07 Busega-Masanafu-24h'!E90)</f>
        <v>1.5</v>
      </c>
      <c r="F90" s="49">
        <f>AVERAGE('26.07 Busega-Masanafu-24h'!F90,'27.07 Busega-Masanafu-24h'!F90)</f>
        <v>2</v>
      </c>
      <c r="G90" s="49">
        <f>AVERAGE('26.07 Busega-Masanafu-24h'!G90,'27.07 Busega-Masanafu-24h'!G90)</f>
        <v>0</v>
      </c>
      <c r="H90" s="49">
        <f>AVERAGE('26.07 Busega-Masanafu-24h'!H90,'27.07 Busega-Masanafu-24h'!H90)</f>
        <v>0.5</v>
      </c>
      <c r="I90" s="49">
        <f>AVERAGE('26.07 Busega-Masanafu-24h'!I90,'27.07 Busega-Masanafu-24h'!I90)</f>
        <v>6.5</v>
      </c>
      <c r="J90" s="49">
        <f>AVERAGE('26.07 Busega-Masanafu-24h'!J90,'27.07 Busega-Masanafu-24h'!J90)</f>
        <v>15</v>
      </c>
      <c r="K90" s="49">
        <f>AVERAGE('26.07 Busega-Masanafu-24h'!K90,'27.07 Busega-Masanafu-24h'!K90)</f>
        <v>5</v>
      </c>
      <c r="L90" s="49">
        <f>AVERAGE('26.07 Busega-Masanafu-24h'!L90,'27.07 Busega-Masanafu-24h'!L90)</f>
        <v>3.5</v>
      </c>
      <c r="M90" s="49">
        <f>AVERAGE('26.07 Busega-Masanafu-24h'!M90,'27.07 Busega-Masanafu-24h'!M90)</f>
        <v>6</v>
      </c>
      <c r="N90" s="49">
        <f>AVERAGE('26.07 Busega-Masanafu-24h'!N90,'27.07 Busega-Masanafu-24h'!N90)</f>
        <v>0</v>
      </c>
      <c r="O90" s="49">
        <f>AVERAGE('22.07 Busega-Masanafu'!O90,'23.07 Busega-Masanafu'!O90,'24.07 Busega-Masanafu'!O90,'25.07 Busega-Masanafu'!O90,'26.07 Busega-Masanafu-24h'!O90,'27.07 Busega-Masanafu-24h'!O90,'28.07 Busega-Masanafu'!O90)</f>
        <v>43.5</v>
      </c>
      <c r="P90" s="49">
        <f>AVERAGE('22.07 Busega-Masanafu'!P90,'23.07 Busega-Masanafu'!P90,'24.07 Busega-Masanafu'!P90,'25.07 Busega-Masanafu'!P90,'26.07 Busega-Masanafu-24h'!P90,'27.07 Busega-Masanafu-24h'!P90,'28.07 Busega-Masanafu'!P90)</f>
        <v>49.5</v>
      </c>
      <c r="R90" s="8"/>
      <c r="T90"/>
    </row>
    <row r="91" spans="2:20" ht="23.1" customHeight="1" x14ac:dyDescent="0.25">
      <c r="B91" s="23" t="s">
        <v>131</v>
      </c>
      <c r="C91" s="49">
        <f>AVERAGE('26.07 Busega-Masanafu-24h'!C91,'27.07 Busega-Masanafu-24h'!C91)</f>
        <v>6</v>
      </c>
      <c r="D91" s="49">
        <f>AVERAGE('26.07 Busega-Masanafu-24h'!D91,'27.07 Busega-Masanafu-24h'!D91)</f>
        <v>1.5</v>
      </c>
      <c r="E91" s="49">
        <f>AVERAGE('26.07 Busega-Masanafu-24h'!E91,'27.07 Busega-Masanafu-24h'!E91)</f>
        <v>2.5</v>
      </c>
      <c r="F91" s="49">
        <f>AVERAGE('26.07 Busega-Masanafu-24h'!F91,'27.07 Busega-Masanafu-24h'!F91)</f>
        <v>1.5</v>
      </c>
      <c r="G91" s="49">
        <f>AVERAGE('26.07 Busega-Masanafu-24h'!G91,'27.07 Busega-Masanafu-24h'!G91)</f>
        <v>1</v>
      </c>
      <c r="H91" s="49">
        <f>AVERAGE('26.07 Busega-Masanafu-24h'!H91,'27.07 Busega-Masanafu-24h'!H91)</f>
        <v>0.5</v>
      </c>
      <c r="I91" s="49">
        <f>AVERAGE('26.07 Busega-Masanafu-24h'!I91,'27.07 Busega-Masanafu-24h'!I91)</f>
        <v>8</v>
      </c>
      <c r="J91" s="49">
        <f>AVERAGE('26.07 Busega-Masanafu-24h'!J91,'27.07 Busega-Masanafu-24h'!J91)</f>
        <v>13</v>
      </c>
      <c r="K91" s="49">
        <f>AVERAGE('26.07 Busega-Masanafu-24h'!K91,'27.07 Busega-Masanafu-24h'!K91)</f>
        <v>3.5</v>
      </c>
      <c r="L91" s="49">
        <f>AVERAGE('26.07 Busega-Masanafu-24h'!L91,'27.07 Busega-Masanafu-24h'!L91)</f>
        <v>2.5</v>
      </c>
      <c r="M91" s="49">
        <f>AVERAGE('26.07 Busega-Masanafu-24h'!M91,'27.07 Busega-Masanafu-24h'!M91)</f>
        <v>12.5</v>
      </c>
      <c r="N91" s="49">
        <f>AVERAGE('26.07 Busega-Masanafu-24h'!N91,'27.07 Busega-Masanafu-24h'!N91)</f>
        <v>0</v>
      </c>
      <c r="O91" s="49">
        <f>AVERAGE('22.07 Busega-Masanafu'!O91,'23.07 Busega-Masanafu'!O91,'24.07 Busega-Masanafu'!O91,'25.07 Busega-Masanafu'!O91,'26.07 Busega-Masanafu-24h'!O91,'27.07 Busega-Masanafu-24h'!O91,'28.07 Busega-Masanafu'!O91)</f>
        <v>40</v>
      </c>
      <c r="P91" s="49">
        <f>AVERAGE('22.07 Busega-Masanafu'!P91,'23.07 Busega-Masanafu'!P91,'24.07 Busega-Masanafu'!P91,'25.07 Busega-Masanafu'!P91,'26.07 Busega-Masanafu-24h'!P91,'27.07 Busega-Masanafu-24h'!P91,'28.07 Busega-Masanafu'!P91)</f>
        <v>52.5</v>
      </c>
      <c r="R91" s="8"/>
      <c r="T91"/>
    </row>
    <row r="92" spans="2:20" ht="23.1" customHeight="1" x14ac:dyDescent="0.25">
      <c r="B92" s="25" t="s">
        <v>132</v>
      </c>
      <c r="C92" s="49">
        <f>AVERAGE('26.07 Busega-Masanafu-24h'!C92,'27.07 Busega-Masanafu-24h'!C92)</f>
        <v>6.5</v>
      </c>
      <c r="D92" s="49">
        <f>AVERAGE('26.07 Busega-Masanafu-24h'!D92,'27.07 Busega-Masanafu-24h'!D92)</f>
        <v>2</v>
      </c>
      <c r="E92" s="49">
        <f>AVERAGE('26.07 Busega-Masanafu-24h'!E92,'27.07 Busega-Masanafu-24h'!E92)</f>
        <v>3</v>
      </c>
      <c r="F92" s="49">
        <f>AVERAGE('26.07 Busega-Masanafu-24h'!F92,'27.07 Busega-Masanafu-24h'!F92)</f>
        <v>1</v>
      </c>
      <c r="G92" s="49">
        <f>AVERAGE('26.07 Busega-Masanafu-24h'!G92,'27.07 Busega-Masanafu-24h'!G92)</f>
        <v>0.5</v>
      </c>
      <c r="H92" s="49">
        <f>AVERAGE('26.07 Busega-Masanafu-24h'!H92,'27.07 Busega-Masanafu-24h'!H92)</f>
        <v>0</v>
      </c>
      <c r="I92" s="49">
        <f>AVERAGE('26.07 Busega-Masanafu-24h'!I92,'27.07 Busega-Masanafu-24h'!I92)</f>
        <v>9</v>
      </c>
      <c r="J92" s="49">
        <f>AVERAGE('26.07 Busega-Masanafu-24h'!J92,'27.07 Busega-Masanafu-24h'!J92)</f>
        <v>9</v>
      </c>
      <c r="K92" s="49">
        <f>AVERAGE('26.07 Busega-Masanafu-24h'!K92,'27.07 Busega-Masanafu-24h'!K92)</f>
        <v>2.5</v>
      </c>
      <c r="L92" s="49">
        <f>AVERAGE('26.07 Busega-Masanafu-24h'!L92,'27.07 Busega-Masanafu-24h'!L92)</f>
        <v>1.5</v>
      </c>
      <c r="M92" s="49">
        <f>AVERAGE('26.07 Busega-Masanafu-24h'!M92,'27.07 Busega-Masanafu-24h'!M92)</f>
        <v>9</v>
      </c>
      <c r="N92" s="49">
        <f>AVERAGE('26.07 Busega-Masanafu-24h'!N92,'27.07 Busega-Masanafu-24h'!N92)</f>
        <v>0</v>
      </c>
      <c r="O92" s="49">
        <f>AVERAGE('22.07 Busega-Masanafu'!O92,'23.07 Busega-Masanafu'!O92,'24.07 Busega-Masanafu'!O92,'25.07 Busega-Masanafu'!O92,'26.07 Busega-Masanafu-24h'!O92,'27.07 Busega-Masanafu-24h'!O92,'28.07 Busega-Masanafu'!O92)</f>
        <v>35</v>
      </c>
      <c r="P92" s="49">
        <f>AVERAGE('22.07 Busega-Masanafu'!P92,'23.07 Busega-Masanafu'!P92,'24.07 Busega-Masanafu'!P92,'25.07 Busega-Masanafu'!P92,'26.07 Busega-Masanafu-24h'!P92,'27.07 Busega-Masanafu-24h'!P92,'28.07 Busega-Masanafu'!P92)</f>
        <v>44</v>
      </c>
      <c r="R92" s="8"/>
      <c r="T92"/>
    </row>
    <row r="93" spans="2:20" ht="23.1" customHeight="1" x14ac:dyDescent="0.25">
      <c r="B93" s="23" t="s">
        <v>133</v>
      </c>
      <c r="C93" s="49">
        <f>AVERAGE('26.07 Busega-Masanafu-24h'!C93,'27.07 Busega-Masanafu-24h'!C93)</f>
        <v>10</v>
      </c>
      <c r="D93" s="49">
        <f>AVERAGE('26.07 Busega-Masanafu-24h'!D93,'27.07 Busega-Masanafu-24h'!D93)</f>
        <v>1.5</v>
      </c>
      <c r="E93" s="49">
        <f>AVERAGE('26.07 Busega-Masanafu-24h'!E93,'27.07 Busega-Masanafu-24h'!E93)</f>
        <v>3</v>
      </c>
      <c r="F93" s="49">
        <f>AVERAGE('26.07 Busega-Masanafu-24h'!F93,'27.07 Busega-Masanafu-24h'!F93)</f>
        <v>2.5</v>
      </c>
      <c r="G93" s="49">
        <f>AVERAGE('26.07 Busega-Masanafu-24h'!G93,'27.07 Busega-Masanafu-24h'!G93)</f>
        <v>0</v>
      </c>
      <c r="H93" s="49">
        <f>AVERAGE('26.07 Busega-Masanafu-24h'!H93,'27.07 Busega-Masanafu-24h'!H93)</f>
        <v>1</v>
      </c>
      <c r="I93" s="49">
        <f>AVERAGE('26.07 Busega-Masanafu-24h'!I93,'27.07 Busega-Masanafu-24h'!I93)</f>
        <v>8</v>
      </c>
      <c r="J93" s="49">
        <f>AVERAGE('26.07 Busega-Masanafu-24h'!J93,'27.07 Busega-Masanafu-24h'!J93)</f>
        <v>11.5</v>
      </c>
      <c r="K93" s="49">
        <f>AVERAGE('26.07 Busega-Masanafu-24h'!K93,'27.07 Busega-Masanafu-24h'!K93)</f>
        <v>1.5</v>
      </c>
      <c r="L93" s="49">
        <f>AVERAGE('26.07 Busega-Masanafu-24h'!L93,'27.07 Busega-Masanafu-24h'!L93)</f>
        <v>3.5</v>
      </c>
      <c r="M93" s="49">
        <f>AVERAGE('26.07 Busega-Masanafu-24h'!M93,'27.07 Busega-Masanafu-24h'!M93)</f>
        <v>11.5</v>
      </c>
      <c r="N93" s="49">
        <f>AVERAGE('26.07 Busega-Masanafu-24h'!N93,'27.07 Busega-Masanafu-24h'!N93)</f>
        <v>0</v>
      </c>
      <c r="O93" s="49">
        <f>AVERAGE('22.07 Busega-Masanafu'!O93,'23.07 Busega-Masanafu'!O93,'24.07 Busega-Masanafu'!O93,'25.07 Busega-Masanafu'!O93,'26.07 Busega-Masanafu-24h'!O93,'27.07 Busega-Masanafu-24h'!O93,'28.07 Busega-Masanafu'!O93)</f>
        <v>42.5</v>
      </c>
      <c r="P93" s="49">
        <f>AVERAGE('22.07 Busega-Masanafu'!P93,'23.07 Busega-Masanafu'!P93,'24.07 Busega-Masanafu'!P93,'25.07 Busega-Masanafu'!P93,'26.07 Busega-Masanafu-24h'!P93,'27.07 Busega-Masanafu-24h'!P93,'28.07 Busega-Masanafu'!P93)</f>
        <v>54</v>
      </c>
      <c r="R93" s="8"/>
      <c r="T93"/>
    </row>
    <row r="94" spans="2:20" ht="23.1" customHeight="1" x14ac:dyDescent="0.25">
      <c r="B94" s="24" t="s">
        <v>134</v>
      </c>
      <c r="C94" s="49">
        <f>AVERAGE('26.07 Busega-Masanafu-24h'!C94,'27.07 Busega-Masanafu-24h'!C94)</f>
        <v>12</v>
      </c>
      <c r="D94" s="49">
        <f>AVERAGE('26.07 Busega-Masanafu-24h'!D94,'27.07 Busega-Masanafu-24h'!D94)</f>
        <v>2.5</v>
      </c>
      <c r="E94" s="49">
        <f>AVERAGE('26.07 Busega-Masanafu-24h'!E94,'27.07 Busega-Masanafu-24h'!E94)</f>
        <v>2</v>
      </c>
      <c r="F94" s="49">
        <f>AVERAGE('26.07 Busega-Masanafu-24h'!F94,'27.07 Busega-Masanafu-24h'!F94)</f>
        <v>3.5</v>
      </c>
      <c r="G94" s="49">
        <f>AVERAGE('26.07 Busega-Masanafu-24h'!G94,'27.07 Busega-Masanafu-24h'!G94)</f>
        <v>0</v>
      </c>
      <c r="H94" s="49">
        <f>AVERAGE('26.07 Busega-Masanafu-24h'!H94,'27.07 Busega-Masanafu-24h'!H94)</f>
        <v>1.5</v>
      </c>
      <c r="I94" s="49">
        <f>AVERAGE('26.07 Busega-Masanafu-24h'!I94,'27.07 Busega-Masanafu-24h'!I94)</f>
        <v>5</v>
      </c>
      <c r="J94" s="49">
        <f>AVERAGE('26.07 Busega-Masanafu-24h'!J94,'27.07 Busega-Masanafu-24h'!J94)</f>
        <v>10.5</v>
      </c>
      <c r="K94" s="49">
        <f>AVERAGE('26.07 Busega-Masanafu-24h'!K94,'27.07 Busega-Masanafu-24h'!K94)</f>
        <v>1</v>
      </c>
      <c r="L94" s="49">
        <f>AVERAGE('26.07 Busega-Masanafu-24h'!L94,'27.07 Busega-Masanafu-24h'!L94)</f>
        <v>2</v>
      </c>
      <c r="M94" s="49">
        <f>AVERAGE('26.07 Busega-Masanafu-24h'!M94,'27.07 Busega-Masanafu-24h'!M94)</f>
        <v>13</v>
      </c>
      <c r="N94" s="49">
        <f>AVERAGE('26.07 Busega-Masanafu-24h'!N94,'27.07 Busega-Masanafu-24h'!N94)</f>
        <v>0</v>
      </c>
      <c r="O94" s="49">
        <f>AVERAGE('22.07 Busega-Masanafu'!O94,'23.07 Busega-Masanafu'!O94,'24.07 Busega-Masanafu'!O94,'25.07 Busega-Masanafu'!O94,'26.07 Busega-Masanafu-24h'!O94,'27.07 Busega-Masanafu-24h'!O94,'28.07 Busega-Masanafu'!O94)</f>
        <v>40</v>
      </c>
      <c r="P94" s="49">
        <f>AVERAGE('22.07 Busega-Masanafu'!P94,'23.07 Busega-Masanafu'!P94,'24.07 Busega-Masanafu'!P94,'25.07 Busega-Masanafu'!P94,'26.07 Busega-Masanafu-24h'!P94,'27.07 Busega-Masanafu-24h'!P94,'28.07 Busega-Masanafu'!P94)</f>
        <v>53</v>
      </c>
      <c r="R94" s="8"/>
      <c r="T94"/>
    </row>
    <row r="95" spans="2:20" ht="23.1" customHeight="1" x14ac:dyDescent="0.25">
      <c r="B95" s="23" t="s">
        <v>135</v>
      </c>
      <c r="C95" s="49">
        <f>AVERAGE('26.07 Busega-Masanafu-24h'!C95,'27.07 Busega-Masanafu-24h'!C95)</f>
        <v>10.5</v>
      </c>
      <c r="D95" s="49">
        <f>AVERAGE('26.07 Busega-Masanafu-24h'!D95,'27.07 Busega-Masanafu-24h'!D95)</f>
        <v>2.5</v>
      </c>
      <c r="E95" s="49">
        <f>AVERAGE('26.07 Busega-Masanafu-24h'!E95,'27.07 Busega-Masanafu-24h'!E95)</f>
        <v>1.5</v>
      </c>
      <c r="F95" s="49">
        <f>AVERAGE('26.07 Busega-Masanafu-24h'!F95,'27.07 Busega-Masanafu-24h'!F95)</f>
        <v>3.5</v>
      </c>
      <c r="G95" s="49">
        <f>AVERAGE('26.07 Busega-Masanafu-24h'!G95,'27.07 Busega-Masanafu-24h'!G95)</f>
        <v>1</v>
      </c>
      <c r="H95" s="49">
        <f>AVERAGE('26.07 Busega-Masanafu-24h'!H95,'27.07 Busega-Masanafu-24h'!H95)</f>
        <v>0</v>
      </c>
      <c r="I95" s="49">
        <f>AVERAGE('26.07 Busega-Masanafu-24h'!I95,'27.07 Busega-Masanafu-24h'!I95)</f>
        <v>3.5</v>
      </c>
      <c r="J95" s="49">
        <f>AVERAGE('26.07 Busega-Masanafu-24h'!J95,'27.07 Busega-Masanafu-24h'!J95)</f>
        <v>7.5</v>
      </c>
      <c r="K95" s="49">
        <f>AVERAGE('26.07 Busega-Masanafu-24h'!K95,'27.07 Busega-Masanafu-24h'!K95)</f>
        <v>0.5</v>
      </c>
      <c r="L95" s="49">
        <f>AVERAGE('26.07 Busega-Masanafu-24h'!L95,'27.07 Busega-Masanafu-24h'!L95)</f>
        <v>1.5</v>
      </c>
      <c r="M95" s="49">
        <f>AVERAGE('26.07 Busega-Masanafu-24h'!M95,'27.07 Busega-Masanafu-24h'!M95)</f>
        <v>11</v>
      </c>
      <c r="N95" s="49">
        <f>AVERAGE('26.07 Busega-Masanafu-24h'!N95,'27.07 Busega-Masanafu-24h'!N95)</f>
        <v>0</v>
      </c>
      <c r="O95" s="49">
        <f>AVERAGE('22.07 Busega-Masanafu'!O95,'23.07 Busega-Masanafu'!O95,'24.07 Busega-Masanafu'!O95,'25.07 Busega-Masanafu'!O95,'26.07 Busega-Masanafu-24h'!O95,'27.07 Busega-Masanafu-24h'!O95,'28.07 Busega-Masanafu'!O95)</f>
        <v>32</v>
      </c>
      <c r="P95" s="49">
        <f>AVERAGE('22.07 Busega-Masanafu'!P95,'23.07 Busega-Masanafu'!P95,'24.07 Busega-Masanafu'!P95,'25.07 Busega-Masanafu'!P95,'26.07 Busega-Masanafu-24h'!P95,'27.07 Busega-Masanafu-24h'!P95,'28.07 Busega-Masanafu'!P95)</f>
        <v>43</v>
      </c>
      <c r="R95" s="8"/>
      <c r="T95"/>
    </row>
    <row r="96" spans="2:20" ht="23.1" customHeight="1" x14ac:dyDescent="0.25">
      <c r="B96" s="25" t="s">
        <v>136</v>
      </c>
      <c r="C96" s="49">
        <f>AVERAGE('26.07 Busega-Masanafu-24h'!C96,'27.07 Busega-Masanafu-24h'!C96)</f>
        <v>14.5</v>
      </c>
      <c r="D96" s="49">
        <f>AVERAGE('26.07 Busega-Masanafu-24h'!D96,'27.07 Busega-Masanafu-24h'!D96)</f>
        <v>3</v>
      </c>
      <c r="E96" s="49">
        <f>AVERAGE('26.07 Busega-Masanafu-24h'!E96,'27.07 Busega-Masanafu-24h'!E96)</f>
        <v>3</v>
      </c>
      <c r="F96" s="49">
        <f>AVERAGE('26.07 Busega-Masanafu-24h'!F96,'27.07 Busega-Masanafu-24h'!F96)</f>
        <v>4</v>
      </c>
      <c r="G96" s="49">
        <f>AVERAGE('26.07 Busega-Masanafu-24h'!G96,'27.07 Busega-Masanafu-24h'!G96)</f>
        <v>0.5</v>
      </c>
      <c r="H96" s="49">
        <f>AVERAGE('26.07 Busega-Masanafu-24h'!H96,'27.07 Busega-Masanafu-24h'!H96)</f>
        <v>0.5</v>
      </c>
      <c r="I96" s="49">
        <f>AVERAGE('26.07 Busega-Masanafu-24h'!I96,'27.07 Busega-Masanafu-24h'!I96)</f>
        <v>4.5</v>
      </c>
      <c r="J96" s="49">
        <f>AVERAGE('26.07 Busega-Masanafu-24h'!J96,'27.07 Busega-Masanafu-24h'!J96)</f>
        <v>6</v>
      </c>
      <c r="K96" s="49">
        <f>AVERAGE('26.07 Busega-Masanafu-24h'!K96,'27.07 Busega-Masanafu-24h'!K96)</f>
        <v>4.5</v>
      </c>
      <c r="L96" s="49">
        <f>AVERAGE('26.07 Busega-Masanafu-24h'!L96,'27.07 Busega-Masanafu-24h'!L96)</f>
        <v>1</v>
      </c>
      <c r="M96" s="49">
        <f>AVERAGE('26.07 Busega-Masanafu-24h'!M96,'27.07 Busega-Masanafu-24h'!M96)</f>
        <v>15</v>
      </c>
      <c r="N96" s="49">
        <f>AVERAGE('26.07 Busega-Masanafu-24h'!N96,'27.07 Busega-Masanafu-24h'!N96)</f>
        <v>0</v>
      </c>
      <c r="O96" s="49">
        <f>AVERAGE('22.07 Busega-Masanafu'!O96,'23.07 Busega-Masanafu'!O96,'24.07 Busega-Masanafu'!O96,'25.07 Busega-Masanafu'!O96,'26.07 Busega-Masanafu-24h'!O96,'27.07 Busega-Masanafu-24h'!O96,'28.07 Busega-Masanafu'!O96)</f>
        <v>41.5</v>
      </c>
      <c r="P96" s="49">
        <f>AVERAGE('22.07 Busega-Masanafu'!P96,'23.07 Busega-Masanafu'!P96,'24.07 Busega-Masanafu'!P96,'25.07 Busega-Masanafu'!P96,'26.07 Busega-Masanafu-24h'!P96,'27.07 Busega-Masanafu-24h'!P96,'28.07 Busega-Masanafu'!P96)</f>
        <v>56.5</v>
      </c>
      <c r="R96" s="8"/>
      <c r="T96"/>
    </row>
    <row r="97" spans="2:20" ht="23.1" customHeight="1" x14ac:dyDescent="0.25">
      <c r="B97" s="23" t="s">
        <v>137</v>
      </c>
      <c r="C97" s="49">
        <f>AVERAGE('26.07 Busega-Masanafu-24h'!C97,'27.07 Busega-Masanafu-24h'!C97)</f>
        <v>6.5</v>
      </c>
      <c r="D97" s="49">
        <f>AVERAGE('26.07 Busega-Masanafu-24h'!D97,'27.07 Busega-Masanafu-24h'!D97)</f>
        <v>2.5</v>
      </c>
      <c r="E97" s="49">
        <f>AVERAGE('26.07 Busega-Masanafu-24h'!E97,'27.07 Busega-Masanafu-24h'!E97)</f>
        <v>3</v>
      </c>
      <c r="F97" s="49">
        <f>AVERAGE('26.07 Busega-Masanafu-24h'!F97,'27.07 Busega-Masanafu-24h'!F97)</f>
        <v>5.5</v>
      </c>
      <c r="G97" s="49">
        <f>AVERAGE('26.07 Busega-Masanafu-24h'!G97,'27.07 Busega-Masanafu-24h'!G97)</f>
        <v>0.5</v>
      </c>
      <c r="H97" s="49">
        <f>AVERAGE('26.07 Busega-Masanafu-24h'!H97,'27.07 Busega-Masanafu-24h'!H97)</f>
        <v>1</v>
      </c>
      <c r="I97" s="49">
        <f>AVERAGE('26.07 Busega-Masanafu-24h'!I97,'27.07 Busega-Masanafu-24h'!I97)</f>
        <v>7.5</v>
      </c>
      <c r="J97" s="49">
        <f>AVERAGE('26.07 Busega-Masanafu-24h'!J97,'27.07 Busega-Masanafu-24h'!J97)</f>
        <v>8</v>
      </c>
      <c r="K97" s="49">
        <f>AVERAGE('26.07 Busega-Masanafu-24h'!K97,'27.07 Busega-Masanafu-24h'!K97)</f>
        <v>2</v>
      </c>
      <c r="L97" s="49">
        <f>AVERAGE('26.07 Busega-Masanafu-24h'!L97,'27.07 Busega-Masanafu-24h'!L97)</f>
        <v>2</v>
      </c>
      <c r="M97" s="49">
        <f>AVERAGE('26.07 Busega-Masanafu-24h'!M97,'27.07 Busega-Masanafu-24h'!M97)</f>
        <v>12</v>
      </c>
      <c r="N97" s="49">
        <f>AVERAGE('26.07 Busega-Masanafu-24h'!N97,'27.07 Busega-Masanafu-24h'!N97)</f>
        <v>0</v>
      </c>
      <c r="O97" s="49">
        <f>AVERAGE('22.07 Busega-Masanafu'!O97,'23.07 Busega-Masanafu'!O97,'24.07 Busega-Masanafu'!O97,'25.07 Busega-Masanafu'!O97,'26.07 Busega-Masanafu-24h'!O97,'27.07 Busega-Masanafu-24h'!O97,'28.07 Busega-Masanafu'!O97)</f>
        <v>38.5</v>
      </c>
      <c r="P97" s="49">
        <f>AVERAGE('22.07 Busega-Masanafu'!P97,'23.07 Busega-Masanafu'!P97,'24.07 Busega-Masanafu'!P97,'25.07 Busega-Masanafu'!P97,'26.07 Busega-Masanafu-24h'!P97,'27.07 Busega-Masanafu-24h'!P97,'28.07 Busega-Masanafu'!P97)</f>
        <v>50.5</v>
      </c>
      <c r="R97" s="8"/>
      <c r="T97"/>
    </row>
    <row r="98" spans="2:20" ht="23.1" customHeight="1" x14ac:dyDescent="0.25">
      <c r="B98" s="24" t="s">
        <v>138</v>
      </c>
      <c r="C98" s="49">
        <f>AVERAGE('26.07 Busega-Masanafu-24h'!C98,'27.07 Busega-Masanafu-24h'!C98)</f>
        <v>12.5</v>
      </c>
      <c r="D98" s="49">
        <f>AVERAGE('26.07 Busega-Masanafu-24h'!D98,'27.07 Busega-Masanafu-24h'!D98)</f>
        <v>1</v>
      </c>
      <c r="E98" s="49">
        <f>AVERAGE('26.07 Busega-Masanafu-24h'!E98,'27.07 Busega-Masanafu-24h'!E98)</f>
        <v>3.5</v>
      </c>
      <c r="F98" s="49">
        <f>AVERAGE('26.07 Busega-Masanafu-24h'!F98,'27.07 Busega-Masanafu-24h'!F98)</f>
        <v>6.5</v>
      </c>
      <c r="G98" s="49">
        <f>AVERAGE('26.07 Busega-Masanafu-24h'!G98,'27.07 Busega-Masanafu-24h'!G98)</f>
        <v>1</v>
      </c>
      <c r="H98" s="49">
        <f>AVERAGE('26.07 Busega-Masanafu-24h'!H98,'27.07 Busega-Masanafu-24h'!H98)</f>
        <v>0</v>
      </c>
      <c r="I98" s="49">
        <f>AVERAGE('26.07 Busega-Masanafu-24h'!I98,'27.07 Busega-Masanafu-24h'!I98)</f>
        <v>6</v>
      </c>
      <c r="J98" s="49">
        <f>AVERAGE('26.07 Busega-Masanafu-24h'!J98,'27.07 Busega-Masanafu-24h'!J98)</f>
        <v>4</v>
      </c>
      <c r="K98" s="49">
        <f>AVERAGE('26.07 Busega-Masanafu-24h'!K98,'27.07 Busega-Masanafu-24h'!K98)</f>
        <v>1</v>
      </c>
      <c r="L98" s="49">
        <f>AVERAGE('26.07 Busega-Masanafu-24h'!L98,'27.07 Busega-Masanafu-24h'!L98)</f>
        <v>2</v>
      </c>
      <c r="M98" s="49">
        <f>AVERAGE('26.07 Busega-Masanafu-24h'!M98,'27.07 Busega-Masanafu-24h'!M98)</f>
        <v>19</v>
      </c>
      <c r="N98" s="49">
        <f>AVERAGE('26.07 Busega-Masanafu-24h'!N98,'27.07 Busega-Masanafu-24h'!N98)</f>
        <v>0</v>
      </c>
      <c r="O98" s="49">
        <f>AVERAGE('22.07 Busega-Masanafu'!O98,'23.07 Busega-Masanafu'!O98,'24.07 Busega-Masanafu'!O98,'25.07 Busega-Masanafu'!O98,'26.07 Busega-Masanafu-24h'!O98,'27.07 Busega-Masanafu-24h'!O98,'28.07 Busega-Masanafu'!O98)</f>
        <v>37.5</v>
      </c>
      <c r="P98" s="49">
        <f>AVERAGE('22.07 Busega-Masanafu'!P98,'23.07 Busega-Masanafu'!P98,'24.07 Busega-Masanafu'!P98,'25.07 Busega-Masanafu'!P98,'26.07 Busega-Masanafu-24h'!P98,'27.07 Busega-Masanafu-24h'!P98,'28.07 Busega-Masanafu'!P98)</f>
        <v>56.5</v>
      </c>
      <c r="R98" s="8"/>
      <c r="T98"/>
    </row>
    <row r="99" spans="2:20" ht="23.1" customHeight="1" x14ac:dyDescent="0.25">
      <c r="B99" s="23" t="s">
        <v>139</v>
      </c>
      <c r="C99" s="49">
        <f>AVERAGE('26.07 Busega-Masanafu-24h'!C99,'27.07 Busega-Masanafu-24h'!C99)</f>
        <v>16.5</v>
      </c>
      <c r="D99" s="49">
        <f>AVERAGE('26.07 Busega-Masanafu-24h'!D99,'27.07 Busega-Masanafu-24h'!D99)</f>
        <v>1</v>
      </c>
      <c r="E99" s="49">
        <f>AVERAGE('26.07 Busega-Masanafu-24h'!E99,'27.07 Busega-Masanafu-24h'!E99)</f>
        <v>2</v>
      </c>
      <c r="F99" s="49">
        <f>AVERAGE('26.07 Busega-Masanafu-24h'!F99,'27.07 Busega-Masanafu-24h'!F99)</f>
        <v>9</v>
      </c>
      <c r="G99" s="49">
        <f>AVERAGE('26.07 Busega-Masanafu-24h'!G99,'27.07 Busega-Masanafu-24h'!G99)</f>
        <v>0</v>
      </c>
      <c r="H99" s="49">
        <f>AVERAGE('26.07 Busega-Masanafu-24h'!H99,'27.07 Busega-Masanafu-24h'!H99)</f>
        <v>0.5</v>
      </c>
      <c r="I99" s="49">
        <f>AVERAGE('26.07 Busega-Masanafu-24h'!I99,'27.07 Busega-Masanafu-24h'!I99)</f>
        <v>6.5</v>
      </c>
      <c r="J99" s="49">
        <f>AVERAGE('26.07 Busega-Masanafu-24h'!J99,'27.07 Busega-Masanafu-24h'!J99)</f>
        <v>7.5</v>
      </c>
      <c r="K99" s="49">
        <f>AVERAGE('26.07 Busega-Masanafu-24h'!K99,'27.07 Busega-Masanafu-24h'!K99)</f>
        <v>0.5</v>
      </c>
      <c r="L99" s="49">
        <f>AVERAGE('26.07 Busega-Masanafu-24h'!L99,'27.07 Busega-Masanafu-24h'!L99)</f>
        <v>4</v>
      </c>
      <c r="M99" s="49">
        <f>AVERAGE('26.07 Busega-Masanafu-24h'!M99,'27.07 Busega-Masanafu-24h'!M99)</f>
        <v>15.5</v>
      </c>
      <c r="N99" s="49">
        <f>AVERAGE('26.07 Busega-Masanafu-24h'!N99,'27.07 Busega-Masanafu-24h'!N99)</f>
        <v>0</v>
      </c>
      <c r="O99" s="49">
        <f>AVERAGE('22.07 Busega-Masanafu'!O99,'23.07 Busega-Masanafu'!O99,'24.07 Busega-Masanafu'!O99,'25.07 Busega-Masanafu'!O99,'26.07 Busega-Masanafu-24h'!O99,'27.07 Busega-Masanafu-24h'!O99,'28.07 Busega-Masanafu'!O99)</f>
        <v>47.5</v>
      </c>
      <c r="P99" s="49">
        <f>AVERAGE('22.07 Busega-Masanafu'!P99,'23.07 Busega-Masanafu'!P99,'24.07 Busega-Masanafu'!P99,'25.07 Busega-Masanafu'!P99,'26.07 Busega-Masanafu-24h'!P99,'27.07 Busega-Masanafu-24h'!P99,'28.07 Busega-Masanafu'!P99)</f>
        <v>63</v>
      </c>
      <c r="R99" s="8"/>
      <c r="T99"/>
    </row>
    <row r="100" spans="2:20" ht="23.1" customHeight="1" x14ac:dyDescent="0.25">
      <c r="B100" s="25" t="s">
        <v>140</v>
      </c>
      <c r="C100" s="49">
        <f>AVERAGE('26.07 Busega-Masanafu-24h'!C100,'27.07 Busega-Masanafu-24h'!C100)</f>
        <v>15</v>
      </c>
      <c r="D100" s="49">
        <f>AVERAGE('26.07 Busega-Masanafu-24h'!D100,'27.07 Busega-Masanafu-24h'!D100)</f>
        <v>1.5</v>
      </c>
      <c r="E100" s="49">
        <f>AVERAGE('26.07 Busega-Masanafu-24h'!E100,'27.07 Busega-Masanafu-24h'!E100)</f>
        <v>3</v>
      </c>
      <c r="F100" s="49">
        <f>AVERAGE('26.07 Busega-Masanafu-24h'!F100,'27.07 Busega-Masanafu-24h'!F100)</f>
        <v>9</v>
      </c>
      <c r="G100" s="49">
        <f>AVERAGE('26.07 Busega-Masanafu-24h'!G100,'27.07 Busega-Masanafu-24h'!G100)</f>
        <v>1.5</v>
      </c>
      <c r="H100" s="49">
        <f>AVERAGE('26.07 Busega-Masanafu-24h'!H100,'27.07 Busega-Masanafu-24h'!H100)</f>
        <v>0</v>
      </c>
      <c r="I100" s="49">
        <f>AVERAGE('26.07 Busega-Masanafu-24h'!I100,'27.07 Busega-Masanafu-24h'!I100)</f>
        <v>7</v>
      </c>
      <c r="J100" s="49">
        <f>AVERAGE('26.07 Busega-Masanafu-24h'!J100,'27.07 Busega-Masanafu-24h'!J100)</f>
        <v>10</v>
      </c>
      <c r="K100" s="49">
        <f>AVERAGE('26.07 Busega-Masanafu-24h'!K100,'27.07 Busega-Masanafu-24h'!K100)</f>
        <v>2</v>
      </c>
      <c r="L100" s="49">
        <f>AVERAGE('26.07 Busega-Masanafu-24h'!L100,'27.07 Busega-Masanafu-24h'!L100)</f>
        <v>5.5</v>
      </c>
      <c r="M100" s="49">
        <f>AVERAGE('26.07 Busega-Masanafu-24h'!M100,'27.07 Busega-Masanafu-24h'!M100)</f>
        <v>14</v>
      </c>
      <c r="N100" s="49">
        <f>AVERAGE('26.07 Busega-Masanafu-24h'!N100,'27.07 Busega-Masanafu-24h'!N100)</f>
        <v>0</v>
      </c>
      <c r="O100" s="49">
        <f>AVERAGE('22.07 Busega-Masanafu'!O100,'23.07 Busega-Masanafu'!O100,'24.07 Busega-Masanafu'!O100,'25.07 Busega-Masanafu'!O100,'26.07 Busega-Masanafu-24h'!O100,'27.07 Busega-Masanafu-24h'!O100,'28.07 Busega-Masanafu'!O100)</f>
        <v>54.5</v>
      </c>
      <c r="P100" s="49">
        <f>AVERAGE('22.07 Busega-Masanafu'!P100,'23.07 Busega-Masanafu'!P100,'24.07 Busega-Masanafu'!P100,'25.07 Busega-Masanafu'!P100,'26.07 Busega-Masanafu-24h'!P100,'27.07 Busega-Masanafu-24h'!P100,'28.07 Busega-Masanafu'!P100)</f>
        <v>68.5</v>
      </c>
      <c r="R100" s="8"/>
      <c r="T100"/>
    </row>
    <row r="101" spans="2:20" ht="23.1" customHeight="1" x14ac:dyDescent="0.25">
      <c r="B101" s="23" t="s">
        <v>141</v>
      </c>
      <c r="C101" s="49">
        <f>AVERAGE('26.07 Busega-Masanafu-24h'!C101,'27.07 Busega-Masanafu-24h'!C101)</f>
        <v>18</v>
      </c>
      <c r="D101" s="49">
        <f>AVERAGE('26.07 Busega-Masanafu-24h'!D101,'27.07 Busega-Masanafu-24h'!D101)</f>
        <v>3.5</v>
      </c>
      <c r="E101" s="49">
        <f>AVERAGE('26.07 Busega-Masanafu-24h'!E101,'27.07 Busega-Masanafu-24h'!E101)</f>
        <v>4</v>
      </c>
      <c r="F101" s="49">
        <f>AVERAGE('26.07 Busega-Masanafu-24h'!F101,'27.07 Busega-Masanafu-24h'!F101)</f>
        <v>12</v>
      </c>
      <c r="G101" s="49">
        <f>AVERAGE('26.07 Busega-Masanafu-24h'!G101,'27.07 Busega-Masanafu-24h'!G101)</f>
        <v>1</v>
      </c>
      <c r="H101" s="49">
        <f>AVERAGE('26.07 Busega-Masanafu-24h'!H101,'27.07 Busega-Masanafu-24h'!H101)</f>
        <v>1</v>
      </c>
      <c r="I101" s="49">
        <f>AVERAGE('26.07 Busega-Masanafu-24h'!I101,'27.07 Busega-Masanafu-24h'!I101)</f>
        <v>3</v>
      </c>
      <c r="J101" s="49">
        <f>AVERAGE('26.07 Busega-Masanafu-24h'!J101,'27.07 Busega-Masanafu-24h'!J101)</f>
        <v>9.5</v>
      </c>
      <c r="K101" s="49">
        <f>AVERAGE('26.07 Busega-Masanafu-24h'!K101,'27.07 Busega-Masanafu-24h'!K101)</f>
        <v>2</v>
      </c>
      <c r="L101" s="49">
        <f>AVERAGE('26.07 Busega-Masanafu-24h'!L101,'27.07 Busega-Masanafu-24h'!L101)</f>
        <v>4.5</v>
      </c>
      <c r="M101" s="49">
        <f>AVERAGE('26.07 Busega-Masanafu-24h'!M101,'27.07 Busega-Masanafu-24h'!M101)</f>
        <v>19.5</v>
      </c>
      <c r="N101" s="49">
        <f>AVERAGE('26.07 Busega-Masanafu-24h'!N101,'27.07 Busega-Masanafu-24h'!N101)</f>
        <v>0</v>
      </c>
      <c r="O101" s="49">
        <f>AVERAGE('22.07 Busega-Masanafu'!O101,'23.07 Busega-Masanafu'!O101,'24.07 Busega-Masanafu'!O101,'25.07 Busega-Masanafu'!O101,'26.07 Busega-Masanafu-24h'!O101,'27.07 Busega-Masanafu-24h'!O101,'28.07 Busega-Masanafu'!O101)</f>
        <v>58.5</v>
      </c>
      <c r="P101" s="49">
        <f>AVERAGE('22.07 Busega-Masanafu'!P101,'23.07 Busega-Masanafu'!P101,'24.07 Busega-Masanafu'!P101,'25.07 Busega-Masanafu'!P101,'26.07 Busega-Masanafu-24h'!P101,'27.07 Busega-Masanafu-24h'!P101,'28.07 Busega-Masanafu'!P101)</f>
        <v>78</v>
      </c>
      <c r="R101" s="8"/>
      <c r="T101"/>
    </row>
    <row r="102" spans="2:20" ht="23.1" customHeight="1" x14ac:dyDescent="0.25">
      <c r="B102" s="24" t="s">
        <v>142</v>
      </c>
      <c r="C102" s="49">
        <f>AVERAGE('26.07 Busega-Masanafu-24h'!C102,'27.07 Busega-Masanafu-24h'!C102)</f>
        <v>18</v>
      </c>
      <c r="D102" s="49">
        <f>AVERAGE('26.07 Busega-Masanafu-24h'!D102,'27.07 Busega-Masanafu-24h'!D102)</f>
        <v>3</v>
      </c>
      <c r="E102" s="49">
        <f>AVERAGE('26.07 Busega-Masanafu-24h'!E102,'27.07 Busega-Masanafu-24h'!E102)</f>
        <v>7.5</v>
      </c>
      <c r="F102" s="49">
        <f>AVERAGE('26.07 Busega-Masanafu-24h'!F102,'27.07 Busega-Masanafu-24h'!F102)</f>
        <v>14.5</v>
      </c>
      <c r="G102" s="49">
        <f>AVERAGE('26.07 Busega-Masanafu-24h'!G102,'27.07 Busega-Masanafu-24h'!G102)</f>
        <v>0</v>
      </c>
      <c r="H102" s="49">
        <f>AVERAGE('26.07 Busega-Masanafu-24h'!H102,'27.07 Busega-Masanafu-24h'!H102)</f>
        <v>0</v>
      </c>
      <c r="I102" s="49">
        <f>AVERAGE('26.07 Busega-Masanafu-24h'!I102,'27.07 Busega-Masanafu-24h'!I102)</f>
        <v>8.5</v>
      </c>
      <c r="J102" s="49">
        <f>AVERAGE('26.07 Busega-Masanafu-24h'!J102,'27.07 Busega-Masanafu-24h'!J102)</f>
        <v>5</v>
      </c>
      <c r="K102" s="49">
        <f>AVERAGE('26.07 Busega-Masanafu-24h'!K102,'27.07 Busega-Masanafu-24h'!K102)</f>
        <v>0.5</v>
      </c>
      <c r="L102" s="49">
        <f>AVERAGE('26.07 Busega-Masanafu-24h'!L102,'27.07 Busega-Masanafu-24h'!L102)</f>
        <v>2.5</v>
      </c>
      <c r="M102" s="49">
        <f>AVERAGE('26.07 Busega-Masanafu-24h'!M102,'27.07 Busega-Masanafu-24h'!M102)</f>
        <v>25.5</v>
      </c>
      <c r="N102" s="49">
        <f>AVERAGE('26.07 Busega-Masanafu-24h'!N102,'27.07 Busega-Masanafu-24h'!N102)</f>
        <v>0.5</v>
      </c>
      <c r="O102" s="49">
        <f>AVERAGE('22.07 Busega-Masanafu'!O102,'23.07 Busega-Masanafu'!O102,'24.07 Busega-Masanafu'!O102,'25.07 Busega-Masanafu'!O102,'26.07 Busega-Masanafu-24h'!O102,'27.07 Busega-Masanafu-24h'!O102,'28.07 Busega-Masanafu'!O102)</f>
        <v>60</v>
      </c>
      <c r="P102" s="49">
        <f>AVERAGE('22.07 Busega-Masanafu'!P102,'23.07 Busega-Masanafu'!P102,'24.07 Busega-Masanafu'!P102,'25.07 Busega-Masanafu'!P102,'26.07 Busega-Masanafu-24h'!P102,'27.07 Busega-Masanafu-24h'!P102,'28.07 Busega-Masanafu'!P102)</f>
        <v>85.5</v>
      </c>
      <c r="R102" s="8"/>
      <c r="T102"/>
    </row>
    <row r="103" spans="2:20" ht="23.1" customHeight="1" x14ac:dyDescent="0.25">
      <c r="B103" s="23" t="s">
        <v>143</v>
      </c>
      <c r="C103" s="49">
        <f>AVERAGE('26.07 Busega-Masanafu-24h'!C103,'27.07 Busega-Masanafu-24h'!C103)</f>
        <v>28</v>
      </c>
      <c r="D103" s="49">
        <f>AVERAGE('26.07 Busega-Masanafu-24h'!D103,'27.07 Busega-Masanafu-24h'!D103)</f>
        <v>1.5</v>
      </c>
      <c r="E103" s="49">
        <f>AVERAGE('26.07 Busega-Masanafu-24h'!E103,'27.07 Busega-Masanafu-24h'!E103)</f>
        <v>5</v>
      </c>
      <c r="F103" s="49">
        <f>AVERAGE('26.07 Busega-Masanafu-24h'!F103,'27.07 Busega-Masanafu-24h'!F103)</f>
        <v>20</v>
      </c>
      <c r="G103" s="49">
        <f>AVERAGE('26.07 Busega-Masanafu-24h'!G103,'27.07 Busega-Masanafu-24h'!G103)</f>
        <v>0.5</v>
      </c>
      <c r="H103" s="49">
        <f>AVERAGE('26.07 Busega-Masanafu-24h'!H103,'27.07 Busega-Masanafu-24h'!H103)</f>
        <v>2</v>
      </c>
      <c r="I103" s="49">
        <f>AVERAGE('26.07 Busega-Masanafu-24h'!I103,'27.07 Busega-Masanafu-24h'!I103)</f>
        <v>11</v>
      </c>
      <c r="J103" s="49">
        <f>AVERAGE('26.07 Busega-Masanafu-24h'!J103,'27.07 Busega-Masanafu-24h'!J103)</f>
        <v>13.5</v>
      </c>
      <c r="K103" s="49">
        <f>AVERAGE('26.07 Busega-Masanafu-24h'!K103,'27.07 Busega-Masanafu-24h'!K103)</f>
        <v>0.5</v>
      </c>
      <c r="L103" s="49">
        <f>AVERAGE('26.07 Busega-Masanafu-24h'!L103,'27.07 Busega-Masanafu-24h'!L103)</f>
        <v>4</v>
      </c>
      <c r="M103" s="49">
        <f>AVERAGE('26.07 Busega-Masanafu-24h'!M103,'27.07 Busega-Masanafu-24h'!M103)</f>
        <v>36.5</v>
      </c>
      <c r="N103" s="49">
        <f>AVERAGE('26.07 Busega-Masanafu-24h'!N103,'27.07 Busega-Masanafu-24h'!N103)</f>
        <v>0</v>
      </c>
      <c r="O103" s="49">
        <f>AVERAGE('22.07 Busega-Masanafu'!O103,'23.07 Busega-Masanafu'!O103,'24.07 Busega-Masanafu'!O103,'25.07 Busega-Masanafu'!O103,'26.07 Busega-Masanafu-24h'!O103,'27.07 Busega-Masanafu-24h'!O103,'28.07 Busega-Masanafu'!O103)</f>
        <v>86</v>
      </c>
      <c r="P103" s="49">
        <f>AVERAGE('22.07 Busega-Masanafu'!P103,'23.07 Busega-Masanafu'!P103,'24.07 Busega-Masanafu'!P103,'25.07 Busega-Masanafu'!P103,'26.07 Busega-Masanafu-24h'!P103,'27.07 Busega-Masanafu-24h'!P103,'28.07 Busega-Masanafu'!P103)</f>
        <v>122.5</v>
      </c>
      <c r="R103" s="8"/>
      <c r="T103"/>
    </row>
    <row r="104" spans="2:20" ht="23.1" customHeight="1" x14ac:dyDescent="0.25">
      <c r="B104" s="25" t="s">
        <v>144</v>
      </c>
      <c r="C104" s="49">
        <f>AVERAGE('26.07 Busega-Masanafu-24h'!C104,'27.07 Busega-Masanafu-24h'!C104)</f>
        <v>30</v>
      </c>
      <c r="D104" s="49">
        <f>AVERAGE('26.07 Busega-Masanafu-24h'!D104,'27.07 Busega-Masanafu-24h'!D104)</f>
        <v>6.5</v>
      </c>
      <c r="E104" s="49">
        <f>AVERAGE('26.07 Busega-Masanafu-24h'!E104,'27.07 Busega-Masanafu-24h'!E104)</f>
        <v>3.5</v>
      </c>
      <c r="F104" s="49">
        <f>AVERAGE('26.07 Busega-Masanafu-24h'!F104,'27.07 Busega-Masanafu-24h'!F104)</f>
        <v>17.5</v>
      </c>
      <c r="G104" s="49">
        <f>AVERAGE('26.07 Busega-Masanafu-24h'!G104,'27.07 Busega-Masanafu-24h'!G104)</f>
        <v>2</v>
      </c>
      <c r="H104" s="49">
        <f>AVERAGE('26.07 Busega-Masanafu-24h'!H104,'27.07 Busega-Masanafu-24h'!H104)</f>
        <v>0.5</v>
      </c>
      <c r="I104" s="49">
        <f>AVERAGE('26.07 Busega-Masanafu-24h'!I104,'27.07 Busega-Masanafu-24h'!I104)</f>
        <v>9.5</v>
      </c>
      <c r="J104" s="49">
        <f>AVERAGE('26.07 Busega-Masanafu-24h'!J104,'27.07 Busega-Masanafu-24h'!J104)</f>
        <v>8</v>
      </c>
      <c r="K104" s="49">
        <f>AVERAGE('26.07 Busega-Masanafu-24h'!K104,'27.07 Busega-Masanafu-24h'!K104)</f>
        <v>0</v>
      </c>
      <c r="L104" s="49">
        <f>AVERAGE('26.07 Busega-Masanafu-24h'!L104,'27.07 Busega-Masanafu-24h'!L104)</f>
        <v>6</v>
      </c>
      <c r="M104" s="49">
        <f>AVERAGE('26.07 Busega-Masanafu-24h'!M104,'27.07 Busega-Masanafu-24h'!M104)</f>
        <v>51.5</v>
      </c>
      <c r="N104" s="49">
        <f>AVERAGE('26.07 Busega-Masanafu-24h'!N104,'27.07 Busega-Masanafu-24h'!N104)</f>
        <v>0</v>
      </c>
      <c r="O104" s="49">
        <f>AVERAGE('22.07 Busega-Masanafu'!O104,'23.07 Busega-Masanafu'!O104,'24.07 Busega-Masanafu'!O104,'25.07 Busega-Masanafu'!O104,'26.07 Busega-Masanafu-24h'!O104,'27.07 Busega-Masanafu-24h'!O104,'28.07 Busega-Masanafu'!O104)</f>
        <v>83.5</v>
      </c>
      <c r="P104" s="49">
        <f>AVERAGE('22.07 Busega-Masanafu'!P104,'23.07 Busega-Masanafu'!P104,'24.07 Busega-Masanafu'!P104,'25.07 Busega-Masanafu'!P104,'26.07 Busega-Masanafu-24h'!P104,'27.07 Busega-Masanafu-24h'!P104,'28.07 Busega-Masanafu'!P104)</f>
        <v>135</v>
      </c>
      <c r="R104" s="8"/>
      <c r="T104"/>
    </row>
    <row r="105" spans="2:20" ht="23.1" customHeight="1" x14ac:dyDescent="0.25">
      <c r="B105" s="23" t="s">
        <v>145</v>
      </c>
      <c r="C105" s="49">
        <f>AVERAGE('26.07 Busega-Masanafu-24h'!C105,'27.07 Busega-Masanafu-24h'!C105)</f>
        <v>36</v>
      </c>
      <c r="D105" s="49">
        <f>AVERAGE('26.07 Busega-Masanafu-24h'!D105,'27.07 Busega-Masanafu-24h'!D105)</f>
        <v>3.5</v>
      </c>
      <c r="E105" s="49">
        <f>AVERAGE('26.07 Busega-Masanafu-24h'!E105,'27.07 Busega-Masanafu-24h'!E105)</f>
        <v>2.5</v>
      </c>
      <c r="F105" s="49">
        <f>AVERAGE('26.07 Busega-Masanafu-24h'!F105,'27.07 Busega-Masanafu-24h'!F105)</f>
        <v>22.5</v>
      </c>
      <c r="G105" s="49">
        <f>AVERAGE('26.07 Busega-Masanafu-24h'!G105,'27.07 Busega-Masanafu-24h'!G105)</f>
        <v>0</v>
      </c>
      <c r="H105" s="49">
        <f>AVERAGE('26.07 Busega-Masanafu-24h'!H105,'27.07 Busega-Masanafu-24h'!H105)</f>
        <v>0</v>
      </c>
      <c r="I105" s="49">
        <f>AVERAGE('26.07 Busega-Masanafu-24h'!I105,'27.07 Busega-Masanafu-24h'!I105)</f>
        <v>8</v>
      </c>
      <c r="J105" s="49">
        <f>AVERAGE('26.07 Busega-Masanafu-24h'!J105,'27.07 Busega-Masanafu-24h'!J105)</f>
        <v>8.5</v>
      </c>
      <c r="K105" s="49">
        <f>AVERAGE('26.07 Busega-Masanafu-24h'!K105,'27.07 Busega-Masanafu-24h'!K105)</f>
        <v>0.5</v>
      </c>
      <c r="L105" s="49">
        <f>AVERAGE('26.07 Busega-Masanafu-24h'!L105,'27.07 Busega-Masanafu-24h'!L105)</f>
        <v>6</v>
      </c>
      <c r="M105" s="49">
        <f>AVERAGE('26.07 Busega-Masanafu-24h'!M105,'27.07 Busega-Masanafu-24h'!M105)</f>
        <v>58.5</v>
      </c>
      <c r="N105" s="49">
        <f>AVERAGE('26.07 Busega-Masanafu-24h'!N105,'27.07 Busega-Masanafu-24h'!N105)</f>
        <v>0</v>
      </c>
      <c r="O105" s="49">
        <f>AVERAGE('22.07 Busega-Masanafu'!O105,'23.07 Busega-Masanafu'!O105,'24.07 Busega-Masanafu'!O105,'25.07 Busega-Masanafu'!O105,'26.07 Busega-Masanafu-24h'!O105,'27.07 Busega-Masanafu-24h'!O105,'28.07 Busega-Masanafu'!O105)</f>
        <v>87.5</v>
      </c>
      <c r="P105" s="49">
        <f>AVERAGE('22.07 Busega-Masanafu'!P105,'23.07 Busega-Masanafu'!P105,'24.07 Busega-Masanafu'!P105,'25.07 Busega-Masanafu'!P105,'26.07 Busega-Masanafu-24h'!P105,'27.07 Busega-Masanafu-24h'!P105,'28.07 Busega-Masanafu'!P105)</f>
        <v>146</v>
      </c>
      <c r="R105" s="8"/>
      <c r="T105"/>
    </row>
    <row r="106" spans="2:20" ht="23.1" customHeight="1" x14ac:dyDescent="0.25">
      <c r="B106" s="54" t="s">
        <v>18</v>
      </c>
      <c r="C106" s="16">
        <f>SUM(C10:C105)</f>
        <v>4908.5</v>
      </c>
      <c r="D106" s="16">
        <f t="shared" ref="D106:P106" si="33">SUM(D10:D105)</f>
        <v>850.07142857142856</v>
      </c>
      <c r="E106" s="16">
        <f t="shared" si="33"/>
        <v>745.85714285714289</v>
      </c>
      <c r="F106" s="16">
        <f t="shared" si="33"/>
        <v>1949.9285714285718</v>
      </c>
      <c r="G106" s="16">
        <f t="shared" si="33"/>
        <v>149.5</v>
      </c>
      <c r="H106" s="16">
        <f t="shared" si="33"/>
        <v>46.714285714285715</v>
      </c>
      <c r="I106" s="16">
        <f t="shared" si="33"/>
        <v>765.71428571428578</v>
      </c>
      <c r="J106" s="16">
        <f t="shared" si="33"/>
        <v>788.35714285714278</v>
      </c>
      <c r="K106" s="16">
        <f t="shared" si="33"/>
        <v>336.78571428571433</v>
      </c>
      <c r="L106" s="16">
        <f t="shared" si="33"/>
        <v>382.64285714285722</v>
      </c>
      <c r="M106" s="16">
        <f t="shared" si="33"/>
        <v>7665.2857142857147</v>
      </c>
      <c r="N106" s="16">
        <f t="shared" si="33"/>
        <v>0.7857142857142857</v>
      </c>
      <c r="O106" s="16">
        <f t="shared" si="33"/>
        <v>16023.142857142855</v>
      </c>
      <c r="P106" s="16">
        <f t="shared" si="33"/>
        <v>27657.71428571429</v>
      </c>
      <c r="R106" s="19"/>
      <c r="S106" s="19"/>
      <c r="T106"/>
    </row>
    <row r="107" spans="2:20" ht="23.1" customHeight="1" x14ac:dyDescent="0.25">
      <c r="B107" s="26" t="s">
        <v>93</v>
      </c>
      <c r="C107" s="43">
        <f t="shared" ref="C107:N107" si="34">C106/$P$106</f>
        <v>0.17747308939897932</v>
      </c>
      <c r="D107" s="43">
        <f t="shared" si="34"/>
        <v>3.0735418689696488E-2</v>
      </c>
      <c r="E107" s="43">
        <f t="shared" si="34"/>
        <v>2.6967418028553125E-2</v>
      </c>
      <c r="F107" s="43">
        <f t="shared" si="34"/>
        <v>7.0502159046300694E-2</v>
      </c>
      <c r="G107" s="43">
        <f t="shared" si="34"/>
        <v>5.405363525546992E-3</v>
      </c>
      <c r="H107" s="43">
        <f t="shared" si="34"/>
        <v>1.6890146897791366E-3</v>
      </c>
      <c r="I107" s="43">
        <f t="shared" si="34"/>
        <v>2.7685378401272699E-2</v>
      </c>
      <c r="J107" s="43">
        <f t="shared" si="34"/>
        <v>2.8504059833474506E-2</v>
      </c>
      <c r="K107" s="43">
        <f t="shared" si="34"/>
        <v>1.2176917832276193E-2</v>
      </c>
      <c r="L107" s="43">
        <f t="shared" si="34"/>
        <v>1.3834941426830024E-2</v>
      </c>
      <c r="M107" s="43">
        <f t="shared" si="34"/>
        <v>0.2771481994173674</v>
      </c>
      <c r="N107" s="43">
        <f t="shared" si="34"/>
        <v>2.840850395652982E-5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0.30633815374190909</v>
      </c>
      <c r="D108" s="44">
        <f t="shared" ref="D108:N108" si="35">D106/$O$106</f>
        <v>5.3052727305147915E-2</v>
      </c>
      <c r="E108" s="44">
        <f t="shared" si="35"/>
        <v>4.6548741998181209E-2</v>
      </c>
      <c r="F108" s="44">
        <f t="shared" si="35"/>
        <v>0.12169451329327227</v>
      </c>
      <c r="G108" s="44">
        <f t="shared" si="35"/>
        <v>9.3302544533799339E-3</v>
      </c>
      <c r="H108" s="44">
        <f t="shared" si="35"/>
        <v>2.9154259018205815E-3</v>
      </c>
      <c r="I108" s="44">
        <f t="shared" si="35"/>
        <v>4.7788020898343476E-2</v>
      </c>
      <c r="J108" s="44">
        <f t="shared" si="35"/>
        <v>4.920115547155008E-2</v>
      </c>
      <c r="K108" s="44">
        <f t="shared" si="35"/>
        <v>2.101870508728447E-2</v>
      </c>
      <c r="L108" s="44">
        <f t="shared" si="35"/>
        <v>2.3880636935860639E-2</v>
      </c>
      <c r="M108" s="44"/>
      <c r="N108" s="44">
        <f t="shared" si="35"/>
        <v>4.9036215474046472E-5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G61" zoomScale="68" zoomScaleSheetLayoutView="68" workbookViewId="0">
      <selection activeCell="AD58" sqref="AD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0" width="10.7109375" customWidth="1"/>
    <col min="31" max="31" width="13.28515625" customWidth="1"/>
    <col min="32" max="32" width="12.5703125" customWidth="1"/>
    <col min="33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'28.07 Masanafu-Busega'!C3:G3</f>
        <v>MCC - C1 - STN13 - NORTHERN BYPASS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169</v>
      </c>
      <c r="E5" s="67"/>
      <c r="F5" s="41" t="s">
        <v>1</v>
      </c>
      <c r="G5" s="64" t="str">
        <f>'28.07 Masanafu-Busega'!G5:H5</f>
        <v>NORTHERN BYPASS</v>
      </c>
      <c r="H5" s="65"/>
      <c r="I5" s="14"/>
      <c r="J5" s="2" t="s">
        <v>5</v>
      </c>
      <c r="K5" s="64" t="str">
        <f>'28.07 Masanafu-Busega'!K5:L5</f>
        <v>SSEMUKO SAMUEL JUNIOR W/MUTEBI CHRISTOPHER/SSEMWOGERERE FREDRICK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'28.07 Masanafu-Busega'!D6:E6</f>
        <v>MASANAFU</v>
      </c>
      <c r="E6" s="65"/>
      <c r="F6" s="2" t="s">
        <v>2</v>
      </c>
      <c r="G6" s="64" t="str">
        <f>'28.07 Masanafu-Busega'!G6:H6</f>
        <v>BUSEGA</v>
      </c>
      <c r="H6" s="65"/>
      <c r="J6" s="2" t="s">
        <v>21</v>
      </c>
      <c r="K6" s="64" t="str">
        <f>'28.07 Masanafu-Busega'!K6:L6</f>
        <v>ANDY/ANDREW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Masanafu-Busega'!C10,'23.07 Masanafu-Busega'!C10,'24.07 Masanafu-Busega'!C10,'25.07 Masanafu-Busega'!C10,'26.07 Masanafu-Busega-24h'!C10,'27.07 Busega-Masanafu-24h'!C10,'28.07 Masanafu-Busega'!C10)</f>
        <v>52.285714285714285</v>
      </c>
      <c r="D10" s="49">
        <f>AVERAGE('22.07 Masanafu-Busega'!D10,'23.07 Masanafu-Busega'!D10,'24.07 Masanafu-Busega'!D10,'25.07 Masanafu-Busega'!D10,'26.07 Masanafu-Busega-24h'!D10,'27.07 Busega-Masanafu-24h'!D10,'28.07 Masanafu-Busega'!D10)</f>
        <v>6.8571428571428568</v>
      </c>
      <c r="E10" s="49">
        <f>AVERAGE('22.07 Masanafu-Busega'!E10,'23.07 Masanafu-Busega'!E10,'24.07 Masanafu-Busega'!E10,'25.07 Masanafu-Busega'!E10,'26.07 Masanafu-Busega-24h'!E10,'27.07 Busega-Masanafu-24h'!E10,'28.07 Masanafu-Busega'!E10)</f>
        <v>6.5714285714285712</v>
      </c>
      <c r="F10" s="49">
        <f>AVERAGE('22.07 Masanafu-Busega'!F10,'23.07 Masanafu-Busega'!F10,'24.07 Masanafu-Busega'!F10,'25.07 Masanafu-Busega'!F10,'26.07 Masanafu-Busega-24h'!F10,'27.07 Busega-Masanafu-24h'!F10,'28.07 Masanafu-Busega'!F10)</f>
        <v>26</v>
      </c>
      <c r="G10" s="49">
        <f>AVERAGE('22.07 Masanafu-Busega'!G10,'23.07 Masanafu-Busega'!G10,'24.07 Masanafu-Busega'!G10,'25.07 Masanafu-Busega'!G10,'26.07 Masanafu-Busega-24h'!G10,'27.07 Busega-Masanafu-24h'!G10,'28.07 Masanafu-Busega'!G10)</f>
        <v>2.1428571428571428</v>
      </c>
      <c r="H10" s="49">
        <f>AVERAGE('22.07 Masanafu-Busega'!H10,'23.07 Masanafu-Busega'!H10,'24.07 Masanafu-Busega'!H10,'25.07 Masanafu-Busega'!H10,'26.07 Masanafu-Busega-24h'!H10,'27.07 Busega-Masanafu-24h'!H10,'28.07 Masanafu-Busega'!H10)</f>
        <v>0.14285714285714285</v>
      </c>
      <c r="I10" s="49">
        <f>AVERAGE('22.07 Masanafu-Busega'!I10,'23.07 Masanafu-Busega'!I10,'24.07 Masanafu-Busega'!I10,'25.07 Masanafu-Busega'!I10,'26.07 Masanafu-Busega-24h'!I10,'27.07 Busega-Masanafu-24h'!I10,'28.07 Masanafu-Busega'!I10)</f>
        <v>7.2857142857142856</v>
      </c>
      <c r="J10" s="49">
        <f>AVERAGE('22.07 Masanafu-Busega'!J10,'23.07 Masanafu-Busega'!J10,'24.07 Masanafu-Busega'!J10,'25.07 Masanafu-Busega'!J10,'26.07 Masanafu-Busega-24h'!J10,'27.07 Busega-Masanafu-24h'!J10,'28.07 Masanafu-Busega'!J10)</f>
        <v>4.2857142857142856</v>
      </c>
      <c r="K10" s="49">
        <f>AVERAGE('22.07 Masanafu-Busega'!K10,'23.07 Masanafu-Busega'!K10,'24.07 Masanafu-Busega'!K10,'25.07 Masanafu-Busega'!K10,'26.07 Masanafu-Busega-24h'!K10,'27.07 Busega-Masanafu-24h'!K10,'28.07 Masanafu-Busega'!K10)</f>
        <v>1.4285714285714286</v>
      </c>
      <c r="L10" s="49">
        <f>AVERAGE('22.07 Masanafu-Busega'!L10,'23.07 Masanafu-Busega'!L10,'24.07 Masanafu-Busega'!L10,'25.07 Masanafu-Busega'!L10,'26.07 Masanafu-Busega-24h'!L10,'27.07 Busega-Masanafu-24h'!L10,'28.07 Masanafu-Busega'!L10)</f>
        <v>1.2857142857142858</v>
      </c>
      <c r="M10" s="49">
        <f>AVERAGE('22.07 Masanafu-Busega'!M10,'23.07 Masanafu-Busega'!M10,'24.07 Masanafu-Busega'!M10,'25.07 Masanafu-Busega'!M10,'26.07 Masanafu-Busega-24h'!M10,'27.07 Busega-Masanafu-24h'!M10,'28.07 Masanafu-Busega'!M10)</f>
        <v>79.428571428571431</v>
      </c>
      <c r="N10" s="49">
        <f>AVERAGE('22.07 Masanafu-Busega'!N10,'23.07 Masanafu-Busega'!N10,'24.07 Masanafu-Busega'!N10,'25.07 Masanafu-Busega'!N10,'26.07 Masanafu-Busega-24h'!N10,'27.07 Masanafu-Busega-24h'!N10,'28.07 Masanafu-Busega'!N10)</f>
        <v>0</v>
      </c>
      <c r="O10" s="15">
        <f t="shared" ref="O10:O73" si="0">SUM(C10:L10,N10)</f>
        <v>108.28571428571429</v>
      </c>
      <c r="P10" s="15">
        <f t="shared" ref="P10:P73" si="1">SUM(C10:N10)</f>
        <v>187.71428571428572</v>
      </c>
      <c r="R10" s="1" t="s">
        <v>6</v>
      </c>
      <c r="S10" s="17">
        <f t="shared" ref="S10:AF10" si="2">SUM(C10:C13)</f>
        <v>255.71428571428572</v>
      </c>
      <c r="T10" s="17">
        <f t="shared" si="2"/>
        <v>35.428571428571431</v>
      </c>
      <c r="U10" s="17">
        <f t="shared" si="2"/>
        <v>31.857142857142854</v>
      </c>
      <c r="V10" s="17">
        <f t="shared" si="2"/>
        <v>121.14285714285714</v>
      </c>
      <c r="W10" s="17">
        <f t="shared" si="2"/>
        <v>9.7142857142857135</v>
      </c>
      <c r="X10" s="17">
        <f t="shared" si="2"/>
        <v>1.1428571428571428</v>
      </c>
      <c r="Y10" s="17">
        <f t="shared" si="2"/>
        <v>32.142857142857139</v>
      </c>
      <c r="Z10" s="17">
        <f t="shared" si="2"/>
        <v>22.142857142857142</v>
      </c>
      <c r="AA10" s="17">
        <f t="shared" si="2"/>
        <v>8</v>
      </c>
      <c r="AB10" s="17">
        <f t="shared" si="2"/>
        <v>9.4285714285714288</v>
      </c>
      <c r="AC10" s="17">
        <f t="shared" si="2"/>
        <v>418.28571428571428</v>
      </c>
      <c r="AD10" s="17">
        <f t="shared" si="2"/>
        <v>0</v>
      </c>
      <c r="AE10" s="31">
        <f t="shared" si="2"/>
        <v>526.71428571428578</v>
      </c>
      <c r="AF10" s="31">
        <f t="shared" si="2"/>
        <v>945</v>
      </c>
    </row>
    <row r="11" spans="2:32" s="6" customFormat="1" ht="23.1" customHeight="1" x14ac:dyDescent="0.25">
      <c r="B11" s="23" t="s">
        <v>38</v>
      </c>
      <c r="C11" s="49">
        <f>AVERAGE('22.07 Masanafu-Busega'!C11,'23.07 Masanafu-Busega'!C11,'24.07 Masanafu-Busega'!C11,'25.07 Masanafu-Busega'!C11,'26.07 Masanafu-Busega-24h'!C11,'27.07 Busega-Masanafu-24h'!C11,'28.07 Masanafu-Busega'!C11)</f>
        <v>66.142857142857139</v>
      </c>
      <c r="D11" s="49">
        <f>AVERAGE('22.07 Masanafu-Busega'!D11,'23.07 Masanafu-Busega'!D11,'24.07 Masanafu-Busega'!D11,'25.07 Masanafu-Busega'!D11,'26.07 Masanafu-Busega-24h'!D11,'27.07 Busega-Masanafu-24h'!D11,'28.07 Masanafu-Busega'!D11)</f>
        <v>6.5714285714285712</v>
      </c>
      <c r="E11" s="49">
        <f>AVERAGE('22.07 Masanafu-Busega'!E11,'23.07 Masanafu-Busega'!E11,'24.07 Masanafu-Busega'!E11,'25.07 Masanafu-Busega'!E11,'26.07 Masanafu-Busega-24h'!E11,'27.07 Busega-Masanafu-24h'!E11,'28.07 Masanafu-Busega'!E11)</f>
        <v>7.7142857142857144</v>
      </c>
      <c r="F11" s="49">
        <f>AVERAGE('22.07 Masanafu-Busega'!F11,'23.07 Masanafu-Busega'!F11,'24.07 Masanafu-Busega'!F11,'25.07 Masanafu-Busega'!F11,'26.07 Masanafu-Busega-24h'!F11,'27.07 Busega-Masanafu-24h'!F11,'28.07 Masanafu-Busega'!F11)</f>
        <v>31.714285714285715</v>
      </c>
      <c r="G11" s="49">
        <f>AVERAGE('22.07 Masanafu-Busega'!G11,'23.07 Masanafu-Busega'!G11,'24.07 Masanafu-Busega'!G11,'25.07 Masanafu-Busega'!G11,'26.07 Masanafu-Busega-24h'!G11,'27.07 Busega-Masanafu-24h'!G11,'28.07 Masanafu-Busega'!G11)</f>
        <v>2.4285714285714284</v>
      </c>
      <c r="H11" s="49">
        <f>AVERAGE('22.07 Masanafu-Busega'!H11,'23.07 Masanafu-Busega'!H11,'24.07 Masanafu-Busega'!H11,'25.07 Masanafu-Busega'!H11,'26.07 Masanafu-Busega-24h'!H11,'27.07 Busega-Masanafu-24h'!H11,'28.07 Masanafu-Busega'!H11)</f>
        <v>0.14285714285714285</v>
      </c>
      <c r="I11" s="49">
        <f>AVERAGE('22.07 Masanafu-Busega'!I11,'23.07 Masanafu-Busega'!I11,'24.07 Masanafu-Busega'!I11,'25.07 Masanafu-Busega'!I11,'26.07 Masanafu-Busega-24h'!I11,'27.07 Busega-Masanafu-24h'!I11,'28.07 Masanafu-Busega'!I11)</f>
        <v>6.8571428571428568</v>
      </c>
      <c r="J11" s="49">
        <f>AVERAGE('22.07 Masanafu-Busega'!J11,'23.07 Masanafu-Busega'!J11,'24.07 Masanafu-Busega'!J11,'25.07 Masanafu-Busega'!J11,'26.07 Masanafu-Busega-24h'!J11,'27.07 Busega-Masanafu-24h'!J11,'28.07 Masanafu-Busega'!J11)</f>
        <v>6.2857142857142856</v>
      </c>
      <c r="K11" s="49">
        <f>AVERAGE('22.07 Masanafu-Busega'!K11,'23.07 Masanafu-Busega'!K11,'24.07 Masanafu-Busega'!K11,'25.07 Masanafu-Busega'!K11,'26.07 Masanafu-Busega-24h'!K11,'27.07 Busega-Masanafu-24h'!K11,'28.07 Masanafu-Busega'!K11)</f>
        <v>2.2857142857142856</v>
      </c>
      <c r="L11" s="49">
        <f>AVERAGE('22.07 Masanafu-Busega'!L11,'23.07 Masanafu-Busega'!L11,'24.07 Masanafu-Busega'!L11,'25.07 Masanafu-Busega'!L11,'26.07 Masanafu-Busega-24h'!L11,'27.07 Busega-Masanafu-24h'!L11,'28.07 Masanafu-Busega'!L11)</f>
        <v>2.2857142857142856</v>
      </c>
      <c r="M11" s="49">
        <f>AVERAGE('22.07 Masanafu-Busega'!M11,'23.07 Masanafu-Busega'!M11,'24.07 Masanafu-Busega'!M11,'25.07 Masanafu-Busega'!M11,'26.07 Masanafu-Busega-24h'!M11,'27.07 Busega-Masanafu-24h'!M11,'28.07 Masanafu-Busega'!M11)</f>
        <v>104.85714285714286</v>
      </c>
      <c r="N11" s="49">
        <f>AVERAGE('22.07 Masanafu-Busega'!N11,'23.07 Masanafu-Busega'!N11,'24.07 Masanafu-Busega'!N11,'25.07 Masanafu-Busega'!N11,'26.07 Masanafu-Busega-24h'!N11,'27.07 Masanafu-Busega-24h'!N11,'28.07 Masanafu-Busega'!N11)</f>
        <v>0</v>
      </c>
      <c r="O11" s="15">
        <f t="shared" si="0"/>
        <v>132.42857142857142</v>
      </c>
      <c r="P11" s="15">
        <f t="shared" si="1"/>
        <v>237.28571428571428</v>
      </c>
      <c r="R11" s="1" t="s">
        <v>7</v>
      </c>
      <c r="S11" s="17">
        <f t="shared" ref="S11:AF11" si="3">SUM(C14:C17)</f>
        <v>274.71428571428572</v>
      </c>
      <c r="T11" s="17">
        <f t="shared" si="3"/>
        <v>35.428571428571431</v>
      </c>
      <c r="U11" s="17">
        <f t="shared" si="3"/>
        <v>37.142857142857146</v>
      </c>
      <c r="V11" s="17">
        <f t="shared" si="3"/>
        <v>141.14285714285711</v>
      </c>
      <c r="W11" s="17">
        <f t="shared" si="3"/>
        <v>4.4285714285714288</v>
      </c>
      <c r="X11" s="17">
        <f t="shared" si="3"/>
        <v>1.4285714285714284</v>
      </c>
      <c r="Y11" s="17">
        <f t="shared" si="3"/>
        <v>40.571428571428569</v>
      </c>
      <c r="Z11" s="17">
        <f t="shared" si="3"/>
        <v>23.142857142857142</v>
      </c>
      <c r="AA11" s="17">
        <f t="shared" si="3"/>
        <v>11.714285714285715</v>
      </c>
      <c r="AB11" s="17">
        <f t="shared" si="3"/>
        <v>13</v>
      </c>
      <c r="AC11" s="17">
        <f t="shared" si="3"/>
        <v>484.14285714285717</v>
      </c>
      <c r="AD11" s="17">
        <f t="shared" si="3"/>
        <v>0</v>
      </c>
      <c r="AE11" s="31">
        <f t="shared" si="3"/>
        <v>582.71428571428567</v>
      </c>
      <c r="AF11" s="31">
        <f t="shared" si="3"/>
        <v>1066.8571428571429</v>
      </c>
    </row>
    <row r="12" spans="2:32" ht="23.1" customHeight="1" x14ac:dyDescent="0.25">
      <c r="B12" s="23" t="s">
        <v>39</v>
      </c>
      <c r="C12" s="49">
        <f>AVERAGE('22.07 Masanafu-Busega'!C12,'23.07 Masanafu-Busega'!C12,'24.07 Masanafu-Busega'!C12,'25.07 Masanafu-Busega'!C12,'26.07 Masanafu-Busega-24h'!C12,'27.07 Busega-Masanafu-24h'!C12,'28.07 Masanafu-Busega'!C12)</f>
        <v>67.857142857142861</v>
      </c>
      <c r="D12" s="49">
        <f>AVERAGE('22.07 Masanafu-Busega'!D12,'23.07 Masanafu-Busega'!D12,'24.07 Masanafu-Busega'!D12,'25.07 Masanafu-Busega'!D12,'26.07 Masanafu-Busega-24h'!D12,'27.07 Busega-Masanafu-24h'!D12,'28.07 Masanafu-Busega'!D12)</f>
        <v>10.857142857142858</v>
      </c>
      <c r="E12" s="49">
        <f>AVERAGE('22.07 Masanafu-Busega'!E12,'23.07 Masanafu-Busega'!E12,'24.07 Masanafu-Busega'!E12,'25.07 Masanafu-Busega'!E12,'26.07 Masanafu-Busega-24h'!E12,'27.07 Busega-Masanafu-24h'!E12,'28.07 Masanafu-Busega'!E12)</f>
        <v>9.1428571428571423</v>
      </c>
      <c r="F12" s="49">
        <f>AVERAGE('22.07 Masanafu-Busega'!F12,'23.07 Masanafu-Busega'!F12,'24.07 Masanafu-Busega'!F12,'25.07 Masanafu-Busega'!F12,'26.07 Masanafu-Busega-24h'!F12,'27.07 Busega-Masanafu-24h'!F12,'28.07 Masanafu-Busega'!F12)</f>
        <v>31.142857142857142</v>
      </c>
      <c r="G12" s="49">
        <f>AVERAGE('22.07 Masanafu-Busega'!G12,'23.07 Masanafu-Busega'!G12,'24.07 Masanafu-Busega'!G12,'25.07 Masanafu-Busega'!G12,'26.07 Masanafu-Busega-24h'!G12,'27.07 Busega-Masanafu-24h'!G12,'28.07 Masanafu-Busega'!G12)</f>
        <v>2.2857142857142856</v>
      </c>
      <c r="H12" s="49">
        <f>AVERAGE('22.07 Masanafu-Busega'!H12,'23.07 Masanafu-Busega'!H12,'24.07 Masanafu-Busega'!H12,'25.07 Masanafu-Busega'!H12,'26.07 Masanafu-Busega-24h'!H12,'27.07 Busega-Masanafu-24h'!H12,'28.07 Masanafu-Busega'!H12)</f>
        <v>0.42857142857142855</v>
      </c>
      <c r="I12" s="49">
        <f>AVERAGE('22.07 Masanafu-Busega'!I12,'23.07 Masanafu-Busega'!I12,'24.07 Masanafu-Busega'!I12,'25.07 Masanafu-Busega'!I12,'26.07 Masanafu-Busega-24h'!I12,'27.07 Busega-Masanafu-24h'!I12,'28.07 Masanafu-Busega'!I12)</f>
        <v>8.8571428571428577</v>
      </c>
      <c r="J12" s="49">
        <f>AVERAGE('22.07 Masanafu-Busega'!J12,'23.07 Masanafu-Busega'!J12,'24.07 Masanafu-Busega'!J12,'25.07 Masanafu-Busega'!J12,'26.07 Masanafu-Busega-24h'!J12,'27.07 Busega-Masanafu-24h'!J12,'28.07 Masanafu-Busega'!J12)</f>
        <v>5.2857142857142856</v>
      </c>
      <c r="K12" s="49">
        <f>AVERAGE('22.07 Masanafu-Busega'!K12,'23.07 Masanafu-Busega'!K12,'24.07 Masanafu-Busega'!K12,'25.07 Masanafu-Busega'!K12,'26.07 Masanafu-Busega-24h'!K12,'27.07 Busega-Masanafu-24h'!K12,'28.07 Masanafu-Busega'!K12)</f>
        <v>1.8571428571428572</v>
      </c>
      <c r="L12" s="49">
        <f>AVERAGE('22.07 Masanafu-Busega'!L12,'23.07 Masanafu-Busega'!L12,'24.07 Masanafu-Busega'!L12,'25.07 Masanafu-Busega'!L12,'26.07 Masanafu-Busega-24h'!L12,'27.07 Busega-Masanafu-24h'!L12,'28.07 Masanafu-Busega'!L12)</f>
        <v>2.7142857142857144</v>
      </c>
      <c r="M12" s="49">
        <f>AVERAGE('22.07 Masanafu-Busega'!M12,'23.07 Masanafu-Busega'!M12,'24.07 Masanafu-Busega'!M12,'25.07 Masanafu-Busega'!M12,'26.07 Masanafu-Busega-24h'!M12,'27.07 Busega-Masanafu-24h'!M12,'28.07 Masanafu-Busega'!M12)</f>
        <v>111.42857142857143</v>
      </c>
      <c r="N12" s="49">
        <f>AVERAGE('22.07 Masanafu-Busega'!N12,'23.07 Masanafu-Busega'!N12,'24.07 Masanafu-Busega'!N12,'25.07 Masanafu-Busega'!N12,'26.07 Masanafu-Busega-24h'!N12,'27.07 Masanafu-Busega-24h'!N12,'28.07 Masanafu-Busega'!N12)</f>
        <v>0</v>
      </c>
      <c r="O12" s="15">
        <f t="shared" si="0"/>
        <v>140.42857142857144</v>
      </c>
      <c r="P12" s="15">
        <f t="shared" si="1"/>
        <v>251.85714285714289</v>
      </c>
      <c r="R12" s="1" t="s">
        <v>8</v>
      </c>
      <c r="S12" s="17">
        <f t="shared" ref="S12:AF12" si="4">SUM(C18:C21)</f>
        <v>272.14285714285711</v>
      </c>
      <c r="T12" s="17">
        <f t="shared" si="4"/>
        <v>37.714285714285715</v>
      </c>
      <c r="U12" s="17">
        <f t="shared" si="4"/>
        <v>39</v>
      </c>
      <c r="V12" s="17">
        <f t="shared" si="4"/>
        <v>152.71428571428572</v>
      </c>
      <c r="W12" s="17">
        <f t="shared" si="4"/>
        <v>11.714285714285715</v>
      </c>
      <c r="X12" s="17">
        <f t="shared" si="4"/>
        <v>2.4285714285714284</v>
      </c>
      <c r="Y12" s="17">
        <f t="shared" si="4"/>
        <v>57.857142857142861</v>
      </c>
      <c r="Z12" s="17">
        <f t="shared" si="4"/>
        <v>22.142857142857142</v>
      </c>
      <c r="AA12" s="17">
        <f t="shared" si="4"/>
        <v>9.5714285714285694</v>
      </c>
      <c r="AB12" s="17">
        <f t="shared" si="4"/>
        <v>14.285714285714285</v>
      </c>
      <c r="AC12" s="17">
        <f t="shared" si="4"/>
        <v>490.42857142857144</v>
      </c>
      <c r="AD12" s="17">
        <f t="shared" si="4"/>
        <v>0</v>
      </c>
      <c r="AE12" s="31">
        <f t="shared" si="4"/>
        <v>619.57142857142856</v>
      </c>
      <c r="AF12" s="31">
        <f t="shared" si="4"/>
        <v>1110</v>
      </c>
    </row>
    <row r="13" spans="2:32" ht="23.1" customHeight="1" x14ac:dyDescent="0.25">
      <c r="B13" s="23" t="s">
        <v>40</v>
      </c>
      <c r="C13" s="49">
        <f>AVERAGE('22.07 Masanafu-Busega'!C13,'23.07 Masanafu-Busega'!C13,'24.07 Masanafu-Busega'!C13,'25.07 Masanafu-Busega'!C13,'26.07 Masanafu-Busega-24h'!C13,'27.07 Busega-Masanafu-24h'!C13,'28.07 Masanafu-Busega'!C13)</f>
        <v>69.428571428571431</v>
      </c>
      <c r="D13" s="49">
        <f>AVERAGE('22.07 Masanafu-Busega'!D13,'23.07 Masanafu-Busega'!D13,'24.07 Masanafu-Busega'!D13,'25.07 Masanafu-Busega'!D13,'26.07 Masanafu-Busega-24h'!D13,'27.07 Busega-Masanafu-24h'!D13,'28.07 Masanafu-Busega'!D13)</f>
        <v>11.142857142857142</v>
      </c>
      <c r="E13" s="49">
        <f>AVERAGE('22.07 Masanafu-Busega'!E13,'23.07 Masanafu-Busega'!E13,'24.07 Masanafu-Busega'!E13,'25.07 Masanafu-Busega'!E13,'26.07 Masanafu-Busega-24h'!E13,'27.07 Busega-Masanafu-24h'!E13,'28.07 Masanafu-Busega'!E13)</f>
        <v>8.4285714285714288</v>
      </c>
      <c r="F13" s="49">
        <f>AVERAGE('22.07 Masanafu-Busega'!F13,'23.07 Masanafu-Busega'!F13,'24.07 Masanafu-Busega'!F13,'25.07 Masanafu-Busega'!F13,'26.07 Masanafu-Busega-24h'!F13,'27.07 Busega-Masanafu-24h'!F13,'28.07 Masanafu-Busega'!F13)</f>
        <v>32.285714285714285</v>
      </c>
      <c r="G13" s="49">
        <f>AVERAGE('22.07 Masanafu-Busega'!G13,'23.07 Masanafu-Busega'!G13,'24.07 Masanafu-Busega'!G13,'25.07 Masanafu-Busega'!G13,'26.07 Masanafu-Busega-24h'!G13,'27.07 Busega-Masanafu-24h'!G13,'28.07 Masanafu-Busega'!G13)</f>
        <v>2.8571428571428572</v>
      </c>
      <c r="H13" s="49">
        <f>AVERAGE('22.07 Masanafu-Busega'!H13,'23.07 Masanafu-Busega'!H13,'24.07 Masanafu-Busega'!H13,'25.07 Masanafu-Busega'!H13,'26.07 Masanafu-Busega-24h'!H13,'27.07 Busega-Masanafu-24h'!H13,'28.07 Masanafu-Busega'!H13)</f>
        <v>0.42857142857142855</v>
      </c>
      <c r="I13" s="49">
        <f>AVERAGE('22.07 Masanafu-Busega'!I13,'23.07 Masanafu-Busega'!I13,'24.07 Masanafu-Busega'!I13,'25.07 Masanafu-Busega'!I13,'26.07 Masanafu-Busega-24h'!I13,'27.07 Busega-Masanafu-24h'!I13,'28.07 Masanafu-Busega'!I13)</f>
        <v>9.1428571428571423</v>
      </c>
      <c r="J13" s="49">
        <f>AVERAGE('22.07 Masanafu-Busega'!J13,'23.07 Masanafu-Busega'!J13,'24.07 Masanafu-Busega'!J13,'25.07 Masanafu-Busega'!J13,'26.07 Masanafu-Busega-24h'!J13,'27.07 Busega-Masanafu-24h'!J13,'28.07 Masanafu-Busega'!J13)</f>
        <v>6.2857142857142856</v>
      </c>
      <c r="K13" s="49">
        <f>AVERAGE('22.07 Masanafu-Busega'!K13,'23.07 Masanafu-Busega'!K13,'24.07 Masanafu-Busega'!K13,'25.07 Masanafu-Busega'!K13,'26.07 Masanafu-Busega-24h'!K13,'27.07 Busega-Masanafu-24h'!K13,'28.07 Masanafu-Busega'!K13)</f>
        <v>2.4285714285714284</v>
      </c>
      <c r="L13" s="49">
        <f>AVERAGE('22.07 Masanafu-Busega'!L13,'23.07 Masanafu-Busega'!L13,'24.07 Masanafu-Busega'!L13,'25.07 Masanafu-Busega'!L13,'26.07 Masanafu-Busega-24h'!L13,'27.07 Busega-Masanafu-24h'!L13,'28.07 Masanafu-Busega'!L13)</f>
        <v>3.1428571428571428</v>
      </c>
      <c r="M13" s="49">
        <f>AVERAGE('22.07 Masanafu-Busega'!M13,'23.07 Masanafu-Busega'!M13,'24.07 Masanafu-Busega'!M13,'25.07 Masanafu-Busega'!M13,'26.07 Masanafu-Busega-24h'!M13,'27.07 Busega-Masanafu-24h'!M13,'28.07 Masanafu-Busega'!M13)</f>
        <v>122.57142857142857</v>
      </c>
      <c r="N13" s="49">
        <f>AVERAGE('22.07 Masanafu-Busega'!N13,'23.07 Masanafu-Busega'!N13,'24.07 Masanafu-Busega'!N13,'25.07 Masanafu-Busega'!N13,'26.07 Masanafu-Busega-24h'!N13,'27.07 Masanafu-Busega-24h'!N13,'28.07 Masanafu-Busega'!N13)</f>
        <v>0</v>
      </c>
      <c r="O13" s="15">
        <f t="shared" si="0"/>
        <v>145.57142857142856</v>
      </c>
      <c r="P13" s="15">
        <f t="shared" si="1"/>
        <v>268.14285714285711</v>
      </c>
      <c r="R13" s="1" t="s">
        <v>9</v>
      </c>
      <c r="S13" s="17">
        <f t="shared" ref="S13:AF13" si="5">SUM(C22:C25)</f>
        <v>293</v>
      </c>
      <c r="T13" s="17">
        <f t="shared" si="5"/>
        <v>39.142857142857146</v>
      </c>
      <c r="U13" s="17">
        <f t="shared" si="5"/>
        <v>41</v>
      </c>
      <c r="V13" s="17">
        <f t="shared" si="5"/>
        <v>155.57142857142858</v>
      </c>
      <c r="W13" s="17">
        <f t="shared" si="5"/>
        <v>14.571428571428571</v>
      </c>
      <c r="X13" s="17">
        <f t="shared" si="5"/>
        <v>3.285714285714286</v>
      </c>
      <c r="Y13" s="17">
        <f t="shared" si="5"/>
        <v>57.714285714285715</v>
      </c>
      <c r="Z13" s="17">
        <f t="shared" si="5"/>
        <v>30.285714285714285</v>
      </c>
      <c r="AA13" s="17">
        <f t="shared" si="5"/>
        <v>11.571428571428573</v>
      </c>
      <c r="AB13" s="17">
        <f t="shared" si="5"/>
        <v>17.428571428571427</v>
      </c>
      <c r="AC13" s="17">
        <f t="shared" si="5"/>
        <v>452.85714285714289</v>
      </c>
      <c r="AD13" s="17">
        <f t="shared" si="5"/>
        <v>0.14285714285714285</v>
      </c>
      <c r="AE13" s="31">
        <f t="shared" si="5"/>
        <v>663.71428571428578</v>
      </c>
      <c r="AF13" s="31">
        <f t="shared" si="5"/>
        <v>1116.5714285714287</v>
      </c>
    </row>
    <row r="14" spans="2:32" ht="23.1" customHeight="1" x14ac:dyDescent="0.25">
      <c r="B14" s="23" t="s">
        <v>41</v>
      </c>
      <c r="C14" s="49">
        <f>AVERAGE('22.07 Masanafu-Busega'!C14,'23.07 Masanafu-Busega'!C14,'24.07 Masanafu-Busega'!C14,'25.07 Masanafu-Busega'!C14,'26.07 Masanafu-Busega-24h'!C14,'27.07 Busega-Masanafu-24h'!C14,'28.07 Masanafu-Busega'!C14)</f>
        <v>74.285714285714292</v>
      </c>
      <c r="D14" s="49">
        <f>AVERAGE('22.07 Masanafu-Busega'!D14,'23.07 Masanafu-Busega'!D14,'24.07 Masanafu-Busega'!D14,'25.07 Masanafu-Busega'!D14,'26.07 Masanafu-Busega-24h'!D14,'27.07 Busega-Masanafu-24h'!D14,'28.07 Masanafu-Busega'!D14)</f>
        <v>9</v>
      </c>
      <c r="E14" s="49">
        <f>AVERAGE('22.07 Masanafu-Busega'!E14,'23.07 Masanafu-Busega'!E14,'24.07 Masanafu-Busega'!E14,'25.07 Masanafu-Busega'!E14,'26.07 Masanafu-Busega-24h'!E14,'27.07 Busega-Masanafu-24h'!E14,'28.07 Masanafu-Busega'!E14)</f>
        <v>10.285714285714286</v>
      </c>
      <c r="F14" s="49">
        <f>AVERAGE('22.07 Masanafu-Busega'!F14,'23.07 Masanafu-Busega'!F14,'24.07 Masanafu-Busega'!F14,'25.07 Masanafu-Busega'!F14,'26.07 Masanafu-Busega-24h'!F14,'27.07 Busega-Masanafu-24h'!F14,'28.07 Masanafu-Busega'!F14)</f>
        <v>32.857142857142854</v>
      </c>
      <c r="G14" s="49">
        <f>AVERAGE('22.07 Masanafu-Busega'!G14,'23.07 Masanafu-Busega'!G14,'24.07 Masanafu-Busega'!G14,'25.07 Masanafu-Busega'!G14,'26.07 Masanafu-Busega-24h'!G14,'27.07 Busega-Masanafu-24h'!G14,'28.07 Masanafu-Busega'!G14)</f>
        <v>0.5714285714285714</v>
      </c>
      <c r="H14" s="49">
        <f>AVERAGE('22.07 Masanafu-Busega'!H14,'23.07 Masanafu-Busega'!H14,'24.07 Masanafu-Busega'!H14,'25.07 Masanafu-Busega'!H14,'26.07 Masanafu-Busega-24h'!H14,'27.07 Busega-Masanafu-24h'!H14,'28.07 Masanafu-Busega'!H14)</f>
        <v>0.2857142857142857</v>
      </c>
      <c r="I14" s="49">
        <f>AVERAGE('22.07 Masanafu-Busega'!I14,'23.07 Masanafu-Busega'!I14,'24.07 Masanafu-Busega'!I14,'25.07 Masanafu-Busega'!I14,'26.07 Masanafu-Busega-24h'!I14,'27.07 Busega-Masanafu-24h'!I14,'28.07 Masanafu-Busega'!I14)</f>
        <v>9.2857142857142865</v>
      </c>
      <c r="J14" s="49">
        <f>AVERAGE('22.07 Masanafu-Busega'!J14,'23.07 Masanafu-Busega'!J14,'24.07 Masanafu-Busega'!J14,'25.07 Masanafu-Busega'!J14,'26.07 Masanafu-Busega-24h'!J14,'27.07 Busega-Masanafu-24h'!J14,'28.07 Masanafu-Busega'!J14)</f>
        <v>7.4285714285714288</v>
      </c>
      <c r="K14" s="49">
        <f>AVERAGE('22.07 Masanafu-Busega'!K14,'23.07 Masanafu-Busega'!K14,'24.07 Masanafu-Busega'!K14,'25.07 Masanafu-Busega'!K14,'26.07 Masanafu-Busega-24h'!K14,'27.07 Busega-Masanafu-24h'!K14,'28.07 Masanafu-Busega'!K14)</f>
        <v>2.2857142857142856</v>
      </c>
      <c r="L14" s="49">
        <f>AVERAGE('22.07 Masanafu-Busega'!L14,'23.07 Masanafu-Busega'!L14,'24.07 Masanafu-Busega'!L14,'25.07 Masanafu-Busega'!L14,'26.07 Masanafu-Busega-24h'!L14,'27.07 Busega-Masanafu-24h'!L14,'28.07 Masanafu-Busega'!L14)</f>
        <v>2.8571428571428572</v>
      </c>
      <c r="M14" s="49">
        <f>AVERAGE('22.07 Masanafu-Busega'!M14,'23.07 Masanafu-Busega'!M14,'24.07 Masanafu-Busega'!M14,'25.07 Masanafu-Busega'!M14,'26.07 Masanafu-Busega-24h'!M14,'27.07 Busega-Masanafu-24h'!M14,'28.07 Masanafu-Busega'!M14)</f>
        <v>127.14285714285714</v>
      </c>
      <c r="N14" s="49">
        <f>AVERAGE('22.07 Masanafu-Busega'!N14,'23.07 Masanafu-Busega'!N14,'24.07 Masanafu-Busega'!N14,'25.07 Masanafu-Busega'!N14,'26.07 Masanafu-Busega-24h'!N14,'27.07 Masanafu-Busega-24h'!N14,'28.07 Masanafu-Busega'!N14)</f>
        <v>0</v>
      </c>
      <c r="O14" s="15">
        <f t="shared" si="0"/>
        <v>149.14285714285714</v>
      </c>
      <c r="P14" s="15">
        <f t="shared" si="1"/>
        <v>276.28571428571428</v>
      </c>
      <c r="R14" s="1" t="s">
        <v>10</v>
      </c>
      <c r="S14" s="17">
        <f t="shared" ref="S14:AF14" si="6">SUM(C26:C29)</f>
        <v>341.14285714285711</v>
      </c>
      <c r="T14" s="17">
        <f t="shared" si="6"/>
        <v>45.428571428571431</v>
      </c>
      <c r="U14" s="17">
        <f t="shared" si="6"/>
        <v>39.571428571428577</v>
      </c>
      <c r="V14" s="17">
        <f t="shared" si="6"/>
        <v>145.85714285714286</v>
      </c>
      <c r="W14" s="17">
        <f t="shared" si="6"/>
        <v>11.571428571428571</v>
      </c>
      <c r="X14" s="17">
        <f t="shared" si="6"/>
        <v>2.4285714285714284</v>
      </c>
      <c r="Y14" s="17">
        <f t="shared" si="6"/>
        <v>64</v>
      </c>
      <c r="Z14" s="17">
        <f t="shared" si="6"/>
        <v>27</v>
      </c>
      <c r="AA14" s="17">
        <f t="shared" si="6"/>
        <v>16.571428571428573</v>
      </c>
      <c r="AB14" s="17">
        <f t="shared" si="6"/>
        <v>20.142857142857142</v>
      </c>
      <c r="AC14" s="17">
        <f t="shared" si="6"/>
        <v>447.71428571428567</v>
      </c>
      <c r="AD14" s="17">
        <f t="shared" si="6"/>
        <v>0.14285714285714285</v>
      </c>
      <c r="AE14" s="31">
        <f t="shared" si="6"/>
        <v>713.85714285714289</v>
      </c>
      <c r="AF14" s="31">
        <f t="shared" si="6"/>
        <v>1161.5714285714284</v>
      </c>
    </row>
    <row r="15" spans="2:32" ht="23.1" customHeight="1" x14ac:dyDescent="0.25">
      <c r="B15" s="23" t="s">
        <v>42</v>
      </c>
      <c r="C15" s="49">
        <f>AVERAGE('22.07 Masanafu-Busega'!C15,'23.07 Masanafu-Busega'!C15,'24.07 Masanafu-Busega'!C15,'25.07 Masanafu-Busega'!C15,'26.07 Masanafu-Busega-24h'!C15,'27.07 Busega-Masanafu-24h'!C15,'28.07 Masanafu-Busega'!C15)</f>
        <v>68.428571428571431</v>
      </c>
      <c r="D15" s="49">
        <f>AVERAGE('22.07 Masanafu-Busega'!D15,'23.07 Masanafu-Busega'!D15,'24.07 Masanafu-Busega'!D15,'25.07 Masanafu-Busega'!D15,'26.07 Masanafu-Busega-24h'!D15,'27.07 Busega-Masanafu-24h'!D15,'28.07 Masanafu-Busega'!D15)</f>
        <v>8.4285714285714288</v>
      </c>
      <c r="E15" s="49">
        <f>AVERAGE('22.07 Masanafu-Busega'!E15,'23.07 Masanafu-Busega'!E15,'24.07 Masanafu-Busega'!E15,'25.07 Masanafu-Busega'!E15,'26.07 Masanafu-Busega-24h'!E15,'27.07 Busega-Masanafu-24h'!E15,'28.07 Masanafu-Busega'!E15)</f>
        <v>7.7142857142857144</v>
      </c>
      <c r="F15" s="49">
        <f>AVERAGE('22.07 Masanafu-Busega'!F15,'23.07 Masanafu-Busega'!F15,'24.07 Masanafu-Busega'!F15,'25.07 Masanafu-Busega'!F15,'26.07 Masanafu-Busega-24h'!F15,'27.07 Busega-Masanafu-24h'!F15,'28.07 Masanafu-Busega'!F15)</f>
        <v>37.571428571428569</v>
      </c>
      <c r="G15" s="49">
        <f>AVERAGE('22.07 Masanafu-Busega'!G15,'23.07 Masanafu-Busega'!G15,'24.07 Masanafu-Busega'!G15,'25.07 Masanafu-Busega'!G15,'26.07 Masanafu-Busega-24h'!G15,'27.07 Busega-Masanafu-24h'!G15,'28.07 Masanafu-Busega'!G15)</f>
        <v>1</v>
      </c>
      <c r="H15" s="49">
        <f>AVERAGE('22.07 Masanafu-Busega'!H15,'23.07 Masanafu-Busega'!H15,'24.07 Masanafu-Busega'!H15,'25.07 Masanafu-Busega'!H15,'26.07 Masanafu-Busega-24h'!H15,'27.07 Busega-Masanafu-24h'!H15,'28.07 Masanafu-Busega'!H15)</f>
        <v>0.7142857142857143</v>
      </c>
      <c r="I15" s="49">
        <f>AVERAGE('22.07 Masanafu-Busega'!I15,'23.07 Masanafu-Busega'!I15,'24.07 Masanafu-Busega'!I15,'25.07 Masanafu-Busega'!I15,'26.07 Masanafu-Busega-24h'!I15,'27.07 Busega-Masanafu-24h'!I15,'28.07 Masanafu-Busega'!I15)</f>
        <v>9.5714285714285712</v>
      </c>
      <c r="J15" s="49">
        <f>AVERAGE('22.07 Masanafu-Busega'!J15,'23.07 Masanafu-Busega'!J15,'24.07 Masanafu-Busega'!J15,'25.07 Masanafu-Busega'!J15,'26.07 Masanafu-Busega-24h'!J15,'27.07 Busega-Masanafu-24h'!J15,'28.07 Masanafu-Busega'!J15)</f>
        <v>5.8571428571428568</v>
      </c>
      <c r="K15" s="49">
        <f>AVERAGE('22.07 Masanafu-Busega'!K15,'23.07 Masanafu-Busega'!K15,'24.07 Masanafu-Busega'!K15,'25.07 Masanafu-Busega'!K15,'26.07 Masanafu-Busega-24h'!K15,'27.07 Busega-Masanafu-24h'!K15,'28.07 Masanafu-Busega'!K15)</f>
        <v>2.8571428571428572</v>
      </c>
      <c r="L15" s="49">
        <f>AVERAGE('22.07 Masanafu-Busega'!L15,'23.07 Masanafu-Busega'!L15,'24.07 Masanafu-Busega'!L15,'25.07 Masanafu-Busega'!L15,'26.07 Masanafu-Busega-24h'!L15,'27.07 Busega-Masanafu-24h'!L15,'28.07 Masanafu-Busega'!L15)</f>
        <v>2.8571428571428572</v>
      </c>
      <c r="M15" s="49">
        <f>AVERAGE('22.07 Masanafu-Busega'!M15,'23.07 Masanafu-Busega'!M15,'24.07 Masanafu-Busega'!M15,'25.07 Masanafu-Busega'!M15,'26.07 Masanafu-Busega-24h'!M15,'27.07 Busega-Masanafu-24h'!M15,'28.07 Masanafu-Busega'!M15)</f>
        <v>133.57142857142858</v>
      </c>
      <c r="N15" s="49">
        <f>AVERAGE('22.07 Masanafu-Busega'!N15,'23.07 Masanafu-Busega'!N15,'24.07 Masanafu-Busega'!N15,'25.07 Masanafu-Busega'!N15,'26.07 Masanafu-Busega-24h'!N15,'27.07 Masanafu-Busega-24h'!N15,'28.07 Masanafu-Busega'!N15)</f>
        <v>0</v>
      </c>
      <c r="O15" s="15">
        <f t="shared" si="0"/>
        <v>145</v>
      </c>
      <c r="P15" s="15">
        <f t="shared" si="1"/>
        <v>278.57142857142856</v>
      </c>
      <c r="R15" s="1" t="s">
        <v>11</v>
      </c>
      <c r="S15" s="17">
        <f t="shared" ref="S15:AF15" si="7">SUM(C30:C33)</f>
        <v>381.14285714285711</v>
      </c>
      <c r="T15" s="17">
        <f t="shared" si="7"/>
        <v>50.714285714285715</v>
      </c>
      <c r="U15" s="17">
        <f t="shared" si="7"/>
        <v>43.142857142857139</v>
      </c>
      <c r="V15" s="17">
        <f t="shared" si="7"/>
        <v>174</v>
      </c>
      <c r="W15" s="17">
        <f t="shared" si="7"/>
        <v>9.8571428571428577</v>
      </c>
      <c r="X15" s="17">
        <f t="shared" si="7"/>
        <v>2.2857142857142856</v>
      </c>
      <c r="Y15" s="17">
        <f t="shared" si="7"/>
        <v>63.428571428571431</v>
      </c>
      <c r="Z15" s="17">
        <f t="shared" si="7"/>
        <v>34.142857142857139</v>
      </c>
      <c r="AA15" s="17">
        <f t="shared" si="7"/>
        <v>16.857142857142854</v>
      </c>
      <c r="AB15" s="17">
        <f t="shared" si="7"/>
        <v>22.571428571428569</v>
      </c>
      <c r="AC15" s="17">
        <f t="shared" si="7"/>
        <v>399.28571428571428</v>
      </c>
      <c r="AD15" s="17">
        <f t="shared" si="7"/>
        <v>0</v>
      </c>
      <c r="AE15" s="31">
        <f t="shared" si="7"/>
        <v>798.14285714285711</v>
      </c>
      <c r="AF15" s="31">
        <f t="shared" si="7"/>
        <v>1197.4285714285716</v>
      </c>
    </row>
    <row r="16" spans="2:32" ht="23.1" customHeight="1" x14ac:dyDescent="0.25">
      <c r="B16" s="23" t="s">
        <v>43</v>
      </c>
      <c r="C16" s="49">
        <f>AVERAGE('22.07 Masanafu-Busega'!C16,'23.07 Masanafu-Busega'!C16,'24.07 Masanafu-Busega'!C16,'25.07 Masanafu-Busega'!C16,'26.07 Masanafu-Busega-24h'!C16,'27.07 Busega-Masanafu-24h'!C16,'28.07 Masanafu-Busega'!C16)</f>
        <v>67.285714285714292</v>
      </c>
      <c r="D16" s="49">
        <f>AVERAGE('22.07 Masanafu-Busega'!D16,'23.07 Masanafu-Busega'!D16,'24.07 Masanafu-Busega'!D16,'25.07 Masanafu-Busega'!D16,'26.07 Masanafu-Busega-24h'!D16,'27.07 Busega-Masanafu-24h'!D16,'28.07 Masanafu-Busega'!D16)</f>
        <v>9.5714285714285712</v>
      </c>
      <c r="E16" s="49">
        <f>AVERAGE('22.07 Masanafu-Busega'!E16,'23.07 Masanafu-Busega'!E16,'24.07 Masanafu-Busega'!E16,'25.07 Masanafu-Busega'!E16,'26.07 Masanafu-Busega-24h'!E16,'27.07 Busega-Masanafu-24h'!E16,'28.07 Masanafu-Busega'!E16)</f>
        <v>7.4285714285714288</v>
      </c>
      <c r="F16" s="49">
        <f>AVERAGE('22.07 Masanafu-Busega'!F16,'23.07 Masanafu-Busega'!F16,'24.07 Masanafu-Busega'!F16,'25.07 Masanafu-Busega'!F16,'26.07 Masanafu-Busega-24h'!F16,'27.07 Busega-Masanafu-24h'!F16,'28.07 Masanafu-Busega'!F16)</f>
        <v>35.285714285714285</v>
      </c>
      <c r="G16" s="49">
        <f>AVERAGE('22.07 Masanafu-Busega'!G16,'23.07 Masanafu-Busega'!G16,'24.07 Masanafu-Busega'!G16,'25.07 Masanafu-Busega'!G16,'26.07 Masanafu-Busega-24h'!G16,'27.07 Busega-Masanafu-24h'!G16,'28.07 Masanafu-Busega'!G16)</f>
        <v>1.5714285714285714</v>
      </c>
      <c r="H16" s="49">
        <f>AVERAGE('22.07 Masanafu-Busega'!H16,'23.07 Masanafu-Busega'!H16,'24.07 Masanafu-Busega'!H16,'25.07 Masanafu-Busega'!H16,'26.07 Masanafu-Busega-24h'!H16,'27.07 Busega-Masanafu-24h'!H16,'28.07 Masanafu-Busega'!H16)</f>
        <v>0.2857142857142857</v>
      </c>
      <c r="I16" s="49">
        <f>AVERAGE('22.07 Masanafu-Busega'!I16,'23.07 Masanafu-Busega'!I16,'24.07 Masanafu-Busega'!I16,'25.07 Masanafu-Busega'!I16,'26.07 Masanafu-Busega-24h'!I16,'27.07 Busega-Masanafu-24h'!I16,'28.07 Masanafu-Busega'!I16)</f>
        <v>12.142857142857142</v>
      </c>
      <c r="J16" s="49">
        <f>AVERAGE('22.07 Masanafu-Busega'!J16,'23.07 Masanafu-Busega'!J16,'24.07 Masanafu-Busega'!J16,'25.07 Masanafu-Busega'!J16,'26.07 Masanafu-Busega-24h'!J16,'27.07 Busega-Masanafu-24h'!J16,'28.07 Masanafu-Busega'!J16)</f>
        <v>4.1428571428571432</v>
      </c>
      <c r="K16" s="49">
        <f>AVERAGE('22.07 Masanafu-Busega'!K16,'23.07 Masanafu-Busega'!K16,'24.07 Masanafu-Busega'!K16,'25.07 Masanafu-Busega'!K16,'26.07 Masanafu-Busega-24h'!K16,'27.07 Busega-Masanafu-24h'!K16,'28.07 Masanafu-Busega'!K16)</f>
        <v>3.7142857142857144</v>
      </c>
      <c r="L16" s="49">
        <f>AVERAGE('22.07 Masanafu-Busega'!L16,'23.07 Masanafu-Busega'!L16,'24.07 Masanafu-Busega'!L16,'25.07 Masanafu-Busega'!L16,'26.07 Masanafu-Busega-24h'!L16,'27.07 Busega-Masanafu-24h'!L16,'28.07 Masanafu-Busega'!L16)</f>
        <v>4.5714285714285712</v>
      </c>
      <c r="M16" s="49">
        <f>AVERAGE('22.07 Masanafu-Busega'!M16,'23.07 Masanafu-Busega'!M16,'24.07 Masanafu-Busega'!M16,'25.07 Masanafu-Busega'!M16,'26.07 Masanafu-Busega-24h'!M16,'27.07 Busega-Masanafu-24h'!M16,'28.07 Masanafu-Busega'!M16)</f>
        <v>114.42857142857143</v>
      </c>
      <c r="N16" s="49">
        <f>AVERAGE('22.07 Masanafu-Busega'!N16,'23.07 Masanafu-Busega'!N16,'24.07 Masanafu-Busega'!N16,'25.07 Masanafu-Busega'!N16,'26.07 Masanafu-Busega-24h'!N16,'27.07 Masanafu-Busega-24h'!N16,'28.07 Masanafu-Busega'!N16)</f>
        <v>0</v>
      </c>
      <c r="O16" s="15">
        <f t="shared" si="0"/>
        <v>146.00000000000003</v>
      </c>
      <c r="P16" s="15">
        <f t="shared" si="1"/>
        <v>260.42857142857144</v>
      </c>
      <c r="R16" s="1" t="s">
        <v>12</v>
      </c>
      <c r="S16" s="17">
        <f t="shared" ref="S16:AF16" si="8">SUM(C34:C37)</f>
        <v>339.57142857142856</v>
      </c>
      <c r="T16" s="17">
        <f t="shared" si="8"/>
        <v>45.142857142857139</v>
      </c>
      <c r="U16" s="17">
        <f t="shared" si="8"/>
        <v>39</v>
      </c>
      <c r="V16" s="17">
        <f t="shared" si="8"/>
        <v>149.42857142857144</v>
      </c>
      <c r="W16" s="17">
        <f t="shared" si="8"/>
        <v>8</v>
      </c>
      <c r="X16" s="17">
        <f t="shared" si="8"/>
        <v>2</v>
      </c>
      <c r="Y16" s="17">
        <f t="shared" si="8"/>
        <v>65.857142857142861</v>
      </c>
      <c r="Z16" s="17">
        <f t="shared" si="8"/>
        <v>34.571428571428569</v>
      </c>
      <c r="AA16" s="17">
        <f t="shared" si="8"/>
        <v>17.142857142857142</v>
      </c>
      <c r="AB16" s="17">
        <f t="shared" si="8"/>
        <v>23.714285714285715</v>
      </c>
      <c r="AC16" s="17">
        <f t="shared" si="8"/>
        <v>381.57142857142861</v>
      </c>
      <c r="AD16" s="17">
        <f t="shared" si="8"/>
        <v>0</v>
      </c>
      <c r="AE16" s="31">
        <f t="shared" si="8"/>
        <v>724.42857142857156</v>
      </c>
      <c r="AF16" s="31">
        <f t="shared" si="8"/>
        <v>1106</v>
      </c>
    </row>
    <row r="17" spans="2:32" ht="23.1" customHeight="1" x14ac:dyDescent="0.25">
      <c r="B17" s="23" t="s">
        <v>44</v>
      </c>
      <c r="C17" s="49">
        <f>AVERAGE('22.07 Masanafu-Busega'!C17,'23.07 Masanafu-Busega'!C17,'24.07 Masanafu-Busega'!C17,'25.07 Masanafu-Busega'!C17,'26.07 Masanafu-Busega-24h'!C17,'27.07 Busega-Masanafu-24h'!C17,'28.07 Masanafu-Busega'!C17)</f>
        <v>64.714285714285708</v>
      </c>
      <c r="D17" s="49">
        <f>AVERAGE('22.07 Masanafu-Busega'!D17,'23.07 Masanafu-Busega'!D17,'24.07 Masanafu-Busega'!D17,'25.07 Masanafu-Busega'!D17,'26.07 Masanafu-Busega-24h'!D17,'27.07 Busega-Masanafu-24h'!D17,'28.07 Masanafu-Busega'!D17)</f>
        <v>8.4285714285714288</v>
      </c>
      <c r="E17" s="49">
        <f>AVERAGE('22.07 Masanafu-Busega'!E17,'23.07 Masanafu-Busega'!E17,'24.07 Masanafu-Busega'!E17,'25.07 Masanafu-Busega'!E17,'26.07 Masanafu-Busega-24h'!E17,'27.07 Busega-Masanafu-24h'!E17,'28.07 Masanafu-Busega'!E17)</f>
        <v>11.714285714285714</v>
      </c>
      <c r="F17" s="49">
        <f>AVERAGE('22.07 Masanafu-Busega'!F17,'23.07 Masanafu-Busega'!F17,'24.07 Masanafu-Busega'!F17,'25.07 Masanafu-Busega'!F17,'26.07 Masanafu-Busega-24h'!F17,'27.07 Busega-Masanafu-24h'!F17,'28.07 Masanafu-Busega'!F17)</f>
        <v>35.428571428571431</v>
      </c>
      <c r="G17" s="49">
        <f>AVERAGE('22.07 Masanafu-Busega'!G17,'23.07 Masanafu-Busega'!G17,'24.07 Masanafu-Busega'!G17,'25.07 Masanafu-Busega'!G17,'26.07 Masanafu-Busega-24h'!G17,'27.07 Busega-Masanafu-24h'!G17,'28.07 Masanafu-Busega'!G17)</f>
        <v>1.2857142857142858</v>
      </c>
      <c r="H17" s="49">
        <f>AVERAGE('22.07 Masanafu-Busega'!H17,'23.07 Masanafu-Busega'!H17,'24.07 Masanafu-Busega'!H17,'25.07 Masanafu-Busega'!H17,'26.07 Masanafu-Busega-24h'!H17,'27.07 Busega-Masanafu-24h'!H17,'28.07 Masanafu-Busega'!H17)</f>
        <v>0.14285714285714285</v>
      </c>
      <c r="I17" s="49">
        <f>AVERAGE('22.07 Masanafu-Busega'!I17,'23.07 Masanafu-Busega'!I17,'24.07 Masanafu-Busega'!I17,'25.07 Masanafu-Busega'!I17,'26.07 Masanafu-Busega-24h'!I17,'27.07 Busega-Masanafu-24h'!I17,'28.07 Masanafu-Busega'!I17)</f>
        <v>9.5714285714285712</v>
      </c>
      <c r="J17" s="49">
        <f>AVERAGE('22.07 Masanafu-Busega'!J17,'23.07 Masanafu-Busega'!J17,'24.07 Masanafu-Busega'!J17,'25.07 Masanafu-Busega'!J17,'26.07 Masanafu-Busega-24h'!J17,'27.07 Busega-Masanafu-24h'!J17,'28.07 Masanafu-Busega'!J17)</f>
        <v>5.7142857142857144</v>
      </c>
      <c r="K17" s="49">
        <f>AVERAGE('22.07 Masanafu-Busega'!K17,'23.07 Masanafu-Busega'!K17,'24.07 Masanafu-Busega'!K17,'25.07 Masanafu-Busega'!K17,'26.07 Masanafu-Busega-24h'!K17,'27.07 Busega-Masanafu-24h'!K17,'28.07 Masanafu-Busega'!K17)</f>
        <v>2.8571428571428572</v>
      </c>
      <c r="L17" s="49">
        <f>AVERAGE('22.07 Masanafu-Busega'!L17,'23.07 Masanafu-Busega'!L17,'24.07 Masanafu-Busega'!L17,'25.07 Masanafu-Busega'!L17,'26.07 Masanafu-Busega-24h'!L17,'27.07 Busega-Masanafu-24h'!L17,'28.07 Masanafu-Busega'!L17)</f>
        <v>2.7142857142857144</v>
      </c>
      <c r="M17" s="49">
        <f>AVERAGE('22.07 Masanafu-Busega'!M17,'23.07 Masanafu-Busega'!M17,'24.07 Masanafu-Busega'!M17,'25.07 Masanafu-Busega'!M17,'26.07 Masanafu-Busega-24h'!M17,'27.07 Busega-Masanafu-24h'!M17,'28.07 Masanafu-Busega'!M17)</f>
        <v>109</v>
      </c>
      <c r="N17" s="49">
        <f>AVERAGE('22.07 Masanafu-Busega'!N17,'23.07 Masanafu-Busega'!N17,'24.07 Masanafu-Busega'!N17,'25.07 Masanafu-Busega'!N17,'26.07 Masanafu-Busega-24h'!N17,'27.07 Masanafu-Busega-24h'!N17,'28.07 Masanafu-Busega'!N17)</f>
        <v>0</v>
      </c>
      <c r="O17" s="15">
        <f t="shared" si="0"/>
        <v>142.57142857142858</v>
      </c>
      <c r="P17" s="15">
        <f t="shared" si="1"/>
        <v>251.57142857142858</v>
      </c>
      <c r="R17" s="1" t="s">
        <v>13</v>
      </c>
      <c r="S17" s="17">
        <f t="shared" ref="S17:AF17" si="9">SUM(C38:C41)</f>
        <v>314.28571428571433</v>
      </c>
      <c r="T17" s="17">
        <f t="shared" si="9"/>
        <v>37.428571428571431</v>
      </c>
      <c r="U17" s="17">
        <f t="shared" si="9"/>
        <v>44.714285714285715</v>
      </c>
      <c r="V17" s="17">
        <f t="shared" si="9"/>
        <v>137.42857142857144</v>
      </c>
      <c r="W17" s="17">
        <f t="shared" si="9"/>
        <v>3.5714285714285716</v>
      </c>
      <c r="X17" s="17">
        <f t="shared" si="9"/>
        <v>2.4285714285714288</v>
      </c>
      <c r="Y17" s="17">
        <f t="shared" si="9"/>
        <v>70.571428571428569</v>
      </c>
      <c r="Z17" s="17">
        <f t="shared" si="9"/>
        <v>30.428571428571431</v>
      </c>
      <c r="AA17" s="17">
        <f t="shared" si="9"/>
        <v>14.142857142857142</v>
      </c>
      <c r="AB17" s="17">
        <f t="shared" si="9"/>
        <v>24.285714285714285</v>
      </c>
      <c r="AC17" s="17">
        <f t="shared" si="9"/>
        <v>356.57142857142856</v>
      </c>
      <c r="AD17" s="17">
        <f t="shared" si="9"/>
        <v>0</v>
      </c>
      <c r="AE17" s="31">
        <f t="shared" si="9"/>
        <v>679.28571428571422</v>
      </c>
      <c r="AF17" s="31">
        <f t="shared" si="9"/>
        <v>1035.8571428571429</v>
      </c>
    </row>
    <row r="18" spans="2:32" ht="23.1" customHeight="1" x14ac:dyDescent="0.25">
      <c r="B18" s="23" t="s">
        <v>45</v>
      </c>
      <c r="C18" s="49">
        <f>AVERAGE('22.07 Masanafu-Busega'!C18,'23.07 Masanafu-Busega'!C18,'24.07 Masanafu-Busega'!C18,'25.07 Masanafu-Busega'!C18,'26.07 Masanafu-Busega-24h'!C18,'27.07 Busega-Masanafu-24h'!C18,'28.07 Masanafu-Busega'!C18)</f>
        <v>68.428571428571431</v>
      </c>
      <c r="D18" s="49">
        <f>AVERAGE('22.07 Masanafu-Busega'!D18,'23.07 Masanafu-Busega'!D18,'24.07 Masanafu-Busega'!D18,'25.07 Masanafu-Busega'!D18,'26.07 Masanafu-Busega-24h'!D18,'27.07 Busega-Masanafu-24h'!D18,'28.07 Masanafu-Busega'!D18)</f>
        <v>9.1428571428571423</v>
      </c>
      <c r="E18" s="49">
        <f>AVERAGE('22.07 Masanafu-Busega'!E18,'23.07 Masanafu-Busega'!E18,'24.07 Masanafu-Busega'!E18,'25.07 Masanafu-Busega'!E18,'26.07 Masanafu-Busega-24h'!E18,'27.07 Busega-Masanafu-24h'!E18,'28.07 Masanafu-Busega'!E18)</f>
        <v>9.5714285714285712</v>
      </c>
      <c r="F18" s="49">
        <f>AVERAGE('22.07 Masanafu-Busega'!F18,'23.07 Masanafu-Busega'!F18,'24.07 Masanafu-Busega'!F18,'25.07 Masanafu-Busega'!F18,'26.07 Masanafu-Busega-24h'!F18,'27.07 Busega-Masanafu-24h'!F18,'28.07 Masanafu-Busega'!F18)</f>
        <v>34.714285714285715</v>
      </c>
      <c r="G18" s="49">
        <f>AVERAGE('22.07 Masanafu-Busega'!G18,'23.07 Masanafu-Busega'!G18,'24.07 Masanafu-Busega'!G18,'25.07 Masanafu-Busega'!G18,'26.07 Masanafu-Busega-24h'!G18,'27.07 Busega-Masanafu-24h'!G18,'28.07 Masanafu-Busega'!G18)</f>
        <v>2.1428571428571428</v>
      </c>
      <c r="H18" s="49">
        <f>AVERAGE('22.07 Masanafu-Busega'!H18,'23.07 Masanafu-Busega'!H18,'24.07 Masanafu-Busega'!H18,'25.07 Masanafu-Busega'!H18,'26.07 Masanafu-Busega-24h'!H18,'27.07 Busega-Masanafu-24h'!H18,'28.07 Masanafu-Busega'!H18)</f>
        <v>0.42857142857142855</v>
      </c>
      <c r="I18" s="49">
        <f>AVERAGE('22.07 Masanafu-Busega'!I18,'23.07 Masanafu-Busega'!I18,'24.07 Masanafu-Busega'!I18,'25.07 Masanafu-Busega'!I18,'26.07 Masanafu-Busega-24h'!I18,'27.07 Busega-Masanafu-24h'!I18,'28.07 Masanafu-Busega'!I18)</f>
        <v>17</v>
      </c>
      <c r="J18" s="49">
        <f>AVERAGE('22.07 Masanafu-Busega'!J18,'23.07 Masanafu-Busega'!J18,'24.07 Masanafu-Busega'!J18,'25.07 Masanafu-Busega'!J18,'26.07 Masanafu-Busega-24h'!J18,'27.07 Busega-Masanafu-24h'!J18,'28.07 Masanafu-Busega'!J18)</f>
        <v>6</v>
      </c>
      <c r="K18" s="49">
        <f>AVERAGE('22.07 Masanafu-Busega'!K18,'23.07 Masanafu-Busega'!K18,'24.07 Masanafu-Busega'!K18,'25.07 Masanafu-Busega'!K18,'26.07 Masanafu-Busega-24h'!K18,'27.07 Busega-Masanafu-24h'!K18,'28.07 Masanafu-Busega'!K18)</f>
        <v>2.4285714285714284</v>
      </c>
      <c r="L18" s="49">
        <f>AVERAGE('22.07 Masanafu-Busega'!L18,'23.07 Masanafu-Busega'!L18,'24.07 Masanafu-Busega'!L18,'25.07 Masanafu-Busega'!L18,'26.07 Masanafu-Busega-24h'!L18,'27.07 Busega-Masanafu-24h'!L18,'28.07 Masanafu-Busega'!L18)</f>
        <v>3.7142857142857144</v>
      </c>
      <c r="M18" s="49">
        <f>AVERAGE('22.07 Masanafu-Busega'!M18,'23.07 Masanafu-Busega'!M18,'24.07 Masanafu-Busega'!M18,'25.07 Masanafu-Busega'!M18,'26.07 Masanafu-Busega-24h'!M18,'27.07 Busega-Masanafu-24h'!M18,'28.07 Masanafu-Busega'!M18)</f>
        <v>122.71428571428571</v>
      </c>
      <c r="N18" s="49">
        <f>AVERAGE('22.07 Masanafu-Busega'!N18,'23.07 Masanafu-Busega'!N18,'24.07 Masanafu-Busega'!N18,'25.07 Masanafu-Busega'!N18,'26.07 Masanafu-Busega-24h'!N18,'27.07 Masanafu-Busega-24h'!N18,'28.07 Masanafu-Busega'!N18)</f>
        <v>0</v>
      </c>
      <c r="O18" s="15">
        <f t="shared" si="0"/>
        <v>153.57142857142858</v>
      </c>
      <c r="P18" s="15">
        <f t="shared" si="1"/>
        <v>276.28571428571428</v>
      </c>
      <c r="R18" s="1" t="s">
        <v>14</v>
      </c>
      <c r="S18" s="17">
        <f t="shared" ref="S18:AF18" si="10">SUM(C42:C45)</f>
        <v>317.28571428571428</v>
      </c>
      <c r="T18" s="17">
        <f t="shared" si="10"/>
        <v>45.571428571428569</v>
      </c>
      <c r="U18" s="17">
        <f t="shared" si="10"/>
        <v>46.571428571428569</v>
      </c>
      <c r="V18" s="17">
        <f t="shared" si="10"/>
        <v>127.28571428571429</v>
      </c>
      <c r="W18" s="17">
        <f t="shared" si="10"/>
        <v>2.8571428571428568</v>
      </c>
      <c r="X18" s="17">
        <f t="shared" si="10"/>
        <v>2.1428571428571428</v>
      </c>
      <c r="Y18" s="17">
        <f t="shared" si="10"/>
        <v>61.142857142857146</v>
      </c>
      <c r="Z18" s="17">
        <f t="shared" si="10"/>
        <v>32.285714285714285</v>
      </c>
      <c r="AA18" s="17">
        <f t="shared" si="10"/>
        <v>21.142857142857146</v>
      </c>
      <c r="AB18" s="17">
        <f t="shared" si="10"/>
        <v>20.714285714285715</v>
      </c>
      <c r="AC18" s="17">
        <f t="shared" si="10"/>
        <v>335.14285714285717</v>
      </c>
      <c r="AD18" s="17">
        <f t="shared" si="10"/>
        <v>0</v>
      </c>
      <c r="AE18" s="31">
        <f t="shared" si="10"/>
        <v>677</v>
      </c>
      <c r="AF18" s="31">
        <f t="shared" si="10"/>
        <v>1012.1428571428571</v>
      </c>
    </row>
    <row r="19" spans="2:32" ht="23.1" customHeight="1" x14ac:dyDescent="0.25">
      <c r="B19" s="23" t="s">
        <v>46</v>
      </c>
      <c r="C19" s="49">
        <f>AVERAGE('22.07 Masanafu-Busega'!C19,'23.07 Masanafu-Busega'!C19,'24.07 Masanafu-Busega'!C19,'25.07 Masanafu-Busega'!C19,'26.07 Masanafu-Busega-24h'!C19,'27.07 Busega-Masanafu-24h'!C19,'28.07 Masanafu-Busega'!C19)</f>
        <v>65.142857142857139</v>
      </c>
      <c r="D19" s="49">
        <f>AVERAGE('22.07 Masanafu-Busega'!D19,'23.07 Masanafu-Busega'!D19,'24.07 Masanafu-Busega'!D19,'25.07 Masanafu-Busega'!D19,'26.07 Masanafu-Busega-24h'!D19,'27.07 Busega-Masanafu-24h'!D19,'28.07 Masanafu-Busega'!D19)</f>
        <v>10</v>
      </c>
      <c r="E19" s="49">
        <f>AVERAGE('22.07 Masanafu-Busega'!E19,'23.07 Masanafu-Busega'!E19,'24.07 Masanafu-Busega'!E19,'25.07 Masanafu-Busega'!E19,'26.07 Masanafu-Busega-24h'!E19,'27.07 Busega-Masanafu-24h'!E19,'28.07 Masanafu-Busega'!E19)</f>
        <v>12.142857142857142</v>
      </c>
      <c r="F19" s="49">
        <f>AVERAGE('22.07 Masanafu-Busega'!F19,'23.07 Masanafu-Busega'!F19,'24.07 Masanafu-Busega'!F19,'25.07 Masanafu-Busega'!F19,'26.07 Masanafu-Busega-24h'!F19,'27.07 Busega-Masanafu-24h'!F19,'28.07 Masanafu-Busega'!F19)</f>
        <v>37.857142857142854</v>
      </c>
      <c r="G19" s="49">
        <f>AVERAGE('22.07 Masanafu-Busega'!G19,'23.07 Masanafu-Busega'!G19,'24.07 Masanafu-Busega'!G19,'25.07 Masanafu-Busega'!G19,'26.07 Masanafu-Busega-24h'!G19,'27.07 Busega-Masanafu-24h'!G19,'28.07 Masanafu-Busega'!G19)</f>
        <v>2.7142857142857144</v>
      </c>
      <c r="H19" s="49">
        <f>AVERAGE('22.07 Masanafu-Busega'!H19,'23.07 Masanafu-Busega'!H19,'24.07 Masanafu-Busega'!H19,'25.07 Masanafu-Busega'!H19,'26.07 Masanafu-Busega-24h'!H19,'27.07 Busega-Masanafu-24h'!H19,'28.07 Masanafu-Busega'!H19)</f>
        <v>0.5714285714285714</v>
      </c>
      <c r="I19" s="49">
        <f>AVERAGE('22.07 Masanafu-Busega'!I19,'23.07 Masanafu-Busega'!I19,'24.07 Masanafu-Busega'!I19,'25.07 Masanafu-Busega'!I19,'26.07 Masanafu-Busega-24h'!I19,'27.07 Busega-Masanafu-24h'!I19,'28.07 Masanafu-Busega'!I19)</f>
        <v>14</v>
      </c>
      <c r="J19" s="49">
        <f>AVERAGE('22.07 Masanafu-Busega'!J19,'23.07 Masanafu-Busega'!J19,'24.07 Masanafu-Busega'!J19,'25.07 Masanafu-Busega'!J19,'26.07 Masanafu-Busega-24h'!J19,'27.07 Busega-Masanafu-24h'!J19,'28.07 Masanafu-Busega'!J19)</f>
        <v>5.4285714285714288</v>
      </c>
      <c r="K19" s="49">
        <f>AVERAGE('22.07 Masanafu-Busega'!K19,'23.07 Masanafu-Busega'!K19,'24.07 Masanafu-Busega'!K19,'25.07 Masanafu-Busega'!K19,'26.07 Masanafu-Busega-24h'!K19,'27.07 Busega-Masanafu-24h'!K19,'28.07 Masanafu-Busega'!K19)</f>
        <v>2.2857142857142856</v>
      </c>
      <c r="L19" s="49">
        <f>AVERAGE('22.07 Masanafu-Busega'!L19,'23.07 Masanafu-Busega'!L19,'24.07 Masanafu-Busega'!L19,'25.07 Masanafu-Busega'!L19,'26.07 Masanafu-Busega-24h'!L19,'27.07 Busega-Masanafu-24h'!L19,'28.07 Masanafu-Busega'!L19)</f>
        <v>4.4285714285714288</v>
      </c>
      <c r="M19" s="49">
        <f>AVERAGE('22.07 Masanafu-Busega'!M19,'23.07 Masanafu-Busega'!M19,'24.07 Masanafu-Busega'!M19,'25.07 Masanafu-Busega'!M19,'26.07 Masanafu-Busega-24h'!M19,'27.07 Busega-Masanafu-24h'!M19,'28.07 Masanafu-Busega'!M19)</f>
        <v>129.28571428571428</v>
      </c>
      <c r="N19" s="49">
        <f>AVERAGE('22.07 Masanafu-Busega'!N19,'23.07 Masanafu-Busega'!N19,'24.07 Masanafu-Busega'!N19,'25.07 Masanafu-Busega'!N19,'26.07 Masanafu-Busega-24h'!N19,'27.07 Masanafu-Busega-24h'!N19,'28.07 Masanafu-Busega'!N19)</f>
        <v>0</v>
      </c>
      <c r="O19" s="15">
        <f t="shared" si="0"/>
        <v>154.57142857142853</v>
      </c>
      <c r="P19" s="15">
        <f t="shared" si="1"/>
        <v>283.85714285714278</v>
      </c>
      <c r="R19" s="1" t="s">
        <v>15</v>
      </c>
      <c r="S19" s="17">
        <f t="shared" ref="S19:AF19" si="11">SUM(C46:C49)</f>
        <v>378.57142857142861</v>
      </c>
      <c r="T19" s="17">
        <f t="shared" si="11"/>
        <v>45.714285714285715</v>
      </c>
      <c r="U19" s="17">
        <f t="shared" si="11"/>
        <v>46.142857142857146</v>
      </c>
      <c r="V19" s="17">
        <f t="shared" si="11"/>
        <v>142</v>
      </c>
      <c r="W19" s="17">
        <f t="shared" si="11"/>
        <v>5.7142857142857144</v>
      </c>
      <c r="X19" s="17">
        <f t="shared" si="11"/>
        <v>1.4285714285714284</v>
      </c>
      <c r="Y19" s="17">
        <f t="shared" si="11"/>
        <v>70.142857142857139</v>
      </c>
      <c r="Z19" s="17">
        <f t="shared" si="11"/>
        <v>32.285714285714285</v>
      </c>
      <c r="AA19" s="17">
        <f t="shared" si="11"/>
        <v>17.428571428571431</v>
      </c>
      <c r="AB19" s="17">
        <f t="shared" si="11"/>
        <v>23</v>
      </c>
      <c r="AC19" s="17">
        <f t="shared" si="11"/>
        <v>371.42857142857144</v>
      </c>
      <c r="AD19" s="17">
        <f t="shared" si="11"/>
        <v>0</v>
      </c>
      <c r="AE19" s="31">
        <f t="shared" si="11"/>
        <v>762.42857142857133</v>
      </c>
      <c r="AF19" s="31">
        <f t="shared" si="11"/>
        <v>1133.8571428571427</v>
      </c>
    </row>
    <row r="20" spans="2:32" ht="23.1" customHeight="1" x14ac:dyDescent="0.25">
      <c r="B20" s="23" t="s">
        <v>47</v>
      </c>
      <c r="C20" s="49">
        <f>AVERAGE('22.07 Masanafu-Busega'!C20,'23.07 Masanafu-Busega'!C20,'24.07 Masanafu-Busega'!C20,'25.07 Masanafu-Busega'!C20,'26.07 Masanafu-Busega-24h'!C20,'27.07 Busega-Masanafu-24h'!C20,'28.07 Masanafu-Busega'!C20)</f>
        <v>67.285714285714292</v>
      </c>
      <c r="D20" s="49">
        <f>AVERAGE('22.07 Masanafu-Busega'!D20,'23.07 Masanafu-Busega'!D20,'24.07 Masanafu-Busega'!D20,'25.07 Masanafu-Busega'!D20,'26.07 Masanafu-Busega-24h'!D20,'27.07 Busega-Masanafu-24h'!D20,'28.07 Masanafu-Busega'!D20)</f>
        <v>9.2857142857142865</v>
      </c>
      <c r="E20" s="49">
        <f>AVERAGE('22.07 Masanafu-Busega'!E20,'23.07 Masanafu-Busega'!E20,'24.07 Masanafu-Busega'!E20,'25.07 Masanafu-Busega'!E20,'26.07 Masanafu-Busega-24h'!E20,'27.07 Busega-Masanafu-24h'!E20,'28.07 Masanafu-Busega'!E20)</f>
        <v>9.2857142857142865</v>
      </c>
      <c r="F20" s="49">
        <f>AVERAGE('22.07 Masanafu-Busega'!F20,'23.07 Masanafu-Busega'!F20,'24.07 Masanafu-Busega'!F20,'25.07 Masanafu-Busega'!F20,'26.07 Masanafu-Busega-24h'!F20,'27.07 Busega-Masanafu-24h'!F20,'28.07 Masanafu-Busega'!F20)</f>
        <v>43.428571428571431</v>
      </c>
      <c r="G20" s="49">
        <f>AVERAGE('22.07 Masanafu-Busega'!G20,'23.07 Masanafu-Busega'!G20,'24.07 Masanafu-Busega'!G20,'25.07 Masanafu-Busega'!G20,'26.07 Masanafu-Busega-24h'!G20,'27.07 Busega-Masanafu-24h'!G20,'28.07 Masanafu-Busega'!G20)</f>
        <v>3.1428571428571428</v>
      </c>
      <c r="H20" s="49">
        <f>AVERAGE('22.07 Masanafu-Busega'!H20,'23.07 Masanafu-Busega'!H20,'24.07 Masanafu-Busega'!H20,'25.07 Masanafu-Busega'!H20,'26.07 Masanafu-Busega-24h'!H20,'27.07 Busega-Masanafu-24h'!H20,'28.07 Masanafu-Busega'!H20)</f>
        <v>1</v>
      </c>
      <c r="I20" s="49">
        <f>AVERAGE('22.07 Masanafu-Busega'!I20,'23.07 Masanafu-Busega'!I20,'24.07 Masanafu-Busega'!I20,'25.07 Masanafu-Busega'!I20,'26.07 Masanafu-Busega-24h'!I20,'27.07 Busega-Masanafu-24h'!I20,'28.07 Masanafu-Busega'!I20)</f>
        <v>12.714285714285714</v>
      </c>
      <c r="J20" s="49">
        <f>AVERAGE('22.07 Masanafu-Busega'!J20,'23.07 Masanafu-Busega'!J20,'24.07 Masanafu-Busega'!J20,'25.07 Masanafu-Busega'!J20,'26.07 Masanafu-Busega-24h'!J20,'27.07 Busega-Masanafu-24h'!J20,'28.07 Masanafu-Busega'!J20)</f>
        <v>5.7142857142857144</v>
      </c>
      <c r="K20" s="49">
        <f>AVERAGE('22.07 Masanafu-Busega'!K20,'23.07 Masanafu-Busega'!K20,'24.07 Masanafu-Busega'!K20,'25.07 Masanafu-Busega'!K20,'26.07 Masanafu-Busega-24h'!K20,'27.07 Busega-Masanafu-24h'!K20,'28.07 Masanafu-Busega'!K20)</f>
        <v>2.1428571428571428</v>
      </c>
      <c r="L20" s="49">
        <f>AVERAGE('22.07 Masanafu-Busega'!L20,'23.07 Masanafu-Busega'!L20,'24.07 Masanafu-Busega'!L20,'25.07 Masanafu-Busega'!L20,'26.07 Masanafu-Busega-24h'!L20,'27.07 Busega-Masanafu-24h'!L20,'28.07 Masanafu-Busega'!L20)</f>
        <v>3.8571428571428572</v>
      </c>
      <c r="M20" s="49">
        <f>AVERAGE('22.07 Masanafu-Busega'!M20,'23.07 Masanafu-Busega'!M20,'24.07 Masanafu-Busega'!M20,'25.07 Masanafu-Busega'!M20,'26.07 Masanafu-Busega-24h'!M20,'27.07 Busega-Masanafu-24h'!M20,'28.07 Masanafu-Busega'!M20)</f>
        <v>115.85714285714286</v>
      </c>
      <c r="N20" s="49">
        <f>AVERAGE('22.07 Masanafu-Busega'!N20,'23.07 Masanafu-Busega'!N20,'24.07 Masanafu-Busega'!N20,'25.07 Masanafu-Busega'!N20,'26.07 Masanafu-Busega-24h'!N20,'27.07 Masanafu-Busega-24h'!N20,'28.07 Masanafu-Busega'!N20)</f>
        <v>0</v>
      </c>
      <c r="O20" s="15">
        <f t="shared" si="0"/>
        <v>157.85714285714289</v>
      </c>
      <c r="P20" s="15">
        <f t="shared" si="1"/>
        <v>273.71428571428578</v>
      </c>
      <c r="R20" s="1" t="s">
        <v>16</v>
      </c>
      <c r="S20" s="17">
        <f t="shared" ref="S20:AF20" si="12">SUM(C50:C53)</f>
        <v>425</v>
      </c>
      <c r="T20" s="17">
        <f t="shared" si="12"/>
        <v>47.285714285714285</v>
      </c>
      <c r="U20" s="17">
        <f t="shared" si="12"/>
        <v>40.428571428571431</v>
      </c>
      <c r="V20" s="17">
        <f t="shared" si="12"/>
        <v>160.71428571428572</v>
      </c>
      <c r="W20" s="17">
        <f t="shared" si="12"/>
        <v>7.4285714285714279</v>
      </c>
      <c r="X20" s="17">
        <f t="shared" si="12"/>
        <v>3.4285714285714284</v>
      </c>
      <c r="Y20" s="17">
        <f t="shared" si="12"/>
        <v>67.714285714285708</v>
      </c>
      <c r="Z20" s="17">
        <f t="shared" si="12"/>
        <v>30.142857142857146</v>
      </c>
      <c r="AA20" s="17">
        <f t="shared" si="12"/>
        <v>15.857142857142858</v>
      </c>
      <c r="AB20" s="17">
        <f t="shared" si="12"/>
        <v>22.142857142857142</v>
      </c>
      <c r="AC20" s="17">
        <f t="shared" si="12"/>
        <v>423.57142857142856</v>
      </c>
      <c r="AD20" s="17">
        <f t="shared" si="12"/>
        <v>0</v>
      </c>
      <c r="AE20" s="31">
        <f t="shared" si="12"/>
        <v>820.14285714285711</v>
      </c>
      <c r="AF20" s="31">
        <f t="shared" si="12"/>
        <v>1243.7142857142858</v>
      </c>
    </row>
    <row r="21" spans="2:32" ht="23.1" customHeight="1" x14ac:dyDescent="0.25">
      <c r="B21" s="23" t="s">
        <v>48</v>
      </c>
      <c r="C21" s="49">
        <f>AVERAGE('22.07 Masanafu-Busega'!C21,'23.07 Masanafu-Busega'!C21,'24.07 Masanafu-Busega'!C21,'25.07 Masanafu-Busega'!C21,'26.07 Masanafu-Busega-24h'!C21,'27.07 Busega-Masanafu-24h'!C21,'28.07 Masanafu-Busega'!C21)</f>
        <v>71.285714285714292</v>
      </c>
      <c r="D21" s="49">
        <f>AVERAGE('22.07 Masanafu-Busega'!D21,'23.07 Masanafu-Busega'!D21,'24.07 Masanafu-Busega'!D21,'25.07 Masanafu-Busega'!D21,'26.07 Masanafu-Busega-24h'!D21,'27.07 Busega-Masanafu-24h'!D21,'28.07 Masanafu-Busega'!D21)</f>
        <v>9.2857142857142865</v>
      </c>
      <c r="E21" s="49">
        <f>AVERAGE('22.07 Masanafu-Busega'!E21,'23.07 Masanafu-Busega'!E21,'24.07 Masanafu-Busega'!E21,'25.07 Masanafu-Busega'!E21,'26.07 Masanafu-Busega-24h'!E21,'27.07 Busega-Masanafu-24h'!E21,'28.07 Masanafu-Busega'!E21)</f>
        <v>8</v>
      </c>
      <c r="F21" s="49">
        <f>AVERAGE('22.07 Masanafu-Busega'!F21,'23.07 Masanafu-Busega'!F21,'24.07 Masanafu-Busega'!F21,'25.07 Masanafu-Busega'!F21,'26.07 Masanafu-Busega-24h'!F21,'27.07 Busega-Masanafu-24h'!F21,'28.07 Masanafu-Busega'!F21)</f>
        <v>36.714285714285715</v>
      </c>
      <c r="G21" s="49">
        <f>AVERAGE('22.07 Masanafu-Busega'!G21,'23.07 Masanafu-Busega'!G21,'24.07 Masanafu-Busega'!G21,'25.07 Masanafu-Busega'!G21,'26.07 Masanafu-Busega-24h'!G21,'27.07 Busega-Masanafu-24h'!G21,'28.07 Masanafu-Busega'!G21)</f>
        <v>3.7142857142857144</v>
      </c>
      <c r="H21" s="49">
        <f>AVERAGE('22.07 Masanafu-Busega'!H21,'23.07 Masanafu-Busega'!H21,'24.07 Masanafu-Busega'!H21,'25.07 Masanafu-Busega'!H21,'26.07 Masanafu-Busega-24h'!H21,'27.07 Busega-Masanafu-24h'!H21,'28.07 Masanafu-Busega'!H21)</f>
        <v>0.42857142857142855</v>
      </c>
      <c r="I21" s="49">
        <f>AVERAGE('22.07 Masanafu-Busega'!I21,'23.07 Masanafu-Busega'!I21,'24.07 Masanafu-Busega'!I21,'25.07 Masanafu-Busega'!I21,'26.07 Masanafu-Busega-24h'!I21,'27.07 Busega-Masanafu-24h'!I21,'28.07 Masanafu-Busega'!I21)</f>
        <v>14.142857142857142</v>
      </c>
      <c r="J21" s="49">
        <f>AVERAGE('22.07 Masanafu-Busega'!J21,'23.07 Masanafu-Busega'!J21,'24.07 Masanafu-Busega'!J21,'25.07 Masanafu-Busega'!J21,'26.07 Masanafu-Busega-24h'!J21,'27.07 Busega-Masanafu-24h'!J21,'28.07 Masanafu-Busega'!J21)</f>
        <v>5</v>
      </c>
      <c r="K21" s="49">
        <f>AVERAGE('22.07 Masanafu-Busega'!K21,'23.07 Masanafu-Busega'!K21,'24.07 Masanafu-Busega'!K21,'25.07 Masanafu-Busega'!K21,'26.07 Masanafu-Busega-24h'!K21,'27.07 Busega-Masanafu-24h'!K21,'28.07 Masanafu-Busega'!K21)</f>
        <v>2.7142857142857144</v>
      </c>
      <c r="L21" s="49">
        <f>AVERAGE('22.07 Masanafu-Busega'!L21,'23.07 Masanafu-Busega'!L21,'24.07 Masanafu-Busega'!L21,'25.07 Masanafu-Busega'!L21,'26.07 Masanafu-Busega-24h'!L21,'27.07 Busega-Masanafu-24h'!L21,'28.07 Masanafu-Busega'!L21)</f>
        <v>2.2857142857142856</v>
      </c>
      <c r="M21" s="49">
        <f>AVERAGE('22.07 Masanafu-Busega'!M21,'23.07 Masanafu-Busega'!M21,'24.07 Masanafu-Busega'!M21,'25.07 Masanafu-Busega'!M21,'26.07 Masanafu-Busega-24h'!M21,'27.07 Busega-Masanafu-24h'!M21,'28.07 Masanafu-Busega'!M21)</f>
        <v>122.57142857142857</v>
      </c>
      <c r="N21" s="49">
        <f>AVERAGE('22.07 Masanafu-Busega'!N21,'23.07 Masanafu-Busega'!N21,'24.07 Masanafu-Busega'!N21,'25.07 Masanafu-Busega'!N21,'26.07 Masanafu-Busega-24h'!N21,'27.07 Masanafu-Busega-24h'!N21,'28.07 Masanafu-Busega'!N21)</f>
        <v>0</v>
      </c>
      <c r="O21" s="15">
        <f t="shared" si="0"/>
        <v>153.57142857142858</v>
      </c>
      <c r="P21" s="15">
        <f t="shared" si="1"/>
        <v>276.14285714285717</v>
      </c>
      <c r="R21" s="36" t="s">
        <v>20</v>
      </c>
      <c r="S21" s="34">
        <f t="shared" ref="S21:AF22" si="13">SUM(C54:C57)</f>
        <v>460.57142857142861</v>
      </c>
      <c r="T21" s="17">
        <f t="shared" si="13"/>
        <v>43.571428571428569</v>
      </c>
      <c r="U21" s="17">
        <f t="shared" si="13"/>
        <v>40</v>
      </c>
      <c r="V21" s="17">
        <f t="shared" si="13"/>
        <v>160.28571428571428</v>
      </c>
      <c r="W21" s="17">
        <f t="shared" si="13"/>
        <v>6.4285714285714288</v>
      </c>
      <c r="X21" s="17">
        <f t="shared" si="13"/>
        <v>1.8571428571428572</v>
      </c>
      <c r="Y21" s="17">
        <f t="shared" si="13"/>
        <v>49.285714285714292</v>
      </c>
      <c r="Z21" s="17">
        <f t="shared" si="13"/>
        <v>32.428571428571431</v>
      </c>
      <c r="AA21" s="17">
        <f t="shared" si="13"/>
        <v>11.857142857142858</v>
      </c>
      <c r="AB21" s="17">
        <f t="shared" si="13"/>
        <v>18.142857142857142</v>
      </c>
      <c r="AC21" s="17">
        <f t="shared" si="13"/>
        <v>492.85714285714289</v>
      </c>
      <c r="AD21" s="17">
        <f t="shared" si="13"/>
        <v>0</v>
      </c>
      <c r="AE21" s="31">
        <f t="shared" si="13"/>
        <v>824.42857142857144</v>
      </c>
      <c r="AF21" s="31">
        <f t="shared" si="13"/>
        <v>1317.2857142857144</v>
      </c>
    </row>
    <row r="22" spans="2:32" ht="23.1" customHeight="1" x14ac:dyDescent="0.25">
      <c r="B22" s="23" t="s">
        <v>49</v>
      </c>
      <c r="C22" s="49">
        <f>AVERAGE('22.07 Masanafu-Busega'!C22,'23.07 Masanafu-Busega'!C22,'24.07 Masanafu-Busega'!C22,'25.07 Masanafu-Busega'!C22,'26.07 Masanafu-Busega-24h'!C22,'27.07 Busega-Masanafu-24h'!C22,'28.07 Masanafu-Busega'!C22)</f>
        <v>72</v>
      </c>
      <c r="D22" s="49">
        <f>AVERAGE('22.07 Masanafu-Busega'!D22,'23.07 Masanafu-Busega'!D22,'24.07 Masanafu-Busega'!D22,'25.07 Masanafu-Busega'!D22,'26.07 Masanafu-Busega-24h'!D22,'27.07 Busega-Masanafu-24h'!D22,'28.07 Masanafu-Busega'!D22)</f>
        <v>8.2857142857142865</v>
      </c>
      <c r="E22" s="49">
        <f>AVERAGE('22.07 Masanafu-Busega'!E22,'23.07 Masanafu-Busega'!E22,'24.07 Masanafu-Busega'!E22,'25.07 Masanafu-Busega'!E22,'26.07 Masanafu-Busega-24h'!E22,'27.07 Busega-Masanafu-24h'!E22,'28.07 Masanafu-Busega'!E22)</f>
        <v>9.4285714285714288</v>
      </c>
      <c r="F22" s="49">
        <f>AVERAGE('22.07 Masanafu-Busega'!F22,'23.07 Masanafu-Busega'!F22,'24.07 Masanafu-Busega'!F22,'25.07 Masanafu-Busega'!F22,'26.07 Masanafu-Busega-24h'!F22,'27.07 Busega-Masanafu-24h'!F22,'28.07 Masanafu-Busega'!F22)</f>
        <v>40.714285714285715</v>
      </c>
      <c r="G22" s="49">
        <f>AVERAGE('22.07 Masanafu-Busega'!G22,'23.07 Masanafu-Busega'!G22,'24.07 Masanafu-Busega'!G22,'25.07 Masanafu-Busega'!G22,'26.07 Masanafu-Busega-24h'!G22,'27.07 Busega-Masanafu-24h'!G22,'28.07 Masanafu-Busega'!G22)</f>
        <v>3.4285714285714284</v>
      </c>
      <c r="H22" s="49">
        <f>AVERAGE('22.07 Masanafu-Busega'!H22,'23.07 Masanafu-Busega'!H22,'24.07 Masanafu-Busega'!H22,'25.07 Masanafu-Busega'!H22,'26.07 Masanafu-Busega-24h'!H22,'27.07 Busega-Masanafu-24h'!H22,'28.07 Masanafu-Busega'!H22)</f>
        <v>1</v>
      </c>
      <c r="I22" s="49">
        <f>AVERAGE('22.07 Masanafu-Busega'!I22,'23.07 Masanafu-Busega'!I22,'24.07 Masanafu-Busega'!I22,'25.07 Masanafu-Busega'!I22,'26.07 Masanafu-Busega-24h'!I22,'27.07 Busega-Masanafu-24h'!I22,'28.07 Masanafu-Busega'!I22)</f>
        <v>13.428571428571429</v>
      </c>
      <c r="J22" s="49">
        <f>AVERAGE('22.07 Masanafu-Busega'!J22,'23.07 Masanafu-Busega'!J22,'24.07 Masanafu-Busega'!J22,'25.07 Masanafu-Busega'!J22,'26.07 Masanafu-Busega-24h'!J22,'27.07 Busega-Masanafu-24h'!J22,'28.07 Masanafu-Busega'!J22)</f>
        <v>6.5714285714285712</v>
      </c>
      <c r="K22" s="49">
        <f>AVERAGE('22.07 Masanafu-Busega'!K22,'23.07 Masanafu-Busega'!K22,'24.07 Masanafu-Busega'!K22,'25.07 Masanafu-Busega'!K22,'26.07 Masanafu-Busega-24h'!K22,'27.07 Busega-Masanafu-24h'!K22,'28.07 Masanafu-Busega'!K22)</f>
        <v>3.5714285714285716</v>
      </c>
      <c r="L22" s="49">
        <f>AVERAGE('22.07 Masanafu-Busega'!L22,'23.07 Masanafu-Busega'!L22,'24.07 Masanafu-Busega'!L22,'25.07 Masanafu-Busega'!L22,'26.07 Masanafu-Busega-24h'!L22,'27.07 Busega-Masanafu-24h'!L22,'28.07 Masanafu-Busega'!L22)</f>
        <v>4</v>
      </c>
      <c r="M22" s="49">
        <f>AVERAGE('22.07 Masanafu-Busega'!M22,'23.07 Masanafu-Busega'!M22,'24.07 Masanafu-Busega'!M22,'25.07 Masanafu-Busega'!M22,'26.07 Masanafu-Busega-24h'!M22,'27.07 Busega-Masanafu-24h'!M22,'28.07 Masanafu-Busega'!M22)</f>
        <v>117.57142857142857</v>
      </c>
      <c r="N22" s="49">
        <f>AVERAGE('22.07 Masanafu-Busega'!N22,'23.07 Masanafu-Busega'!N22,'24.07 Masanafu-Busega'!N22,'25.07 Masanafu-Busega'!N22,'26.07 Masanafu-Busega-24h'!N22,'27.07 Masanafu-Busega-24h'!N22,'28.07 Masanafu-Busega'!N22)</f>
        <v>0</v>
      </c>
      <c r="O22" s="15">
        <f t="shared" si="0"/>
        <v>162.42857142857144</v>
      </c>
      <c r="P22" s="15">
        <f t="shared" si="1"/>
        <v>280</v>
      </c>
      <c r="R22" s="1" t="s">
        <v>146</v>
      </c>
      <c r="S22" s="34">
        <f t="shared" si="13"/>
        <v>434.21428571428572</v>
      </c>
      <c r="T22" s="17">
        <f t="shared" si="13"/>
        <v>46.071428571428569</v>
      </c>
      <c r="U22" s="17">
        <f t="shared" si="13"/>
        <v>38.285714285714285</v>
      </c>
      <c r="V22" s="17">
        <f t="shared" si="13"/>
        <v>146.28571428571428</v>
      </c>
      <c r="W22" s="17">
        <f t="shared" si="13"/>
        <v>4.8571428571428577</v>
      </c>
      <c r="X22" s="17">
        <f t="shared" si="13"/>
        <v>2.7857142857142856</v>
      </c>
      <c r="Y22" s="17">
        <f t="shared" si="13"/>
        <v>43.571428571428569</v>
      </c>
      <c r="Z22" s="17">
        <f t="shared" si="13"/>
        <v>30.142857142857142</v>
      </c>
      <c r="AA22" s="17">
        <f t="shared" si="13"/>
        <v>9.2857142857142865</v>
      </c>
      <c r="AB22" s="17">
        <f t="shared" si="13"/>
        <v>17.285714285714285</v>
      </c>
      <c r="AC22" s="17">
        <f t="shared" si="13"/>
        <v>419.07142857142856</v>
      </c>
      <c r="AD22" s="17">
        <f t="shared" si="13"/>
        <v>0</v>
      </c>
      <c r="AE22" s="31">
        <f t="shared" si="13"/>
        <v>772.78571428571422</v>
      </c>
      <c r="AF22" s="31">
        <f t="shared" si="13"/>
        <v>1191.8571428571429</v>
      </c>
    </row>
    <row r="23" spans="2:32" ht="23.1" customHeight="1" x14ac:dyDescent="0.25">
      <c r="B23" s="23" t="s">
        <v>50</v>
      </c>
      <c r="C23" s="49">
        <f>AVERAGE('22.07 Masanafu-Busega'!C23,'23.07 Masanafu-Busega'!C23,'24.07 Masanafu-Busega'!C23,'25.07 Masanafu-Busega'!C23,'26.07 Masanafu-Busega-24h'!C23,'27.07 Busega-Masanafu-24h'!C23,'28.07 Masanafu-Busega'!C23)</f>
        <v>75.857142857142861</v>
      </c>
      <c r="D23" s="49">
        <f>AVERAGE('22.07 Masanafu-Busega'!D23,'23.07 Masanafu-Busega'!D23,'24.07 Masanafu-Busega'!D23,'25.07 Masanafu-Busega'!D23,'26.07 Masanafu-Busega-24h'!D23,'27.07 Busega-Masanafu-24h'!D23,'28.07 Masanafu-Busega'!D23)</f>
        <v>9.2857142857142865</v>
      </c>
      <c r="E23" s="49">
        <f>AVERAGE('22.07 Masanafu-Busega'!E23,'23.07 Masanafu-Busega'!E23,'24.07 Masanafu-Busega'!E23,'25.07 Masanafu-Busega'!E23,'26.07 Masanafu-Busega-24h'!E23,'27.07 Busega-Masanafu-24h'!E23,'28.07 Masanafu-Busega'!E23)</f>
        <v>10</v>
      </c>
      <c r="F23" s="49">
        <f>AVERAGE('22.07 Masanafu-Busega'!F23,'23.07 Masanafu-Busega'!F23,'24.07 Masanafu-Busega'!F23,'25.07 Masanafu-Busega'!F23,'26.07 Masanafu-Busega-24h'!F23,'27.07 Busega-Masanafu-24h'!F23,'28.07 Masanafu-Busega'!F23)</f>
        <v>36.285714285714285</v>
      </c>
      <c r="G23" s="49">
        <f>AVERAGE('22.07 Masanafu-Busega'!G23,'23.07 Masanafu-Busega'!G23,'24.07 Masanafu-Busega'!G23,'25.07 Masanafu-Busega'!G23,'26.07 Masanafu-Busega-24h'!G23,'27.07 Busega-Masanafu-24h'!G23,'28.07 Masanafu-Busega'!G23)</f>
        <v>3.5714285714285716</v>
      </c>
      <c r="H23" s="49">
        <f>AVERAGE('22.07 Masanafu-Busega'!H23,'23.07 Masanafu-Busega'!H23,'24.07 Masanafu-Busega'!H23,'25.07 Masanafu-Busega'!H23,'26.07 Masanafu-Busega-24h'!H23,'27.07 Busega-Masanafu-24h'!H23,'28.07 Masanafu-Busega'!H23)</f>
        <v>0.7142857142857143</v>
      </c>
      <c r="I23" s="49">
        <f>AVERAGE('22.07 Masanafu-Busega'!I23,'23.07 Masanafu-Busega'!I23,'24.07 Masanafu-Busega'!I23,'25.07 Masanafu-Busega'!I23,'26.07 Masanafu-Busega-24h'!I23,'27.07 Busega-Masanafu-24h'!I23,'28.07 Masanafu-Busega'!I23)</f>
        <v>15.857142857142858</v>
      </c>
      <c r="J23" s="49">
        <f>AVERAGE('22.07 Masanafu-Busega'!J23,'23.07 Masanafu-Busega'!J23,'24.07 Masanafu-Busega'!J23,'25.07 Masanafu-Busega'!J23,'26.07 Masanafu-Busega-24h'!J23,'27.07 Busega-Masanafu-24h'!J23,'28.07 Masanafu-Busega'!J23)</f>
        <v>8.8571428571428577</v>
      </c>
      <c r="K23" s="49">
        <f>AVERAGE('22.07 Masanafu-Busega'!K23,'23.07 Masanafu-Busega'!K23,'24.07 Masanafu-Busega'!K23,'25.07 Masanafu-Busega'!K23,'26.07 Masanafu-Busega-24h'!K23,'27.07 Busega-Masanafu-24h'!K23,'28.07 Masanafu-Busega'!K23)</f>
        <v>2.5714285714285716</v>
      </c>
      <c r="L23" s="49">
        <f>AVERAGE('22.07 Masanafu-Busega'!L23,'23.07 Masanafu-Busega'!L23,'24.07 Masanafu-Busega'!L23,'25.07 Masanafu-Busega'!L23,'26.07 Masanafu-Busega-24h'!L23,'27.07 Busega-Masanafu-24h'!L23,'28.07 Masanafu-Busega'!L23)</f>
        <v>5.5714285714285712</v>
      </c>
      <c r="M23" s="49">
        <f>AVERAGE('22.07 Masanafu-Busega'!M23,'23.07 Masanafu-Busega'!M23,'24.07 Masanafu-Busega'!M23,'25.07 Masanafu-Busega'!M23,'26.07 Masanafu-Busega-24h'!M23,'27.07 Busega-Masanafu-24h'!M23,'28.07 Masanafu-Busega'!M23)</f>
        <v>120.14285714285714</v>
      </c>
      <c r="N23" s="49">
        <f>AVERAGE('22.07 Masanafu-Busega'!N23,'23.07 Masanafu-Busega'!N23,'24.07 Masanafu-Busega'!N23,'25.07 Masanafu-Busega'!N23,'26.07 Masanafu-Busega-24h'!N23,'27.07 Masanafu-Busega-24h'!N23,'28.07 Masanafu-Busega'!N23)</f>
        <v>0</v>
      </c>
      <c r="O23" s="15">
        <f t="shared" si="0"/>
        <v>168.57142857142864</v>
      </c>
      <c r="P23" s="15">
        <f t="shared" si="1"/>
        <v>288.71428571428578</v>
      </c>
      <c r="R23" s="1" t="s">
        <v>147</v>
      </c>
      <c r="S23" s="34">
        <f>SUM(C59:C62)</f>
        <v>266.5</v>
      </c>
      <c r="T23" s="34">
        <f t="shared" ref="T23:AF23" si="14">SUM(D59:D62)</f>
        <v>47</v>
      </c>
      <c r="U23" s="34">
        <f t="shared" si="14"/>
        <v>57.5</v>
      </c>
      <c r="V23" s="34">
        <f t="shared" si="14"/>
        <v>139</v>
      </c>
      <c r="W23" s="34">
        <f t="shared" si="14"/>
        <v>7</v>
      </c>
      <c r="X23" s="34">
        <f t="shared" si="14"/>
        <v>8.5</v>
      </c>
      <c r="Y23" s="34">
        <f t="shared" si="14"/>
        <v>33.5</v>
      </c>
      <c r="Z23" s="34">
        <f t="shared" si="14"/>
        <v>30.5</v>
      </c>
      <c r="AA23" s="34">
        <f t="shared" si="14"/>
        <v>9</v>
      </c>
      <c r="AB23" s="34">
        <f t="shared" si="14"/>
        <v>13.5</v>
      </c>
      <c r="AC23" s="34">
        <f t="shared" si="14"/>
        <v>438</v>
      </c>
      <c r="AD23" s="34">
        <f t="shared" si="14"/>
        <v>0</v>
      </c>
      <c r="AE23" s="31">
        <f t="shared" si="14"/>
        <v>612</v>
      </c>
      <c r="AF23" s="31">
        <f t="shared" si="14"/>
        <v>1050</v>
      </c>
    </row>
    <row r="24" spans="2:32" ht="23.1" customHeight="1" x14ac:dyDescent="0.25">
      <c r="B24" s="23" t="s">
        <v>51</v>
      </c>
      <c r="C24" s="49">
        <f>AVERAGE('22.07 Masanafu-Busega'!C24,'23.07 Masanafu-Busega'!C24,'24.07 Masanafu-Busega'!C24,'25.07 Masanafu-Busega'!C24,'26.07 Masanafu-Busega-24h'!C24,'27.07 Busega-Masanafu-24h'!C24,'28.07 Masanafu-Busega'!C24)</f>
        <v>70.571428571428569</v>
      </c>
      <c r="D24" s="49">
        <f>AVERAGE('22.07 Masanafu-Busega'!D24,'23.07 Masanafu-Busega'!D24,'24.07 Masanafu-Busega'!D24,'25.07 Masanafu-Busega'!D24,'26.07 Masanafu-Busega-24h'!D24,'27.07 Busega-Masanafu-24h'!D24,'28.07 Masanafu-Busega'!D24)</f>
        <v>11.857142857142858</v>
      </c>
      <c r="E24" s="49">
        <f>AVERAGE('22.07 Masanafu-Busega'!E24,'23.07 Masanafu-Busega'!E24,'24.07 Masanafu-Busega'!E24,'25.07 Masanafu-Busega'!E24,'26.07 Masanafu-Busega-24h'!E24,'27.07 Busega-Masanafu-24h'!E24,'28.07 Masanafu-Busega'!E24)</f>
        <v>12.714285714285714</v>
      </c>
      <c r="F24" s="49">
        <f>AVERAGE('22.07 Masanafu-Busega'!F24,'23.07 Masanafu-Busega'!F24,'24.07 Masanafu-Busega'!F24,'25.07 Masanafu-Busega'!F24,'26.07 Masanafu-Busega-24h'!F24,'27.07 Busega-Masanafu-24h'!F24,'28.07 Masanafu-Busega'!F24)</f>
        <v>38.714285714285715</v>
      </c>
      <c r="G24" s="49">
        <f>AVERAGE('22.07 Masanafu-Busega'!G24,'23.07 Masanafu-Busega'!G24,'24.07 Masanafu-Busega'!G24,'25.07 Masanafu-Busega'!G24,'26.07 Masanafu-Busega-24h'!G24,'27.07 Busega-Masanafu-24h'!G24,'28.07 Masanafu-Busega'!G24)</f>
        <v>4.4285714285714288</v>
      </c>
      <c r="H24" s="49">
        <f>AVERAGE('22.07 Masanafu-Busega'!H24,'23.07 Masanafu-Busega'!H24,'24.07 Masanafu-Busega'!H24,'25.07 Masanafu-Busega'!H24,'26.07 Masanafu-Busega-24h'!H24,'27.07 Busega-Masanafu-24h'!H24,'28.07 Masanafu-Busega'!H24)</f>
        <v>0.8571428571428571</v>
      </c>
      <c r="I24" s="49">
        <f>AVERAGE('22.07 Masanafu-Busega'!I24,'23.07 Masanafu-Busega'!I24,'24.07 Masanafu-Busega'!I24,'25.07 Masanafu-Busega'!I24,'26.07 Masanafu-Busega-24h'!I24,'27.07 Busega-Masanafu-24h'!I24,'28.07 Masanafu-Busega'!I24)</f>
        <v>14.428571428571429</v>
      </c>
      <c r="J24" s="49">
        <f>AVERAGE('22.07 Masanafu-Busega'!J24,'23.07 Masanafu-Busega'!J24,'24.07 Masanafu-Busega'!J24,'25.07 Masanafu-Busega'!J24,'26.07 Masanafu-Busega-24h'!J24,'27.07 Busega-Masanafu-24h'!J24,'28.07 Masanafu-Busega'!J24)</f>
        <v>8.2857142857142865</v>
      </c>
      <c r="K24" s="49">
        <f>AVERAGE('22.07 Masanafu-Busega'!K24,'23.07 Masanafu-Busega'!K24,'24.07 Masanafu-Busega'!K24,'25.07 Masanafu-Busega'!K24,'26.07 Masanafu-Busega-24h'!K24,'27.07 Busega-Masanafu-24h'!K24,'28.07 Masanafu-Busega'!K24)</f>
        <v>2.7142857142857144</v>
      </c>
      <c r="L24" s="49">
        <f>AVERAGE('22.07 Masanafu-Busega'!L24,'23.07 Masanafu-Busega'!L24,'24.07 Masanafu-Busega'!L24,'25.07 Masanafu-Busega'!L24,'26.07 Masanafu-Busega-24h'!L24,'27.07 Busega-Masanafu-24h'!L24,'28.07 Masanafu-Busega'!L24)</f>
        <v>3.5714285714285716</v>
      </c>
      <c r="M24" s="49">
        <f>AVERAGE('22.07 Masanafu-Busega'!M24,'23.07 Masanafu-Busega'!M24,'24.07 Masanafu-Busega'!M24,'25.07 Masanafu-Busega'!M24,'26.07 Masanafu-Busega-24h'!M24,'27.07 Busega-Masanafu-24h'!M24,'28.07 Masanafu-Busega'!M24)</f>
        <v>116.14285714285714</v>
      </c>
      <c r="N24" s="49">
        <f>AVERAGE('22.07 Masanafu-Busega'!N24,'23.07 Masanafu-Busega'!N24,'24.07 Masanafu-Busega'!N24,'25.07 Masanafu-Busega'!N24,'26.07 Masanafu-Busega-24h'!N24,'27.07 Masanafu-Busega-24h'!N24,'28.07 Masanafu-Busega'!N24)</f>
        <v>0</v>
      </c>
      <c r="O24" s="15">
        <f t="shared" si="0"/>
        <v>168.14285714285714</v>
      </c>
      <c r="P24" s="15">
        <f t="shared" si="1"/>
        <v>284.28571428571428</v>
      </c>
      <c r="R24" s="1" t="s">
        <v>148</v>
      </c>
      <c r="S24" s="34">
        <f>SUM(C63:C66)</f>
        <v>315.5</v>
      </c>
      <c r="T24" s="34">
        <f t="shared" ref="T24:AF24" si="15">SUM(D63:D66)</f>
        <v>46.5</v>
      </c>
      <c r="U24" s="34">
        <f t="shared" si="15"/>
        <v>43</v>
      </c>
      <c r="V24" s="34">
        <f t="shared" si="15"/>
        <v>109.5</v>
      </c>
      <c r="W24" s="34">
        <f t="shared" si="15"/>
        <v>6.5</v>
      </c>
      <c r="X24" s="34">
        <f t="shared" si="15"/>
        <v>2.5</v>
      </c>
      <c r="Y24" s="34">
        <f t="shared" si="15"/>
        <v>31.5</v>
      </c>
      <c r="Z24" s="34">
        <f t="shared" si="15"/>
        <v>28.5</v>
      </c>
      <c r="AA24" s="34">
        <f t="shared" si="15"/>
        <v>12.5</v>
      </c>
      <c r="AB24" s="34">
        <f t="shared" si="15"/>
        <v>10.5</v>
      </c>
      <c r="AC24" s="34">
        <f t="shared" si="15"/>
        <v>533.5</v>
      </c>
      <c r="AD24" s="34">
        <f t="shared" si="15"/>
        <v>0</v>
      </c>
      <c r="AE24" s="31">
        <f t="shared" si="15"/>
        <v>606.5</v>
      </c>
      <c r="AF24" s="31">
        <f t="shared" si="15"/>
        <v>1140</v>
      </c>
    </row>
    <row r="25" spans="2:32" ht="23.1" customHeight="1" x14ac:dyDescent="0.25">
      <c r="B25" s="23" t="s">
        <v>52</v>
      </c>
      <c r="C25" s="49">
        <f>AVERAGE('22.07 Masanafu-Busega'!C25,'23.07 Masanafu-Busega'!C25,'24.07 Masanafu-Busega'!C25,'25.07 Masanafu-Busega'!C25,'26.07 Masanafu-Busega-24h'!C25,'27.07 Busega-Masanafu-24h'!C25,'28.07 Masanafu-Busega'!C25)</f>
        <v>74.571428571428569</v>
      </c>
      <c r="D25" s="49">
        <f>AVERAGE('22.07 Masanafu-Busega'!D25,'23.07 Masanafu-Busega'!D25,'24.07 Masanafu-Busega'!D25,'25.07 Masanafu-Busega'!D25,'26.07 Masanafu-Busega-24h'!D25,'27.07 Busega-Masanafu-24h'!D25,'28.07 Masanafu-Busega'!D25)</f>
        <v>9.7142857142857135</v>
      </c>
      <c r="E25" s="49">
        <f>AVERAGE('22.07 Masanafu-Busega'!E25,'23.07 Masanafu-Busega'!E25,'24.07 Masanafu-Busega'!E25,'25.07 Masanafu-Busega'!E25,'26.07 Masanafu-Busega-24h'!E25,'27.07 Busega-Masanafu-24h'!E25,'28.07 Masanafu-Busega'!E25)</f>
        <v>8.8571428571428577</v>
      </c>
      <c r="F25" s="49">
        <f>AVERAGE('22.07 Masanafu-Busega'!F25,'23.07 Masanafu-Busega'!F25,'24.07 Masanafu-Busega'!F25,'25.07 Masanafu-Busega'!F25,'26.07 Masanafu-Busega-24h'!F25,'27.07 Busega-Masanafu-24h'!F25,'28.07 Masanafu-Busega'!F25)</f>
        <v>39.857142857142854</v>
      </c>
      <c r="G25" s="49">
        <f>AVERAGE('22.07 Masanafu-Busega'!G25,'23.07 Masanafu-Busega'!G25,'24.07 Masanafu-Busega'!G25,'25.07 Masanafu-Busega'!G25,'26.07 Masanafu-Busega-24h'!G25,'27.07 Busega-Masanafu-24h'!G25,'28.07 Masanafu-Busega'!G25)</f>
        <v>3.1428571428571428</v>
      </c>
      <c r="H25" s="49">
        <f>AVERAGE('22.07 Masanafu-Busega'!H25,'23.07 Masanafu-Busega'!H25,'24.07 Masanafu-Busega'!H25,'25.07 Masanafu-Busega'!H25,'26.07 Masanafu-Busega-24h'!H25,'27.07 Busega-Masanafu-24h'!H25,'28.07 Masanafu-Busega'!H25)</f>
        <v>0.7142857142857143</v>
      </c>
      <c r="I25" s="49">
        <f>AVERAGE('22.07 Masanafu-Busega'!I25,'23.07 Masanafu-Busega'!I25,'24.07 Masanafu-Busega'!I25,'25.07 Masanafu-Busega'!I25,'26.07 Masanafu-Busega-24h'!I25,'27.07 Busega-Masanafu-24h'!I25,'28.07 Masanafu-Busega'!I25)</f>
        <v>14</v>
      </c>
      <c r="J25" s="49">
        <f>AVERAGE('22.07 Masanafu-Busega'!J25,'23.07 Masanafu-Busega'!J25,'24.07 Masanafu-Busega'!J25,'25.07 Masanafu-Busega'!J25,'26.07 Masanafu-Busega-24h'!J25,'27.07 Busega-Masanafu-24h'!J25,'28.07 Masanafu-Busega'!J25)</f>
        <v>6.5714285714285712</v>
      </c>
      <c r="K25" s="49">
        <f>AVERAGE('22.07 Masanafu-Busega'!K25,'23.07 Masanafu-Busega'!K25,'24.07 Masanafu-Busega'!K25,'25.07 Masanafu-Busega'!K25,'26.07 Masanafu-Busega-24h'!K25,'27.07 Busega-Masanafu-24h'!K25,'28.07 Masanafu-Busega'!K25)</f>
        <v>2.7142857142857144</v>
      </c>
      <c r="L25" s="49">
        <f>AVERAGE('22.07 Masanafu-Busega'!L25,'23.07 Masanafu-Busega'!L25,'24.07 Masanafu-Busega'!L25,'25.07 Masanafu-Busega'!L25,'26.07 Masanafu-Busega-24h'!L25,'27.07 Busega-Masanafu-24h'!L25,'28.07 Masanafu-Busega'!L25)</f>
        <v>4.2857142857142856</v>
      </c>
      <c r="M25" s="49">
        <f>AVERAGE('22.07 Masanafu-Busega'!M25,'23.07 Masanafu-Busega'!M25,'24.07 Masanafu-Busega'!M25,'25.07 Masanafu-Busega'!M25,'26.07 Masanafu-Busega-24h'!M25,'27.07 Busega-Masanafu-24h'!M25,'28.07 Masanafu-Busega'!M25)</f>
        <v>99</v>
      </c>
      <c r="N25" s="49">
        <f>AVERAGE('22.07 Masanafu-Busega'!N25,'23.07 Masanafu-Busega'!N25,'24.07 Masanafu-Busega'!N25,'25.07 Masanafu-Busega'!N25,'26.07 Masanafu-Busega-24h'!N25,'27.07 Masanafu-Busega-24h'!N25,'28.07 Masanafu-Busega'!N25)</f>
        <v>0.14285714285714285</v>
      </c>
      <c r="O25" s="15">
        <f t="shared" si="0"/>
        <v>164.57142857142858</v>
      </c>
      <c r="P25" s="15">
        <f t="shared" si="1"/>
        <v>263.57142857142861</v>
      </c>
      <c r="R25" s="1" t="s">
        <v>149</v>
      </c>
      <c r="S25" s="34">
        <f>SUM(C67:C70)</f>
        <v>252</v>
      </c>
      <c r="T25" s="34">
        <f t="shared" ref="T25:AF25" si="16">SUM(D67:D70)</f>
        <v>40</v>
      </c>
      <c r="U25" s="34">
        <f t="shared" si="16"/>
        <v>26.5</v>
      </c>
      <c r="V25" s="34">
        <f t="shared" si="16"/>
        <v>104</v>
      </c>
      <c r="W25" s="34">
        <f t="shared" si="16"/>
        <v>3.5</v>
      </c>
      <c r="X25" s="34">
        <f t="shared" si="16"/>
        <v>1.5</v>
      </c>
      <c r="Y25" s="34">
        <f t="shared" si="16"/>
        <v>19.5</v>
      </c>
      <c r="Z25" s="34">
        <f t="shared" si="16"/>
        <v>24.5</v>
      </c>
      <c r="AA25" s="34">
        <f t="shared" si="16"/>
        <v>12</v>
      </c>
      <c r="AB25" s="34">
        <f t="shared" si="16"/>
        <v>7</v>
      </c>
      <c r="AC25" s="34">
        <f t="shared" si="16"/>
        <v>366.5</v>
      </c>
      <c r="AD25" s="34">
        <f t="shared" si="16"/>
        <v>0</v>
      </c>
      <c r="AE25" s="31">
        <f t="shared" si="16"/>
        <v>490.5</v>
      </c>
      <c r="AF25" s="31">
        <f t="shared" si="16"/>
        <v>857</v>
      </c>
    </row>
    <row r="26" spans="2:32" ht="23.1" customHeight="1" x14ac:dyDescent="0.25">
      <c r="B26" s="23" t="s">
        <v>53</v>
      </c>
      <c r="C26" s="49">
        <f>AVERAGE('22.07 Masanafu-Busega'!C26,'23.07 Masanafu-Busega'!C26,'24.07 Masanafu-Busega'!C26,'25.07 Masanafu-Busega'!C26,'26.07 Masanafu-Busega-24h'!C26,'27.07 Busega-Masanafu-24h'!C26,'28.07 Masanafu-Busega'!C26)</f>
        <v>87.714285714285708</v>
      </c>
      <c r="D26" s="49">
        <f>AVERAGE('22.07 Masanafu-Busega'!D26,'23.07 Masanafu-Busega'!D26,'24.07 Masanafu-Busega'!D26,'25.07 Masanafu-Busega'!D26,'26.07 Masanafu-Busega-24h'!D26,'27.07 Busega-Masanafu-24h'!D26,'28.07 Masanafu-Busega'!D26)</f>
        <v>10</v>
      </c>
      <c r="E26" s="49">
        <f>AVERAGE('22.07 Masanafu-Busega'!E26,'23.07 Masanafu-Busega'!E26,'24.07 Masanafu-Busega'!E26,'25.07 Masanafu-Busega'!E26,'26.07 Masanafu-Busega-24h'!E26,'27.07 Busega-Masanafu-24h'!E26,'28.07 Masanafu-Busega'!E26)</f>
        <v>11.857142857142858</v>
      </c>
      <c r="F26" s="49">
        <f>AVERAGE('22.07 Masanafu-Busega'!F26,'23.07 Masanafu-Busega'!F26,'24.07 Masanafu-Busega'!F26,'25.07 Masanafu-Busega'!F26,'26.07 Masanafu-Busega-24h'!F26,'27.07 Busega-Masanafu-24h'!F26,'28.07 Masanafu-Busega'!F26)</f>
        <v>41.142857142857146</v>
      </c>
      <c r="G26" s="49">
        <f>AVERAGE('22.07 Masanafu-Busega'!G26,'23.07 Masanafu-Busega'!G26,'24.07 Masanafu-Busega'!G26,'25.07 Masanafu-Busega'!G26,'26.07 Masanafu-Busega-24h'!G26,'27.07 Busega-Masanafu-24h'!G26,'28.07 Masanafu-Busega'!G26)</f>
        <v>3.1428571428571428</v>
      </c>
      <c r="H26" s="49">
        <f>AVERAGE('22.07 Masanafu-Busega'!H26,'23.07 Masanafu-Busega'!H26,'24.07 Masanafu-Busega'!H26,'25.07 Masanafu-Busega'!H26,'26.07 Masanafu-Busega-24h'!H26,'27.07 Busega-Masanafu-24h'!H26,'28.07 Masanafu-Busega'!H26)</f>
        <v>0.7142857142857143</v>
      </c>
      <c r="I26" s="49">
        <f>AVERAGE('22.07 Masanafu-Busega'!I26,'23.07 Masanafu-Busega'!I26,'24.07 Masanafu-Busega'!I26,'25.07 Masanafu-Busega'!I26,'26.07 Masanafu-Busega-24h'!I26,'27.07 Busega-Masanafu-24h'!I26,'28.07 Masanafu-Busega'!I26)</f>
        <v>15.285714285714286</v>
      </c>
      <c r="J26" s="49">
        <f>AVERAGE('22.07 Masanafu-Busega'!J26,'23.07 Masanafu-Busega'!J26,'24.07 Masanafu-Busega'!J26,'25.07 Masanafu-Busega'!J26,'26.07 Masanafu-Busega-24h'!J26,'27.07 Busega-Masanafu-24h'!J26,'28.07 Masanafu-Busega'!J26)</f>
        <v>6</v>
      </c>
      <c r="K26" s="49">
        <f>AVERAGE('22.07 Masanafu-Busega'!K26,'23.07 Masanafu-Busega'!K26,'24.07 Masanafu-Busega'!K26,'25.07 Masanafu-Busega'!K26,'26.07 Masanafu-Busega-24h'!K26,'27.07 Busega-Masanafu-24h'!K26,'28.07 Masanafu-Busega'!K26)</f>
        <v>3.5714285714285716</v>
      </c>
      <c r="L26" s="49">
        <f>AVERAGE('22.07 Masanafu-Busega'!L26,'23.07 Masanafu-Busega'!L26,'24.07 Masanafu-Busega'!L26,'25.07 Masanafu-Busega'!L26,'26.07 Masanafu-Busega-24h'!L26,'27.07 Busega-Masanafu-24h'!L26,'28.07 Masanafu-Busega'!L26)</f>
        <v>4.1428571428571432</v>
      </c>
      <c r="M26" s="49">
        <f>AVERAGE('22.07 Masanafu-Busega'!M26,'23.07 Masanafu-Busega'!M26,'24.07 Masanafu-Busega'!M26,'25.07 Masanafu-Busega'!M26,'26.07 Masanafu-Busega-24h'!M26,'27.07 Busega-Masanafu-24h'!M26,'28.07 Masanafu-Busega'!M26)</f>
        <v>110</v>
      </c>
      <c r="N26" s="49">
        <f>AVERAGE('22.07 Masanafu-Busega'!N26,'23.07 Masanafu-Busega'!N26,'24.07 Masanafu-Busega'!N26,'25.07 Masanafu-Busega'!N26,'26.07 Masanafu-Busega-24h'!N26,'27.07 Masanafu-Busega-24h'!N26,'28.07 Masanafu-Busega'!N26)</f>
        <v>0</v>
      </c>
      <c r="O26" s="15">
        <f t="shared" si="0"/>
        <v>183.57142857142858</v>
      </c>
      <c r="P26" s="15">
        <f t="shared" si="1"/>
        <v>293.57142857142856</v>
      </c>
      <c r="R26" s="1" t="s">
        <v>150</v>
      </c>
      <c r="S26" s="34">
        <f>SUM(C71:C74)</f>
        <v>212.5</v>
      </c>
      <c r="T26" s="34">
        <f t="shared" ref="T26:AF26" si="17">SUM(D71:D74)</f>
        <v>36</v>
      </c>
      <c r="U26" s="34">
        <f t="shared" si="17"/>
        <v>26</v>
      </c>
      <c r="V26" s="34">
        <f t="shared" si="17"/>
        <v>68</v>
      </c>
      <c r="W26" s="34">
        <f t="shared" si="17"/>
        <v>4</v>
      </c>
      <c r="X26" s="34">
        <f t="shared" si="17"/>
        <v>3.5</v>
      </c>
      <c r="Y26" s="34">
        <f t="shared" si="17"/>
        <v>19</v>
      </c>
      <c r="Z26" s="34">
        <f t="shared" si="17"/>
        <v>26</v>
      </c>
      <c r="AA26" s="34">
        <f t="shared" si="17"/>
        <v>19.5</v>
      </c>
      <c r="AB26" s="34">
        <f t="shared" si="17"/>
        <v>12</v>
      </c>
      <c r="AC26" s="34">
        <f t="shared" si="17"/>
        <v>273</v>
      </c>
      <c r="AD26" s="34">
        <f t="shared" si="17"/>
        <v>0</v>
      </c>
      <c r="AE26" s="31">
        <f t="shared" si="17"/>
        <v>426.5</v>
      </c>
      <c r="AF26" s="31">
        <f t="shared" si="17"/>
        <v>699.5</v>
      </c>
    </row>
    <row r="27" spans="2:32" ht="23.1" customHeight="1" x14ac:dyDescent="0.25">
      <c r="B27" s="23" t="s">
        <v>54</v>
      </c>
      <c r="C27" s="49">
        <f>AVERAGE('22.07 Masanafu-Busega'!C27,'23.07 Masanafu-Busega'!C27,'24.07 Masanafu-Busega'!C27,'25.07 Masanafu-Busega'!C27,'26.07 Masanafu-Busega-24h'!C27,'27.07 Busega-Masanafu-24h'!C27,'28.07 Masanafu-Busega'!C27)</f>
        <v>85.285714285714292</v>
      </c>
      <c r="D27" s="49">
        <f>AVERAGE('22.07 Masanafu-Busega'!D27,'23.07 Masanafu-Busega'!D27,'24.07 Masanafu-Busega'!D27,'25.07 Masanafu-Busega'!D27,'26.07 Masanafu-Busega-24h'!D27,'27.07 Busega-Masanafu-24h'!D27,'28.07 Masanafu-Busega'!D27)</f>
        <v>10</v>
      </c>
      <c r="E27" s="49">
        <f>AVERAGE('22.07 Masanafu-Busega'!E27,'23.07 Masanafu-Busega'!E27,'24.07 Masanafu-Busega'!E27,'25.07 Masanafu-Busega'!E27,'26.07 Masanafu-Busega-24h'!E27,'27.07 Busega-Masanafu-24h'!E27,'28.07 Masanafu-Busega'!E27)</f>
        <v>8.5714285714285712</v>
      </c>
      <c r="F27" s="49">
        <f>AVERAGE('22.07 Masanafu-Busega'!F27,'23.07 Masanafu-Busega'!F27,'24.07 Masanafu-Busega'!F27,'25.07 Masanafu-Busega'!F27,'26.07 Masanafu-Busega-24h'!F27,'27.07 Busega-Masanafu-24h'!F27,'28.07 Masanafu-Busega'!F27)</f>
        <v>36.571428571428569</v>
      </c>
      <c r="G27" s="49">
        <f>AVERAGE('22.07 Masanafu-Busega'!G27,'23.07 Masanafu-Busega'!G27,'24.07 Masanafu-Busega'!G27,'25.07 Masanafu-Busega'!G27,'26.07 Masanafu-Busega-24h'!G27,'27.07 Busega-Masanafu-24h'!G27,'28.07 Masanafu-Busega'!G27)</f>
        <v>2.4285714285714284</v>
      </c>
      <c r="H27" s="49">
        <f>AVERAGE('22.07 Masanafu-Busega'!H27,'23.07 Masanafu-Busega'!H27,'24.07 Masanafu-Busega'!H27,'25.07 Masanafu-Busega'!H27,'26.07 Masanafu-Busega-24h'!H27,'27.07 Busega-Masanafu-24h'!H27,'28.07 Masanafu-Busega'!H27)</f>
        <v>0.5714285714285714</v>
      </c>
      <c r="I27" s="49">
        <f>AVERAGE('22.07 Masanafu-Busega'!I27,'23.07 Masanafu-Busega'!I27,'24.07 Masanafu-Busega'!I27,'25.07 Masanafu-Busega'!I27,'26.07 Masanafu-Busega-24h'!I27,'27.07 Busega-Masanafu-24h'!I27,'28.07 Masanafu-Busega'!I27)</f>
        <v>14.857142857142858</v>
      </c>
      <c r="J27" s="49">
        <f>AVERAGE('22.07 Masanafu-Busega'!J27,'23.07 Masanafu-Busega'!J27,'24.07 Masanafu-Busega'!J27,'25.07 Masanafu-Busega'!J27,'26.07 Masanafu-Busega-24h'!J27,'27.07 Busega-Masanafu-24h'!J27,'28.07 Masanafu-Busega'!J27)</f>
        <v>9</v>
      </c>
      <c r="K27" s="49">
        <f>AVERAGE('22.07 Masanafu-Busega'!K27,'23.07 Masanafu-Busega'!K27,'24.07 Masanafu-Busega'!K27,'25.07 Masanafu-Busega'!K27,'26.07 Masanafu-Busega-24h'!K27,'27.07 Busega-Masanafu-24h'!K27,'28.07 Masanafu-Busega'!K27)</f>
        <v>5.4285714285714288</v>
      </c>
      <c r="L27" s="49">
        <f>AVERAGE('22.07 Masanafu-Busega'!L27,'23.07 Masanafu-Busega'!L27,'24.07 Masanafu-Busega'!L27,'25.07 Masanafu-Busega'!L27,'26.07 Masanafu-Busega-24h'!L27,'27.07 Busega-Masanafu-24h'!L27,'28.07 Masanafu-Busega'!L27)</f>
        <v>4.7142857142857144</v>
      </c>
      <c r="M27" s="49">
        <f>AVERAGE('22.07 Masanafu-Busega'!M27,'23.07 Masanafu-Busega'!M27,'24.07 Masanafu-Busega'!M27,'25.07 Masanafu-Busega'!M27,'26.07 Masanafu-Busega-24h'!M27,'27.07 Busega-Masanafu-24h'!M27,'28.07 Masanafu-Busega'!M27)</f>
        <v>108</v>
      </c>
      <c r="N27" s="49">
        <f>AVERAGE('22.07 Masanafu-Busega'!N27,'23.07 Masanafu-Busega'!N27,'24.07 Masanafu-Busega'!N27,'25.07 Masanafu-Busega'!N27,'26.07 Masanafu-Busega-24h'!N27,'27.07 Masanafu-Busega-24h'!N27,'28.07 Masanafu-Busega'!N27)</f>
        <v>0.14285714285714285</v>
      </c>
      <c r="O27" s="15">
        <f t="shared" si="0"/>
        <v>177.57142857142858</v>
      </c>
      <c r="P27" s="15">
        <f t="shared" si="1"/>
        <v>285.57142857142861</v>
      </c>
      <c r="R27" s="1" t="s">
        <v>151</v>
      </c>
      <c r="S27" s="34">
        <f>SUM(C75:C78)</f>
        <v>116</v>
      </c>
      <c r="T27" s="34">
        <f t="shared" ref="T27:AF27" si="18">SUM(D75:D78)</f>
        <v>17.5</v>
      </c>
      <c r="U27" s="34">
        <f t="shared" si="18"/>
        <v>15.5</v>
      </c>
      <c r="V27" s="34">
        <f t="shared" si="18"/>
        <v>26</v>
      </c>
      <c r="W27" s="34">
        <f t="shared" si="18"/>
        <v>2</v>
      </c>
      <c r="X27" s="34">
        <f t="shared" si="18"/>
        <v>0</v>
      </c>
      <c r="Y27" s="34">
        <f t="shared" si="18"/>
        <v>17</v>
      </c>
      <c r="Z27" s="34">
        <f t="shared" si="18"/>
        <v>22</v>
      </c>
      <c r="AA27" s="34">
        <f t="shared" si="18"/>
        <v>11</v>
      </c>
      <c r="AB27" s="34">
        <f t="shared" si="18"/>
        <v>17.5</v>
      </c>
      <c r="AC27" s="34">
        <f t="shared" si="18"/>
        <v>134.5</v>
      </c>
      <c r="AD27" s="34">
        <f t="shared" si="18"/>
        <v>0</v>
      </c>
      <c r="AE27" s="31">
        <f t="shared" si="18"/>
        <v>244.5</v>
      </c>
      <c r="AF27" s="31">
        <f t="shared" si="18"/>
        <v>379</v>
      </c>
    </row>
    <row r="28" spans="2:32" ht="23.1" customHeight="1" x14ac:dyDescent="0.25">
      <c r="B28" s="23" t="s">
        <v>55</v>
      </c>
      <c r="C28" s="49">
        <f>AVERAGE('22.07 Masanafu-Busega'!C28,'23.07 Masanafu-Busega'!C28,'24.07 Masanafu-Busega'!C28,'25.07 Masanafu-Busega'!C28,'26.07 Masanafu-Busega-24h'!C28,'27.07 Busega-Masanafu-24h'!C28,'28.07 Masanafu-Busega'!C28)</f>
        <v>88.285714285714292</v>
      </c>
      <c r="D28" s="49">
        <f>AVERAGE('22.07 Masanafu-Busega'!D28,'23.07 Masanafu-Busega'!D28,'24.07 Masanafu-Busega'!D28,'25.07 Masanafu-Busega'!D28,'26.07 Masanafu-Busega-24h'!D28,'27.07 Busega-Masanafu-24h'!D28,'28.07 Masanafu-Busega'!D28)</f>
        <v>11.142857142857142</v>
      </c>
      <c r="E28" s="49">
        <f>AVERAGE('22.07 Masanafu-Busega'!E28,'23.07 Masanafu-Busega'!E28,'24.07 Masanafu-Busega'!E28,'25.07 Masanafu-Busega'!E28,'26.07 Masanafu-Busega-24h'!E28,'27.07 Busega-Masanafu-24h'!E28,'28.07 Masanafu-Busega'!E28)</f>
        <v>9.7142857142857135</v>
      </c>
      <c r="F28" s="49">
        <f>AVERAGE('22.07 Masanafu-Busega'!F28,'23.07 Masanafu-Busega'!F28,'24.07 Masanafu-Busega'!F28,'25.07 Masanafu-Busega'!F28,'26.07 Masanafu-Busega-24h'!F28,'27.07 Busega-Masanafu-24h'!F28,'28.07 Masanafu-Busega'!F28)</f>
        <v>37.285714285714285</v>
      </c>
      <c r="G28" s="49">
        <f>AVERAGE('22.07 Masanafu-Busega'!G28,'23.07 Masanafu-Busega'!G28,'24.07 Masanafu-Busega'!G28,'25.07 Masanafu-Busega'!G28,'26.07 Masanafu-Busega-24h'!G28,'27.07 Busega-Masanafu-24h'!G28,'28.07 Masanafu-Busega'!G28)</f>
        <v>2.4285714285714284</v>
      </c>
      <c r="H28" s="49">
        <f>AVERAGE('22.07 Masanafu-Busega'!H28,'23.07 Masanafu-Busega'!H28,'24.07 Masanafu-Busega'!H28,'25.07 Masanafu-Busega'!H28,'26.07 Masanafu-Busega-24h'!H28,'27.07 Busega-Masanafu-24h'!H28,'28.07 Masanafu-Busega'!H28)</f>
        <v>0.5714285714285714</v>
      </c>
      <c r="I28" s="49">
        <f>AVERAGE('22.07 Masanafu-Busega'!I28,'23.07 Masanafu-Busega'!I28,'24.07 Masanafu-Busega'!I28,'25.07 Masanafu-Busega'!I28,'26.07 Masanafu-Busega-24h'!I28,'27.07 Busega-Masanafu-24h'!I28,'28.07 Masanafu-Busega'!I28)</f>
        <v>17.714285714285715</v>
      </c>
      <c r="J28" s="49">
        <f>AVERAGE('22.07 Masanafu-Busega'!J28,'23.07 Masanafu-Busega'!J28,'24.07 Masanafu-Busega'!J28,'25.07 Masanafu-Busega'!J28,'26.07 Masanafu-Busega-24h'!J28,'27.07 Busega-Masanafu-24h'!J28,'28.07 Masanafu-Busega'!J28)</f>
        <v>6.4285714285714288</v>
      </c>
      <c r="K28" s="49">
        <f>AVERAGE('22.07 Masanafu-Busega'!K28,'23.07 Masanafu-Busega'!K28,'24.07 Masanafu-Busega'!K28,'25.07 Masanafu-Busega'!K28,'26.07 Masanafu-Busega-24h'!K28,'27.07 Busega-Masanafu-24h'!K28,'28.07 Masanafu-Busega'!K28)</f>
        <v>3.8571428571428572</v>
      </c>
      <c r="L28" s="49">
        <f>AVERAGE('22.07 Masanafu-Busega'!L28,'23.07 Masanafu-Busega'!L28,'24.07 Masanafu-Busega'!L28,'25.07 Masanafu-Busega'!L28,'26.07 Masanafu-Busega-24h'!L28,'27.07 Busega-Masanafu-24h'!L28,'28.07 Masanafu-Busega'!L28)</f>
        <v>5.5714285714285712</v>
      </c>
      <c r="M28" s="49">
        <f>AVERAGE('22.07 Masanafu-Busega'!M28,'23.07 Masanafu-Busega'!M28,'24.07 Masanafu-Busega'!M28,'25.07 Masanafu-Busega'!M28,'26.07 Masanafu-Busega-24h'!M28,'27.07 Busega-Masanafu-24h'!M28,'28.07 Masanafu-Busega'!M28)</f>
        <v>120.57142857142857</v>
      </c>
      <c r="N28" s="49">
        <f>AVERAGE('22.07 Masanafu-Busega'!N28,'23.07 Masanafu-Busega'!N28,'24.07 Masanafu-Busega'!N28,'25.07 Masanafu-Busega'!N28,'26.07 Masanafu-Busega-24h'!N28,'27.07 Masanafu-Busega-24h'!N28,'28.07 Masanafu-Busega'!N28)</f>
        <v>0</v>
      </c>
      <c r="O28" s="15">
        <f t="shared" si="0"/>
        <v>183</v>
      </c>
      <c r="P28" s="15">
        <f t="shared" si="1"/>
        <v>303.57142857142856</v>
      </c>
      <c r="R28" s="1" t="s">
        <v>152</v>
      </c>
      <c r="S28" s="34">
        <f>SUM(C79:C82)</f>
        <v>84</v>
      </c>
      <c r="T28" s="34">
        <f t="shared" ref="T28:AF28" si="19">SUM(D79:D82)</f>
        <v>6.5</v>
      </c>
      <c r="U28" s="34">
        <f t="shared" si="19"/>
        <v>13</v>
      </c>
      <c r="V28" s="34">
        <f t="shared" si="19"/>
        <v>17.5</v>
      </c>
      <c r="W28" s="34">
        <f t="shared" si="19"/>
        <v>2.5</v>
      </c>
      <c r="X28" s="34">
        <f t="shared" si="19"/>
        <v>0</v>
      </c>
      <c r="Y28" s="34">
        <f t="shared" si="19"/>
        <v>14.5</v>
      </c>
      <c r="Z28" s="34">
        <f t="shared" si="19"/>
        <v>15</v>
      </c>
      <c r="AA28" s="34">
        <f t="shared" si="19"/>
        <v>11</v>
      </c>
      <c r="AB28" s="34">
        <f t="shared" si="19"/>
        <v>11.5</v>
      </c>
      <c r="AC28" s="34">
        <f t="shared" si="19"/>
        <v>101</v>
      </c>
      <c r="AD28" s="34">
        <f t="shared" si="19"/>
        <v>0</v>
      </c>
      <c r="AE28" s="31">
        <f t="shared" si="19"/>
        <v>175.5</v>
      </c>
      <c r="AF28" s="31">
        <f t="shared" si="19"/>
        <v>276.5</v>
      </c>
    </row>
    <row r="29" spans="2:32" ht="23.1" customHeight="1" x14ac:dyDescent="0.25">
      <c r="B29" s="23" t="s">
        <v>56</v>
      </c>
      <c r="C29" s="49">
        <f>AVERAGE('22.07 Masanafu-Busega'!C29,'23.07 Masanafu-Busega'!C29,'24.07 Masanafu-Busega'!C29,'25.07 Masanafu-Busega'!C29,'26.07 Masanafu-Busega-24h'!C29,'27.07 Busega-Masanafu-24h'!C29,'28.07 Masanafu-Busega'!C29)</f>
        <v>79.857142857142861</v>
      </c>
      <c r="D29" s="49">
        <f>AVERAGE('22.07 Masanafu-Busega'!D29,'23.07 Masanafu-Busega'!D29,'24.07 Masanafu-Busega'!D29,'25.07 Masanafu-Busega'!D29,'26.07 Masanafu-Busega-24h'!D29,'27.07 Busega-Masanafu-24h'!D29,'28.07 Masanafu-Busega'!D29)</f>
        <v>14.285714285714286</v>
      </c>
      <c r="E29" s="49">
        <f>AVERAGE('22.07 Masanafu-Busega'!E29,'23.07 Masanafu-Busega'!E29,'24.07 Masanafu-Busega'!E29,'25.07 Masanafu-Busega'!E29,'26.07 Masanafu-Busega-24h'!E29,'27.07 Busega-Masanafu-24h'!E29,'28.07 Masanafu-Busega'!E29)</f>
        <v>9.4285714285714288</v>
      </c>
      <c r="F29" s="49">
        <f>AVERAGE('22.07 Masanafu-Busega'!F29,'23.07 Masanafu-Busega'!F29,'24.07 Masanafu-Busega'!F29,'25.07 Masanafu-Busega'!F29,'26.07 Masanafu-Busega-24h'!F29,'27.07 Busega-Masanafu-24h'!F29,'28.07 Masanafu-Busega'!F29)</f>
        <v>30.857142857142858</v>
      </c>
      <c r="G29" s="49">
        <f>AVERAGE('22.07 Masanafu-Busega'!G29,'23.07 Masanafu-Busega'!G29,'24.07 Masanafu-Busega'!G29,'25.07 Masanafu-Busega'!G29,'26.07 Masanafu-Busega-24h'!G29,'27.07 Busega-Masanafu-24h'!G29,'28.07 Masanafu-Busega'!G29)</f>
        <v>3.5714285714285716</v>
      </c>
      <c r="H29" s="49">
        <f>AVERAGE('22.07 Masanafu-Busega'!H29,'23.07 Masanafu-Busega'!H29,'24.07 Masanafu-Busega'!H29,'25.07 Masanafu-Busega'!H29,'26.07 Masanafu-Busega-24h'!H29,'27.07 Busega-Masanafu-24h'!H29,'28.07 Masanafu-Busega'!H29)</f>
        <v>0.5714285714285714</v>
      </c>
      <c r="I29" s="49">
        <f>AVERAGE('22.07 Masanafu-Busega'!I29,'23.07 Masanafu-Busega'!I29,'24.07 Masanafu-Busega'!I29,'25.07 Masanafu-Busega'!I29,'26.07 Masanafu-Busega-24h'!I29,'27.07 Busega-Masanafu-24h'!I29,'28.07 Masanafu-Busega'!I29)</f>
        <v>16.142857142857142</v>
      </c>
      <c r="J29" s="49">
        <f>AVERAGE('22.07 Masanafu-Busega'!J29,'23.07 Masanafu-Busega'!J29,'24.07 Masanafu-Busega'!J29,'25.07 Masanafu-Busega'!J29,'26.07 Masanafu-Busega-24h'!J29,'27.07 Busega-Masanafu-24h'!J29,'28.07 Masanafu-Busega'!J29)</f>
        <v>5.5714285714285712</v>
      </c>
      <c r="K29" s="49">
        <f>AVERAGE('22.07 Masanafu-Busega'!K29,'23.07 Masanafu-Busega'!K29,'24.07 Masanafu-Busega'!K29,'25.07 Masanafu-Busega'!K29,'26.07 Masanafu-Busega-24h'!K29,'27.07 Busega-Masanafu-24h'!K29,'28.07 Masanafu-Busega'!K29)</f>
        <v>3.7142857142857144</v>
      </c>
      <c r="L29" s="49">
        <f>AVERAGE('22.07 Masanafu-Busega'!L29,'23.07 Masanafu-Busega'!L29,'24.07 Masanafu-Busega'!L29,'25.07 Masanafu-Busega'!L29,'26.07 Masanafu-Busega-24h'!L29,'27.07 Busega-Masanafu-24h'!L29,'28.07 Masanafu-Busega'!L29)</f>
        <v>5.7142857142857144</v>
      </c>
      <c r="M29" s="49">
        <f>AVERAGE('22.07 Masanafu-Busega'!M29,'23.07 Masanafu-Busega'!M29,'24.07 Masanafu-Busega'!M29,'25.07 Masanafu-Busega'!M29,'26.07 Masanafu-Busega-24h'!M29,'27.07 Busega-Masanafu-24h'!M29,'28.07 Masanafu-Busega'!M29)</f>
        <v>109.14285714285714</v>
      </c>
      <c r="N29" s="49">
        <f>AVERAGE('22.07 Masanafu-Busega'!N29,'23.07 Masanafu-Busega'!N29,'24.07 Masanafu-Busega'!N29,'25.07 Masanafu-Busega'!N29,'26.07 Masanafu-Busega-24h'!N29,'27.07 Masanafu-Busega-24h'!N29,'28.07 Masanafu-Busega'!N29)</f>
        <v>0</v>
      </c>
      <c r="O29" s="15">
        <f t="shared" si="0"/>
        <v>169.71428571428578</v>
      </c>
      <c r="P29" s="15">
        <f t="shared" si="1"/>
        <v>278.85714285714289</v>
      </c>
      <c r="R29" s="1" t="s">
        <v>153</v>
      </c>
      <c r="S29" s="34">
        <f>SUM(C83:C86)</f>
        <v>50.5</v>
      </c>
      <c r="T29" s="34">
        <f t="shared" ref="T29:AF29" si="20">SUM(D83:D86)</f>
        <v>9.5</v>
      </c>
      <c r="U29" s="34">
        <f t="shared" si="20"/>
        <v>3.5</v>
      </c>
      <c r="V29" s="34">
        <f t="shared" si="20"/>
        <v>11</v>
      </c>
      <c r="W29" s="34">
        <f t="shared" si="20"/>
        <v>0.5</v>
      </c>
      <c r="X29" s="34">
        <f t="shared" si="20"/>
        <v>0.5</v>
      </c>
      <c r="Y29" s="34">
        <f t="shared" si="20"/>
        <v>11.5</v>
      </c>
      <c r="Z29" s="34">
        <f t="shared" si="20"/>
        <v>13</v>
      </c>
      <c r="AA29" s="34">
        <f t="shared" si="20"/>
        <v>3.5</v>
      </c>
      <c r="AB29" s="34">
        <f t="shared" si="20"/>
        <v>10</v>
      </c>
      <c r="AC29" s="34">
        <f t="shared" si="20"/>
        <v>49</v>
      </c>
      <c r="AD29" s="34">
        <f t="shared" si="20"/>
        <v>0</v>
      </c>
      <c r="AE29" s="31">
        <f t="shared" si="20"/>
        <v>113.5</v>
      </c>
      <c r="AF29" s="31">
        <f t="shared" si="20"/>
        <v>162.5</v>
      </c>
    </row>
    <row r="30" spans="2:32" ht="23.1" customHeight="1" x14ac:dyDescent="0.25">
      <c r="B30" s="23" t="s">
        <v>57</v>
      </c>
      <c r="C30" s="49">
        <f>AVERAGE('22.07 Masanafu-Busega'!C30,'23.07 Masanafu-Busega'!C30,'24.07 Masanafu-Busega'!C30,'25.07 Masanafu-Busega'!C30,'26.07 Masanafu-Busega-24h'!C30,'27.07 Busega-Masanafu-24h'!C30,'28.07 Masanafu-Busega'!C30)</f>
        <v>78.714285714285708</v>
      </c>
      <c r="D30" s="49">
        <f>AVERAGE('22.07 Masanafu-Busega'!D30,'23.07 Masanafu-Busega'!D30,'24.07 Masanafu-Busega'!D30,'25.07 Masanafu-Busega'!D30,'26.07 Masanafu-Busega-24h'!D30,'27.07 Busega-Masanafu-24h'!D30,'28.07 Masanafu-Busega'!D30)</f>
        <v>11.285714285714286</v>
      </c>
      <c r="E30" s="49">
        <f>AVERAGE('22.07 Masanafu-Busega'!E30,'23.07 Masanafu-Busega'!E30,'24.07 Masanafu-Busega'!E30,'25.07 Masanafu-Busega'!E30,'26.07 Masanafu-Busega-24h'!E30,'27.07 Busega-Masanafu-24h'!E30,'28.07 Masanafu-Busega'!E30)</f>
        <v>10.428571428571429</v>
      </c>
      <c r="F30" s="49">
        <f>AVERAGE('22.07 Masanafu-Busega'!F30,'23.07 Masanafu-Busega'!F30,'24.07 Masanafu-Busega'!F30,'25.07 Masanafu-Busega'!F30,'26.07 Masanafu-Busega-24h'!F30,'27.07 Busega-Masanafu-24h'!F30,'28.07 Masanafu-Busega'!F30)</f>
        <v>35.571428571428569</v>
      </c>
      <c r="G30" s="49">
        <f>AVERAGE('22.07 Masanafu-Busega'!G30,'23.07 Masanafu-Busega'!G30,'24.07 Masanafu-Busega'!G30,'25.07 Masanafu-Busega'!G30,'26.07 Masanafu-Busega-24h'!G30,'27.07 Busega-Masanafu-24h'!G30,'28.07 Masanafu-Busega'!G30)</f>
        <v>2.4285714285714284</v>
      </c>
      <c r="H30" s="49">
        <f>AVERAGE('22.07 Masanafu-Busega'!H30,'23.07 Masanafu-Busega'!H30,'24.07 Masanafu-Busega'!H30,'25.07 Masanafu-Busega'!H30,'26.07 Masanafu-Busega-24h'!H30,'27.07 Busega-Masanafu-24h'!H30,'28.07 Masanafu-Busega'!H30)</f>
        <v>0.5714285714285714</v>
      </c>
      <c r="I30" s="49">
        <f>AVERAGE('22.07 Masanafu-Busega'!I30,'23.07 Masanafu-Busega'!I30,'24.07 Masanafu-Busega'!I30,'25.07 Masanafu-Busega'!I30,'26.07 Masanafu-Busega-24h'!I30,'27.07 Busega-Masanafu-24h'!I30,'28.07 Masanafu-Busega'!I30)</f>
        <v>15.428571428571429</v>
      </c>
      <c r="J30" s="49">
        <f>AVERAGE('22.07 Masanafu-Busega'!J30,'23.07 Masanafu-Busega'!J30,'24.07 Masanafu-Busega'!J30,'25.07 Masanafu-Busega'!J30,'26.07 Masanafu-Busega-24h'!J30,'27.07 Busega-Masanafu-24h'!J30,'28.07 Masanafu-Busega'!J30)</f>
        <v>8.4285714285714288</v>
      </c>
      <c r="K30" s="49">
        <f>AVERAGE('22.07 Masanafu-Busega'!K30,'23.07 Masanafu-Busega'!K30,'24.07 Masanafu-Busega'!K30,'25.07 Masanafu-Busega'!K30,'26.07 Masanafu-Busega-24h'!K30,'27.07 Busega-Masanafu-24h'!K30,'28.07 Masanafu-Busega'!K30)</f>
        <v>4.8571428571428568</v>
      </c>
      <c r="L30" s="49">
        <f>AVERAGE('22.07 Masanafu-Busega'!L30,'23.07 Masanafu-Busega'!L30,'24.07 Masanafu-Busega'!L30,'25.07 Masanafu-Busega'!L30,'26.07 Masanafu-Busega-24h'!L30,'27.07 Busega-Masanafu-24h'!L30,'28.07 Masanafu-Busega'!L30)</f>
        <v>4.5714285714285712</v>
      </c>
      <c r="M30" s="49">
        <f>AVERAGE('22.07 Masanafu-Busega'!M30,'23.07 Masanafu-Busega'!M30,'24.07 Masanafu-Busega'!M30,'25.07 Masanafu-Busega'!M30,'26.07 Masanafu-Busega-24h'!M30,'27.07 Busega-Masanafu-24h'!M30,'28.07 Masanafu-Busega'!M30)</f>
        <v>105.57142857142857</v>
      </c>
      <c r="N30" s="49">
        <f>AVERAGE('22.07 Masanafu-Busega'!N30,'23.07 Masanafu-Busega'!N30,'24.07 Masanafu-Busega'!N30,'25.07 Masanafu-Busega'!N30,'26.07 Masanafu-Busega-24h'!N30,'27.07 Masanafu-Busega-24h'!N30,'28.07 Masanafu-Busega'!N30)</f>
        <v>0</v>
      </c>
      <c r="O30" s="15">
        <f t="shared" si="0"/>
        <v>172.28571428571428</v>
      </c>
      <c r="P30" s="15">
        <f t="shared" si="1"/>
        <v>277.85714285714283</v>
      </c>
      <c r="R30" s="1" t="s">
        <v>154</v>
      </c>
      <c r="S30" s="34">
        <f>SUM(C87:C90)</f>
        <v>31</v>
      </c>
      <c r="T30" s="34">
        <f t="shared" ref="T30:AF30" si="21">SUM(D87:D90)</f>
        <v>2.5</v>
      </c>
      <c r="U30" s="34">
        <f t="shared" si="21"/>
        <v>5.5</v>
      </c>
      <c r="V30" s="34">
        <f t="shared" si="21"/>
        <v>4.5</v>
      </c>
      <c r="W30" s="34">
        <f t="shared" si="21"/>
        <v>0</v>
      </c>
      <c r="X30" s="34">
        <f t="shared" si="21"/>
        <v>0.5</v>
      </c>
      <c r="Y30" s="34">
        <f t="shared" si="21"/>
        <v>9</v>
      </c>
      <c r="Z30" s="34">
        <f t="shared" si="21"/>
        <v>22</v>
      </c>
      <c r="AA30" s="34">
        <f t="shared" si="21"/>
        <v>3.5</v>
      </c>
      <c r="AB30" s="34">
        <f t="shared" si="21"/>
        <v>5</v>
      </c>
      <c r="AC30" s="34">
        <f t="shared" si="21"/>
        <v>49.5</v>
      </c>
      <c r="AD30" s="34">
        <f t="shared" si="21"/>
        <v>0</v>
      </c>
      <c r="AE30" s="31">
        <f t="shared" si="21"/>
        <v>83.5</v>
      </c>
      <c r="AF30" s="31">
        <f t="shared" si="21"/>
        <v>133</v>
      </c>
    </row>
    <row r="31" spans="2:32" ht="23.1" customHeight="1" x14ac:dyDescent="0.25">
      <c r="B31" s="24" t="s">
        <v>58</v>
      </c>
      <c r="C31" s="49">
        <f>AVERAGE('22.07 Masanafu-Busega'!C31,'23.07 Masanafu-Busega'!C31,'24.07 Masanafu-Busega'!C31,'25.07 Masanafu-Busega'!C31,'26.07 Masanafu-Busega-24h'!C31,'27.07 Busega-Masanafu-24h'!C31,'28.07 Masanafu-Busega'!C31)</f>
        <v>93.714285714285708</v>
      </c>
      <c r="D31" s="49">
        <f>AVERAGE('22.07 Masanafu-Busega'!D31,'23.07 Masanafu-Busega'!D31,'24.07 Masanafu-Busega'!D31,'25.07 Masanafu-Busega'!D31,'26.07 Masanafu-Busega-24h'!D31,'27.07 Busega-Masanafu-24h'!D31,'28.07 Masanafu-Busega'!D31)</f>
        <v>11.714285714285714</v>
      </c>
      <c r="E31" s="49">
        <f>AVERAGE('22.07 Masanafu-Busega'!E31,'23.07 Masanafu-Busega'!E31,'24.07 Masanafu-Busega'!E31,'25.07 Masanafu-Busega'!E31,'26.07 Masanafu-Busega-24h'!E31,'27.07 Busega-Masanafu-24h'!E31,'28.07 Masanafu-Busega'!E31)</f>
        <v>9.7142857142857135</v>
      </c>
      <c r="F31" s="49">
        <f>AVERAGE('22.07 Masanafu-Busega'!F31,'23.07 Masanafu-Busega'!F31,'24.07 Masanafu-Busega'!F31,'25.07 Masanafu-Busega'!F31,'26.07 Masanafu-Busega-24h'!F31,'27.07 Busega-Masanafu-24h'!F31,'28.07 Masanafu-Busega'!F31)</f>
        <v>46.142857142857146</v>
      </c>
      <c r="G31" s="49">
        <f>AVERAGE('22.07 Masanafu-Busega'!G31,'23.07 Masanafu-Busega'!G31,'24.07 Masanafu-Busega'!G31,'25.07 Masanafu-Busega'!G31,'26.07 Masanafu-Busega-24h'!G31,'27.07 Busega-Masanafu-24h'!G31,'28.07 Masanafu-Busega'!G31)</f>
        <v>1.4285714285714286</v>
      </c>
      <c r="H31" s="49">
        <f>AVERAGE('22.07 Masanafu-Busega'!H31,'23.07 Masanafu-Busega'!H31,'24.07 Masanafu-Busega'!H31,'25.07 Masanafu-Busega'!H31,'26.07 Masanafu-Busega-24h'!H31,'27.07 Busega-Masanafu-24h'!H31,'28.07 Masanafu-Busega'!H31)</f>
        <v>0.14285714285714285</v>
      </c>
      <c r="I31" s="49">
        <f>AVERAGE('22.07 Masanafu-Busega'!I31,'23.07 Masanafu-Busega'!I31,'24.07 Masanafu-Busega'!I31,'25.07 Masanafu-Busega'!I31,'26.07 Masanafu-Busega-24h'!I31,'27.07 Busega-Masanafu-24h'!I31,'28.07 Masanafu-Busega'!I31)</f>
        <v>14.285714285714286</v>
      </c>
      <c r="J31" s="49">
        <f>AVERAGE('22.07 Masanafu-Busega'!J31,'23.07 Masanafu-Busega'!J31,'24.07 Masanafu-Busega'!J31,'25.07 Masanafu-Busega'!J31,'26.07 Masanafu-Busega-24h'!J31,'27.07 Busega-Masanafu-24h'!J31,'28.07 Masanafu-Busega'!J31)</f>
        <v>7.7142857142857144</v>
      </c>
      <c r="K31" s="49">
        <f>AVERAGE('22.07 Masanafu-Busega'!K31,'23.07 Masanafu-Busega'!K31,'24.07 Masanafu-Busega'!K31,'25.07 Masanafu-Busega'!K31,'26.07 Masanafu-Busega-24h'!K31,'27.07 Busega-Masanafu-24h'!K31,'28.07 Masanafu-Busega'!K31)</f>
        <v>4.4285714285714288</v>
      </c>
      <c r="L31" s="49">
        <f>AVERAGE('22.07 Masanafu-Busega'!L31,'23.07 Masanafu-Busega'!L31,'24.07 Masanafu-Busega'!L31,'25.07 Masanafu-Busega'!L31,'26.07 Masanafu-Busega-24h'!L31,'27.07 Busega-Masanafu-24h'!L31,'28.07 Masanafu-Busega'!L31)</f>
        <v>5</v>
      </c>
      <c r="M31" s="49">
        <f>AVERAGE('22.07 Masanafu-Busega'!M31,'23.07 Masanafu-Busega'!M31,'24.07 Masanafu-Busega'!M31,'25.07 Masanafu-Busega'!M31,'26.07 Masanafu-Busega-24h'!M31,'27.07 Busega-Masanafu-24h'!M31,'28.07 Masanafu-Busega'!M31)</f>
        <v>99.142857142857139</v>
      </c>
      <c r="N31" s="49">
        <f>AVERAGE('22.07 Masanafu-Busega'!N31,'23.07 Masanafu-Busega'!N31,'24.07 Masanafu-Busega'!N31,'25.07 Masanafu-Busega'!N31,'26.07 Masanafu-Busega-24h'!N31,'27.07 Masanafu-Busega-24h'!N31,'28.07 Masanafu-Busega'!N31)</f>
        <v>0</v>
      </c>
      <c r="O31" s="15">
        <f t="shared" si="0"/>
        <v>194.28571428571425</v>
      </c>
      <c r="P31" s="15">
        <f t="shared" si="1"/>
        <v>293.42857142857139</v>
      </c>
      <c r="R31" s="1" t="s">
        <v>155</v>
      </c>
      <c r="S31" s="34">
        <f>SUM(C91:C94)</f>
        <v>31.5</v>
      </c>
      <c r="T31" s="34">
        <f t="shared" ref="T31:AF31" si="22">SUM(D91:D94)</f>
        <v>7.5</v>
      </c>
      <c r="U31" s="34">
        <f t="shared" si="22"/>
        <v>7.5</v>
      </c>
      <c r="V31" s="34">
        <f t="shared" si="22"/>
        <v>3.5</v>
      </c>
      <c r="W31" s="34">
        <f t="shared" si="22"/>
        <v>0</v>
      </c>
      <c r="X31" s="34">
        <f t="shared" si="22"/>
        <v>0</v>
      </c>
      <c r="Y31" s="34">
        <f t="shared" si="22"/>
        <v>9.5</v>
      </c>
      <c r="Z31" s="34">
        <f t="shared" si="22"/>
        <v>13</v>
      </c>
      <c r="AA31" s="34">
        <f t="shared" si="22"/>
        <v>7</v>
      </c>
      <c r="AB31" s="34">
        <f t="shared" si="22"/>
        <v>8</v>
      </c>
      <c r="AC31" s="34">
        <f t="shared" si="22"/>
        <v>29.5</v>
      </c>
      <c r="AD31" s="34">
        <f t="shared" si="22"/>
        <v>0</v>
      </c>
      <c r="AE31" s="31">
        <f t="shared" si="22"/>
        <v>87.5</v>
      </c>
      <c r="AF31" s="31">
        <f t="shared" si="22"/>
        <v>117</v>
      </c>
    </row>
    <row r="32" spans="2:32" ht="23.1" customHeight="1" x14ac:dyDescent="0.25">
      <c r="B32" s="24" t="s">
        <v>59</v>
      </c>
      <c r="C32" s="49">
        <f>AVERAGE('22.07 Masanafu-Busega'!C32,'23.07 Masanafu-Busega'!C32,'24.07 Masanafu-Busega'!C32,'25.07 Masanafu-Busega'!C32,'26.07 Masanafu-Busega-24h'!C32,'27.07 Busega-Masanafu-24h'!C32,'28.07 Masanafu-Busega'!C32)</f>
        <v>109.14285714285714</v>
      </c>
      <c r="D32" s="49">
        <f>AVERAGE('22.07 Masanafu-Busega'!D32,'23.07 Masanafu-Busega'!D32,'24.07 Masanafu-Busega'!D32,'25.07 Masanafu-Busega'!D32,'26.07 Masanafu-Busega-24h'!D32,'27.07 Busega-Masanafu-24h'!D32,'28.07 Masanafu-Busega'!D32)</f>
        <v>13.428571428571429</v>
      </c>
      <c r="E32" s="49">
        <f>AVERAGE('22.07 Masanafu-Busega'!E32,'23.07 Masanafu-Busega'!E32,'24.07 Masanafu-Busega'!E32,'25.07 Masanafu-Busega'!E32,'26.07 Masanafu-Busega-24h'!E32,'27.07 Busega-Masanafu-24h'!E32,'28.07 Masanafu-Busega'!E32)</f>
        <v>11.428571428571429</v>
      </c>
      <c r="F32" s="49">
        <f>AVERAGE('22.07 Masanafu-Busega'!F32,'23.07 Masanafu-Busega'!F32,'24.07 Masanafu-Busega'!F32,'25.07 Masanafu-Busega'!F32,'26.07 Masanafu-Busega-24h'!F32,'27.07 Busega-Masanafu-24h'!F32,'28.07 Masanafu-Busega'!F32)</f>
        <v>48.571428571428569</v>
      </c>
      <c r="G32" s="49">
        <f>AVERAGE('22.07 Masanafu-Busega'!G32,'23.07 Masanafu-Busega'!G32,'24.07 Masanafu-Busega'!G32,'25.07 Masanafu-Busega'!G32,'26.07 Masanafu-Busega-24h'!G32,'27.07 Busega-Masanafu-24h'!G32,'28.07 Masanafu-Busega'!G32)</f>
        <v>3</v>
      </c>
      <c r="H32" s="49">
        <f>AVERAGE('22.07 Masanafu-Busega'!H32,'23.07 Masanafu-Busega'!H32,'24.07 Masanafu-Busega'!H32,'25.07 Masanafu-Busega'!H32,'26.07 Masanafu-Busega-24h'!H32,'27.07 Busega-Masanafu-24h'!H32,'28.07 Masanafu-Busega'!H32)</f>
        <v>1.1428571428571428</v>
      </c>
      <c r="I32" s="49">
        <f>AVERAGE('22.07 Masanafu-Busega'!I32,'23.07 Masanafu-Busega'!I32,'24.07 Masanafu-Busega'!I32,'25.07 Masanafu-Busega'!I32,'26.07 Masanafu-Busega-24h'!I32,'27.07 Busega-Masanafu-24h'!I32,'28.07 Masanafu-Busega'!I32)</f>
        <v>16.142857142857142</v>
      </c>
      <c r="J32" s="49">
        <f>AVERAGE('22.07 Masanafu-Busega'!J32,'23.07 Masanafu-Busega'!J32,'24.07 Masanafu-Busega'!J32,'25.07 Masanafu-Busega'!J32,'26.07 Masanafu-Busega-24h'!J32,'27.07 Busega-Masanafu-24h'!J32,'28.07 Masanafu-Busega'!J32)</f>
        <v>7.4285714285714288</v>
      </c>
      <c r="K32" s="49">
        <f>AVERAGE('22.07 Masanafu-Busega'!K32,'23.07 Masanafu-Busega'!K32,'24.07 Masanafu-Busega'!K32,'25.07 Masanafu-Busega'!K32,'26.07 Masanafu-Busega-24h'!K32,'27.07 Busega-Masanafu-24h'!K32,'28.07 Masanafu-Busega'!K32)</f>
        <v>3.5714285714285716</v>
      </c>
      <c r="L32" s="49">
        <f>AVERAGE('22.07 Masanafu-Busega'!L32,'23.07 Masanafu-Busega'!L32,'24.07 Masanafu-Busega'!L32,'25.07 Masanafu-Busega'!L32,'26.07 Masanafu-Busega-24h'!L32,'27.07 Busega-Masanafu-24h'!L32,'28.07 Masanafu-Busega'!L32)</f>
        <v>7.5714285714285712</v>
      </c>
      <c r="M32" s="49">
        <f>AVERAGE('22.07 Masanafu-Busega'!M32,'23.07 Masanafu-Busega'!M32,'24.07 Masanafu-Busega'!M32,'25.07 Masanafu-Busega'!M32,'26.07 Masanafu-Busega-24h'!M32,'27.07 Busega-Masanafu-24h'!M32,'28.07 Masanafu-Busega'!M32)</f>
        <v>96.285714285714292</v>
      </c>
      <c r="N32" s="49">
        <f>AVERAGE('22.07 Masanafu-Busega'!N32,'23.07 Masanafu-Busega'!N32,'24.07 Masanafu-Busega'!N32,'25.07 Masanafu-Busega'!N32,'26.07 Masanafu-Busega-24h'!N32,'27.07 Masanafu-Busega-24h'!N32,'28.07 Masanafu-Busega'!N32)</f>
        <v>0</v>
      </c>
      <c r="O32" s="15">
        <f t="shared" si="0"/>
        <v>221.42857142857142</v>
      </c>
      <c r="P32" s="15">
        <f t="shared" si="1"/>
        <v>317.71428571428572</v>
      </c>
      <c r="R32" s="1" t="s">
        <v>156</v>
      </c>
      <c r="S32" s="34">
        <f>SUM(C95:C98)</f>
        <v>53.5</v>
      </c>
      <c r="T32" s="34">
        <f t="shared" ref="T32:AF32" si="23">SUM(D95:D98)</f>
        <v>17</v>
      </c>
      <c r="U32" s="34">
        <f t="shared" si="23"/>
        <v>10.5</v>
      </c>
      <c r="V32" s="34">
        <f t="shared" si="23"/>
        <v>12</v>
      </c>
      <c r="W32" s="34">
        <f t="shared" si="23"/>
        <v>0.5</v>
      </c>
      <c r="X32" s="34">
        <f t="shared" si="23"/>
        <v>1</v>
      </c>
      <c r="Y32" s="34">
        <f t="shared" si="23"/>
        <v>8.5</v>
      </c>
      <c r="Z32" s="34">
        <f t="shared" si="23"/>
        <v>18.5</v>
      </c>
      <c r="AA32" s="34">
        <f t="shared" si="23"/>
        <v>7.5</v>
      </c>
      <c r="AB32" s="34">
        <f t="shared" si="23"/>
        <v>8.5</v>
      </c>
      <c r="AC32" s="34">
        <f t="shared" si="23"/>
        <v>62.5</v>
      </c>
      <c r="AD32" s="34">
        <f t="shared" si="23"/>
        <v>0</v>
      </c>
      <c r="AE32" s="31">
        <f t="shared" si="23"/>
        <v>137.5</v>
      </c>
      <c r="AF32" s="31">
        <f t="shared" si="23"/>
        <v>200</v>
      </c>
    </row>
    <row r="33" spans="2:32" ht="23.1" customHeight="1" x14ac:dyDescent="0.25">
      <c r="B33" s="23" t="s">
        <v>60</v>
      </c>
      <c r="C33" s="49">
        <f>AVERAGE('22.07 Masanafu-Busega'!C33,'23.07 Masanafu-Busega'!C33,'24.07 Masanafu-Busega'!C33,'25.07 Masanafu-Busega'!C33,'26.07 Masanafu-Busega-24h'!C33,'27.07 Busega-Masanafu-24h'!C33,'28.07 Masanafu-Busega'!C33)</f>
        <v>99.571428571428569</v>
      </c>
      <c r="D33" s="49">
        <f>AVERAGE('22.07 Masanafu-Busega'!D33,'23.07 Masanafu-Busega'!D33,'24.07 Masanafu-Busega'!D33,'25.07 Masanafu-Busega'!D33,'26.07 Masanafu-Busega-24h'!D33,'27.07 Busega-Masanafu-24h'!D33,'28.07 Masanafu-Busega'!D33)</f>
        <v>14.285714285714286</v>
      </c>
      <c r="E33" s="49">
        <f>AVERAGE('22.07 Masanafu-Busega'!E33,'23.07 Masanafu-Busega'!E33,'24.07 Masanafu-Busega'!E33,'25.07 Masanafu-Busega'!E33,'26.07 Masanafu-Busega-24h'!E33,'27.07 Busega-Masanafu-24h'!E33,'28.07 Masanafu-Busega'!E33)</f>
        <v>11.571428571428571</v>
      </c>
      <c r="F33" s="49">
        <f>AVERAGE('22.07 Masanafu-Busega'!F33,'23.07 Masanafu-Busega'!F33,'24.07 Masanafu-Busega'!F33,'25.07 Masanafu-Busega'!F33,'26.07 Masanafu-Busega-24h'!F33,'27.07 Busega-Masanafu-24h'!F33,'28.07 Masanafu-Busega'!F33)</f>
        <v>43.714285714285715</v>
      </c>
      <c r="G33" s="49">
        <f>AVERAGE('22.07 Masanafu-Busega'!G33,'23.07 Masanafu-Busega'!G33,'24.07 Masanafu-Busega'!G33,'25.07 Masanafu-Busega'!G33,'26.07 Masanafu-Busega-24h'!G33,'27.07 Busega-Masanafu-24h'!G33,'28.07 Masanafu-Busega'!G33)</f>
        <v>3</v>
      </c>
      <c r="H33" s="49">
        <f>AVERAGE('22.07 Masanafu-Busega'!H33,'23.07 Masanafu-Busega'!H33,'24.07 Masanafu-Busega'!H33,'25.07 Masanafu-Busega'!H33,'26.07 Masanafu-Busega-24h'!H33,'27.07 Busega-Masanafu-24h'!H33,'28.07 Masanafu-Busega'!H33)</f>
        <v>0.42857142857142855</v>
      </c>
      <c r="I33" s="49">
        <f>AVERAGE('22.07 Masanafu-Busega'!I33,'23.07 Masanafu-Busega'!I33,'24.07 Masanafu-Busega'!I33,'25.07 Masanafu-Busega'!I33,'26.07 Masanafu-Busega-24h'!I33,'27.07 Busega-Masanafu-24h'!I33,'28.07 Masanafu-Busega'!I33)</f>
        <v>17.571428571428573</v>
      </c>
      <c r="J33" s="49">
        <f>AVERAGE('22.07 Masanafu-Busega'!J33,'23.07 Masanafu-Busega'!J33,'24.07 Masanafu-Busega'!J33,'25.07 Masanafu-Busega'!J33,'26.07 Masanafu-Busega-24h'!J33,'27.07 Busega-Masanafu-24h'!J33,'28.07 Masanafu-Busega'!J33)</f>
        <v>10.571428571428571</v>
      </c>
      <c r="K33" s="49">
        <f>AVERAGE('22.07 Masanafu-Busega'!K33,'23.07 Masanafu-Busega'!K33,'24.07 Masanafu-Busega'!K33,'25.07 Masanafu-Busega'!K33,'26.07 Masanafu-Busega-24h'!K33,'27.07 Busega-Masanafu-24h'!K33,'28.07 Masanafu-Busega'!K33)</f>
        <v>4</v>
      </c>
      <c r="L33" s="49">
        <f>AVERAGE('22.07 Masanafu-Busega'!L33,'23.07 Masanafu-Busega'!L33,'24.07 Masanafu-Busega'!L33,'25.07 Masanafu-Busega'!L33,'26.07 Masanafu-Busega-24h'!L33,'27.07 Busega-Masanafu-24h'!L33,'28.07 Masanafu-Busega'!L33)</f>
        <v>5.4285714285714288</v>
      </c>
      <c r="M33" s="49">
        <f>AVERAGE('22.07 Masanafu-Busega'!M33,'23.07 Masanafu-Busega'!M33,'24.07 Masanafu-Busega'!M33,'25.07 Masanafu-Busega'!M33,'26.07 Masanafu-Busega-24h'!M33,'27.07 Busega-Masanafu-24h'!M33,'28.07 Masanafu-Busega'!M33)</f>
        <v>98.285714285714292</v>
      </c>
      <c r="N33" s="49">
        <f>AVERAGE('22.07 Masanafu-Busega'!N33,'23.07 Masanafu-Busega'!N33,'24.07 Masanafu-Busega'!N33,'25.07 Masanafu-Busega'!N33,'26.07 Masanafu-Busega-24h'!N33,'27.07 Masanafu-Busega-24h'!N33,'28.07 Masanafu-Busega'!N33)</f>
        <v>0</v>
      </c>
      <c r="O33" s="15">
        <f t="shared" si="0"/>
        <v>210.14285714285714</v>
      </c>
      <c r="P33" s="15">
        <f t="shared" si="1"/>
        <v>308.42857142857144</v>
      </c>
      <c r="R33" s="1" t="s">
        <v>157</v>
      </c>
      <c r="S33" s="34">
        <f>SUM(C99:C102)</f>
        <v>76</v>
      </c>
      <c r="T33" s="34">
        <f t="shared" ref="T33:AF33" si="24">SUM(D99:D102)</f>
        <v>18</v>
      </c>
      <c r="U33" s="34">
        <f t="shared" si="24"/>
        <v>24</v>
      </c>
      <c r="V33" s="34">
        <f t="shared" si="24"/>
        <v>42.5</v>
      </c>
      <c r="W33" s="34">
        <f t="shared" si="24"/>
        <v>4</v>
      </c>
      <c r="X33" s="34">
        <f t="shared" si="24"/>
        <v>0.5</v>
      </c>
      <c r="Y33" s="34">
        <f t="shared" si="24"/>
        <v>23</v>
      </c>
      <c r="Z33" s="34">
        <f t="shared" si="24"/>
        <v>18</v>
      </c>
      <c r="AA33" s="34">
        <f t="shared" si="24"/>
        <v>6.5</v>
      </c>
      <c r="AB33" s="34">
        <f t="shared" si="24"/>
        <v>14</v>
      </c>
      <c r="AC33" s="34">
        <f t="shared" si="24"/>
        <v>95.5</v>
      </c>
      <c r="AD33" s="34">
        <f t="shared" si="24"/>
        <v>0</v>
      </c>
      <c r="AE33" s="31">
        <f t="shared" si="24"/>
        <v>226.5</v>
      </c>
      <c r="AF33" s="31">
        <f t="shared" si="24"/>
        <v>322</v>
      </c>
    </row>
    <row r="34" spans="2:32" ht="23.1" customHeight="1" x14ac:dyDescent="0.25">
      <c r="B34" s="24" t="s">
        <v>61</v>
      </c>
      <c r="C34" s="49">
        <f>AVERAGE('22.07 Masanafu-Busega'!C34,'23.07 Masanafu-Busega'!C34,'24.07 Masanafu-Busega'!C34,'25.07 Masanafu-Busega'!C34,'26.07 Masanafu-Busega-24h'!C34,'27.07 Busega-Masanafu-24h'!C34,'28.07 Masanafu-Busega'!C34)</f>
        <v>90.714285714285708</v>
      </c>
      <c r="D34" s="49">
        <f>AVERAGE('22.07 Masanafu-Busega'!D34,'23.07 Masanafu-Busega'!D34,'24.07 Masanafu-Busega'!D34,'25.07 Masanafu-Busega'!D34,'26.07 Masanafu-Busega-24h'!D34,'27.07 Busega-Masanafu-24h'!D34,'28.07 Masanafu-Busega'!D34)</f>
        <v>10.714285714285714</v>
      </c>
      <c r="E34" s="49">
        <f>AVERAGE('22.07 Masanafu-Busega'!E34,'23.07 Masanafu-Busega'!E34,'24.07 Masanafu-Busega'!E34,'25.07 Masanafu-Busega'!E34,'26.07 Masanafu-Busega-24h'!E34,'27.07 Busega-Masanafu-24h'!E34,'28.07 Masanafu-Busega'!E34)</f>
        <v>10.142857142857142</v>
      </c>
      <c r="F34" s="49">
        <f>AVERAGE('22.07 Masanafu-Busega'!F34,'23.07 Masanafu-Busega'!F34,'24.07 Masanafu-Busega'!F34,'25.07 Masanafu-Busega'!F34,'26.07 Masanafu-Busega-24h'!F34,'27.07 Busega-Masanafu-24h'!F34,'28.07 Masanafu-Busega'!F34)</f>
        <v>37.857142857142854</v>
      </c>
      <c r="G34" s="49">
        <f>AVERAGE('22.07 Masanafu-Busega'!G34,'23.07 Masanafu-Busega'!G34,'24.07 Masanafu-Busega'!G34,'25.07 Masanafu-Busega'!G34,'26.07 Masanafu-Busega-24h'!G34,'27.07 Busega-Masanafu-24h'!G34,'28.07 Masanafu-Busega'!G34)</f>
        <v>2.7142857142857144</v>
      </c>
      <c r="H34" s="49">
        <f>AVERAGE('22.07 Masanafu-Busega'!H34,'23.07 Masanafu-Busega'!H34,'24.07 Masanafu-Busega'!H34,'25.07 Masanafu-Busega'!H34,'26.07 Masanafu-Busega-24h'!H34,'27.07 Busega-Masanafu-24h'!H34,'28.07 Masanafu-Busega'!H34)</f>
        <v>0.42857142857142855</v>
      </c>
      <c r="I34" s="49">
        <f>AVERAGE('22.07 Masanafu-Busega'!I34,'23.07 Masanafu-Busega'!I34,'24.07 Masanafu-Busega'!I34,'25.07 Masanafu-Busega'!I34,'26.07 Masanafu-Busega-24h'!I34,'27.07 Busega-Masanafu-24h'!I34,'28.07 Masanafu-Busega'!I34)</f>
        <v>15</v>
      </c>
      <c r="J34" s="49">
        <f>AVERAGE('22.07 Masanafu-Busega'!J34,'23.07 Masanafu-Busega'!J34,'24.07 Masanafu-Busega'!J34,'25.07 Masanafu-Busega'!J34,'26.07 Masanafu-Busega-24h'!J34,'27.07 Busega-Masanafu-24h'!J34,'28.07 Masanafu-Busega'!J34)</f>
        <v>9.7142857142857135</v>
      </c>
      <c r="K34" s="49">
        <f>AVERAGE('22.07 Masanafu-Busega'!K34,'23.07 Masanafu-Busega'!K34,'24.07 Masanafu-Busega'!K34,'25.07 Masanafu-Busega'!K34,'26.07 Masanafu-Busega-24h'!K34,'27.07 Busega-Masanafu-24h'!K34,'28.07 Masanafu-Busega'!K34)</f>
        <v>4.4285714285714288</v>
      </c>
      <c r="L34" s="49">
        <f>AVERAGE('22.07 Masanafu-Busega'!L34,'23.07 Masanafu-Busega'!L34,'24.07 Masanafu-Busega'!L34,'25.07 Masanafu-Busega'!L34,'26.07 Masanafu-Busega-24h'!L34,'27.07 Busega-Masanafu-24h'!L34,'28.07 Masanafu-Busega'!L34)</f>
        <v>5.1428571428571432</v>
      </c>
      <c r="M34" s="49">
        <f>AVERAGE('22.07 Masanafu-Busega'!M34,'23.07 Masanafu-Busega'!M34,'24.07 Masanafu-Busega'!M34,'25.07 Masanafu-Busega'!M34,'26.07 Masanafu-Busega-24h'!M34,'27.07 Busega-Masanafu-24h'!M34,'28.07 Masanafu-Busega'!M34)</f>
        <v>102.85714285714286</v>
      </c>
      <c r="N34" s="49">
        <f>AVERAGE('22.07 Masanafu-Busega'!N34,'23.07 Masanafu-Busega'!N34,'24.07 Masanafu-Busega'!N34,'25.07 Masanafu-Busega'!N34,'26.07 Masanafu-Busega-24h'!N34,'27.07 Masanafu-Busega-24h'!N34,'28.07 Masanafu-Busega'!N34)</f>
        <v>0</v>
      </c>
      <c r="O34" s="15">
        <f t="shared" si="0"/>
        <v>186.85714285714283</v>
      </c>
      <c r="P34" s="15">
        <f t="shared" si="1"/>
        <v>289.71428571428567</v>
      </c>
      <c r="R34" s="38" t="s">
        <v>90</v>
      </c>
      <c r="S34" s="34">
        <f>SUM(C103:C106)</f>
        <v>5850.6428571428578</v>
      </c>
      <c r="T34" s="34">
        <f t="shared" ref="T34:AF34" si="25">SUM(D103:D106)</f>
        <v>826.07142857142844</v>
      </c>
      <c r="U34" s="34">
        <f t="shared" si="25"/>
        <v>788.07142857142844</v>
      </c>
      <c r="V34" s="34">
        <f t="shared" si="25"/>
        <v>2474.0714285714284</v>
      </c>
      <c r="W34" s="34">
        <f t="shared" si="25"/>
        <v>130.35714285714286</v>
      </c>
      <c r="X34" s="34">
        <f t="shared" si="25"/>
        <v>46.285714285714285</v>
      </c>
      <c r="Y34" s="34">
        <f t="shared" si="25"/>
        <v>933.92857142857122</v>
      </c>
      <c r="Z34" s="34">
        <f t="shared" si="25"/>
        <v>616</v>
      </c>
      <c r="AA34" s="34">
        <f t="shared" si="25"/>
        <v>282.85714285714283</v>
      </c>
      <c r="AB34" s="34">
        <f t="shared" si="25"/>
        <v>372.35714285714283</v>
      </c>
      <c r="AC34" s="34">
        <f t="shared" si="25"/>
        <v>7575.857142857144</v>
      </c>
      <c r="AD34" s="34">
        <f t="shared" si="25"/>
        <v>0.2857142857142857</v>
      </c>
      <c r="AE34" s="31">
        <f t="shared" si="25"/>
        <v>12320.928571428571</v>
      </c>
      <c r="AF34" s="31">
        <f t="shared" si="25"/>
        <v>19896.785714285714</v>
      </c>
    </row>
    <row r="35" spans="2:32" ht="23.1" customHeight="1" x14ac:dyDescent="0.25">
      <c r="B35" s="24" t="s">
        <v>62</v>
      </c>
      <c r="C35" s="49">
        <f>AVERAGE('22.07 Masanafu-Busega'!C35,'23.07 Masanafu-Busega'!C35,'24.07 Masanafu-Busega'!C35,'25.07 Masanafu-Busega'!C35,'26.07 Masanafu-Busega-24h'!C35,'27.07 Busega-Masanafu-24h'!C35,'28.07 Masanafu-Busega'!C35)</f>
        <v>84.142857142857139</v>
      </c>
      <c r="D35" s="49">
        <f>AVERAGE('22.07 Masanafu-Busega'!D35,'23.07 Masanafu-Busega'!D35,'24.07 Masanafu-Busega'!D35,'25.07 Masanafu-Busega'!D35,'26.07 Masanafu-Busega-24h'!D35,'27.07 Busega-Masanafu-24h'!D35,'28.07 Masanafu-Busega'!D35)</f>
        <v>11</v>
      </c>
      <c r="E35" s="49">
        <f>AVERAGE('22.07 Masanafu-Busega'!E35,'23.07 Masanafu-Busega'!E35,'24.07 Masanafu-Busega'!E35,'25.07 Masanafu-Busega'!E35,'26.07 Masanafu-Busega-24h'!E35,'27.07 Busega-Masanafu-24h'!E35,'28.07 Masanafu-Busega'!E35)</f>
        <v>11.285714285714286</v>
      </c>
      <c r="F35" s="49">
        <f>AVERAGE('22.07 Masanafu-Busega'!F35,'23.07 Masanafu-Busega'!F35,'24.07 Masanafu-Busega'!F35,'25.07 Masanafu-Busega'!F35,'26.07 Masanafu-Busega-24h'!F35,'27.07 Busega-Masanafu-24h'!F35,'28.07 Masanafu-Busega'!F35)</f>
        <v>40.142857142857146</v>
      </c>
      <c r="G35" s="49">
        <f>AVERAGE('22.07 Masanafu-Busega'!G35,'23.07 Masanafu-Busega'!G35,'24.07 Masanafu-Busega'!G35,'25.07 Masanafu-Busega'!G35,'26.07 Masanafu-Busega-24h'!G35,'27.07 Busega-Masanafu-24h'!G35,'28.07 Masanafu-Busega'!G35)</f>
        <v>2.1428571428571428</v>
      </c>
      <c r="H35" s="49">
        <f>AVERAGE('22.07 Masanafu-Busega'!H35,'23.07 Masanafu-Busega'!H35,'24.07 Masanafu-Busega'!H35,'25.07 Masanafu-Busega'!H35,'26.07 Masanafu-Busega-24h'!H35,'27.07 Busega-Masanafu-24h'!H35,'28.07 Masanafu-Busega'!H35)</f>
        <v>0.2857142857142857</v>
      </c>
      <c r="I35" s="49">
        <f>AVERAGE('22.07 Masanafu-Busega'!I35,'23.07 Masanafu-Busega'!I35,'24.07 Masanafu-Busega'!I35,'25.07 Masanafu-Busega'!I35,'26.07 Masanafu-Busega-24h'!I35,'27.07 Busega-Masanafu-24h'!I35,'28.07 Masanafu-Busega'!I35)</f>
        <v>16.428571428571427</v>
      </c>
      <c r="J35" s="49">
        <f>AVERAGE('22.07 Masanafu-Busega'!J35,'23.07 Masanafu-Busega'!J35,'24.07 Masanafu-Busega'!J35,'25.07 Masanafu-Busega'!J35,'26.07 Masanafu-Busega-24h'!J35,'27.07 Busega-Masanafu-24h'!J35,'28.07 Masanafu-Busega'!J35)</f>
        <v>7.2857142857142856</v>
      </c>
      <c r="K35" s="49">
        <f>AVERAGE('22.07 Masanafu-Busega'!K35,'23.07 Masanafu-Busega'!K35,'24.07 Masanafu-Busega'!K35,'25.07 Masanafu-Busega'!K35,'26.07 Masanafu-Busega-24h'!K35,'27.07 Busega-Masanafu-24h'!K35,'28.07 Masanafu-Busega'!K35)</f>
        <v>3.5714285714285716</v>
      </c>
      <c r="L35" s="49">
        <f>AVERAGE('22.07 Masanafu-Busega'!L35,'23.07 Masanafu-Busega'!L35,'24.07 Masanafu-Busega'!L35,'25.07 Masanafu-Busega'!L35,'26.07 Masanafu-Busega-24h'!L35,'27.07 Busega-Masanafu-24h'!L35,'28.07 Masanafu-Busega'!L35)</f>
        <v>5.4285714285714288</v>
      </c>
      <c r="M35" s="49">
        <f>AVERAGE('22.07 Masanafu-Busega'!M35,'23.07 Masanafu-Busega'!M35,'24.07 Masanafu-Busega'!M35,'25.07 Masanafu-Busega'!M35,'26.07 Masanafu-Busega-24h'!M35,'27.07 Busega-Masanafu-24h'!M35,'28.07 Masanafu-Busega'!M35)</f>
        <v>97.857142857142861</v>
      </c>
      <c r="N35" s="49">
        <f>AVERAGE('22.07 Masanafu-Busega'!N35,'23.07 Masanafu-Busega'!N35,'24.07 Masanafu-Busega'!N35,'25.07 Masanafu-Busega'!N35,'26.07 Masanafu-Busega-24h'!N35,'27.07 Masanafu-Busega-24h'!N35,'28.07 Masanafu-Busega'!N35)</f>
        <v>0</v>
      </c>
      <c r="O35" s="15">
        <f t="shared" si="0"/>
        <v>181.71428571428569</v>
      </c>
      <c r="P35" s="15">
        <f t="shared" si="1"/>
        <v>279.57142857142856</v>
      </c>
      <c r="R35" s="38" t="s">
        <v>91</v>
      </c>
      <c r="S35" s="39">
        <f t="shared" ref="S35:AF35" si="26">MAX(S13:S18)</f>
        <v>381.14285714285711</v>
      </c>
      <c r="T35" s="39">
        <f t="shared" si="26"/>
        <v>50.714285714285715</v>
      </c>
      <c r="U35" s="39">
        <f t="shared" si="26"/>
        <v>46.571428571428569</v>
      </c>
      <c r="V35" s="39">
        <f t="shared" si="26"/>
        <v>174</v>
      </c>
      <c r="W35" s="39">
        <f t="shared" si="26"/>
        <v>14.571428571428571</v>
      </c>
      <c r="X35" s="39">
        <f t="shared" si="26"/>
        <v>3.285714285714286</v>
      </c>
      <c r="Y35" s="39">
        <f t="shared" si="26"/>
        <v>70.571428571428569</v>
      </c>
      <c r="Z35" s="39">
        <f t="shared" si="26"/>
        <v>34.571428571428569</v>
      </c>
      <c r="AA35" s="39">
        <f t="shared" si="26"/>
        <v>21.142857142857146</v>
      </c>
      <c r="AB35" s="39">
        <f t="shared" si="26"/>
        <v>24.285714285714285</v>
      </c>
      <c r="AC35" s="39">
        <f t="shared" si="26"/>
        <v>452.85714285714289</v>
      </c>
      <c r="AD35" s="39">
        <f t="shared" si="26"/>
        <v>0.14285714285714285</v>
      </c>
      <c r="AE35" s="40">
        <f t="shared" si="26"/>
        <v>798.14285714285711</v>
      </c>
      <c r="AF35" s="40">
        <f t="shared" si="26"/>
        <v>1197.4285714285716</v>
      </c>
    </row>
    <row r="36" spans="2:32" ht="23.1" customHeight="1" x14ac:dyDescent="0.25">
      <c r="B36" s="24" t="s">
        <v>63</v>
      </c>
      <c r="C36" s="49">
        <f>AVERAGE('22.07 Masanafu-Busega'!C36,'23.07 Masanafu-Busega'!C36,'24.07 Masanafu-Busega'!C36,'25.07 Masanafu-Busega'!C36,'26.07 Masanafu-Busega-24h'!C36,'27.07 Busega-Masanafu-24h'!C36,'28.07 Masanafu-Busega'!C36)</f>
        <v>82.714285714285708</v>
      </c>
      <c r="D36" s="49">
        <f>AVERAGE('22.07 Masanafu-Busega'!D36,'23.07 Masanafu-Busega'!D36,'24.07 Masanafu-Busega'!D36,'25.07 Masanafu-Busega'!D36,'26.07 Masanafu-Busega-24h'!D36,'27.07 Busega-Masanafu-24h'!D36,'28.07 Masanafu-Busega'!D36)</f>
        <v>12.857142857142858</v>
      </c>
      <c r="E36" s="49">
        <f>AVERAGE('22.07 Masanafu-Busega'!E36,'23.07 Masanafu-Busega'!E36,'24.07 Masanafu-Busega'!E36,'25.07 Masanafu-Busega'!E36,'26.07 Masanafu-Busega-24h'!E36,'27.07 Busega-Masanafu-24h'!E36,'28.07 Masanafu-Busega'!E36)</f>
        <v>8.8571428571428577</v>
      </c>
      <c r="F36" s="49">
        <f>AVERAGE('22.07 Masanafu-Busega'!F36,'23.07 Masanafu-Busega'!F36,'24.07 Masanafu-Busega'!F36,'25.07 Masanafu-Busega'!F36,'26.07 Masanafu-Busega-24h'!F36,'27.07 Busega-Masanafu-24h'!F36,'28.07 Masanafu-Busega'!F36)</f>
        <v>35</v>
      </c>
      <c r="G36" s="49">
        <f>AVERAGE('22.07 Masanafu-Busega'!G36,'23.07 Masanafu-Busega'!G36,'24.07 Masanafu-Busega'!G36,'25.07 Masanafu-Busega'!G36,'26.07 Masanafu-Busega-24h'!G36,'27.07 Busega-Masanafu-24h'!G36,'28.07 Masanafu-Busega'!G36)</f>
        <v>1.5714285714285714</v>
      </c>
      <c r="H36" s="49">
        <f>AVERAGE('22.07 Masanafu-Busega'!H36,'23.07 Masanafu-Busega'!H36,'24.07 Masanafu-Busega'!H36,'25.07 Masanafu-Busega'!H36,'26.07 Masanafu-Busega-24h'!H36,'27.07 Busega-Masanafu-24h'!H36,'28.07 Masanafu-Busega'!H36)</f>
        <v>0.42857142857142855</v>
      </c>
      <c r="I36" s="49">
        <f>AVERAGE('22.07 Masanafu-Busega'!I36,'23.07 Masanafu-Busega'!I36,'24.07 Masanafu-Busega'!I36,'25.07 Masanafu-Busega'!I36,'26.07 Masanafu-Busega-24h'!I36,'27.07 Busega-Masanafu-24h'!I36,'28.07 Masanafu-Busega'!I36)</f>
        <v>14.714285714285714</v>
      </c>
      <c r="J36" s="49">
        <f>AVERAGE('22.07 Masanafu-Busega'!J36,'23.07 Masanafu-Busega'!J36,'24.07 Masanafu-Busega'!J36,'25.07 Masanafu-Busega'!J36,'26.07 Masanafu-Busega-24h'!J36,'27.07 Busega-Masanafu-24h'!J36,'28.07 Masanafu-Busega'!J36)</f>
        <v>9.7142857142857135</v>
      </c>
      <c r="K36" s="49">
        <f>AVERAGE('22.07 Masanafu-Busega'!K36,'23.07 Masanafu-Busega'!K36,'24.07 Masanafu-Busega'!K36,'25.07 Masanafu-Busega'!K36,'26.07 Masanafu-Busega-24h'!K36,'27.07 Busega-Masanafu-24h'!K36,'28.07 Masanafu-Busega'!K36)</f>
        <v>4.5714285714285712</v>
      </c>
      <c r="L36" s="49">
        <f>AVERAGE('22.07 Masanafu-Busega'!L36,'23.07 Masanafu-Busega'!L36,'24.07 Masanafu-Busega'!L36,'25.07 Masanafu-Busega'!L36,'26.07 Masanafu-Busega-24h'!L36,'27.07 Busega-Masanafu-24h'!L36,'28.07 Masanafu-Busega'!L36)</f>
        <v>6.5714285714285712</v>
      </c>
      <c r="M36" s="49">
        <f>AVERAGE('22.07 Masanafu-Busega'!M36,'23.07 Masanafu-Busega'!M36,'24.07 Masanafu-Busega'!M36,'25.07 Masanafu-Busega'!M36,'26.07 Masanafu-Busega-24h'!M36,'27.07 Busega-Masanafu-24h'!M36,'28.07 Masanafu-Busega'!M36)</f>
        <v>99.428571428571431</v>
      </c>
      <c r="N36" s="49">
        <f>AVERAGE('22.07 Masanafu-Busega'!N36,'23.07 Masanafu-Busega'!N36,'24.07 Masanafu-Busega'!N36,'25.07 Masanafu-Busega'!N36,'26.07 Masanafu-Busega-24h'!N36,'27.07 Masanafu-Busega-24h'!N36,'28.07 Masanafu-Busega'!N36)</f>
        <v>0</v>
      </c>
      <c r="O36" s="15">
        <f t="shared" si="0"/>
        <v>177.00000000000006</v>
      </c>
      <c r="P36" s="15">
        <f t="shared" si="1"/>
        <v>276.4285714285715</v>
      </c>
      <c r="R36" s="38" t="s">
        <v>92</v>
      </c>
      <c r="S36" s="39">
        <f t="shared" ref="S36:AF36" si="27">MAX(S19:S21)</f>
        <v>460.57142857142861</v>
      </c>
      <c r="T36" s="39">
        <f t="shared" si="27"/>
        <v>47.285714285714285</v>
      </c>
      <c r="U36" s="39">
        <f t="shared" si="27"/>
        <v>46.142857142857146</v>
      </c>
      <c r="V36" s="39">
        <f t="shared" si="27"/>
        <v>160.71428571428572</v>
      </c>
      <c r="W36" s="39">
        <f t="shared" si="27"/>
        <v>7.4285714285714279</v>
      </c>
      <c r="X36" s="39">
        <f t="shared" si="27"/>
        <v>3.4285714285714284</v>
      </c>
      <c r="Y36" s="39">
        <f t="shared" si="27"/>
        <v>70.142857142857139</v>
      </c>
      <c r="Z36" s="39">
        <f t="shared" si="27"/>
        <v>32.428571428571431</v>
      </c>
      <c r="AA36" s="39">
        <f t="shared" si="27"/>
        <v>17.428571428571431</v>
      </c>
      <c r="AB36" s="39">
        <f t="shared" si="27"/>
        <v>23</v>
      </c>
      <c r="AC36" s="39">
        <f t="shared" si="27"/>
        <v>492.85714285714289</v>
      </c>
      <c r="AD36" s="39">
        <f t="shared" si="27"/>
        <v>0</v>
      </c>
      <c r="AE36" s="40">
        <f t="shared" si="27"/>
        <v>824.42857142857144</v>
      </c>
      <c r="AF36" s="40">
        <f t="shared" si="27"/>
        <v>1317.2857142857144</v>
      </c>
    </row>
    <row r="37" spans="2:32" ht="23.1" customHeight="1" x14ac:dyDescent="0.25">
      <c r="B37" s="23" t="s">
        <v>64</v>
      </c>
      <c r="C37" s="49">
        <f>AVERAGE('22.07 Masanafu-Busega'!C37,'23.07 Masanafu-Busega'!C37,'24.07 Masanafu-Busega'!C37,'25.07 Masanafu-Busega'!C37,'26.07 Masanafu-Busega-24h'!C37,'27.07 Busega-Masanafu-24h'!C37,'28.07 Masanafu-Busega'!C37)</f>
        <v>82</v>
      </c>
      <c r="D37" s="49">
        <f>AVERAGE('22.07 Masanafu-Busega'!D37,'23.07 Masanafu-Busega'!D37,'24.07 Masanafu-Busega'!D37,'25.07 Masanafu-Busega'!D37,'26.07 Masanafu-Busega-24h'!D37,'27.07 Busega-Masanafu-24h'!D37,'28.07 Masanafu-Busega'!D37)</f>
        <v>10.571428571428571</v>
      </c>
      <c r="E37" s="49">
        <f>AVERAGE('22.07 Masanafu-Busega'!E37,'23.07 Masanafu-Busega'!E37,'24.07 Masanafu-Busega'!E37,'25.07 Masanafu-Busega'!E37,'26.07 Masanafu-Busega-24h'!E37,'27.07 Busega-Masanafu-24h'!E37,'28.07 Masanafu-Busega'!E37)</f>
        <v>8.7142857142857135</v>
      </c>
      <c r="F37" s="49">
        <f>AVERAGE('22.07 Masanafu-Busega'!F37,'23.07 Masanafu-Busega'!F37,'24.07 Masanafu-Busega'!F37,'25.07 Masanafu-Busega'!F37,'26.07 Masanafu-Busega-24h'!F37,'27.07 Busega-Masanafu-24h'!F37,'28.07 Masanafu-Busega'!F37)</f>
        <v>36.428571428571431</v>
      </c>
      <c r="G37" s="49">
        <f>AVERAGE('22.07 Masanafu-Busega'!G37,'23.07 Masanafu-Busega'!G37,'24.07 Masanafu-Busega'!G37,'25.07 Masanafu-Busega'!G37,'26.07 Masanafu-Busega-24h'!G37,'27.07 Busega-Masanafu-24h'!G37,'28.07 Masanafu-Busega'!G37)</f>
        <v>1.5714285714285714</v>
      </c>
      <c r="H37" s="49">
        <f>AVERAGE('22.07 Masanafu-Busega'!H37,'23.07 Masanafu-Busega'!H37,'24.07 Masanafu-Busega'!H37,'25.07 Masanafu-Busega'!H37,'26.07 Masanafu-Busega-24h'!H37,'27.07 Busega-Masanafu-24h'!H37,'28.07 Masanafu-Busega'!H37)</f>
        <v>0.8571428571428571</v>
      </c>
      <c r="I37" s="49">
        <f>AVERAGE('22.07 Masanafu-Busega'!I37,'23.07 Masanafu-Busega'!I37,'24.07 Masanafu-Busega'!I37,'25.07 Masanafu-Busega'!I37,'26.07 Masanafu-Busega-24h'!I37,'27.07 Busega-Masanafu-24h'!I37,'28.07 Masanafu-Busega'!I37)</f>
        <v>19.714285714285715</v>
      </c>
      <c r="J37" s="49">
        <f>AVERAGE('22.07 Masanafu-Busega'!J37,'23.07 Masanafu-Busega'!J37,'24.07 Masanafu-Busega'!J37,'25.07 Masanafu-Busega'!J37,'26.07 Masanafu-Busega-24h'!J37,'27.07 Busega-Masanafu-24h'!J37,'28.07 Masanafu-Busega'!J37)</f>
        <v>7.8571428571428568</v>
      </c>
      <c r="K37" s="49">
        <f>AVERAGE('22.07 Masanafu-Busega'!K37,'23.07 Masanafu-Busega'!K37,'24.07 Masanafu-Busega'!K37,'25.07 Masanafu-Busega'!K37,'26.07 Masanafu-Busega-24h'!K37,'27.07 Busega-Masanafu-24h'!K37,'28.07 Masanafu-Busega'!K37)</f>
        <v>4.5714285714285712</v>
      </c>
      <c r="L37" s="49">
        <f>AVERAGE('22.07 Masanafu-Busega'!L37,'23.07 Masanafu-Busega'!L37,'24.07 Masanafu-Busega'!L37,'25.07 Masanafu-Busega'!L37,'26.07 Masanafu-Busega-24h'!L37,'27.07 Busega-Masanafu-24h'!L37,'28.07 Masanafu-Busega'!L37)</f>
        <v>6.5714285714285712</v>
      </c>
      <c r="M37" s="49">
        <f>AVERAGE('22.07 Masanafu-Busega'!M37,'23.07 Masanafu-Busega'!M37,'24.07 Masanafu-Busega'!M37,'25.07 Masanafu-Busega'!M37,'26.07 Masanafu-Busega-24h'!M37,'27.07 Busega-Masanafu-24h'!M37,'28.07 Masanafu-Busega'!M37)</f>
        <v>81.428571428571431</v>
      </c>
      <c r="N37" s="49">
        <f>AVERAGE('22.07 Masanafu-Busega'!N37,'23.07 Masanafu-Busega'!N37,'24.07 Masanafu-Busega'!N37,'25.07 Masanafu-Busega'!N37,'26.07 Masanafu-Busega-24h'!N37,'27.07 Masanafu-Busega-24h'!N37,'28.07 Masanafu-Busega'!N37)</f>
        <v>0</v>
      </c>
      <c r="O37" s="15">
        <f t="shared" si="0"/>
        <v>178.85714285714292</v>
      </c>
      <c r="P37" s="15">
        <f t="shared" si="1"/>
        <v>260.28571428571433</v>
      </c>
      <c r="R37" s="37" t="s">
        <v>85</v>
      </c>
      <c r="S37" s="35">
        <f t="shared" ref="S37:AF37" si="28">SUM(S10:S12)</f>
        <v>802.57142857142856</v>
      </c>
      <c r="T37" s="16">
        <f t="shared" si="28"/>
        <v>108.57142857142858</v>
      </c>
      <c r="U37" s="16">
        <f t="shared" si="28"/>
        <v>108</v>
      </c>
      <c r="V37" s="16">
        <f t="shared" si="28"/>
        <v>414.99999999999994</v>
      </c>
      <c r="W37" s="16">
        <f t="shared" si="28"/>
        <v>25.857142857142858</v>
      </c>
      <c r="X37" s="16">
        <f t="shared" si="28"/>
        <v>5</v>
      </c>
      <c r="Y37" s="16">
        <f t="shared" si="28"/>
        <v>130.57142857142856</v>
      </c>
      <c r="Z37" s="16">
        <f t="shared" si="28"/>
        <v>67.428571428571431</v>
      </c>
      <c r="AA37" s="16">
        <f t="shared" si="28"/>
        <v>29.285714285714285</v>
      </c>
      <c r="AB37" s="16">
        <f t="shared" si="28"/>
        <v>36.714285714285715</v>
      </c>
      <c r="AC37" s="16">
        <f t="shared" si="28"/>
        <v>1392.8571428571429</v>
      </c>
      <c r="AD37" s="16">
        <f t="shared" si="28"/>
        <v>0</v>
      </c>
      <c r="AE37" s="32">
        <f t="shared" si="28"/>
        <v>1729</v>
      </c>
      <c r="AF37" s="32">
        <f t="shared" si="28"/>
        <v>3121.8571428571431</v>
      </c>
    </row>
    <row r="38" spans="2:32" ht="23.1" customHeight="1" x14ac:dyDescent="0.25">
      <c r="B38" s="24" t="s">
        <v>65</v>
      </c>
      <c r="C38" s="49">
        <f>AVERAGE('22.07 Masanafu-Busega'!C38,'23.07 Masanafu-Busega'!C38,'24.07 Masanafu-Busega'!C38,'25.07 Masanafu-Busega'!C38,'26.07 Masanafu-Busega-24h'!C38,'27.07 Busega-Masanafu-24h'!C38,'28.07 Masanafu-Busega'!C38)</f>
        <v>89.285714285714292</v>
      </c>
      <c r="D38" s="49">
        <f>AVERAGE('22.07 Masanafu-Busega'!D38,'23.07 Masanafu-Busega'!D38,'24.07 Masanafu-Busega'!D38,'25.07 Masanafu-Busega'!D38,'26.07 Masanafu-Busega-24h'!D38,'27.07 Busega-Masanafu-24h'!D38,'28.07 Masanafu-Busega'!D38)</f>
        <v>10.142857142857142</v>
      </c>
      <c r="E38" s="49">
        <f>AVERAGE('22.07 Masanafu-Busega'!E38,'23.07 Masanafu-Busega'!E38,'24.07 Masanafu-Busega'!E38,'25.07 Masanafu-Busega'!E38,'26.07 Masanafu-Busega-24h'!E38,'27.07 Busega-Masanafu-24h'!E38,'28.07 Masanafu-Busega'!E38)</f>
        <v>11.428571428571429</v>
      </c>
      <c r="F38" s="49">
        <f>AVERAGE('22.07 Masanafu-Busega'!F38,'23.07 Masanafu-Busega'!F38,'24.07 Masanafu-Busega'!F38,'25.07 Masanafu-Busega'!F38,'26.07 Masanafu-Busega-24h'!F38,'27.07 Busega-Masanafu-24h'!F38,'28.07 Masanafu-Busega'!F38)</f>
        <v>37.428571428571431</v>
      </c>
      <c r="G38" s="49">
        <f>AVERAGE('22.07 Masanafu-Busega'!G38,'23.07 Masanafu-Busega'!G38,'24.07 Masanafu-Busega'!G38,'25.07 Masanafu-Busega'!G38,'26.07 Masanafu-Busega-24h'!G38,'27.07 Busega-Masanafu-24h'!G38,'28.07 Masanafu-Busega'!G38)</f>
        <v>1</v>
      </c>
      <c r="H38" s="49">
        <f>AVERAGE('22.07 Masanafu-Busega'!H38,'23.07 Masanafu-Busega'!H38,'24.07 Masanafu-Busega'!H38,'25.07 Masanafu-Busega'!H38,'26.07 Masanafu-Busega-24h'!H38,'27.07 Busega-Masanafu-24h'!H38,'28.07 Masanafu-Busega'!H38)</f>
        <v>0.42857142857142855</v>
      </c>
      <c r="I38" s="49">
        <f>AVERAGE('22.07 Masanafu-Busega'!I38,'23.07 Masanafu-Busega'!I38,'24.07 Masanafu-Busega'!I38,'25.07 Masanafu-Busega'!I38,'26.07 Masanafu-Busega-24h'!I38,'27.07 Busega-Masanafu-24h'!I38,'28.07 Masanafu-Busega'!I38)</f>
        <v>19.285714285714285</v>
      </c>
      <c r="J38" s="49">
        <f>AVERAGE('22.07 Masanafu-Busega'!J38,'23.07 Masanafu-Busega'!J38,'24.07 Masanafu-Busega'!J38,'25.07 Masanafu-Busega'!J38,'26.07 Masanafu-Busega-24h'!J38,'27.07 Busega-Masanafu-24h'!J38,'28.07 Masanafu-Busega'!J38)</f>
        <v>7.4285714285714288</v>
      </c>
      <c r="K38" s="49">
        <f>AVERAGE('22.07 Masanafu-Busega'!K38,'23.07 Masanafu-Busega'!K38,'24.07 Masanafu-Busega'!K38,'25.07 Masanafu-Busega'!K38,'26.07 Masanafu-Busega-24h'!K38,'27.07 Busega-Masanafu-24h'!K38,'28.07 Masanafu-Busega'!K38)</f>
        <v>2.8571428571428572</v>
      </c>
      <c r="L38" s="49">
        <f>AVERAGE('22.07 Masanafu-Busega'!L38,'23.07 Masanafu-Busega'!L38,'24.07 Masanafu-Busega'!L38,'25.07 Masanafu-Busega'!L38,'26.07 Masanafu-Busega-24h'!L38,'27.07 Busega-Masanafu-24h'!L38,'28.07 Masanafu-Busega'!L38)</f>
        <v>6.1428571428571432</v>
      </c>
      <c r="M38" s="49">
        <f>AVERAGE('22.07 Masanafu-Busega'!M38,'23.07 Masanafu-Busega'!M38,'24.07 Masanafu-Busega'!M38,'25.07 Masanafu-Busega'!M38,'26.07 Masanafu-Busega-24h'!M38,'27.07 Busega-Masanafu-24h'!M38,'28.07 Masanafu-Busega'!M38)</f>
        <v>94.428571428571431</v>
      </c>
      <c r="N38" s="49">
        <f>AVERAGE('22.07 Masanafu-Busega'!N38,'23.07 Masanafu-Busega'!N38,'24.07 Masanafu-Busega'!N38,'25.07 Masanafu-Busega'!N38,'26.07 Masanafu-Busega-24h'!N38,'27.07 Masanafu-Busega-24h'!N38,'28.07 Masanafu-Busega'!N38)</f>
        <v>0</v>
      </c>
      <c r="O38" s="15">
        <f t="shared" si="0"/>
        <v>185.42857142857139</v>
      </c>
      <c r="P38" s="15">
        <f t="shared" si="1"/>
        <v>279.85714285714283</v>
      </c>
      <c r="R38" s="28" t="s">
        <v>86</v>
      </c>
      <c r="S38" s="16">
        <f t="shared" ref="S38:AF38" si="29">SUM(S13:S18)</f>
        <v>1986.4285714285711</v>
      </c>
      <c r="T38" s="16">
        <f t="shared" si="29"/>
        <v>263.42857142857144</v>
      </c>
      <c r="U38" s="16">
        <f t="shared" si="29"/>
        <v>254</v>
      </c>
      <c r="V38" s="16">
        <f t="shared" si="29"/>
        <v>889.57142857142867</v>
      </c>
      <c r="W38" s="16">
        <f t="shared" si="29"/>
        <v>50.428571428571423</v>
      </c>
      <c r="X38" s="16">
        <f t="shared" si="29"/>
        <v>14.571428571428571</v>
      </c>
      <c r="Y38" s="16">
        <f t="shared" si="29"/>
        <v>382.71428571428578</v>
      </c>
      <c r="Z38" s="16">
        <f t="shared" si="29"/>
        <v>188.71428571428569</v>
      </c>
      <c r="AA38" s="16">
        <f t="shared" si="29"/>
        <v>97.428571428571416</v>
      </c>
      <c r="AB38" s="16">
        <f t="shared" si="29"/>
        <v>128.85714285714286</v>
      </c>
      <c r="AC38" s="16">
        <f t="shared" si="29"/>
        <v>2373.1428571428573</v>
      </c>
      <c r="AD38" s="16">
        <f t="shared" si="29"/>
        <v>0.2857142857142857</v>
      </c>
      <c r="AE38" s="32">
        <f t="shared" si="29"/>
        <v>4256.4285714285716</v>
      </c>
      <c r="AF38" s="32">
        <f t="shared" si="29"/>
        <v>6629.5714285714284</v>
      </c>
    </row>
    <row r="39" spans="2:32" ht="23.1" customHeight="1" x14ac:dyDescent="0.25">
      <c r="B39" s="24" t="s">
        <v>66</v>
      </c>
      <c r="C39" s="49">
        <f>AVERAGE('22.07 Masanafu-Busega'!C39,'23.07 Masanafu-Busega'!C39,'24.07 Masanafu-Busega'!C39,'25.07 Masanafu-Busega'!C39,'26.07 Masanafu-Busega-24h'!C39,'27.07 Busega-Masanafu-24h'!C39,'28.07 Masanafu-Busega'!C39)</f>
        <v>77.142857142857139</v>
      </c>
      <c r="D39" s="49">
        <f>AVERAGE('22.07 Masanafu-Busega'!D39,'23.07 Masanafu-Busega'!D39,'24.07 Masanafu-Busega'!D39,'25.07 Masanafu-Busega'!D39,'26.07 Masanafu-Busega-24h'!D39,'27.07 Busega-Masanafu-24h'!D39,'28.07 Masanafu-Busega'!D39)</f>
        <v>8.2857142857142865</v>
      </c>
      <c r="E39" s="49">
        <f>AVERAGE('22.07 Masanafu-Busega'!E39,'23.07 Masanafu-Busega'!E39,'24.07 Masanafu-Busega'!E39,'25.07 Masanafu-Busega'!E39,'26.07 Masanafu-Busega-24h'!E39,'27.07 Busega-Masanafu-24h'!E39,'28.07 Masanafu-Busega'!E39)</f>
        <v>9.8571428571428577</v>
      </c>
      <c r="F39" s="49">
        <f>AVERAGE('22.07 Masanafu-Busega'!F39,'23.07 Masanafu-Busega'!F39,'24.07 Masanafu-Busega'!F39,'25.07 Masanafu-Busega'!F39,'26.07 Masanafu-Busega-24h'!F39,'27.07 Busega-Masanafu-24h'!F39,'28.07 Masanafu-Busega'!F39)</f>
        <v>34.142857142857146</v>
      </c>
      <c r="G39" s="49">
        <f>AVERAGE('22.07 Masanafu-Busega'!G39,'23.07 Masanafu-Busega'!G39,'24.07 Masanafu-Busega'!G39,'25.07 Masanafu-Busega'!G39,'26.07 Masanafu-Busega-24h'!G39,'27.07 Busega-Masanafu-24h'!G39,'28.07 Masanafu-Busega'!G39)</f>
        <v>0.5714285714285714</v>
      </c>
      <c r="H39" s="49">
        <f>AVERAGE('22.07 Masanafu-Busega'!H39,'23.07 Masanafu-Busega'!H39,'24.07 Masanafu-Busega'!H39,'25.07 Masanafu-Busega'!H39,'26.07 Masanafu-Busega-24h'!H39,'27.07 Busega-Masanafu-24h'!H39,'28.07 Masanafu-Busega'!H39)</f>
        <v>0.7142857142857143</v>
      </c>
      <c r="I39" s="49">
        <f>AVERAGE('22.07 Masanafu-Busega'!I39,'23.07 Masanafu-Busega'!I39,'24.07 Masanafu-Busega'!I39,'25.07 Masanafu-Busega'!I39,'26.07 Masanafu-Busega-24h'!I39,'27.07 Busega-Masanafu-24h'!I39,'28.07 Masanafu-Busega'!I39)</f>
        <v>17.857142857142858</v>
      </c>
      <c r="J39" s="49">
        <f>AVERAGE('22.07 Masanafu-Busega'!J39,'23.07 Masanafu-Busega'!J39,'24.07 Masanafu-Busega'!J39,'25.07 Masanafu-Busega'!J39,'26.07 Masanafu-Busega-24h'!J39,'27.07 Busega-Masanafu-24h'!J39,'28.07 Masanafu-Busega'!J39)</f>
        <v>7.2857142857142856</v>
      </c>
      <c r="K39" s="49">
        <f>AVERAGE('22.07 Masanafu-Busega'!K39,'23.07 Masanafu-Busega'!K39,'24.07 Masanafu-Busega'!K39,'25.07 Masanafu-Busega'!K39,'26.07 Masanafu-Busega-24h'!K39,'27.07 Busega-Masanafu-24h'!K39,'28.07 Masanafu-Busega'!K39)</f>
        <v>4.8571428571428568</v>
      </c>
      <c r="L39" s="49">
        <f>AVERAGE('22.07 Masanafu-Busega'!L39,'23.07 Masanafu-Busega'!L39,'24.07 Masanafu-Busega'!L39,'25.07 Masanafu-Busega'!L39,'26.07 Masanafu-Busega-24h'!L39,'27.07 Busega-Masanafu-24h'!L39,'28.07 Masanafu-Busega'!L39)</f>
        <v>4.5714285714285712</v>
      </c>
      <c r="M39" s="49">
        <f>AVERAGE('22.07 Masanafu-Busega'!M39,'23.07 Masanafu-Busega'!M39,'24.07 Masanafu-Busega'!M39,'25.07 Masanafu-Busega'!M39,'26.07 Masanafu-Busega-24h'!M39,'27.07 Busega-Masanafu-24h'!M39,'28.07 Masanafu-Busega'!M39)</f>
        <v>90.142857142857139</v>
      </c>
      <c r="N39" s="49">
        <f>AVERAGE('22.07 Masanafu-Busega'!N39,'23.07 Masanafu-Busega'!N39,'24.07 Masanafu-Busega'!N39,'25.07 Masanafu-Busega'!N39,'26.07 Masanafu-Busega-24h'!N39,'27.07 Masanafu-Busega-24h'!N39,'28.07 Masanafu-Busega'!N39)</f>
        <v>0</v>
      </c>
      <c r="O39" s="15">
        <f t="shared" si="0"/>
        <v>165.28571428571433</v>
      </c>
      <c r="P39" s="15">
        <f t="shared" si="1"/>
        <v>255.42857142857147</v>
      </c>
      <c r="R39" s="29" t="s">
        <v>87</v>
      </c>
      <c r="S39" s="16">
        <f t="shared" ref="S39:AF39" si="30">SUM(S19:S21)</f>
        <v>1264.1428571428573</v>
      </c>
      <c r="T39" s="16">
        <f t="shared" si="30"/>
        <v>136.57142857142856</v>
      </c>
      <c r="U39" s="16">
        <f t="shared" si="30"/>
        <v>126.57142857142858</v>
      </c>
      <c r="V39" s="16">
        <f t="shared" si="30"/>
        <v>463</v>
      </c>
      <c r="W39" s="16">
        <f t="shared" si="30"/>
        <v>19.571428571428569</v>
      </c>
      <c r="X39" s="16">
        <f t="shared" si="30"/>
        <v>6.7142857142857135</v>
      </c>
      <c r="Y39" s="16">
        <f t="shared" si="30"/>
        <v>187.14285714285711</v>
      </c>
      <c r="Z39" s="16">
        <f t="shared" si="30"/>
        <v>94.857142857142861</v>
      </c>
      <c r="AA39" s="16">
        <f t="shared" si="30"/>
        <v>45.142857142857153</v>
      </c>
      <c r="AB39" s="16">
        <f t="shared" si="30"/>
        <v>63.285714285714278</v>
      </c>
      <c r="AC39" s="16">
        <f t="shared" si="30"/>
        <v>1287.8571428571429</v>
      </c>
      <c r="AD39" s="16">
        <f t="shared" si="30"/>
        <v>0</v>
      </c>
      <c r="AE39" s="32">
        <f t="shared" si="30"/>
        <v>2407</v>
      </c>
      <c r="AF39" s="32">
        <f t="shared" si="30"/>
        <v>3694.8571428571431</v>
      </c>
    </row>
    <row r="40" spans="2:32" ht="23.1" customHeight="1" x14ac:dyDescent="0.25">
      <c r="B40" s="24" t="s">
        <v>67</v>
      </c>
      <c r="C40" s="49">
        <f>AVERAGE('22.07 Masanafu-Busega'!C40,'23.07 Masanafu-Busega'!C40,'24.07 Masanafu-Busega'!C40,'25.07 Masanafu-Busega'!C40,'26.07 Masanafu-Busega-24h'!C40,'27.07 Busega-Masanafu-24h'!C40,'28.07 Masanafu-Busega'!C40)</f>
        <v>70.714285714285708</v>
      </c>
      <c r="D40" s="49">
        <f>AVERAGE('22.07 Masanafu-Busega'!D40,'23.07 Masanafu-Busega'!D40,'24.07 Masanafu-Busega'!D40,'25.07 Masanafu-Busega'!D40,'26.07 Masanafu-Busega-24h'!D40,'27.07 Busega-Masanafu-24h'!D40,'28.07 Masanafu-Busega'!D40)</f>
        <v>8.4285714285714288</v>
      </c>
      <c r="E40" s="49">
        <f>AVERAGE('22.07 Masanafu-Busega'!E40,'23.07 Masanafu-Busega'!E40,'24.07 Masanafu-Busega'!E40,'25.07 Masanafu-Busega'!E40,'26.07 Masanafu-Busega-24h'!E40,'27.07 Busega-Masanafu-24h'!E40,'28.07 Masanafu-Busega'!E40)</f>
        <v>12.142857142857142</v>
      </c>
      <c r="F40" s="49">
        <f>AVERAGE('22.07 Masanafu-Busega'!F40,'23.07 Masanafu-Busega'!F40,'24.07 Masanafu-Busega'!F40,'25.07 Masanafu-Busega'!F40,'26.07 Masanafu-Busega-24h'!F40,'27.07 Busega-Masanafu-24h'!F40,'28.07 Masanafu-Busega'!F40)</f>
        <v>34.571428571428569</v>
      </c>
      <c r="G40" s="49">
        <f>AVERAGE('22.07 Masanafu-Busega'!G40,'23.07 Masanafu-Busega'!G40,'24.07 Masanafu-Busega'!G40,'25.07 Masanafu-Busega'!G40,'26.07 Masanafu-Busega-24h'!G40,'27.07 Busega-Masanafu-24h'!G40,'28.07 Masanafu-Busega'!G40)</f>
        <v>1.1428571428571428</v>
      </c>
      <c r="H40" s="49">
        <f>AVERAGE('22.07 Masanafu-Busega'!H40,'23.07 Masanafu-Busega'!H40,'24.07 Masanafu-Busega'!H40,'25.07 Masanafu-Busega'!H40,'26.07 Masanafu-Busega-24h'!H40,'27.07 Busega-Masanafu-24h'!H40,'28.07 Masanafu-Busega'!H40)</f>
        <v>0.7142857142857143</v>
      </c>
      <c r="I40" s="49">
        <f>AVERAGE('22.07 Masanafu-Busega'!I40,'23.07 Masanafu-Busega'!I40,'24.07 Masanafu-Busega'!I40,'25.07 Masanafu-Busega'!I40,'26.07 Masanafu-Busega-24h'!I40,'27.07 Busega-Masanafu-24h'!I40,'28.07 Masanafu-Busega'!I40)</f>
        <v>16.571428571428573</v>
      </c>
      <c r="J40" s="49">
        <f>AVERAGE('22.07 Masanafu-Busega'!J40,'23.07 Masanafu-Busega'!J40,'24.07 Masanafu-Busega'!J40,'25.07 Masanafu-Busega'!J40,'26.07 Masanafu-Busega-24h'!J40,'27.07 Busega-Masanafu-24h'!J40,'28.07 Masanafu-Busega'!J40)</f>
        <v>8.7142857142857135</v>
      </c>
      <c r="K40" s="49">
        <f>AVERAGE('22.07 Masanafu-Busega'!K40,'23.07 Masanafu-Busega'!K40,'24.07 Masanafu-Busega'!K40,'25.07 Masanafu-Busega'!K40,'26.07 Masanafu-Busega-24h'!K40,'27.07 Busega-Masanafu-24h'!K40,'28.07 Masanafu-Busega'!K40)</f>
        <v>2.4285714285714284</v>
      </c>
      <c r="L40" s="49">
        <f>AVERAGE('22.07 Masanafu-Busega'!L40,'23.07 Masanafu-Busega'!L40,'24.07 Masanafu-Busega'!L40,'25.07 Masanafu-Busega'!L40,'26.07 Masanafu-Busega-24h'!L40,'27.07 Busega-Masanafu-24h'!L40,'28.07 Masanafu-Busega'!L40)</f>
        <v>6</v>
      </c>
      <c r="M40" s="49">
        <f>AVERAGE('22.07 Masanafu-Busega'!M40,'23.07 Masanafu-Busega'!M40,'24.07 Masanafu-Busega'!M40,'25.07 Masanafu-Busega'!M40,'26.07 Masanafu-Busega-24h'!M40,'27.07 Busega-Masanafu-24h'!M40,'28.07 Masanafu-Busega'!M40)</f>
        <v>84.142857142857139</v>
      </c>
      <c r="N40" s="49">
        <f>AVERAGE('22.07 Masanafu-Busega'!N40,'23.07 Masanafu-Busega'!N40,'24.07 Masanafu-Busega'!N40,'25.07 Masanafu-Busega'!N40,'26.07 Masanafu-Busega-24h'!N40,'27.07 Masanafu-Busega-24h'!N40,'28.07 Masanafu-Busega'!N40)</f>
        <v>0</v>
      </c>
      <c r="O40" s="15">
        <f t="shared" si="0"/>
        <v>161.42857142857142</v>
      </c>
      <c r="P40" s="15">
        <f t="shared" si="1"/>
        <v>245.57142857142856</v>
      </c>
      <c r="R40" s="5" t="s">
        <v>17</v>
      </c>
      <c r="S40" s="16">
        <f t="shared" ref="S40:AF40" si="31">SUM(S10:S21)</f>
        <v>4053.1428571428564</v>
      </c>
      <c r="T40" s="16">
        <f t="shared" si="31"/>
        <v>508.57142857142856</v>
      </c>
      <c r="U40" s="16">
        <f t="shared" si="31"/>
        <v>488.57142857142861</v>
      </c>
      <c r="V40" s="16">
        <f t="shared" si="31"/>
        <v>1767.5714285714284</v>
      </c>
      <c r="W40" s="16">
        <f t="shared" si="31"/>
        <v>95.857142857142861</v>
      </c>
      <c r="X40" s="16">
        <f t="shared" si="31"/>
        <v>26.285714285714285</v>
      </c>
      <c r="Y40" s="16">
        <f t="shared" si="31"/>
        <v>700.42857142857133</v>
      </c>
      <c r="Z40" s="16">
        <f t="shared" si="31"/>
        <v>351.00000000000006</v>
      </c>
      <c r="AA40" s="16">
        <f t="shared" si="31"/>
        <v>171.85714285714283</v>
      </c>
      <c r="AB40" s="16">
        <f t="shared" si="31"/>
        <v>228.85714285714283</v>
      </c>
      <c r="AC40" s="16">
        <f t="shared" si="31"/>
        <v>5053.8571428571431</v>
      </c>
      <c r="AD40" s="16">
        <f t="shared" si="31"/>
        <v>0.2857142857142857</v>
      </c>
      <c r="AE40" s="32">
        <f t="shared" si="31"/>
        <v>8392.4285714285706</v>
      </c>
      <c r="AF40" s="32">
        <f t="shared" si="31"/>
        <v>13446.285714285714</v>
      </c>
    </row>
    <row r="41" spans="2:32" ht="23.1" customHeight="1" x14ac:dyDescent="0.25">
      <c r="B41" s="23" t="s">
        <v>68</v>
      </c>
      <c r="C41" s="49">
        <f>AVERAGE('22.07 Masanafu-Busega'!C41,'23.07 Masanafu-Busega'!C41,'24.07 Masanafu-Busega'!C41,'25.07 Masanafu-Busega'!C41,'26.07 Masanafu-Busega-24h'!C41,'27.07 Busega-Masanafu-24h'!C41,'28.07 Masanafu-Busega'!C41)</f>
        <v>77.142857142857139</v>
      </c>
      <c r="D41" s="49">
        <f>AVERAGE('22.07 Masanafu-Busega'!D41,'23.07 Masanafu-Busega'!D41,'24.07 Masanafu-Busega'!D41,'25.07 Masanafu-Busega'!D41,'26.07 Masanafu-Busega-24h'!D41,'27.07 Busega-Masanafu-24h'!D41,'28.07 Masanafu-Busega'!D41)</f>
        <v>10.571428571428571</v>
      </c>
      <c r="E41" s="49">
        <f>AVERAGE('22.07 Masanafu-Busega'!E41,'23.07 Masanafu-Busega'!E41,'24.07 Masanafu-Busega'!E41,'25.07 Masanafu-Busega'!E41,'26.07 Masanafu-Busega-24h'!E41,'27.07 Busega-Masanafu-24h'!E41,'28.07 Masanafu-Busega'!E41)</f>
        <v>11.285714285714286</v>
      </c>
      <c r="F41" s="49">
        <f>AVERAGE('22.07 Masanafu-Busega'!F41,'23.07 Masanafu-Busega'!F41,'24.07 Masanafu-Busega'!F41,'25.07 Masanafu-Busega'!F41,'26.07 Masanafu-Busega-24h'!F41,'27.07 Busega-Masanafu-24h'!F41,'28.07 Masanafu-Busega'!F41)</f>
        <v>31.285714285714285</v>
      </c>
      <c r="G41" s="49">
        <f>AVERAGE('22.07 Masanafu-Busega'!G41,'23.07 Masanafu-Busega'!G41,'24.07 Masanafu-Busega'!G41,'25.07 Masanafu-Busega'!G41,'26.07 Masanafu-Busega-24h'!G41,'27.07 Busega-Masanafu-24h'!G41,'28.07 Masanafu-Busega'!G41)</f>
        <v>0.8571428571428571</v>
      </c>
      <c r="H41" s="49">
        <f>AVERAGE('22.07 Masanafu-Busega'!H41,'23.07 Masanafu-Busega'!H41,'24.07 Masanafu-Busega'!H41,'25.07 Masanafu-Busega'!H41,'26.07 Masanafu-Busega-24h'!H41,'27.07 Busega-Masanafu-24h'!H41,'28.07 Masanafu-Busega'!H41)</f>
        <v>0.5714285714285714</v>
      </c>
      <c r="I41" s="49">
        <f>AVERAGE('22.07 Masanafu-Busega'!I41,'23.07 Masanafu-Busega'!I41,'24.07 Masanafu-Busega'!I41,'25.07 Masanafu-Busega'!I41,'26.07 Masanafu-Busega-24h'!I41,'27.07 Busega-Masanafu-24h'!I41,'28.07 Masanafu-Busega'!I41)</f>
        <v>16.857142857142858</v>
      </c>
      <c r="J41" s="49">
        <f>AVERAGE('22.07 Masanafu-Busega'!J41,'23.07 Masanafu-Busega'!J41,'24.07 Masanafu-Busega'!J41,'25.07 Masanafu-Busega'!J41,'26.07 Masanafu-Busega-24h'!J41,'27.07 Busega-Masanafu-24h'!J41,'28.07 Masanafu-Busega'!J41)</f>
        <v>7</v>
      </c>
      <c r="K41" s="49">
        <f>AVERAGE('22.07 Masanafu-Busega'!K41,'23.07 Masanafu-Busega'!K41,'24.07 Masanafu-Busega'!K41,'25.07 Masanafu-Busega'!K41,'26.07 Masanafu-Busega-24h'!K41,'27.07 Busega-Masanafu-24h'!K41,'28.07 Masanafu-Busega'!K41)</f>
        <v>4</v>
      </c>
      <c r="L41" s="49">
        <f>AVERAGE('22.07 Masanafu-Busega'!L41,'23.07 Masanafu-Busega'!L41,'24.07 Masanafu-Busega'!L41,'25.07 Masanafu-Busega'!L41,'26.07 Masanafu-Busega-24h'!L41,'27.07 Busega-Masanafu-24h'!L41,'28.07 Masanafu-Busega'!L41)</f>
        <v>7.5714285714285712</v>
      </c>
      <c r="M41" s="49">
        <f>AVERAGE('22.07 Masanafu-Busega'!M41,'23.07 Masanafu-Busega'!M41,'24.07 Masanafu-Busega'!M41,'25.07 Masanafu-Busega'!M41,'26.07 Masanafu-Busega-24h'!M41,'27.07 Busega-Masanafu-24h'!M41,'28.07 Masanafu-Busega'!M41)</f>
        <v>87.857142857142861</v>
      </c>
      <c r="N41" s="49">
        <f>AVERAGE('22.07 Masanafu-Busega'!N41,'23.07 Masanafu-Busega'!N41,'24.07 Masanafu-Busega'!N41,'25.07 Masanafu-Busega'!N41,'26.07 Masanafu-Busega-24h'!N41,'27.07 Masanafu-Busega-24h'!N41,'28.07 Masanafu-Busega'!N41)</f>
        <v>0</v>
      </c>
      <c r="O41" s="15">
        <f t="shared" si="0"/>
        <v>167.14285714285717</v>
      </c>
      <c r="P41" s="15">
        <f t="shared" si="1"/>
        <v>255.00000000000003</v>
      </c>
      <c r="R41" s="5" t="s">
        <v>176</v>
      </c>
      <c r="S41" s="51">
        <f>SUM(S10:S33)</f>
        <v>5976.3571428571422</v>
      </c>
      <c r="T41" s="51">
        <f t="shared" ref="T41:AF41" si="32">SUM(T10:T33)</f>
        <v>802.64285714285711</v>
      </c>
      <c r="U41" s="51">
        <f t="shared" si="32"/>
        <v>759.35714285714289</v>
      </c>
      <c r="V41" s="51">
        <f t="shared" si="32"/>
        <v>2451.3571428571427</v>
      </c>
      <c r="W41" s="51">
        <f t="shared" si="32"/>
        <v>131.21428571428572</v>
      </c>
      <c r="X41" s="51">
        <f t="shared" si="32"/>
        <v>47.571428571428569</v>
      </c>
      <c r="Y41" s="51">
        <f t="shared" si="32"/>
        <v>940.49999999999989</v>
      </c>
      <c r="Z41" s="51">
        <f t="shared" si="32"/>
        <v>612.14285714285722</v>
      </c>
      <c r="AA41" s="51">
        <f t="shared" si="32"/>
        <v>284.14285714285711</v>
      </c>
      <c r="AB41" s="51">
        <f t="shared" si="32"/>
        <v>363.64285714285711</v>
      </c>
      <c r="AC41" s="51">
        <f t="shared" si="32"/>
        <v>7605.4285714285716</v>
      </c>
      <c r="AD41" s="51">
        <f t="shared" si="32"/>
        <v>0.2857142857142857</v>
      </c>
      <c r="AE41" s="51">
        <f t="shared" si="32"/>
        <v>12369.214285714284</v>
      </c>
      <c r="AF41" s="51">
        <f t="shared" si="32"/>
        <v>19974.642857142855</v>
      </c>
    </row>
    <row r="42" spans="2:32" ht="23.1" customHeight="1" x14ac:dyDescent="0.25">
      <c r="B42" s="24" t="s">
        <v>69</v>
      </c>
      <c r="C42" s="49">
        <f>AVERAGE('22.07 Masanafu-Busega'!C42,'23.07 Masanafu-Busega'!C42,'24.07 Masanafu-Busega'!C42,'25.07 Masanafu-Busega'!C42,'26.07 Masanafu-Busega-24h'!C42,'27.07 Busega-Masanafu-24h'!C42,'28.07 Masanafu-Busega'!C42)</f>
        <v>73.142857142857139</v>
      </c>
      <c r="D42" s="49">
        <f>AVERAGE('22.07 Masanafu-Busega'!D42,'23.07 Masanafu-Busega'!D42,'24.07 Masanafu-Busega'!D42,'25.07 Masanafu-Busega'!D42,'26.07 Masanafu-Busega-24h'!D42,'27.07 Busega-Masanafu-24h'!D42,'28.07 Masanafu-Busega'!D42)</f>
        <v>11.714285714285714</v>
      </c>
      <c r="E42" s="49">
        <f>AVERAGE('22.07 Masanafu-Busega'!E42,'23.07 Masanafu-Busega'!E42,'24.07 Masanafu-Busega'!E42,'25.07 Masanafu-Busega'!E42,'26.07 Masanafu-Busega-24h'!E42,'27.07 Busega-Masanafu-24h'!E42,'28.07 Masanafu-Busega'!E42)</f>
        <v>12.571428571428571</v>
      </c>
      <c r="F42" s="49">
        <f>AVERAGE('22.07 Masanafu-Busega'!F42,'23.07 Masanafu-Busega'!F42,'24.07 Masanafu-Busega'!F42,'25.07 Masanafu-Busega'!F42,'26.07 Masanafu-Busega-24h'!F42,'27.07 Busega-Masanafu-24h'!F42,'28.07 Masanafu-Busega'!F42)</f>
        <v>36.142857142857146</v>
      </c>
      <c r="G42" s="49">
        <f>AVERAGE('22.07 Masanafu-Busega'!G42,'23.07 Masanafu-Busega'!G42,'24.07 Masanafu-Busega'!G42,'25.07 Masanafu-Busega'!G42,'26.07 Masanafu-Busega-24h'!G42,'27.07 Busega-Masanafu-24h'!G42,'28.07 Masanafu-Busega'!G42)</f>
        <v>0.8571428571428571</v>
      </c>
      <c r="H42" s="49">
        <f>AVERAGE('22.07 Masanafu-Busega'!H42,'23.07 Masanafu-Busega'!H42,'24.07 Masanafu-Busega'!H42,'25.07 Masanafu-Busega'!H42,'26.07 Masanafu-Busega-24h'!H42,'27.07 Busega-Masanafu-24h'!H42,'28.07 Masanafu-Busega'!H42)</f>
        <v>0.5714285714285714</v>
      </c>
      <c r="I42" s="49">
        <f>AVERAGE('22.07 Masanafu-Busega'!I42,'23.07 Masanafu-Busega'!I42,'24.07 Masanafu-Busega'!I42,'25.07 Masanafu-Busega'!I42,'26.07 Masanafu-Busega-24h'!I42,'27.07 Busega-Masanafu-24h'!I42,'28.07 Masanafu-Busega'!I42)</f>
        <v>15</v>
      </c>
      <c r="J42" s="49">
        <f>AVERAGE('22.07 Masanafu-Busega'!J42,'23.07 Masanafu-Busega'!J42,'24.07 Masanafu-Busega'!J42,'25.07 Masanafu-Busega'!J42,'26.07 Masanafu-Busega-24h'!J42,'27.07 Busega-Masanafu-24h'!J42,'28.07 Masanafu-Busega'!J42)</f>
        <v>10.285714285714286</v>
      </c>
      <c r="K42" s="49">
        <f>AVERAGE('22.07 Masanafu-Busega'!K42,'23.07 Masanafu-Busega'!K42,'24.07 Masanafu-Busega'!K42,'25.07 Masanafu-Busega'!K42,'26.07 Masanafu-Busega-24h'!K42,'27.07 Busega-Masanafu-24h'!K42,'28.07 Masanafu-Busega'!K42)</f>
        <v>5.1428571428571432</v>
      </c>
      <c r="L42" s="49">
        <f>AVERAGE('22.07 Masanafu-Busega'!L42,'23.07 Masanafu-Busega'!L42,'24.07 Masanafu-Busega'!L42,'25.07 Masanafu-Busega'!L42,'26.07 Masanafu-Busega-24h'!L42,'27.07 Busega-Masanafu-24h'!L42,'28.07 Masanafu-Busega'!L42)</f>
        <v>5.4285714285714288</v>
      </c>
      <c r="M42" s="49">
        <f>AVERAGE('22.07 Masanafu-Busega'!M42,'23.07 Masanafu-Busega'!M42,'24.07 Masanafu-Busega'!M42,'25.07 Masanafu-Busega'!M42,'26.07 Masanafu-Busega-24h'!M42,'27.07 Busega-Masanafu-24h'!M42,'28.07 Masanafu-Busega'!M42)</f>
        <v>84.428571428571431</v>
      </c>
      <c r="N42" s="49">
        <f>AVERAGE('22.07 Masanafu-Busega'!N42,'23.07 Masanafu-Busega'!N42,'24.07 Masanafu-Busega'!N42,'25.07 Masanafu-Busega'!N42,'26.07 Masanafu-Busega-24h'!N42,'27.07 Masanafu-Busega-24h'!N42,'28.07 Masanafu-Busega'!N42)</f>
        <v>0</v>
      </c>
      <c r="O42" s="15">
        <f t="shared" si="0"/>
        <v>170.85714285714283</v>
      </c>
      <c r="P42" s="15">
        <f t="shared" si="1"/>
        <v>255.28571428571428</v>
      </c>
      <c r="R42" s="5" t="s">
        <v>160</v>
      </c>
      <c r="S42" s="48">
        <f>S41/S40</f>
        <v>1.4744995065557593</v>
      </c>
      <c r="T42" s="48">
        <f t="shared" ref="T42:AF42" si="33">T41/T40</f>
        <v>1.5782303370786517</v>
      </c>
      <c r="U42" s="48">
        <f t="shared" si="33"/>
        <v>1.5542397660818712</v>
      </c>
      <c r="V42" s="48">
        <f t="shared" si="33"/>
        <v>1.3868504000646569</v>
      </c>
      <c r="W42" s="48">
        <f t="shared" si="33"/>
        <v>1.3688524590163935</v>
      </c>
      <c r="X42" s="48">
        <f t="shared" si="33"/>
        <v>1.8097826086956521</v>
      </c>
      <c r="Y42" s="48">
        <f t="shared" si="33"/>
        <v>1.3427493371405261</v>
      </c>
      <c r="Z42" s="48">
        <f t="shared" si="33"/>
        <v>1.7439967439967439</v>
      </c>
      <c r="AA42" s="48">
        <f t="shared" si="33"/>
        <v>1.6533665835411471</v>
      </c>
      <c r="AB42" s="48">
        <f t="shared" si="33"/>
        <v>1.5889513108614233</v>
      </c>
      <c r="AC42" s="48">
        <f t="shared" si="33"/>
        <v>1.5048760494106339</v>
      </c>
      <c r="AD42" s="48">
        <f t="shared" si="33"/>
        <v>1</v>
      </c>
      <c r="AE42" s="48">
        <f t="shared" si="33"/>
        <v>1.4738539840332272</v>
      </c>
      <c r="AF42" s="48">
        <f t="shared" si="33"/>
        <v>1.4855137903191533</v>
      </c>
    </row>
    <row r="43" spans="2:32" ht="23.1" customHeight="1" x14ac:dyDescent="0.25">
      <c r="B43" s="23" t="s">
        <v>70</v>
      </c>
      <c r="C43" s="49">
        <f>AVERAGE('22.07 Masanafu-Busega'!C43,'23.07 Masanafu-Busega'!C43,'24.07 Masanafu-Busega'!C43,'25.07 Masanafu-Busega'!C43,'26.07 Masanafu-Busega-24h'!C43,'27.07 Busega-Masanafu-24h'!C43,'28.07 Masanafu-Busega'!C43)</f>
        <v>73.714285714285708</v>
      </c>
      <c r="D43" s="49">
        <f>AVERAGE('22.07 Masanafu-Busega'!D43,'23.07 Masanafu-Busega'!D43,'24.07 Masanafu-Busega'!D43,'25.07 Masanafu-Busega'!D43,'26.07 Masanafu-Busega-24h'!D43,'27.07 Busega-Masanafu-24h'!D43,'28.07 Masanafu-Busega'!D43)</f>
        <v>9.5714285714285712</v>
      </c>
      <c r="E43" s="49">
        <f>AVERAGE('22.07 Masanafu-Busega'!E43,'23.07 Masanafu-Busega'!E43,'24.07 Masanafu-Busega'!E43,'25.07 Masanafu-Busega'!E43,'26.07 Masanafu-Busega-24h'!E43,'27.07 Busega-Masanafu-24h'!E43,'28.07 Masanafu-Busega'!E43)</f>
        <v>11.857142857142858</v>
      </c>
      <c r="F43" s="49">
        <f>AVERAGE('22.07 Masanafu-Busega'!F43,'23.07 Masanafu-Busega'!F43,'24.07 Masanafu-Busega'!F43,'25.07 Masanafu-Busega'!F43,'26.07 Masanafu-Busega-24h'!F43,'27.07 Busega-Masanafu-24h'!F43,'28.07 Masanafu-Busega'!F43)</f>
        <v>28.714285714285715</v>
      </c>
      <c r="G43" s="49">
        <f>AVERAGE('22.07 Masanafu-Busega'!G43,'23.07 Masanafu-Busega'!G43,'24.07 Masanafu-Busega'!G43,'25.07 Masanafu-Busega'!G43,'26.07 Masanafu-Busega-24h'!G43,'27.07 Busega-Masanafu-24h'!G43,'28.07 Masanafu-Busega'!G43)</f>
        <v>0.2857142857142857</v>
      </c>
      <c r="H43" s="49">
        <f>AVERAGE('22.07 Masanafu-Busega'!H43,'23.07 Masanafu-Busega'!H43,'24.07 Masanafu-Busega'!H43,'25.07 Masanafu-Busega'!H43,'26.07 Masanafu-Busega-24h'!H43,'27.07 Busega-Masanafu-24h'!H43,'28.07 Masanafu-Busega'!H43)</f>
        <v>0.2857142857142857</v>
      </c>
      <c r="I43" s="49">
        <f>AVERAGE('22.07 Masanafu-Busega'!I43,'23.07 Masanafu-Busega'!I43,'24.07 Masanafu-Busega'!I43,'25.07 Masanafu-Busega'!I43,'26.07 Masanafu-Busega-24h'!I43,'27.07 Busega-Masanafu-24h'!I43,'28.07 Masanafu-Busega'!I43)</f>
        <v>14.857142857142858</v>
      </c>
      <c r="J43" s="49">
        <f>AVERAGE('22.07 Masanafu-Busega'!J43,'23.07 Masanafu-Busega'!J43,'24.07 Masanafu-Busega'!J43,'25.07 Masanafu-Busega'!J43,'26.07 Masanafu-Busega-24h'!J43,'27.07 Busega-Masanafu-24h'!J43,'28.07 Masanafu-Busega'!J43)</f>
        <v>7.8571428571428568</v>
      </c>
      <c r="K43" s="49">
        <f>AVERAGE('22.07 Masanafu-Busega'!K43,'23.07 Masanafu-Busega'!K43,'24.07 Masanafu-Busega'!K43,'25.07 Masanafu-Busega'!K43,'26.07 Masanafu-Busega-24h'!K43,'27.07 Busega-Masanafu-24h'!K43,'28.07 Masanafu-Busega'!K43)</f>
        <v>5.7142857142857144</v>
      </c>
      <c r="L43" s="49">
        <f>AVERAGE('22.07 Masanafu-Busega'!L43,'23.07 Masanafu-Busega'!L43,'24.07 Masanafu-Busega'!L43,'25.07 Masanafu-Busega'!L43,'26.07 Masanafu-Busega-24h'!L43,'27.07 Busega-Masanafu-24h'!L43,'28.07 Masanafu-Busega'!L43)</f>
        <v>5.1428571428571432</v>
      </c>
      <c r="M43" s="49">
        <f>AVERAGE('22.07 Masanafu-Busega'!M43,'23.07 Masanafu-Busega'!M43,'24.07 Masanafu-Busega'!M43,'25.07 Masanafu-Busega'!M43,'26.07 Masanafu-Busega-24h'!M43,'27.07 Busega-Masanafu-24h'!M43,'28.07 Masanafu-Busega'!M43)</f>
        <v>87.142857142857139</v>
      </c>
      <c r="N43" s="49">
        <f>AVERAGE('22.07 Masanafu-Busega'!N43,'23.07 Masanafu-Busega'!N43,'24.07 Masanafu-Busega'!N43,'25.07 Masanafu-Busega'!N43,'26.07 Masanafu-Busega-24h'!N43,'27.07 Masanafu-Busega-24h'!N43,'28.07 Masanafu-Busega'!N43)</f>
        <v>0</v>
      </c>
      <c r="O43" s="15">
        <f t="shared" si="0"/>
        <v>158.00000000000003</v>
      </c>
      <c r="P43" s="15">
        <f t="shared" si="1"/>
        <v>245.14285714285717</v>
      </c>
    </row>
    <row r="44" spans="2:32" ht="23.1" customHeight="1" x14ac:dyDescent="0.25">
      <c r="B44" s="25" t="s">
        <v>71</v>
      </c>
      <c r="C44" s="49">
        <f>AVERAGE('22.07 Masanafu-Busega'!C44,'23.07 Masanafu-Busega'!C44,'24.07 Masanafu-Busega'!C44,'25.07 Masanafu-Busega'!C44,'26.07 Masanafu-Busega-24h'!C44,'27.07 Busega-Masanafu-24h'!C44,'28.07 Masanafu-Busega'!C44)</f>
        <v>91</v>
      </c>
      <c r="D44" s="49">
        <f>AVERAGE('22.07 Masanafu-Busega'!D44,'23.07 Masanafu-Busega'!D44,'24.07 Masanafu-Busega'!D44,'25.07 Masanafu-Busega'!D44,'26.07 Masanafu-Busega-24h'!D44,'27.07 Busega-Masanafu-24h'!D44,'28.07 Masanafu-Busega'!D44)</f>
        <v>14</v>
      </c>
      <c r="E44" s="49">
        <f>AVERAGE('22.07 Masanafu-Busega'!E44,'23.07 Masanafu-Busega'!E44,'24.07 Masanafu-Busega'!E44,'25.07 Masanafu-Busega'!E44,'26.07 Masanafu-Busega-24h'!E44,'27.07 Busega-Masanafu-24h'!E44,'28.07 Masanafu-Busega'!E44)</f>
        <v>11.285714285714286</v>
      </c>
      <c r="F44" s="49">
        <f>AVERAGE('22.07 Masanafu-Busega'!F44,'23.07 Masanafu-Busega'!F44,'24.07 Masanafu-Busega'!F44,'25.07 Masanafu-Busega'!F44,'26.07 Masanafu-Busega-24h'!F44,'27.07 Busega-Masanafu-24h'!F44,'28.07 Masanafu-Busega'!F44)</f>
        <v>33.857142857142854</v>
      </c>
      <c r="G44" s="49">
        <f>AVERAGE('22.07 Masanafu-Busega'!G44,'23.07 Masanafu-Busega'!G44,'24.07 Masanafu-Busega'!G44,'25.07 Masanafu-Busega'!G44,'26.07 Masanafu-Busega-24h'!G44,'27.07 Busega-Masanafu-24h'!G44,'28.07 Masanafu-Busega'!G44)</f>
        <v>0.5714285714285714</v>
      </c>
      <c r="H44" s="49">
        <f>AVERAGE('22.07 Masanafu-Busega'!H44,'23.07 Masanafu-Busega'!H44,'24.07 Masanafu-Busega'!H44,'25.07 Masanafu-Busega'!H44,'26.07 Masanafu-Busega-24h'!H44,'27.07 Busega-Masanafu-24h'!H44,'28.07 Masanafu-Busega'!H44)</f>
        <v>0.42857142857142855</v>
      </c>
      <c r="I44" s="49">
        <f>AVERAGE('22.07 Masanafu-Busega'!I44,'23.07 Masanafu-Busega'!I44,'24.07 Masanafu-Busega'!I44,'25.07 Masanafu-Busega'!I44,'26.07 Masanafu-Busega-24h'!I44,'27.07 Busega-Masanafu-24h'!I44,'28.07 Masanafu-Busega'!I44)</f>
        <v>15.857142857142858</v>
      </c>
      <c r="J44" s="49">
        <f>AVERAGE('22.07 Masanafu-Busega'!J44,'23.07 Masanafu-Busega'!J44,'24.07 Masanafu-Busega'!J44,'25.07 Masanafu-Busega'!J44,'26.07 Masanafu-Busega-24h'!J44,'27.07 Busega-Masanafu-24h'!J44,'28.07 Masanafu-Busega'!J44)</f>
        <v>7.8571428571428568</v>
      </c>
      <c r="K44" s="49">
        <f>AVERAGE('22.07 Masanafu-Busega'!K44,'23.07 Masanafu-Busega'!K44,'24.07 Masanafu-Busega'!K44,'25.07 Masanafu-Busega'!K44,'26.07 Masanafu-Busega-24h'!K44,'27.07 Busega-Masanafu-24h'!K44,'28.07 Masanafu-Busega'!K44)</f>
        <v>5.5714285714285712</v>
      </c>
      <c r="L44" s="49">
        <f>AVERAGE('22.07 Masanafu-Busega'!L44,'23.07 Masanafu-Busega'!L44,'24.07 Masanafu-Busega'!L44,'25.07 Masanafu-Busega'!L44,'26.07 Masanafu-Busega-24h'!L44,'27.07 Busega-Masanafu-24h'!L44,'28.07 Masanafu-Busega'!L44)</f>
        <v>5.1428571428571432</v>
      </c>
      <c r="M44" s="49">
        <f>AVERAGE('22.07 Masanafu-Busega'!M44,'23.07 Masanafu-Busega'!M44,'24.07 Masanafu-Busega'!M44,'25.07 Masanafu-Busega'!M44,'26.07 Masanafu-Busega-24h'!M44,'27.07 Busega-Masanafu-24h'!M44,'28.07 Masanafu-Busega'!M44)</f>
        <v>85.857142857142861</v>
      </c>
      <c r="N44" s="49">
        <f>AVERAGE('22.07 Masanafu-Busega'!N44,'23.07 Masanafu-Busega'!N44,'24.07 Masanafu-Busega'!N44,'25.07 Masanafu-Busega'!N44,'26.07 Masanafu-Busega-24h'!N44,'27.07 Masanafu-Busega-24h'!N44,'28.07 Masanafu-Busega'!N44)</f>
        <v>0</v>
      </c>
      <c r="O44" s="15">
        <f t="shared" si="0"/>
        <v>185.57142857142858</v>
      </c>
      <c r="P44" s="15">
        <f t="shared" si="1"/>
        <v>271.42857142857144</v>
      </c>
    </row>
    <row r="45" spans="2:32" ht="23.1" customHeight="1" x14ac:dyDescent="0.25">
      <c r="B45" s="23" t="s">
        <v>72</v>
      </c>
      <c r="C45" s="49">
        <f>AVERAGE('22.07 Masanafu-Busega'!C45,'23.07 Masanafu-Busega'!C45,'24.07 Masanafu-Busega'!C45,'25.07 Masanafu-Busega'!C45,'26.07 Masanafu-Busega-24h'!C45,'27.07 Busega-Masanafu-24h'!C45,'28.07 Masanafu-Busega'!C45)</f>
        <v>79.428571428571431</v>
      </c>
      <c r="D45" s="49">
        <f>AVERAGE('22.07 Masanafu-Busega'!D45,'23.07 Masanafu-Busega'!D45,'24.07 Masanafu-Busega'!D45,'25.07 Masanafu-Busega'!D45,'26.07 Masanafu-Busega-24h'!D45,'27.07 Busega-Masanafu-24h'!D45,'28.07 Masanafu-Busega'!D45)</f>
        <v>10.285714285714286</v>
      </c>
      <c r="E45" s="49">
        <f>AVERAGE('22.07 Masanafu-Busega'!E45,'23.07 Masanafu-Busega'!E45,'24.07 Masanafu-Busega'!E45,'25.07 Masanafu-Busega'!E45,'26.07 Masanafu-Busega-24h'!E45,'27.07 Busega-Masanafu-24h'!E45,'28.07 Masanafu-Busega'!E45)</f>
        <v>10.857142857142858</v>
      </c>
      <c r="F45" s="49">
        <f>AVERAGE('22.07 Masanafu-Busega'!F45,'23.07 Masanafu-Busega'!F45,'24.07 Masanafu-Busega'!F45,'25.07 Masanafu-Busega'!F45,'26.07 Masanafu-Busega-24h'!F45,'27.07 Busega-Masanafu-24h'!F45,'28.07 Masanafu-Busega'!F45)</f>
        <v>28.571428571428573</v>
      </c>
      <c r="G45" s="49">
        <f>AVERAGE('22.07 Masanafu-Busega'!G45,'23.07 Masanafu-Busega'!G45,'24.07 Masanafu-Busega'!G45,'25.07 Masanafu-Busega'!G45,'26.07 Masanafu-Busega-24h'!G45,'27.07 Busega-Masanafu-24h'!G45,'28.07 Masanafu-Busega'!G45)</f>
        <v>1.1428571428571428</v>
      </c>
      <c r="H45" s="49">
        <f>AVERAGE('22.07 Masanafu-Busega'!H45,'23.07 Masanafu-Busega'!H45,'24.07 Masanafu-Busega'!H45,'25.07 Masanafu-Busega'!H45,'26.07 Masanafu-Busega-24h'!H45,'27.07 Busega-Masanafu-24h'!H45,'28.07 Masanafu-Busega'!H45)</f>
        <v>0.8571428571428571</v>
      </c>
      <c r="I45" s="49">
        <f>AVERAGE('22.07 Masanafu-Busega'!I45,'23.07 Masanafu-Busega'!I45,'24.07 Masanafu-Busega'!I45,'25.07 Masanafu-Busega'!I45,'26.07 Masanafu-Busega-24h'!I45,'27.07 Busega-Masanafu-24h'!I45,'28.07 Masanafu-Busega'!I45)</f>
        <v>15.428571428571429</v>
      </c>
      <c r="J45" s="49">
        <f>AVERAGE('22.07 Masanafu-Busega'!J45,'23.07 Masanafu-Busega'!J45,'24.07 Masanafu-Busega'!J45,'25.07 Masanafu-Busega'!J45,'26.07 Masanafu-Busega-24h'!J45,'27.07 Busega-Masanafu-24h'!J45,'28.07 Masanafu-Busega'!J45)</f>
        <v>6.2857142857142856</v>
      </c>
      <c r="K45" s="49">
        <f>AVERAGE('22.07 Masanafu-Busega'!K45,'23.07 Masanafu-Busega'!K45,'24.07 Masanafu-Busega'!K45,'25.07 Masanafu-Busega'!K45,'26.07 Masanafu-Busega-24h'!K45,'27.07 Busega-Masanafu-24h'!K45,'28.07 Masanafu-Busega'!K45)</f>
        <v>4.7142857142857144</v>
      </c>
      <c r="L45" s="49">
        <f>AVERAGE('22.07 Masanafu-Busega'!L45,'23.07 Masanafu-Busega'!L45,'24.07 Masanafu-Busega'!L45,'25.07 Masanafu-Busega'!L45,'26.07 Masanafu-Busega-24h'!L45,'27.07 Busega-Masanafu-24h'!L45,'28.07 Masanafu-Busega'!L45)</f>
        <v>5</v>
      </c>
      <c r="M45" s="49">
        <f>AVERAGE('22.07 Masanafu-Busega'!M45,'23.07 Masanafu-Busega'!M45,'24.07 Masanafu-Busega'!M45,'25.07 Masanafu-Busega'!M45,'26.07 Masanafu-Busega-24h'!M45,'27.07 Busega-Masanafu-24h'!M45,'28.07 Masanafu-Busega'!M45)</f>
        <v>77.714285714285708</v>
      </c>
      <c r="N45" s="49">
        <f>AVERAGE('22.07 Masanafu-Busega'!N45,'23.07 Masanafu-Busega'!N45,'24.07 Masanafu-Busega'!N45,'25.07 Masanafu-Busega'!N45,'26.07 Masanafu-Busega-24h'!N45,'27.07 Masanafu-Busega-24h'!N45,'28.07 Masanafu-Busega'!N45)</f>
        <v>0</v>
      </c>
      <c r="O45" s="15">
        <f t="shared" si="0"/>
        <v>162.57142857142858</v>
      </c>
      <c r="P45" s="15">
        <f t="shared" si="1"/>
        <v>240.28571428571428</v>
      </c>
    </row>
    <row r="46" spans="2:32" ht="23.1" customHeight="1" x14ac:dyDescent="0.25">
      <c r="B46" s="24" t="s">
        <v>73</v>
      </c>
      <c r="C46" s="49">
        <f>AVERAGE('22.07 Masanafu-Busega'!C46,'23.07 Masanafu-Busega'!C46,'24.07 Masanafu-Busega'!C46,'25.07 Masanafu-Busega'!C46,'26.07 Masanafu-Busega-24h'!C46,'27.07 Busega-Masanafu-24h'!C46,'28.07 Masanafu-Busega'!C46)</f>
        <v>83</v>
      </c>
      <c r="D46" s="49">
        <f>AVERAGE('22.07 Masanafu-Busega'!D46,'23.07 Masanafu-Busega'!D46,'24.07 Masanafu-Busega'!D46,'25.07 Masanafu-Busega'!D46,'26.07 Masanafu-Busega-24h'!D46,'27.07 Busega-Masanafu-24h'!D46,'28.07 Masanafu-Busega'!D46)</f>
        <v>9.5714285714285712</v>
      </c>
      <c r="E46" s="49">
        <f>AVERAGE('22.07 Masanafu-Busega'!E46,'23.07 Masanafu-Busega'!E46,'24.07 Masanafu-Busega'!E46,'25.07 Masanafu-Busega'!E46,'26.07 Masanafu-Busega-24h'!E46,'27.07 Busega-Masanafu-24h'!E46,'28.07 Masanafu-Busega'!E46)</f>
        <v>11.857142857142858</v>
      </c>
      <c r="F46" s="49">
        <f>AVERAGE('22.07 Masanafu-Busega'!F46,'23.07 Masanafu-Busega'!F46,'24.07 Masanafu-Busega'!F46,'25.07 Masanafu-Busega'!F46,'26.07 Masanafu-Busega-24h'!F46,'27.07 Busega-Masanafu-24h'!F46,'28.07 Masanafu-Busega'!F46)</f>
        <v>30.714285714285715</v>
      </c>
      <c r="G46" s="49">
        <f>AVERAGE('22.07 Masanafu-Busega'!G46,'23.07 Masanafu-Busega'!G46,'24.07 Masanafu-Busega'!G46,'25.07 Masanafu-Busega'!G46,'26.07 Masanafu-Busega-24h'!G46,'27.07 Busega-Masanafu-24h'!G46,'28.07 Masanafu-Busega'!G46)</f>
        <v>0.5714285714285714</v>
      </c>
      <c r="H46" s="49">
        <f>AVERAGE('22.07 Masanafu-Busega'!H46,'23.07 Masanafu-Busega'!H46,'24.07 Masanafu-Busega'!H46,'25.07 Masanafu-Busega'!H46,'26.07 Masanafu-Busega-24h'!H46,'27.07 Busega-Masanafu-24h'!H46,'28.07 Masanafu-Busega'!H46)</f>
        <v>0.2857142857142857</v>
      </c>
      <c r="I46" s="49">
        <f>AVERAGE('22.07 Masanafu-Busega'!I46,'23.07 Masanafu-Busega'!I46,'24.07 Masanafu-Busega'!I46,'25.07 Masanafu-Busega'!I46,'26.07 Masanafu-Busega-24h'!I46,'27.07 Busega-Masanafu-24h'!I46,'28.07 Masanafu-Busega'!I46)</f>
        <v>16.571428571428573</v>
      </c>
      <c r="J46" s="49">
        <f>AVERAGE('22.07 Masanafu-Busega'!J46,'23.07 Masanafu-Busega'!J46,'24.07 Masanafu-Busega'!J46,'25.07 Masanafu-Busega'!J46,'26.07 Masanafu-Busega-24h'!J46,'27.07 Busega-Masanafu-24h'!J46,'28.07 Masanafu-Busega'!J46)</f>
        <v>6.4285714285714288</v>
      </c>
      <c r="K46" s="49">
        <f>AVERAGE('22.07 Masanafu-Busega'!K46,'23.07 Masanafu-Busega'!K46,'24.07 Masanafu-Busega'!K46,'25.07 Masanafu-Busega'!K46,'26.07 Masanafu-Busega-24h'!K46,'27.07 Busega-Masanafu-24h'!K46,'28.07 Masanafu-Busega'!K46)</f>
        <v>6</v>
      </c>
      <c r="L46" s="49">
        <f>AVERAGE('22.07 Masanafu-Busega'!L46,'23.07 Masanafu-Busega'!L46,'24.07 Masanafu-Busega'!L46,'25.07 Masanafu-Busega'!L46,'26.07 Masanafu-Busega-24h'!L46,'27.07 Busega-Masanafu-24h'!L46,'28.07 Masanafu-Busega'!L46)</f>
        <v>6.1428571428571432</v>
      </c>
      <c r="M46" s="49">
        <f>AVERAGE('22.07 Masanafu-Busega'!M46,'23.07 Masanafu-Busega'!M46,'24.07 Masanafu-Busega'!M46,'25.07 Masanafu-Busega'!M46,'26.07 Masanafu-Busega-24h'!M46,'27.07 Busega-Masanafu-24h'!M46,'28.07 Masanafu-Busega'!M46)</f>
        <v>86.428571428571431</v>
      </c>
      <c r="N46" s="49">
        <f>AVERAGE('22.07 Masanafu-Busega'!N46,'23.07 Masanafu-Busega'!N46,'24.07 Masanafu-Busega'!N46,'25.07 Masanafu-Busega'!N46,'26.07 Masanafu-Busega-24h'!N46,'27.07 Masanafu-Busega-24h'!N46,'28.07 Masanafu-Busega'!N46)</f>
        <v>0</v>
      </c>
      <c r="O46" s="15">
        <f t="shared" si="0"/>
        <v>171.14285714285714</v>
      </c>
      <c r="P46" s="15">
        <f t="shared" si="1"/>
        <v>257.57142857142856</v>
      </c>
      <c r="R46" s="8"/>
      <c r="T46"/>
    </row>
    <row r="47" spans="2:32" ht="23.1" customHeight="1" x14ac:dyDescent="0.25">
      <c r="B47" s="24" t="s">
        <v>74</v>
      </c>
      <c r="C47" s="49">
        <f>AVERAGE('22.07 Masanafu-Busega'!C47,'23.07 Masanafu-Busega'!C47,'24.07 Masanafu-Busega'!C47,'25.07 Masanafu-Busega'!C47,'26.07 Masanafu-Busega-24h'!C47,'27.07 Busega-Masanafu-24h'!C47,'28.07 Masanafu-Busega'!C47)</f>
        <v>85.428571428571431</v>
      </c>
      <c r="D47" s="49">
        <f>AVERAGE('22.07 Masanafu-Busega'!D47,'23.07 Masanafu-Busega'!D47,'24.07 Masanafu-Busega'!D47,'25.07 Masanafu-Busega'!D47,'26.07 Masanafu-Busega-24h'!D47,'27.07 Busega-Masanafu-24h'!D47,'28.07 Masanafu-Busega'!D47)</f>
        <v>12.428571428571429</v>
      </c>
      <c r="E47" s="49">
        <f>AVERAGE('22.07 Masanafu-Busega'!E47,'23.07 Masanafu-Busega'!E47,'24.07 Masanafu-Busega'!E47,'25.07 Masanafu-Busega'!E47,'26.07 Masanafu-Busega-24h'!E47,'27.07 Busega-Masanafu-24h'!E47,'28.07 Masanafu-Busega'!E47)</f>
        <v>12</v>
      </c>
      <c r="F47" s="49">
        <f>AVERAGE('22.07 Masanafu-Busega'!F47,'23.07 Masanafu-Busega'!F47,'24.07 Masanafu-Busega'!F47,'25.07 Masanafu-Busega'!F47,'26.07 Masanafu-Busega-24h'!F47,'27.07 Busega-Masanafu-24h'!F47,'28.07 Masanafu-Busega'!F47)</f>
        <v>36.571428571428569</v>
      </c>
      <c r="G47" s="49">
        <f>AVERAGE('22.07 Masanafu-Busega'!G47,'23.07 Masanafu-Busega'!G47,'24.07 Masanafu-Busega'!G47,'25.07 Masanafu-Busega'!G47,'26.07 Masanafu-Busega-24h'!G47,'27.07 Busega-Masanafu-24h'!G47,'28.07 Masanafu-Busega'!G47)</f>
        <v>1.4285714285714286</v>
      </c>
      <c r="H47" s="49">
        <f>AVERAGE('22.07 Masanafu-Busega'!H47,'23.07 Masanafu-Busega'!H47,'24.07 Masanafu-Busega'!H47,'25.07 Masanafu-Busega'!H47,'26.07 Masanafu-Busega-24h'!H47,'27.07 Busega-Masanafu-24h'!H47,'28.07 Masanafu-Busega'!H47)</f>
        <v>0.42857142857142855</v>
      </c>
      <c r="I47" s="49">
        <f>AVERAGE('22.07 Masanafu-Busega'!I47,'23.07 Masanafu-Busega'!I47,'24.07 Masanafu-Busega'!I47,'25.07 Masanafu-Busega'!I47,'26.07 Masanafu-Busega-24h'!I47,'27.07 Busega-Masanafu-24h'!I47,'28.07 Masanafu-Busega'!I47)</f>
        <v>17.285714285714285</v>
      </c>
      <c r="J47" s="49">
        <f>AVERAGE('22.07 Masanafu-Busega'!J47,'23.07 Masanafu-Busega'!J47,'24.07 Masanafu-Busega'!J47,'25.07 Masanafu-Busega'!J47,'26.07 Masanafu-Busega-24h'!J47,'27.07 Busega-Masanafu-24h'!J47,'28.07 Masanafu-Busega'!J47)</f>
        <v>7.7142857142857144</v>
      </c>
      <c r="K47" s="49">
        <f>AVERAGE('22.07 Masanafu-Busega'!K47,'23.07 Masanafu-Busega'!K47,'24.07 Masanafu-Busega'!K47,'25.07 Masanafu-Busega'!K47,'26.07 Masanafu-Busega-24h'!K47,'27.07 Busega-Masanafu-24h'!K47,'28.07 Masanafu-Busega'!K47)</f>
        <v>2.4285714285714284</v>
      </c>
      <c r="L47" s="49">
        <f>AVERAGE('22.07 Masanafu-Busega'!L47,'23.07 Masanafu-Busega'!L47,'24.07 Masanafu-Busega'!L47,'25.07 Masanafu-Busega'!L47,'26.07 Masanafu-Busega-24h'!L47,'27.07 Busega-Masanafu-24h'!L47,'28.07 Masanafu-Busega'!L47)</f>
        <v>7.2857142857142856</v>
      </c>
      <c r="M47" s="49">
        <f>AVERAGE('22.07 Masanafu-Busega'!M47,'23.07 Masanafu-Busega'!M47,'24.07 Masanafu-Busega'!M47,'25.07 Masanafu-Busega'!M47,'26.07 Masanafu-Busega-24h'!M47,'27.07 Busega-Masanafu-24h'!M47,'28.07 Masanafu-Busega'!M47)</f>
        <v>94.857142857142861</v>
      </c>
      <c r="N47" s="49">
        <f>AVERAGE('22.07 Masanafu-Busega'!N47,'23.07 Masanafu-Busega'!N47,'24.07 Masanafu-Busega'!N47,'25.07 Masanafu-Busega'!N47,'26.07 Masanafu-Busega-24h'!N47,'27.07 Masanafu-Busega-24h'!N47,'28.07 Masanafu-Busega'!N47)</f>
        <v>0</v>
      </c>
      <c r="O47" s="15">
        <f t="shared" si="0"/>
        <v>182.99999999999997</v>
      </c>
      <c r="P47" s="15">
        <f t="shared" si="1"/>
        <v>277.85714285714283</v>
      </c>
    </row>
    <row r="48" spans="2:32" ht="23.1" customHeight="1" x14ac:dyDescent="0.25">
      <c r="B48" s="24" t="s">
        <v>75</v>
      </c>
      <c r="C48" s="49">
        <f>AVERAGE('22.07 Masanafu-Busega'!C48,'23.07 Masanafu-Busega'!C48,'24.07 Masanafu-Busega'!C48,'25.07 Masanafu-Busega'!C48,'26.07 Masanafu-Busega-24h'!C48,'27.07 Busega-Masanafu-24h'!C48,'28.07 Masanafu-Busega'!C48)</f>
        <v>97.714285714285708</v>
      </c>
      <c r="D48" s="49">
        <f>AVERAGE('22.07 Masanafu-Busega'!D48,'23.07 Masanafu-Busega'!D48,'24.07 Masanafu-Busega'!D48,'25.07 Masanafu-Busega'!D48,'26.07 Masanafu-Busega-24h'!D48,'27.07 Busega-Masanafu-24h'!D48,'28.07 Masanafu-Busega'!D48)</f>
        <v>11.285714285714286</v>
      </c>
      <c r="E48" s="49">
        <f>AVERAGE('22.07 Masanafu-Busega'!E48,'23.07 Masanafu-Busega'!E48,'24.07 Masanafu-Busega'!E48,'25.07 Masanafu-Busega'!E48,'26.07 Masanafu-Busega-24h'!E48,'27.07 Busega-Masanafu-24h'!E48,'28.07 Masanafu-Busega'!E48)</f>
        <v>10.285714285714286</v>
      </c>
      <c r="F48" s="49">
        <f>AVERAGE('22.07 Masanafu-Busega'!F48,'23.07 Masanafu-Busega'!F48,'24.07 Masanafu-Busega'!F48,'25.07 Masanafu-Busega'!F48,'26.07 Masanafu-Busega-24h'!F48,'27.07 Busega-Masanafu-24h'!F48,'28.07 Masanafu-Busega'!F48)</f>
        <v>33.571428571428569</v>
      </c>
      <c r="G48" s="49">
        <f>AVERAGE('22.07 Masanafu-Busega'!G48,'23.07 Masanafu-Busega'!G48,'24.07 Masanafu-Busega'!G48,'25.07 Masanafu-Busega'!G48,'26.07 Masanafu-Busega-24h'!G48,'27.07 Busega-Masanafu-24h'!G48,'28.07 Masanafu-Busega'!G48)</f>
        <v>2.2857142857142856</v>
      </c>
      <c r="H48" s="49">
        <f>AVERAGE('22.07 Masanafu-Busega'!H48,'23.07 Masanafu-Busega'!H48,'24.07 Masanafu-Busega'!H48,'25.07 Masanafu-Busega'!H48,'26.07 Masanafu-Busega-24h'!H48,'27.07 Busega-Masanafu-24h'!H48,'28.07 Masanafu-Busega'!H48)</f>
        <v>0.5714285714285714</v>
      </c>
      <c r="I48" s="49">
        <f>AVERAGE('22.07 Masanafu-Busega'!I48,'23.07 Masanafu-Busega'!I48,'24.07 Masanafu-Busega'!I48,'25.07 Masanafu-Busega'!I48,'26.07 Masanafu-Busega-24h'!I48,'27.07 Busega-Masanafu-24h'!I48,'28.07 Masanafu-Busega'!I48)</f>
        <v>18.285714285714285</v>
      </c>
      <c r="J48" s="49">
        <f>AVERAGE('22.07 Masanafu-Busega'!J48,'23.07 Masanafu-Busega'!J48,'24.07 Masanafu-Busega'!J48,'25.07 Masanafu-Busega'!J48,'26.07 Masanafu-Busega-24h'!J48,'27.07 Busega-Masanafu-24h'!J48,'28.07 Masanafu-Busega'!J48)</f>
        <v>8.4285714285714288</v>
      </c>
      <c r="K48" s="49">
        <f>AVERAGE('22.07 Masanafu-Busega'!K48,'23.07 Masanafu-Busega'!K48,'24.07 Masanafu-Busega'!K48,'25.07 Masanafu-Busega'!K48,'26.07 Masanafu-Busega-24h'!K48,'27.07 Busega-Masanafu-24h'!K48,'28.07 Masanafu-Busega'!K48)</f>
        <v>4.2857142857142856</v>
      </c>
      <c r="L48" s="49">
        <f>AVERAGE('22.07 Masanafu-Busega'!L48,'23.07 Masanafu-Busega'!L48,'24.07 Masanafu-Busega'!L48,'25.07 Masanafu-Busega'!L48,'26.07 Masanafu-Busega-24h'!L48,'27.07 Busega-Masanafu-24h'!L48,'28.07 Masanafu-Busega'!L48)</f>
        <v>4.4285714285714288</v>
      </c>
      <c r="M48" s="49">
        <f>AVERAGE('22.07 Masanafu-Busega'!M48,'23.07 Masanafu-Busega'!M48,'24.07 Masanafu-Busega'!M48,'25.07 Masanafu-Busega'!M48,'26.07 Masanafu-Busega-24h'!M48,'27.07 Busega-Masanafu-24h'!M48,'28.07 Masanafu-Busega'!M48)</f>
        <v>92.142857142857139</v>
      </c>
      <c r="N48" s="49">
        <f>AVERAGE('22.07 Masanafu-Busega'!N48,'23.07 Masanafu-Busega'!N48,'24.07 Masanafu-Busega'!N48,'25.07 Masanafu-Busega'!N48,'26.07 Masanafu-Busega-24h'!N48,'27.07 Masanafu-Busega-24h'!N48,'28.07 Masanafu-Busega'!N48)</f>
        <v>0</v>
      </c>
      <c r="O48" s="15">
        <f t="shared" si="0"/>
        <v>191.14285714285711</v>
      </c>
      <c r="P48" s="15">
        <f t="shared" si="1"/>
        <v>283.28571428571422</v>
      </c>
    </row>
    <row r="49" spans="2:20" ht="23.1" customHeight="1" x14ac:dyDescent="0.25">
      <c r="B49" s="23" t="s">
        <v>76</v>
      </c>
      <c r="C49" s="49">
        <f>AVERAGE('22.07 Masanafu-Busega'!C49,'23.07 Masanafu-Busega'!C49,'24.07 Masanafu-Busega'!C49,'25.07 Masanafu-Busega'!C49,'26.07 Masanafu-Busega-24h'!C49,'27.07 Busega-Masanafu-24h'!C49,'28.07 Masanafu-Busega'!C49)</f>
        <v>112.42857142857143</v>
      </c>
      <c r="D49" s="49">
        <f>AVERAGE('22.07 Masanafu-Busega'!D49,'23.07 Masanafu-Busega'!D49,'24.07 Masanafu-Busega'!D49,'25.07 Masanafu-Busega'!D49,'26.07 Masanafu-Busega-24h'!D49,'27.07 Busega-Masanafu-24h'!D49,'28.07 Masanafu-Busega'!D49)</f>
        <v>12.428571428571429</v>
      </c>
      <c r="E49" s="49">
        <f>AVERAGE('22.07 Masanafu-Busega'!E49,'23.07 Masanafu-Busega'!E49,'24.07 Masanafu-Busega'!E49,'25.07 Masanafu-Busega'!E49,'26.07 Masanafu-Busega-24h'!E49,'27.07 Busega-Masanafu-24h'!E49,'28.07 Masanafu-Busega'!E49)</f>
        <v>12</v>
      </c>
      <c r="F49" s="49">
        <f>AVERAGE('22.07 Masanafu-Busega'!F49,'23.07 Masanafu-Busega'!F49,'24.07 Masanafu-Busega'!F49,'25.07 Masanafu-Busega'!F49,'26.07 Masanafu-Busega-24h'!F49,'27.07 Busega-Masanafu-24h'!F49,'28.07 Masanafu-Busega'!F49)</f>
        <v>41.142857142857146</v>
      </c>
      <c r="G49" s="49">
        <f>AVERAGE('22.07 Masanafu-Busega'!G49,'23.07 Masanafu-Busega'!G49,'24.07 Masanafu-Busega'!G49,'25.07 Masanafu-Busega'!G49,'26.07 Masanafu-Busega-24h'!G49,'27.07 Busega-Masanafu-24h'!G49,'28.07 Masanafu-Busega'!G49)</f>
        <v>1.4285714285714286</v>
      </c>
      <c r="H49" s="49">
        <f>AVERAGE('22.07 Masanafu-Busega'!H49,'23.07 Masanafu-Busega'!H49,'24.07 Masanafu-Busega'!H49,'25.07 Masanafu-Busega'!H49,'26.07 Masanafu-Busega-24h'!H49,'27.07 Busega-Masanafu-24h'!H49,'28.07 Masanafu-Busega'!H49)</f>
        <v>0.14285714285714285</v>
      </c>
      <c r="I49" s="49">
        <f>AVERAGE('22.07 Masanafu-Busega'!I49,'23.07 Masanafu-Busega'!I49,'24.07 Masanafu-Busega'!I49,'25.07 Masanafu-Busega'!I49,'26.07 Masanafu-Busega-24h'!I49,'27.07 Busega-Masanafu-24h'!I49,'28.07 Masanafu-Busega'!I49)</f>
        <v>18</v>
      </c>
      <c r="J49" s="49">
        <f>AVERAGE('22.07 Masanafu-Busega'!J49,'23.07 Masanafu-Busega'!J49,'24.07 Masanafu-Busega'!J49,'25.07 Masanafu-Busega'!J49,'26.07 Masanafu-Busega-24h'!J49,'27.07 Busega-Masanafu-24h'!J49,'28.07 Masanafu-Busega'!J49)</f>
        <v>9.7142857142857135</v>
      </c>
      <c r="K49" s="49">
        <f>AVERAGE('22.07 Masanafu-Busega'!K49,'23.07 Masanafu-Busega'!K49,'24.07 Masanafu-Busega'!K49,'25.07 Masanafu-Busega'!K49,'26.07 Masanafu-Busega-24h'!K49,'27.07 Busega-Masanafu-24h'!K49,'28.07 Masanafu-Busega'!K49)</f>
        <v>4.7142857142857144</v>
      </c>
      <c r="L49" s="49">
        <f>AVERAGE('22.07 Masanafu-Busega'!L49,'23.07 Masanafu-Busega'!L49,'24.07 Masanafu-Busega'!L49,'25.07 Masanafu-Busega'!L49,'26.07 Masanafu-Busega-24h'!L49,'27.07 Busega-Masanafu-24h'!L49,'28.07 Masanafu-Busega'!L49)</f>
        <v>5.1428571428571432</v>
      </c>
      <c r="M49" s="49">
        <f>AVERAGE('22.07 Masanafu-Busega'!M49,'23.07 Masanafu-Busega'!M49,'24.07 Masanafu-Busega'!M49,'25.07 Masanafu-Busega'!M49,'26.07 Masanafu-Busega-24h'!M49,'27.07 Busega-Masanafu-24h'!M49,'28.07 Masanafu-Busega'!M49)</f>
        <v>98</v>
      </c>
      <c r="N49" s="49">
        <f>AVERAGE('22.07 Masanafu-Busega'!N49,'23.07 Masanafu-Busega'!N49,'24.07 Masanafu-Busega'!N49,'25.07 Masanafu-Busega'!N49,'26.07 Masanafu-Busega-24h'!N49,'27.07 Masanafu-Busega-24h'!N49,'28.07 Masanafu-Busega'!N49)</f>
        <v>0</v>
      </c>
      <c r="O49" s="15">
        <f t="shared" si="0"/>
        <v>217.14285714285714</v>
      </c>
      <c r="P49" s="15">
        <f t="shared" si="1"/>
        <v>315.14285714285711</v>
      </c>
    </row>
    <row r="50" spans="2:20" ht="23.1" customHeight="1" x14ac:dyDescent="0.25">
      <c r="B50" s="24" t="s">
        <v>77</v>
      </c>
      <c r="C50" s="49">
        <f>AVERAGE('22.07 Masanafu-Busega'!C50,'23.07 Masanafu-Busega'!C50,'24.07 Masanafu-Busega'!C50,'25.07 Masanafu-Busega'!C50,'26.07 Masanafu-Busega-24h'!C50,'27.07 Busega-Masanafu-24h'!C50,'28.07 Masanafu-Busega'!C50)</f>
        <v>92.285714285714292</v>
      </c>
      <c r="D50" s="49">
        <f>AVERAGE('22.07 Masanafu-Busega'!D50,'23.07 Masanafu-Busega'!D50,'24.07 Masanafu-Busega'!D50,'25.07 Masanafu-Busega'!D50,'26.07 Masanafu-Busega-24h'!D50,'27.07 Busega-Masanafu-24h'!D50,'28.07 Masanafu-Busega'!D50)</f>
        <v>13</v>
      </c>
      <c r="E50" s="49">
        <f>AVERAGE('22.07 Masanafu-Busega'!E50,'23.07 Masanafu-Busega'!E50,'24.07 Masanafu-Busega'!E50,'25.07 Masanafu-Busega'!E50,'26.07 Masanafu-Busega-24h'!E50,'27.07 Busega-Masanafu-24h'!E50,'28.07 Masanafu-Busega'!E50)</f>
        <v>9.4285714285714288</v>
      </c>
      <c r="F50" s="49">
        <f>AVERAGE('22.07 Masanafu-Busega'!F50,'23.07 Masanafu-Busega'!F50,'24.07 Masanafu-Busega'!F50,'25.07 Masanafu-Busega'!F50,'26.07 Masanafu-Busega-24h'!F50,'27.07 Busega-Masanafu-24h'!F50,'28.07 Masanafu-Busega'!F50)</f>
        <v>35</v>
      </c>
      <c r="G50" s="49">
        <f>AVERAGE('22.07 Masanafu-Busega'!G50,'23.07 Masanafu-Busega'!G50,'24.07 Masanafu-Busega'!G50,'25.07 Masanafu-Busega'!G50,'26.07 Masanafu-Busega-24h'!G50,'27.07 Busega-Masanafu-24h'!G50,'28.07 Masanafu-Busega'!G50)</f>
        <v>1.1428571428571428</v>
      </c>
      <c r="H50" s="49">
        <f>AVERAGE('22.07 Masanafu-Busega'!H50,'23.07 Masanafu-Busega'!H50,'24.07 Masanafu-Busega'!H50,'25.07 Masanafu-Busega'!H50,'26.07 Masanafu-Busega-24h'!H50,'27.07 Busega-Masanafu-24h'!H50,'28.07 Masanafu-Busega'!H50)</f>
        <v>0.42857142857142855</v>
      </c>
      <c r="I50" s="49">
        <f>AVERAGE('22.07 Masanafu-Busega'!I50,'23.07 Masanafu-Busega'!I50,'24.07 Masanafu-Busega'!I50,'25.07 Masanafu-Busega'!I50,'26.07 Masanafu-Busega-24h'!I50,'27.07 Busega-Masanafu-24h'!I50,'28.07 Masanafu-Busega'!I50)</f>
        <v>16</v>
      </c>
      <c r="J50" s="49">
        <f>AVERAGE('22.07 Masanafu-Busega'!J50,'23.07 Masanafu-Busega'!J50,'24.07 Masanafu-Busega'!J50,'25.07 Masanafu-Busega'!J50,'26.07 Masanafu-Busega-24h'!J50,'27.07 Busega-Masanafu-24h'!J50,'28.07 Masanafu-Busega'!J50)</f>
        <v>8.1428571428571423</v>
      </c>
      <c r="K50" s="49">
        <f>AVERAGE('22.07 Masanafu-Busega'!K50,'23.07 Masanafu-Busega'!K50,'24.07 Masanafu-Busega'!K50,'25.07 Masanafu-Busega'!K50,'26.07 Masanafu-Busega-24h'!K50,'27.07 Busega-Masanafu-24h'!K50,'28.07 Masanafu-Busega'!K50)</f>
        <v>4.5714285714285712</v>
      </c>
      <c r="L50" s="49">
        <f>AVERAGE('22.07 Masanafu-Busega'!L50,'23.07 Masanafu-Busega'!L50,'24.07 Masanafu-Busega'!L50,'25.07 Masanafu-Busega'!L50,'26.07 Masanafu-Busega-24h'!L50,'27.07 Busega-Masanafu-24h'!L50,'28.07 Masanafu-Busega'!L50)</f>
        <v>6.5714285714285712</v>
      </c>
      <c r="M50" s="49">
        <f>AVERAGE('22.07 Masanafu-Busega'!M50,'23.07 Masanafu-Busega'!M50,'24.07 Masanafu-Busega'!M50,'25.07 Masanafu-Busega'!M50,'26.07 Masanafu-Busega-24h'!M50,'27.07 Busega-Masanafu-24h'!M50,'28.07 Masanafu-Busega'!M50)</f>
        <v>102.85714285714286</v>
      </c>
      <c r="N50" s="49">
        <f>AVERAGE('22.07 Masanafu-Busega'!N50,'23.07 Masanafu-Busega'!N50,'24.07 Masanafu-Busega'!N50,'25.07 Masanafu-Busega'!N50,'26.07 Masanafu-Busega-24h'!N50,'27.07 Masanafu-Busega-24h'!N50,'28.07 Masanafu-Busega'!N50)</f>
        <v>0</v>
      </c>
      <c r="O50" s="15">
        <f t="shared" si="0"/>
        <v>186.57142857142858</v>
      </c>
      <c r="P50" s="15">
        <f t="shared" si="1"/>
        <v>289.42857142857144</v>
      </c>
    </row>
    <row r="51" spans="2:20" ht="23.1" customHeight="1" x14ac:dyDescent="0.25">
      <c r="B51" s="24" t="s">
        <v>78</v>
      </c>
      <c r="C51" s="49">
        <f>AVERAGE('22.07 Masanafu-Busega'!C51,'23.07 Masanafu-Busega'!C51,'24.07 Masanafu-Busega'!C51,'25.07 Masanafu-Busega'!C51,'26.07 Masanafu-Busega-24h'!C51,'27.07 Busega-Masanafu-24h'!C51,'28.07 Masanafu-Busega'!C51)</f>
        <v>103</v>
      </c>
      <c r="D51" s="49">
        <f>AVERAGE('22.07 Masanafu-Busega'!D51,'23.07 Masanafu-Busega'!D51,'24.07 Masanafu-Busega'!D51,'25.07 Masanafu-Busega'!D51,'26.07 Masanafu-Busega-24h'!D51,'27.07 Busega-Masanafu-24h'!D51,'28.07 Masanafu-Busega'!D51)</f>
        <v>14.285714285714286</v>
      </c>
      <c r="E51" s="49">
        <f>AVERAGE('22.07 Masanafu-Busega'!E51,'23.07 Masanafu-Busega'!E51,'24.07 Masanafu-Busega'!E51,'25.07 Masanafu-Busega'!E51,'26.07 Masanafu-Busega-24h'!E51,'27.07 Busega-Masanafu-24h'!E51,'28.07 Masanafu-Busega'!E51)</f>
        <v>10.142857142857142</v>
      </c>
      <c r="F51" s="49">
        <f>AVERAGE('22.07 Masanafu-Busega'!F51,'23.07 Masanafu-Busega'!F51,'24.07 Masanafu-Busega'!F51,'25.07 Masanafu-Busega'!F51,'26.07 Masanafu-Busega-24h'!F51,'27.07 Busega-Masanafu-24h'!F51,'28.07 Masanafu-Busega'!F51)</f>
        <v>34.428571428571431</v>
      </c>
      <c r="G51" s="49">
        <f>AVERAGE('22.07 Masanafu-Busega'!G51,'23.07 Masanafu-Busega'!G51,'24.07 Masanafu-Busega'!G51,'25.07 Masanafu-Busega'!G51,'26.07 Masanafu-Busega-24h'!G51,'27.07 Busega-Masanafu-24h'!G51,'28.07 Masanafu-Busega'!G51)</f>
        <v>1.1428571428571428</v>
      </c>
      <c r="H51" s="49">
        <f>AVERAGE('22.07 Masanafu-Busega'!H51,'23.07 Masanafu-Busega'!H51,'24.07 Masanafu-Busega'!H51,'25.07 Masanafu-Busega'!H51,'26.07 Masanafu-Busega-24h'!H51,'27.07 Busega-Masanafu-24h'!H51,'28.07 Masanafu-Busega'!H51)</f>
        <v>1.1428571428571428</v>
      </c>
      <c r="I51" s="49">
        <f>AVERAGE('22.07 Masanafu-Busega'!I51,'23.07 Masanafu-Busega'!I51,'24.07 Masanafu-Busega'!I51,'25.07 Masanafu-Busega'!I51,'26.07 Masanafu-Busega-24h'!I51,'27.07 Busega-Masanafu-24h'!I51,'28.07 Masanafu-Busega'!I51)</f>
        <v>20</v>
      </c>
      <c r="J51" s="49">
        <f>AVERAGE('22.07 Masanafu-Busega'!J51,'23.07 Masanafu-Busega'!J51,'24.07 Masanafu-Busega'!J51,'25.07 Masanafu-Busega'!J51,'26.07 Masanafu-Busega-24h'!J51,'27.07 Busega-Masanafu-24h'!J51,'28.07 Masanafu-Busega'!J51)</f>
        <v>6</v>
      </c>
      <c r="K51" s="49">
        <f>AVERAGE('22.07 Masanafu-Busega'!K51,'23.07 Masanafu-Busega'!K51,'24.07 Masanafu-Busega'!K51,'25.07 Masanafu-Busega'!K51,'26.07 Masanafu-Busega-24h'!K51,'27.07 Busega-Masanafu-24h'!K51,'28.07 Masanafu-Busega'!K51)</f>
        <v>4</v>
      </c>
      <c r="L51" s="49">
        <f>AVERAGE('22.07 Masanafu-Busega'!L51,'23.07 Masanafu-Busega'!L51,'24.07 Masanafu-Busega'!L51,'25.07 Masanafu-Busega'!L51,'26.07 Masanafu-Busega-24h'!L51,'27.07 Busega-Masanafu-24h'!L51,'28.07 Masanafu-Busega'!L51)</f>
        <v>5.5714285714285712</v>
      </c>
      <c r="M51" s="49">
        <f>AVERAGE('22.07 Masanafu-Busega'!M51,'23.07 Masanafu-Busega'!M51,'24.07 Masanafu-Busega'!M51,'25.07 Masanafu-Busega'!M51,'26.07 Masanafu-Busega-24h'!M51,'27.07 Busega-Masanafu-24h'!M51,'28.07 Masanafu-Busega'!M51)</f>
        <v>98</v>
      </c>
      <c r="N51" s="49">
        <f>AVERAGE('22.07 Masanafu-Busega'!N51,'23.07 Masanafu-Busega'!N51,'24.07 Masanafu-Busega'!N51,'25.07 Masanafu-Busega'!N51,'26.07 Masanafu-Busega-24h'!N51,'27.07 Masanafu-Busega-24h'!N51,'28.07 Masanafu-Busega'!N51)</f>
        <v>0</v>
      </c>
      <c r="O51" s="15">
        <f t="shared" si="0"/>
        <v>199.71428571428572</v>
      </c>
      <c r="P51" s="15">
        <f t="shared" si="1"/>
        <v>297.71428571428572</v>
      </c>
    </row>
    <row r="52" spans="2:20" ht="23.1" customHeight="1" x14ac:dyDescent="0.25">
      <c r="B52" s="24" t="s">
        <v>79</v>
      </c>
      <c r="C52" s="49">
        <f>AVERAGE('22.07 Masanafu-Busega'!C52,'23.07 Masanafu-Busega'!C52,'24.07 Masanafu-Busega'!C52,'25.07 Masanafu-Busega'!C52,'26.07 Masanafu-Busega-24h'!C52,'27.07 Busega-Masanafu-24h'!C52,'28.07 Masanafu-Busega'!C52)</f>
        <v>114.71428571428571</v>
      </c>
      <c r="D52" s="49">
        <f>AVERAGE('22.07 Masanafu-Busega'!D52,'23.07 Masanafu-Busega'!D52,'24.07 Masanafu-Busega'!D52,'25.07 Masanafu-Busega'!D52,'26.07 Masanafu-Busega-24h'!D52,'27.07 Busega-Masanafu-24h'!D52,'28.07 Masanafu-Busega'!D52)</f>
        <v>12</v>
      </c>
      <c r="E52" s="49">
        <f>AVERAGE('22.07 Masanafu-Busega'!E52,'23.07 Masanafu-Busega'!E52,'24.07 Masanafu-Busega'!E52,'25.07 Masanafu-Busega'!E52,'26.07 Masanafu-Busega-24h'!E52,'27.07 Busega-Masanafu-24h'!E52,'28.07 Masanafu-Busega'!E52)</f>
        <v>10</v>
      </c>
      <c r="F52" s="49">
        <f>AVERAGE('22.07 Masanafu-Busega'!F52,'23.07 Masanafu-Busega'!F52,'24.07 Masanafu-Busega'!F52,'25.07 Masanafu-Busega'!F52,'26.07 Masanafu-Busega-24h'!F52,'27.07 Busega-Masanafu-24h'!F52,'28.07 Masanafu-Busega'!F52)</f>
        <v>38.142857142857146</v>
      </c>
      <c r="G52" s="49">
        <f>AVERAGE('22.07 Masanafu-Busega'!G52,'23.07 Masanafu-Busega'!G52,'24.07 Masanafu-Busega'!G52,'25.07 Masanafu-Busega'!G52,'26.07 Masanafu-Busega-24h'!G52,'27.07 Busega-Masanafu-24h'!G52,'28.07 Masanafu-Busega'!G52)</f>
        <v>3.4285714285714284</v>
      </c>
      <c r="H52" s="49">
        <f>AVERAGE('22.07 Masanafu-Busega'!H52,'23.07 Masanafu-Busega'!H52,'24.07 Masanafu-Busega'!H52,'25.07 Masanafu-Busega'!H52,'26.07 Masanafu-Busega-24h'!H52,'27.07 Busega-Masanafu-24h'!H52,'28.07 Masanafu-Busega'!H52)</f>
        <v>0.8571428571428571</v>
      </c>
      <c r="I52" s="49">
        <f>AVERAGE('22.07 Masanafu-Busega'!I52,'23.07 Masanafu-Busega'!I52,'24.07 Masanafu-Busega'!I52,'25.07 Masanafu-Busega'!I52,'26.07 Masanafu-Busega-24h'!I52,'27.07 Busega-Masanafu-24h'!I52,'28.07 Masanafu-Busega'!I52)</f>
        <v>14.571428571428571</v>
      </c>
      <c r="J52" s="49">
        <f>AVERAGE('22.07 Masanafu-Busega'!J52,'23.07 Masanafu-Busega'!J52,'24.07 Masanafu-Busega'!J52,'25.07 Masanafu-Busega'!J52,'26.07 Masanafu-Busega-24h'!J52,'27.07 Busega-Masanafu-24h'!J52,'28.07 Masanafu-Busega'!J52)</f>
        <v>7.7142857142857144</v>
      </c>
      <c r="K52" s="49">
        <f>AVERAGE('22.07 Masanafu-Busega'!K52,'23.07 Masanafu-Busega'!K52,'24.07 Masanafu-Busega'!K52,'25.07 Masanafu-Busega'!K52,'26.07 Masanafu-Busega-24h'!K52,'27.07 Busega-Masanafu-24h'!K52,'28.07 Masanafu-Busega'!K52)</f>
        <v>3.4285714285714284</v>
      </c>
      <c r="L52" s="49">
        <f>AVERAGE('22.07 Masanafu-Busega'!L52,'23.07 Masanafu-Busega'!L52,'24.07 Masanafu-Busega'!L52,'25.07 Masanafu-Busega'!L52,'26.07 Masanafu-Busega-24h'!L52,'27.07 Busega-Masanafu-24h'!L52,'28.07 Masanafu-Busega'!L52)</f>
        <v>4.7142857142857144</v>
      </c>
      <c r="M52" s="49">
        <f>AVERAGE('22.07 Masanafu-Busega'!M52,'23.07 Masanafu-Busega'!M52,'24.07 Masanafu-Busega'!M52,'25.07 Masanafu-Busega'!M52,'26.07 Masanafu-Busega-24h'!M52,'27.07 Busega-Masanafu-24h'!M52,'28.07 Masanafu-Busega'!M52)</f>
        <v>108.14285714285714</v>
      </c>
      <c r="N52" s="49">
        <f>AVERAGE('22.07 Masanafu-Busega'!N52,'23.07 Masanafu-Busega'!N52,'24.07 Masanafu-Busega'!N52,'25.07 Masanafu-Busega'!N52,'26.07 Masanafu-Busega-24h'!N52,'27.07 Masanafu-Busega-24h'!N52,'28.07 Masanafu-Busega'!N52)</f>
        <v>0</v>
      </c>
      <c r="O52" s="15">
        <f t="shared" si="0"/>
        <v>209.57142857142858</v>
      </c>
      <c r="P52" s="15">
        <f t="shared" si="1"/>
        <v>317.71428571428572</v>
      </c>
    </row>
    <row r="53" spans="2:20" ht="23.1" customHeight="1" x14ac:dyDescent="0.25">
      <c r="B53" s="23" t="s">
        <v>80</v>
      </c>
      <c r="C53" s="49">
        <f>AVERAGE('22.07 Masanafu-Busega'!C53,'23.07 Masanafu-Busega'!C53,'24.07 Masanafu-Busega'!C53,'25.07 Masanafu-Busega'!C53,'26.07 Masanafu-Busega-24h'!C53,'27.07 Busega-Masanafu-24h'!C53,'28.07 Masanafu-Busega'!C53)</f>
        <v>115</v>
      </c>
      <c r="D53" s="49">
        <f>AVERAGE('22.07 Masanafu-Busega'!D53,'23.07 Masanafu-Busega'!D53,'24.07 Masanafu-Busega'!D53,'25.07 Masanafu-Busega'!D53,'26.07 Masanafu-Busega-24h'!D53,'27.07 Busega-Masanafu-24h'!D53,'28.07 Masanafu-Busega'!D53)</f>
        <v>8</v>
      </c>
      <c r="E53" s="49">
        <f>AVERAGE('22.07 Masanafu-Busega'!E53,'23.07 Masanafu-Busega'!E53,'24.07 Masanafu-Busega'!E53,'25.07 Masanafu-Busega'!E53,'26.07 Masanafu-Busega-24h'!E53,'27.07 Busega-Masanafu-24h'!E53,'28.07 Masanafu-Busega'!E53)</f>
        <v>10.857142857142858</v>
      </c>
      <c r="F53" s="49">
        <f>AVERAGE('22.07 Masanafu-Busega'!F53,'23.07 Masanafu-Busega'!F53,'24.07 Masanafu-Busega'!F53,'25.07 Masanafu-Busega'!F53,'26.07 Masanafu-Busega-24h'!F53,'27.07 Busega-Masanafu-24h'!F53,'28.07 Masanafu-Busega'!F53)</f>
        <v>53.142857142857146</v>
      </c>
      <c r="G53" s="49">
        <f>AVERAGE('22.07 Masanafu-Busega'!G53,'23.07 Masanafu-Busega'!G53,'24.07 Masanafu-Busega'!G53,'25.07 Masanafu-Busega'!G53,'26.07 Masanafu-Busega-24h'!G53,'27.07 Busega-Masanafu-24h'!G53,'28.07 Masanafu-Busega'!G53)</f>
        <v>1.7142857142857142</v>
      </c>
      <c r="H53" s="49">
        <f>AVERAGE('22.07 Masanafu-Busega'!H53,'23.07 Masanafu-Busega'!H53,'24.07 Masanafu-Busega'!H53,'25.07 Masanafu-Busega'!H53,'26.07 Masanafu-Busega-24h'!H53,'27.07 Busega-Masanafu-24h'!H53,'28.07 Masanafu-Busega'!H53)</f>
        <v>1</v>
      </c>
      <c r="I53" s="49">
        <f>AVERAGE('22.07 Masanafu-Busega'!I53,'23.07 Masanafu-Busega'!I53,'24.07 Masanafu-Busega'!I53,'25.07 Masanafu-Busega'!I53,'26.07 Masanafu-Busega-24h'!I53,'27.07 Busega-Masanafu-24h'!I53,'28.07 Masanafu-Busega'!I53)</f>
        <v>17.142857142857142</v>
      </c>
      <c r="J53" s="49">
        <f>AVERAGE('22.07 Masanafu-Busega'!J53,'23.07 Masanafu-Busega'!J53,'24.07 Masanafu-Busega'!J53,'25.07 Masanafu-Busega'!J53,'26.07 Masanafu-Busega-24h'!J53,'27.07 Busega-Masanafu-24h'!J53,'28.07 Masanafu-Busega'!J53)</f>
        <v>8.2857142857142865</v>
      </c>
      <c r="K53" s="49">
        <f>AVERAGE('22.07 Masanafu-Busega'!K53,'23.07 Masanafu-Busega'!K53,'24.07 Masanafu-Busega'!K53,'25.07 Masanafu-Busega'!K53,'26.07 Masanafu-Busega-24h'!K53,'27.07 Busega-Masanafu-24h'!K53,'28.07 Masanafu-Busega'!K53)</f>
        <v>3.8571428571428572</v>
      </c>
      <c r="L53" s="49">
        <f>AVERAGE('22.07 Masanafu-Busega'!L53,'23.07 Masanafu-Busega'!L53,'24.07 Masanafu-Busega'!L53,'25.07 Masanafu-Busega'!L53,'26.07 Masanafu-Busega-24h'!L53,'27.07 Busega-Masanafu-24h'!L53,'28.07 Masanafu-Busega'!L53)</f>
        <v>5.2857142857142856</v>
      </c>
      <c r="M53" s="49">
        <f>AVERAGE('22.07 Masanafu-Busega'!M53,'23.07 Masanafu-Busega'!M53,'24.07 Masanafu-Busega'!M53,'25.07 Masanafu-Busega'!M53,'26.07 Masanafu-Busega-24h'!M53,'27.07 Busega-Masanafu-24h'!M53,'28.07 Masanafu-Busega'!M53)</f>
        <v>114.57142857142857</v>
      </c>
      <c r="N53" s="49">
        <f>AVERAGE('22.07 Masanafu-Busega'!N53,'23.07 Masanafu-Busega'!N53,'24.07 Masanafu-Busega'!N53,'25.07 Masanafu-Busega'!N53,'26.07 Masanafu-Busega-24h'!N53,'27.07 Masanafu-Busega-24h'!N53,'28.07 Masanafu-Busega'!N53)</f>
        <v>0</v>
      </c>
      <c r="O53" s="15">
        <f t="shared" si="0"/>
        <v>224.28571428571428</v>
      </c>
      <c r="P53" s="15">
        <f t="shared" si="1"/>
        <v>338.85714285714283</v>
      </c>
    </row>
    <row r="54" spans="2:20" ht="23.1" customHeight="1" x14ac:dyDescent="0.25">
      <c r="B54" s="23" t="s">
        <v>81</v>
      </c>
      <c r="C54" s="49">
        <f>AVERAGE('22.07 Masanafu-Busega'!C54,'23.07 Masanafu-Busega'!C54,'24.07 Masanafu-Busega'!C54,'25.07 Masanafu-Busega'!C54,'26.07 Masanafu-Busega-24h'!C54,'27.07 Busega-Masanafu-24h'!C54,'28.07 Masanafu-Busega'!C54)</f>
        <v>117.85714285714286</v>
      </c>
      <c r="D54" s="49">
        <f>AVERAGE('22.07 Masanafu-Busega'!D54,'23.07 Masanafu-Busega'!D54,'24.07 Masanafu-Busega'!D54,'25.07 Masanafu-Busega'!D54,'26.07 Masanafu-Busega-24h'!D54,'27.07 Busega-Masanafu-24h'!D54,'28.07 Masanafu-Busega'!D54)</f>
        <v>11</v>
      </c>
      <c r="E54" s="49">
        <f>AVERAGE('22.07 Masanafu-Busega'!E54,'23.07 Masanafu-Busega'!E54,'24.07 Masanafu-Busega'!E54,'25.07 Masanafu-Busega'!E54,'26.07 Masanafu-Busega-24h'!E54,'27.07 Busega-Masanafu-24h'!E54,'28.07 Masanafu-Busega'!E54)</f>
        <v>11.714285714285714</v>
      </c>
      <c r="F54" s="49">
        <f>AVERAGE('22.07 Masanafu-Busega'!F54,'23.07 Masanafu-Busega'!F54,'24.07 Masanafu-Busega'!F54,'25.07 Masanafu-Busega'!F54,'26.07 Masanafu-Busega-24h'!F54,'27.07 Busega-Masanafu-24h'!F54,'28.07 Masanafu-Busega'!F54)</f>
        <v>43</v>
      </c>
      <c r="G54" s="49">
        <f>AVERAGE('22.07 Masanafu-Busega'!G54,'23.07 Masanafu-Busega'!G54,'24.07 Masanafu-Busega'!G54,'25.07 Masanafu-Busega'!G54,'26.07 Masanafu-Busega-24h'!G54,'27.07 Busega-Masanafu-24h'!G54,'28.07 Masanafu-Busega'!G54)</f>
        <v>2.5714285714285716</v>
      </c>
      <c r="H54" s="49">
        <f>AVERAGE('22.07 Masanafu-Busega'!H54,'23.07 Masanafu-Busega'!H54,'24.07 Masanafu-Busega'!H54,'25.07 Masanafu-Busega'!H54,'26.07 Masanafu-Busega-24h'!H54,'27.07 Busega-Masanafu-24h'!H54,'28.07 Masanafu-Busega'!H54)</f>
        <v>0.5714285714285714</v>
      </c>
      <c r="I54" s="49">
        <f>AVERAGE('22.07 Masanafu-Busega'!I54,'23.07 Masanafu-Busega'!I54,'24.07 Masanafu-Busega'!I54,'25.07 Masanafu-Busega'!I54,'26.07 Masanafu-Busega-24h'!I54,'27.07 Busega-Masanafu-24h'!I54,'28.07 Masanafu-Busega'!I54)</f>
        <v>13.714285714285714</v>
      </c>
      <c r="J54" s="49">
        <f>AVERAGE('22.07 Masanafu-Busega'!J54,'23.07 Masanafu-Busega'!J54,'24.07 Masanafu-Busega'!J54,'25.07 Masanafu-Busega'!J54,'26.07 Masanafu-Busega-24h'!J54,'27.07 Busega-Masanafu-24h'!J54,'28.07 Masanafu-Busega'!J54)</f>
        <v>9.2857142857142865</v>
      </c>
      <c r="K54" s="49">
        <f>AVERAGE('22.07 Masanafu-Busega'!K54,'23.07 Masanafu-Busega'!K54,'24.07 Masanafu-Busega'!K54,'25.07 Masanafu-Busega'!K54,'26.07 Masanafu-Busega-24h'!K54,'27.07 Busega-Masanafu-24h'!K54,'28.07 Masanafu-Busega'!K54)</f>
        <v>4.5714285714285712</v>
      </c>
      <c r="L54" s="49">
        <f>AVERAGE('22.07 Masanafu-Busega'!L54,'23.07 Masanafu-Busega'!L54,'24.07 Masanafu-Busega'!L54,'25.07 Masanafu-Busega'!L54,'26.07 Masanafu-Busega-24h'!L54,'27.07 Busega-Masanafu-24h'!L54,'28.07 Masanafu-Busega'!L54)</f>
        <v>3.8571428571428572</v>
      </c>
      <c r="M54" s="49">
        <f>AVERAGE('22.07 Masanafu-Busega'!M54,'23.07 Masanafu-Busega'!M54,'24.07 Masanafu-Busega'!M54,'25.07 Masanafu-Busega'!M54,'26.07 Masanafu-Busega-24h'!M54,'27.07 Busega-Masanafu-24h'!M54,'28.07 Masanafu-Busega'!M54)</f>
        <v>142.28571428571428</v>
      </c>
      <c r="N54" s="49">
        <f>AVERAGE('22.07 Masanafu-Busega'!N54,'23.07 Masanafu-Busega'!N54,'24.07 Masanafu-Busega'!N54,'25.07 Masanafu-Busega'!N54,'26.07 Masanafu-Busega-24h'!N54,'27.07 Masanafu-Busega-24h'!N54,'28.07 Masanafu-Busega'!N54)</f>
        <v>0</v>
      </c>
      <c r="O54" s="15">
        <f t="shared" si="0"/>
        <v>218.1428571428572</v>
      </c>
      <c r="P54" s="15">
        <f t="shared" si="1"/>
        <v>360.42857142857144</v>
      </c>
    </row>
    <row r="55" spans="2:20" ht="23.1" customHeight="1" x14ac:dyDescent="0.25">
      <c r="B55" s="23" t="s">
        <v>82</v>
      </c>
      <c r="C55" s="49">
        <f>AVERAGE('22.07 Masanafu-Busega'!C55,'23.07 Masanafu-Busega'!C55,'24.07 Masanafu-Busega'!C55,'25.07 Masanafu-Busega'!C55,'26.07 Masanafu-Busega-24h'!C55,'27.07 Busega-Masanafu-24h'!C55,'28.07 Masanafu-Busega'!C55)</f>
        <v>122.57142857142857</v>
      </c>
      <c r="D55" s="49">
        <f>AVERAGE('22.07 Masanafu-Busega'!D55,'23.07 Masanafu-Busega'!D55,'24.07 Masanafu-Busega'!D55,'25.07 Masanafu-Busega'!D55,'26.07 Masanafu-Busega-24h'!D55,'27.07 Busega-Masanafu-24h'!D55,'28.07 Masanafu-Busega'!D55)</f>
        <v>12.714285714285714</v>
      </c>
      <c r="E55" s="49">
        <f>AVERAGE('22.07 Masanafu-Busega'!E55,'23.07 Masanafu-Busega'!E55,'24.07 Masanafu-Busega'!E55,'25.07 Masanafu-Busega'!E55,'26.07 Masanafu-Busega-24h'!E55,'27.07 Busega-Masanafu-24h'!E55,'28.07 Masanafu-Busega'!E55)</f>
        <v>9.2857142857142865</v>
      </c>
      <c r="F55" s="49">
        <f>AVERAGE('22.07 Masanafu-Busega'!F55,'23.07 Masanafu-Busega'!F55,'24.07 Masanafu-Busega'!F55,'25.07 Masanafu-Busega'!F55,'26.07 Masanafu-Busega-24h'!F55,'27.07 Busega-Masanafu-24h'!F55,'28.07 Masanafu-Busega'!F55)</f>
        <v>38</v>
      </c>
      <c r="G55" s="49">
        <f>AVERAGE('22.07 Masanafu-Busega'!G55,'23.07 Masanafu-Busega'!G55,'24.07 Masanafu-Busega'!G55,'25.07 Masanafu-Busega'!G55,'26.07 Masanafu-Busega-24h'!G55,'27.07 Busega-Masanafu-24h'!G55,'28.07 Masanafu-Busega'!G55)</f>
        <v>1</v>
      </c>
      <c r="H55" s="49">
        <f>AVERAGE('22.07 Masanafu-Busega'!H55,'23.07 Masanafu-Busega'!H55,'24.07 Masanafu-Busega'!H55,'25.07 Masanafu-Busega'!H55,'26.07 Masanafu-Busega-24h'!H55,'27.07 Busega-Masanafu-24h'!H55,'28.07 Masanafu-Busega'!H55)</f>
        <v>0.5714285714285714</v>
      </c>
      <c r="I55" s="49">
        <f>AVERAGE('22.07 Masanafu-Busega'!I55,'23.07 Masanafu-Busega'!I55,'24.07 Masanafu-Busega'!I55,'25.07 Masanafu-Busega'!I55,'26.07 Masanafu-Busega-24h'!I55,'27.07 Busega-Masanafu-24h'!I55,'28.07 Masanafu-Busega'!I55)</f>
        <v>12</v>
      </c>
      <c r="J55" s="49">
        <f>AVERAGE('22.07 Masanafu-Busega'!J55,'23.07 Masanafu-Busega'!J55,'24.07 Masanafu-Busega'!J55,'25.07 Masanafu-Busega'!J55,'26.07 Masanafu-Busega-24h'!J55,'27.07 Busega-Masanafu-24h'!J55,'28.07 Masanafu-Busega'!J55)</f>
        <v>7.5714285714285712</v>
      </c>
      <c r="K55" s="49">
        <f>AVERAGE('22.07 Masanafu-Busega'!K55,'23.07 Masanafu-Busega'!K55,'24.07 Masanafu-Busega'!K55,'25.07 Masanafu-Busega'!K55,'26.07 Masanafu-Busega-24h'!K55,'27.07 Busega-Masanafu-24h'!K55,'28.07 Masanafu-Busega'!K55)</f>
        <v>2.4285714285714284</v>
      </c>
      <c r="L55" s="49">
        <f>AVERAGE('22.07 Masanafu-Busega'!L55,'23.07 Masanafu-Busega'!L55,'24.07 Masanafu-Busega'!L55,'25.07 Masanafu-Busega'!L55,'26.07 Masanafu-Busega-24h'!L55,'27.07 Busega-Masanafu-24h'!L55,'28.07 Masanafu-Busega'!L55)</f>
        <v>5</v>
      </c>
      <c r="M55" s="49">
        <f>AVERAGE('22.07 Masanafu-Busega'!M55,'23.07 Masanafu-Busega'!M55,'24.07 Masanafu-Busega'!M55,'25.07 Masanafu-Busega'!M55,'26.07 Masanafu-Busega-24h'!M55,'27.07 Busega-Masanafu-24h'!M55,'28.07 Masanafu-Busega'!M55)</f>
        <v>122.14285714285714</v>
      </c>
      <c r="N55" s="49">
        <f>AVERAGE('22.07 Masanafu-Busega'!N55,'23.07 Masanafu-Busega'!N55,'24.07 Masanafu-Busega'!N55,'25.07 Masanafu-Busega'!N55,'26.07 Masanafu-Busega-24h'!N55,'27.07 Masanafu-Busega-24h'!N55,'28.07 Masanafu-Busega'!N55)</f>
        <v>0</v>
      </c>
      <c r="O55" s="15">
        <f t="shared" si="0"/>
        <v>211.14285714285714</v>
      </c>
      <c r="P55" s="15">
        <f t="shared" si="1"/>
        <v>333.28571428571428</v>
      </c>
    </row>
    <row r="56" spans="2:20" ht="23.1" customHeight="1" x14ac:dyDescent="0.25">
      <c r="B56" s="23" t="s">
        <v>83</v>
      </c>
      <c r="C56" s="49">
        <f>AVERAGE('22.07 Masanafu-Busega'!C56,'23.07 Masanafu-Busega'!C56,'24.07 Masanafu-Busega'!C56,'25.07 Masanafu-Busega'!C56,'26.07 Masanafu-Busega-24h'!C56,'27.07 Busega-Masanafu-24h'!C56,'28.07 Masanafu-Busega'!C56)</f>
        <v>109.85714285714286</v>
      </c>
      <c r="D56" s="49">
        <f>AVERAGE('22.07 Masanafu-Busega'!D56,'23.07 Masanafu-Busega'!D56,'24.07 Masanafu-Busega'!D56,'25.07 Masanafu-Busega'!D56,'26.07 Masanafu-Busega-24h'!D56,'27.07 Busega-Masanafu-24h'!D56,'28.07 Masanafu-Busega'!D56)</f>
        <v>9</v>
      </c>
      <c r="E56" s="49">
        <f>AVERAGE('22.07 Masanafu-Busega'!E56,'23.07 Masanafu-Busega'!E56,'24.07 Masanafu-Busega'!E56,'25.07 Masanafu-Busega'!E56,'26.07 Masanafu-Busega-24h'!E56,'27.07 Busega-Masanafu-24h'!E56,'28.07 Masanafu-Busega'!E56)</f>
        <v>10.285714285714286</v>
      </c>
      <c r="F56" s="49">
        <f>AVERAGE('22.07 Masanafu-Busega'!F56,'23.07 Masanafu-Busega'!F56,'24.07 Masanafu-Busega'!F56,'25.07 Masanafu-Busega'!F56,'26.07 Masanafu-Busega-24h'!F56,'27.07 Busega-Masanafu-24h'!F56,'28.07 Masanafu-Busega'!F56)</f>
        <v>38.857142857142854</v>
      </c>
      <c r="G56" s="49">
        <f>AVERAGE('22.07 Masanafu-Busega'!G56,'23.07 Masanafu-Busega'!G56,'24.07 Masanafu-Busega'!G56,'25.07 Masanafu-Busega'!G56,'26.07 Masanafu-Busega-24h'!G56,'27.07 Busega-Masanafu-24h'!G56,'28.07 Masanafu-Busega'!G56)</f>
        <v>1.8571428571428572</v>
      </c>
      <c r="H56" s="49">
        <f>AVERAGE('22.07 Masanafu-Busega'!H56,'23.07 Masanafu-Busega'!H56,'24.07 Masanafu-Busega'!H56,'25.07 Masanafu-Busega'!H56,'26.07 Masanafu-Busega-24h'!H56,'27.07 Busega-Masanafu-24h'!H56,'28.07 Masanafu-Busega'!H56)</f>
        <v>0.42857142857142855</v>
      </c>
      <c r="I56" s="49">
        <f>AVERAGE('22.07 Masanafu-Busega'!I56,'23.07 Masanafu-Busega'!I56,'24.07 Masanafu-Busega'!I56,'25.07 Masanafu-Busega'!I56,'26.07 Masanafu-Busega-24h'!I56,'27.07 Busega-Masanafu-24h'!I56,'28.07 Masanafu-Busega'!I56)</f>
        <v>11.714285714285714</v>
      </c>
      <c r="J56" s="49">
        <f>AVERAGE('22.07 Masanafu-Busega'!J56,'23.07 Masanafu-Busega'!J56,'24.07 Masanafu-Busega'!J56,'25.07 Masanafu-Busega'!J56,'26.07 Masanafu-Busega-24h'!J56,'27.07 Busega-Masanafu-24h'!J56,'28.07 Masanafu-Busega'!J56)</f>
        <v>7.5714285714285712</v>
      </c>
      <c r="K56" s="49">
        <f>AVERAGE('22.07 Masanafu-Busega'!K56,'23.07 Masanafu-Busega'!K56,'24.07 Masanafu-Busega'!K56,'25.07 Masanafu-Busega'!K56,'26.07 Masanafu-Busega-24h'!K56,'27.07 Busega-Masanafu-24h'!K56,'28.07 Masanafu-Busega'!K56)</f>
        <v>3</v>
      </c>
      <c r="L56" s="49">
        <f>AVERAGE('22.07 Masanafu-Busega'!L56,'23.07 Masanafu-Busega'!L56,'24.07 Masanafu-Busega'!L56,'25.07 Masanafu-Busega'!L56,'26.07 Masanafu-Busega-24h'!L56,'27.07 Busega-Masanafu-24h'!L56,'28.07 Masanafu-Busega'!L56)</f>
        <v>4.4285714285714288</v>
      </c>
      <c r="M56" s="49">
        <f>AVERAGE('22.07 Masanafu-Busega'!M56,'23.07 Masanafu-Busega'!M56,'24.07 Masanafu-Busega'!M56,'25.07 Masanafu-Busega'!M56,'26.07 Masanafu-Busega-24h'!M56,'27.07 Busega-Masanafu-24h'!M56,'28.07 Masanafu-Busega'!M56)</f>
        <v>110.85714285714286</v>
      </c>
      <c r="N56" s="49">
        <f>AVERAGE('22.07 Masanafu-Busega'!N56,'23.07 Masanafu-Busega'!N56,'24.07 Masanafu-Busega'!N56,'25.07 Masanafu-Busega'!N56,'26.07 Masanafu-Busega-24h'!N56,'27.07 Masanafu-Busega-24h'!N56,'28.07 Masanafu-Busega'!N56)</f>
        <v>0</v>
      </c>
      <c r="O56" s="15">
        <f t="shared" si="0"/>
        <v>197</v>
      </c>
      <c r="P56" s="15">
        <f t="shared" si="1"/>
        <v>307.85714285714289</v>
      </c>
      <c r="R56" s="8"/>
      <c r="T56"/>
    </row>
    <row r="57" spans="2:20" ht="23.1" customHeight="1" x14ac:dyDescent="0.25">
      <c r="B57" s="23" t="s">
        <v>84</v>
      </c>
      <c r="C57" s="49">
        <f>AVERAGE('22.07 Masanafu-Busega'!C57,'23.07 Masanafu-Busega'!C57,'24.07 Masanafu-Busega'!C57,'25.07 Masanafu-Busega'!C57,'26.07 Masanafu-Busega-24h'!C57,'27.07 Busega-Masanafu-24h'!C57,'28.07 Masanafu-Busega'!C57)</f>
        <v>110.28571428571429</v>
      </c>
      <c r="D57" s="49">
        <f>AVERAGE('22.07 Masanafu-Busega'!D57,'23.07 Masanafu-Busega'!D57,'24.07 Masanafu-Busega'!D57,'25.07 Masanafu-Busega'!D57,'26.07 Masanafu-Busega-24h'!D57,'27.07 Busega-Masanafu-24h'!D57,'28.07 Masanafu-Busega'!D57)</f>
        <v>10.857142857142858</v>
      </c>
      <c r="E57" s="49">
        <f>AVERAGE('22.07 Masanafu-Busega'!E57,'23.07 Masanafu-Busega'!E57,'24.07 Masanafu-Busega'!E57,'25.07 Masanafu-Busega'!E57,'26.07 Masanafu-Busega-24h'!E57,'27.07 Busega-Masanafu-24h'!E57,'28.07 Masanafu-Busega'!E57)</f>
        <v>8.7142857142857135</v>
      </c>
      <c r="F57" s="49">
        <f>AVERAGE('22.07 Masanafu-Busega'!F57,'23.07 Masanafu-Busega'!F57,'24.07 Masanafu-Busega'!F57,'25.07 Masanafu-Busega'!F57,'26.07 Masanafu-Busega-24h'!F57,'27.07 Busega-Masanafu-24h'!F57,'28.07 Masanafu-Busega'!F57)</f>
        <v>40.428571428571431</v>
      </c>
      <c r="G57" s="49">
        <f>AVERAGE('22.07 Masanafu-Busega'!G57,'23.07 Masanafu-Busega'!G57,'24.07 Masanafu-Busega'!G57,'25.07 Masanafu-Busega'!G57,'26.07 Masanafu-Busega-24h'!G57,'27.07 Busega-Masanafu-24h'!G57,'28.07 Masanafu-Busega'!G57)</f>
        <v>1</v>
      </c>
      <c r="H57" s="49">
        <f>AVERAGE('22.07 Masanafu-Busega'!H57,'23.07 Masanafu-Busega'!H57,'24.07 Masanafu-Busega'!H57,'25.07 Masanafu-Busega'!H57,'26.07 Masanafu-Busega-24h'!H57,'27.07 Busega-Masanafu-24h'!H57,'28.07 Masanafu-Busega'!H57)</f>
        <v>0.2857142857142857</v>
      </c>
      <c r="I57" s="49">
        <f>AVERAGE('22.07 Masanafu-Busega'!I57,'23.07 Masanafu-Busega'!I57,'24.07 Masanafu-Busega'!I57,'25.07 Masanafu-Busega'!I57,'26.07 Masanafu-Busega-24h'!I57,'27.07 Busega-Masanafu-24h'!I57,'28.07 Masanafu-Busega'!I57)</f>
        <v>11.857142857142858</v>
      </c>
      <c r="J57" s="49">
        <f>AVERAGE('22.07 Masanafu-Busega'!J57,'23.07 Masanafu-Busega'!J57,'24.07 Masanafu-Busega'!J57,'25.07 Masanafu-Busega'!J57,'26.07 Masanafu-Busega-24h'!J57,'27.07 Busega-Masanafu-24h'!J57,'28.07 Masanafu-Busega'!J57)</f>
        <v>8</v>
      </c>
      <c r="K57" s="49">
        <f>AVERAGE('22.07 Masanafu-Busega'!K57,'23.07 Masanafu-Busega'!K57,'24.07 Masanafu-Busega'!K57,'25.07 Masanafu-Busega'!K57,'26.07 Masanafu-Busega-24h'!K57,'27.07 Busega-Masanafu-24h'!K57,'28.07 Masanafu-Busega'!K57)</f>
        <v>1.8571428571428572</v>
      </c>
      <c r="L57" s="49">
        <f>AVERAGE('22.07 Masanafu-Busega'!L57,'23.07 Masanafu-Busega'!L57,'24.07 Masanafu-Busega'!L57,'25.07 Masanafu-Busega'!L57,'26.07 Masanafu-Busega-24h'!L57,'27.07 Busega-Masanafu-24h'!L57,'28.07 Masanafu-Busega'!L57)</f>
        <v>4.8571428571428568</v>
      </c>
      <c r="M57" s="49">
        <f>AVERAGE('22.07 Masanafu-Busega'!M57,'23.07 Masanafu-Busega'!M57,'24.07 Masanafu-Busega'!M57,'25.07 Masanafu-Busega'!M57,'26.07 Masanafu-Busega-24h'!M57,'27.07 Busega-Masanafu-24h'!M57,'28.07 Masanafu-Busega'!M57)</f>
        <v>117.57142857142857</v>
      </c>
      <c r="N57" s="49">
        <f>AVERAGE('22.07 Masanafu-Busega'!N57,'23.07 Masanafu-Busega'!N57,'24.07 Masanafu-Busega'!N57,'25.07 Masanafu-Busega'!N57,'26.07 Masanafu-Busega-24h'!N57,'27.07 Masanafu-Busega-24h'!N57,'28.07 Masanafu-Busega'!N57)</f>
        <v>0</v>
      </c>
      <c r="O57" s="15">
        <f t="shared" si="0"/>
        <v>198.14285714285714</v>
      </c>
      <c r="P57" s="15">
        <f t="shared" si="1"/>
        <v>315.71428571428572</v>
      </c>
      <c r="R57" s="8"/>
      <c r="T57"/>
    </row>
    <row r="58" spans="2:20" ht="23.1" customHeight="1" x14ac:dyDescent="0.25">
      <c r="B58" s="23" t="s">
        <v>99</v>
      </c>
      <c r="C58" s="49">
        <f>AVERAGE('26.07 Masanafu-Busega-24h'!C58,'27.07 Masanafu-Busega-24h'!C58)</f>
        <v>91.5</v>
      </c>
      <c r="D58" s="49">
        <f>AVERAGE('26.07 Masanafu-Busega-24h'!D58,'27.07 Masanafu-Busega-24h'!D58)</f>
        <v>13.5</v>
      </c>
      <c r="E58" s="49">
        <f>AVERAGE('26.07 Masanafu-Busega-24h'!E58,'27.07 Masanafu-Busega-24h'!E58)</f>
        <v>10</v>
      </c>
      <c r="F58" s="49">
        <f>AVERAGE('26.07 Masanafu-Busega-24h'!F58,'27.07 Masanafu-Busega-24h'!F58)</f>
        <v>29</v>
      </c>
      <c r="G58" s="49">
        <f>AVERAGE('26.07 Masanafu-Busega-24h'!G58,'27.07 Masanafu-Busega-24h'!G58)</f>
        <v>1</v>
      </c>
      <c r="H58" s="49">
        <f>AVERAGE('26.07 Masanafu-Busega-24h'!H58,'27.07 Masanafu-Busega-24h'!H58)</f>
        <v>1.5</v>
      </c>
      <c r="I58" s="49">
        <f>AVERAGE('26.07 Masanafu-Busega-24h'!I58,'27.07 Masanafu-Busega-24h'!I58)</f>
        <v>8</v>
      </c>
      <c r="J58" s="49">
        <f>AVERAGE('26.07 Masanafu-Busega-24h'!J58,'27.07 Masanafu-Busega-24h'!J58)</f>
        <v>7</v>
      </c>
      <c r="K58" s="49">
        <f>AVERAGE('26.07 Masanafu-Busega-24h'!K58,'27.07 Masanafu-Busega-24h'!K58)</f>
        <v>2</v>
      </c>
      <c r="L58" s="49">
        <f>AVERAGE('26.07 Masanafu-Busega-24h'!L58,'27.07 Masanafu-Busega-24h'!L58)</f>
        <v>3</v>
      </c>
      <c r="M58" s="49">
        <f>AVERAGE('26.07 Masanafu-Busega-24h'!M58,'27.07 Masanafu-Busega-24h'!M58)</f>
        <v>68.5</v>
      </c>
      <c r="N58" s="49">
        <f>AVERAGE('26.07 Masanafu-Busega-24h'!N58,'27.07 Masanafu-Busega-24h'!N58)</f>
        <v>0</v>
      </c>
      <c r="O58" s="15">
        <f t="shared" si="0"/>
        <v>166.5</v>
      </c>
      <c r="P58" s="15">
        <f t="shared" si="1"/>
        <v>235</v>
      </c>
      <c r="R58" s="8"/>
      <c r="T58"/>
    </row>
    <row r="59" spans="2:20" ht="23.1" customHeight="1" x14ac:dyDescent="0.25">
      <c r="B59" s="23" t="s">
        <v>100</v>
      </c>
      <c r="C59" s="49">
        <f>AVERAGE('26.07 Masanafu-Busega-24h'!C59,'27.07 Masanafu-Busega-24h'!C59)</f>
        <v>71.5</v>
      </c>
      <c r="D59" s="49">
        <f>AVERAGE('26.07 Masanafu-Busega-24h'!D59,'27.07 Masanafu-Busega-24h'!D59)</f>
        <v>15.5</v>
      </c>
      <c r="E59" s="49">
        <f>AVERAGE('26.07 Masanafu-Busega-24h'!E59,'27.07 Masanafu-Busega-24h'!E59)</f>
        <v>14.5</v>
      </c>
      <c r="F59" s="49">
        <f>AVERAGE('26.07 Masanafu-Busega-24h'!F59,'27.07 Masanafu-Busega-24h'!F59)</f>
        <v>40</v>
      </c>
      <c r="G59" s="49">
        <f>AVERAGE('26.07 Masanafu-Busega-24h'!G59,'27.07 Masanafu-Busega-24h'!G59)</f>
        <v>2.5</v>
      </c>
      <c r="H59" s="49">
        <f>AVERAGE('26.07 Masanafu-Busega-24h'!H59,'27.07 Masanafu-Busega-24h'!H59)</f>
        <v>4.5</v>
      </c>
      <c r="I59" s="49">
        <f>AVERAGE('26.07 Masanafu-Busega-24h'!I59,'27.07 Masanafu-Busega-24h'!I59)</f>
        <v>9.5</v>
      </c>
      <c r="J59" s="49">
        <f>AVERAGE('26.07 Masanafu-Busega-24h'!J59,'27.07 Masanafu-Busega-24h'!J59)</f>
        <v>6.5</v>
      </c>
      <c r="K59" s="49">
        <f>AVERAGE('26.07 Masanafu-Busega-24h'!K59,'27.07 Masanafu-Busega-24h'!K59)</f>
        <v>3</v>
      </c>
      <c r="L59" s="49">
        <f>AVERAGE('26.07 Masanafu-Busega-24h'!L59,'27.07 Masanafu-Busega-24h'!L59)</f>
        <v>2.5</v>
      </c>
      <c r="M59" s="49">
        <f>AVERAGE('26.07 Masanafu-Busega-24h'!M59,'27.07 Masanafu-Busega-24h'!M59)</f>
        <v>107</v>
      </c>
      <c r="N59" s="49">
        <f>AVERAGE('26.07 Masanafu-Busega-24h'!N59,'27.07 Masanafu-Busega-24h'!N59)</f>
        <v>0</v>
      </c>
      <c r="O59" s="15">
        <f t="shared" si="0"/>
        <v>170</v>
      </c>
      <c r="P59" s="15">
        <f t="shared" si="1"/>
        <v>277</v>
      </c>
      <c r="R59" s="8"/>
      <c r="T59"/>
    </row>
    <row r="60" spans="2:20" ht="23.1" customHeight="1" x14ac:dyDescent="0.25">
      <c r="B60" s="23" t="s">
        <v>101</v>
      </c>
      <c r="C60" s="49">
        <f>AVERAGE('26.07 Masanafu-Busega-24h'!C60,'27.07 Masanafu-Busega-24h'!C60)</f>
        <v>66</v>
      </c>
      <c r="D60" s="49">
        <f>AVERAGE('26.07 Masanafu-Busega-24h'!D60,'27.07 Masanafu-Busega-24h'!D60)</f>
        <v>10.5</v>
      </c>
      <c r="E60" s="49">
        <f>AVERAGE('26.07 Masanafu-Busega-24h'!E60,'27.07 Masanafu-Busega-24h'!E60)</f>
        <v>10.5</v>
      </c>
      <c r="F60" s="49">
        <f>AVERAGE('26.07 Masanafu-Busega-24h'!F60,'27.07 Masanafu-Busega-24h'!F60)</f>
        <v>25</v>
      </c>
      <c r="G60" s="49">
        <f>AVERAGE('26.07 Masanafu-Busega-24h'!G60,'27.07 Masanafu-Busega-24h'!G60)</f>
        <v>1</v>
      </c>
      <c r="H60" s="49">
        <f>AVERAGE('26.07 Masanafu-Busega-24h'!H60,'27.07 Masanafu-Busega-24h'!H60)</f>
        <v>2.5</v>
      </c>
      <c r="I60" s="49">
        <f>AVERAGE('26.07 Masanafu-Busega-24h'!I60,'27.07 Masanafu-Busega-24h'!I60)</f>
        <v>6</v>
      </c>
      <c r="J60" s="49">
        <f>AVERAGE('26.07 Masanafu-Busega-24h'!J60,'27.07 Masanafu-Busega-24h'!J60)</f>
        <v>6</v>
      </c>
      <c r="K60" s="49">
        <f>AVERAGE('26.07 Masanafu-Busega-24h'!K60,'27.07 Masanafu-Busega-24h'!K60)</f>
        <v>2</v>
      </c>
      <c r="L60" s="49">
        <f>AVERAGE('26.07 Masanafu-Busega-24h'!L60,'27.07 Masanafu-Busega-24h'!L60)</f>
        <v>5</v>
      </c>
      <c r="M60" s="49">
        <f>AVERAGE('26.07 Masanafu-Busega-24h'!M60,'27.07 Masanafu-Busega-24h'!M60)</f>
        <v>98.5</v>
      </c>
      <c r="N60" s="49">
        <f>AVERAGE('26.07 Masanafu-Busega-24h'!N60,'27.07 Masanafu-Busega-24h'!N60)</f>
        <v>0</v>
      </c>
      <c r="O60" s="15">
        <f t="shared" si="0"/>
        <v>134.5</v>
      </c>
      <c r="P60" s="15">
        <f t="shared" si="1"/>
        <v>233</v>
      </c>
      <c r="R60" s="8"/>
      <c r="T60"/>
    </row>
    <row r="61" spans="2:20" ht="23.1" customHeight="1" x14ac:dyDescent="0.25">
      <c r="B61" s="23" t="s">
        <v>102</v>
      </c>
      <c r="C61" s="49">
        <f>AVERAGE('26.07 Masanafu-Busega-24h'!C61,'27.07 Masanafu-Busega-24h'!C61)</f>
        <v>54</v>
      </c>
      <c r="D61" s="49">
        <f>AVERAGE('26.07 Masanafu-Busega-24h'!D61,'27.07 Masanafu-Busega-24h'!D61)</f>
        <v>11</v>
      </c>
      <c r="E61" s="49">
        <f>AVERAGE('26.07 Masanafu-Busega-24h'!E61,'27.07 Masanafu-Busega-24h'!E61)</f>
        <v>6</v>
      </c>
      <c r="F61" s="49">
        <f>AVERAGE('26.07 Masanafu-Busega-24h'!F61,'27.07 Masanafu-Busega-24h'!F61)</f>
        <v>32.5</v>
      </c>
      <c r="G61" s="49">
        <f>AVERAGE('26.07 Masanafu-Busega-24h'!G61,'27.07 Masanafu-Busega-24h'!G61)</f>
        <v>1.5</v>
      </c>
      <c r="H61" s="49">
        <f>AVERAGE('26.07 Masanafu-Busega-24h'!H61,'27.07 Masanafu-Busega-24h'!H61)</f>
        <v>0</v>
      </c>
      <c r="I61" s="49">
        <f>AVERAGE('26.07 Masanafu-Busega-24h'!I61,'27.07 Masanafu-Busega-24h'!I61)</f>
        <v>4</v>
      </c>
      <c r="J61" s="49">
        <f>AVERAGE('26.07 Masanafu-Busega-24h'!J61,'27.07 Masanafu-Busega-24h'!J61)</f>
        <v>8.5</v>
      </c>
      <c r="K61" s="49">
        <f>AVERAGE('26.07 Masanafu-Busega-24h'!K61,'27.07 Masanafu-Busega-24h'!K61)</f>
        <v>2.5</v>
      </c>
      <c r="L61" s="49">
        <f>AVERAGE('26.07 Masanafu-Busega-24h'!L61,'27.07 Masanafu-Busega-24h'!L61)</f>
        <v>2.5</v>
      </c>
      <c r="M61" s="49">
        <f>AVERAGE('26.07 Masanafu-Busega-24h'!M61,'27.07 Masanafu-Busega-24h'!M61)</f>
        <v>112.5</v>
      </c>
      <c r="N61" s="49">
        <f>AVERAGE('26.07 Masanafu-Busega-24h'!N61,'27.07 Masanafu-Busega-24h'!N61)</f>
        <v>0</v>
      </c>
      <c r="O61" s="15">
        <f t="shared" si="0"/>
        <v>122.5</v>
      </c>
      <c r="P61" s="15">
        <f t="shared" si="1"/>
        <v>235</v>
      </c>
      <c r="R61" s="8"/>
      <c r="T61"/>
    </row>
    <row r="62" spans="2:20" ht="23.1" customHeight="1" x14ac:dyDescent="0.25">
      <c r="B62" s="23" t="s">
        <v>107</v>
      </c>
      <c r="C62" s="49">
        <f>AVERAGE('26.07 Masanafu-Busega-24h'!C62,'27.07 Masanafu-Busega-24h'!C62)</f>
        <v>75</v>
      </c>
      <c r="D62" s="49">
        <f>AVERAGE('26.07 Masanafu-Busega-24h'!D62,'27.07 Masanafu-Busega-24h'!D62)</f>
        <v>10</v>
      </c>
      <c r="E62" s="49">
        <f>AVERAGE('26.07 Masanafu-Busega-24h'!E62,'27.07 Masanafu-Busega-24h'!E62)</f>
        <v>26.5</v>
      </c>
      <c r="F62" s="49">
        <f>AVERAGE('26.07 Masanafu-Busega-24h'!F62,'27.07 Masanafu-Busega-24h'!F62)</f>
        <v>41.5</v>
      </c>
      <c r="G62" s="49">
        <f>AVERAGE('26.07 Masanafu-Busega-24h'!G62,'27.07 Masanafu-Busega-24h'!G62)</f>
        <v>2</v>
      </c>
      <c r="H62" s="49">
        <f>AVERAGE('26.07 Masanafu-Busega-24h'!H62,'27.07 Masanafu-Busega-24h'!H62)</f>
        <v>1.5</v>
      </c>
      <c r="I62" s="49">
        <f>AVERAGE('26.07 Masanafu-Busega-24h'!I62,'27.07 Masanafu-Busega-24h'!I62)</f>
        <v>14</v>
      </c>
      <c r="J62" s="49">
        <f>AVERAGE('26.07 Masanafu-Busega-24h'!J62,'27.07 Masanafu-Busega-24h'!J62)</f>
        <v>9.5</v>
      </c>
      <c r="K62" s="49">
        <f>AVERAGE('26.07 Masanafu-Busega-24h'!K62,'27.07 Masanafu-Busega-24h'!K62)</f>
        <v>1.5</v>
      </c>
      <c r="L62" s="49">
        <f>AVERAGE('26.07 Masanafu-Busega-24h'!L62,'27.07 Masanafu-Busega-24h'!L62)</f>
        <v>3.5</v>
      </c>
      <c r="M62" s="49">
        <f>AVERAGE('26.07 Masanafu-Busega-24h'!M62,'27.07 Masanafu-Busega-24h'!M62)</f>
        <v>120</v>
      </c>
      <c r="N62" s="49">
        <f>AVERAGE('26.07 Masanafu-Busega-24h'!N62,'27.07 Masanafu-Busega-24h'!N62)</f>
        <v>0</v>
      </c>
      <c r="O62" s="15">
        <f t="shared" si="0"/>
        <v>185</v>
      </c>
      <c r="P62" s="15">
        <f t="shared" si="1"/>
        <v>305</v>
      </c>
      <c r="R62" s="8"/>
      <c r="T62"/>
    </row>
    <row r="63" spans="2:20" ht="23.1" customHeight="1" x14ac:dyDescent="0.25">
      <c r="B63" s="23" t="s">
        <v>108</v>
      </c>
      <c r="C63" s="49">
        <f>AVERAGE('26.07 Masanafu-Busega-24h'!C63,'27.07 Masanafu-Busega-24h'!C63)</f>
        <v>77</v>
      </c>
      <c r="D63" s="49">
        <f>AVERAGE('26.07 Masanafu-Busega-24h'!D63,'27.07 Masanafu-Busega-24h'!D63)</f>
        <v>9.5</v>
      </c>
      <c r="E63" s="49">
        <f>AVERAGE('26.07 Masanafu-Busega-24h'!E63,'27.07 Masanafu-Busega-24h'!E63)</f>
        <v>19</v>
      </c>
      <c r="F63" s="49">
        <f>AVERAGE('26.07 Masanafu-Busega-24h'!F63,'27.07 Masanafu-Busega-24h'!F63)</f>
        <v>26</v>
      </c>
      <c r="G63" s="49">
        <f>AVERAGE('26.07 Masanafu-Busega-24h'!G63,'27.07 Masanafu-Busega-24h'!G63)</f>
        <v>2</v>
      </c>
      <c r="H63" s="49">
        <f>AVERAGE('26.07 Masanafu-Busega-24h'!H63,'27.07 Masanafu-Busega-24h'!H63)</f>
        <v>1</v>
      </c>
      <c r="I63" s="49">
        <f>AVERAGE('26.07 Masanafu-Busega-24h'!I63,'27.07 Masanafu-Busega-24h'!I63)</f>
        <v>5</v>
      </c>
      <c r="J63" s="49">
        <f>AVERAGE('26.07 Masanafu-Busega-24h'!J63,'27.07 Masanafu-Busega-24h'!J63)</f>
        <v>8</v>
      </c>
      <c r="K63" s="49">
        <f>AVERAGE('26.07 Masanafu-Busega-24h'!K63,'27.07 Masanafu-Busega-24h'!K63)</f>
        <v>1</v>
      </c>
      <c r="L63" s="49">
        <f>AVERAGE('26.07 Masanafu-Busega-24h'!L63,'27.07 Masanafu-Busega-24h'!L63)</f>
        <v>2</v>
      </c>
      <c r="M63" s="49">
        <f>AVERAGE('26.07 Masanafu-Busega-24h'!M63,'27.07 Masanafu-Busega-24h'!M63)</f>
        <v>127.5</v>
      </c>
      <c r="N63" s="49">
        <f>AVERAGE('26.07 Masanafu-Busega-24h'!N63,'27.07 Masanafu-Busega-24h'!N63)</f>
        <v>0</v>
      </c>
      <c r="O63" s="15">
        <f t="shared" si="0"/>
        <v>150.5</v>
      </c>
      <c r="P63" s="15">
        <f t="shared" si="1"/>
        <v>278</v>
      </c>
      <c r="R63" s="8"/>
      <c r="T63"/>
    </row>
    <row r="64" spans="2:20" ht="23.1" customHeight="1" x14ac:dyDescent="0.25">
      <c r="B64" s="23" t="s">
        <v>109</v>
      </c>
      <c r="C64" s="49">
        <f>AVERAGE('26.07 Masanafu-Busega-24h'!C64,'27.07 Masanafu-Busega-24h'!C64)</f>
        <v>84</v>
      </c>
      <c r="D64" s="49">
        <f>AVERAGE('26.07 Masanafu-Busega-24h'!D64,'27.07 Masanafu-Busega-24h'!D64)</f>
        <v>11</v>
      </c>
      <c r="E64" s="49">
        <f>AVERAGE('26.07 Masanafu-Busega-24h'!E64,'27.07 Masanafu-Busega-24h'!E64)</f>
        <v>8.5</v>
      </c>
      <c r="F64" s="49">
        <f>AVERAGE('26.07 Masanafu-Busega-24h'!F64,'27.07 Masanafu-Busega-24h'!F64)</f>
        <v>25</v>
      </c>
      <c r="G64" s="49">
        <f>AVERAGE('26.07 Masanafu-Busega-24h'!G64,'27.07 Masanafu-Busega-24h'!G64)</f>
        <v>2</v>
      </c>
      <c r="H64" s="49">
        <f>AVERAGE('26.07 Masanafu-Busega-24h'!H64,'27.07 Masanafu-Busega-24h'!H64)</f>
        <v>0.5</v>
      </c>
      <c r="I64" s="49">
        <f>AVERAGE('26.07 Masanafu-Busega-24h'!I64,'27.07 Masanafu-Busega-24h'!I64)</f>
        <v>8.5</v>
      </c>
      <c r="J64" s="49">
        <f>AVERAGE('26.07 Masanafu-Busega-24h'!J64,'27.07 Masanafu-Busega-24h'!J64)</f>
        <v>6.5</v>
      </c>
      <c r="K64" s="49">
        <f>AVERAGE('26.07 Masanafu-Busega-24h'!K64,'27.07 Masanafu-Busega-24h'!K64)</f>
        <v>3</v>
      </c>
      <c r="L64" s="49">
        <f>AVERAGE('26.07 Masanafu-Busega-24h'!L64,'27.07 Masanafu-Busega-24h'!L64)</f>
        <v>1.5</v>
      </c>
      <c r="M64" s="49">
        <f>AVERAGE('26.07 Masanafu-Busega-24h'!M64,'27.07 Masanafu-Busega-24h'!M64)</f>
        <v>142.5</v>
      </c>
      <c r="N64" s="49">
        <f>AVERAGE('26.07 Masanafu-Busega-24h'!N64,'27.07 Masanafu-Busega-24h'!N64)</f>
        <v>0</v>
      </c>
      <c r="O64" s="15">
        <f t="shared" si="0"/>
        <v>150.5</v>
      </c>
      <c r="P64" s="15">
        <f t="shared" si="1"/>
        <v>293</v>
      </c>
      <c r="R64" s="8"/>
      <c r="T64"/>
    </row>
    <row r="65" spans="2:20" ht="23.1" customHeight="1" x14ac:dyDescent="0.25">
      <c r="B65" s="23" t="s">
        <v>158</v>
      </c>
      <c r="C65" s="49">
        <f>AVERAGE('26.07 Masanafu-Busega-24h'!C65,'27.07 Masanafu-Busega-24h'!C65)</f>
        <v>90</v>
      </c>
      <c r="D65" s="49">
        <f>AVERAGE('26.07 Masanafu-Busega-24h'!D65,'27.07 Masanafu-Busega-24h'!D65)</f>
        <v>12.5</v>
      </c>
      <c r="E65" s="49">
        <f>AVERAGE('26.07 Masanafu-Busega-24h'!E65,'27.07 Masanafu-Busega-24h'!E65)</f>
        <v>9</v>
      </c>
      <c r="F65" s="49">
        <f>AVERAGE('26.07 Masanafu-Busega-24h'!F65,'27.07 Masanafu-Busega-24h'!F65)</f>
        <v>28</v>
      </c>
      <c r="G65" s="49">
        <f>AVERAGE('26.07 Masanafu-Busega-24h'!G65,'27.07 Masanafu-Busega-24h'!G65)</f>
        <v>0.5</v>
      </c>
      <c r="H65" s="49">
        <f>AVERAGE('26.07 Masanafu-Busega-24h'!H65,'27.07 Masanafu-Busega-24h'!H65)</f>
        <v>1</v>
      </c>
      <c r="I65" s="49">
        <f>AVERAGE('26.07 Masanafu-Busega-24h'!I65,'27.07 Masanafu-Busega-24h'!I65)</f>
        <v>10</v>
      </c>
      <c r="J65" s="49">
        <f>AVERAGE('26.07 Masanafu-Busega-24h'!J65,'27.07 Masanafu-Busega-24h'!J65)</f>
        <v>7.5</v>
      </c>
      <c r="K65" s="49">
        <f>AVERAGE('26.07 Masanafu-Busega-24h'!K65,'27.07 Masanafu-Busega-24h'!K65)</f>
        <v>5</v>
      </c>
      <c r="L65" s="49">
        <f>AVERAGE('26.07 Masanafu-Busega-24h'!L65,'27.07 Masanafu-Busega-24h'!L65)</f>
        <v>4</v>
      </c>
      <c r="M65" s="49">
        <f>AVERAGE('26.07 Masanafu-Busega-24h'!M65,'27.07 Masanafu-Busega-24h'!M65)</f>
        <v>130</v>
      </c>
      <c r="N65" s="49">
        <f>AVERAGE('26.07 Masanafu-Busega-24h'!N65,'27.07 Masanafu-Busega-24h'!N65)</f>
        <v>0</v>
      </c>
      <c r="O65" s="15">
        <f t="shared" si="0"/>
        <v>167.5</v>
      </c>
      <c r="P65" s="15">
        <f t="shared" si="1"/>
        <v>297.5</v>
      </c>
      <c r="R65" s="8"/>
      <c r="T65"/>
    </row>
    <row r="66" spans="2:20" ht="23.1" customHeight="1" x14ac:dyDescent="0.25">
      <c r="B66" s="23" t="s">
        <v>103</v>
      </c>
      <c r="C66" s="49">
        <f>AVERAGE('26.07 Masanafu-Busega-24h'!C66,'27.07 Masanafu-Busega-24h'!C66)</f>
        <v>64.5</v>
      </c>
      <c r="D66" s="49">
        <f>AVERAGE('26.07 Masanafu-Busega-24h'!D66,'27.07 Masanafu-Busega-24h'!D66)</f>
        <v>13.5</v>
      </c>
      <c r="E66" s="49">
        <f>AVERAGE('26.07 Masanafu-Busega-24h'!E66,'27.07 Masanafu-Busega-24h'!E66)</f>
        <v>6.5</v>
      </c>
      <c r="F66" s="49">
        <f>AVERAGE('26.07 Masanafu-Busega-24h'!F66,'27.07 Masanafu-Busega-24h'!F66)</f>
        <v>30.5</v>
      </c>
      <c r="G66" s="49">
        <f>AVERAGE('26.07 Masanafu-Busega-24h'!G66,'27.07 Masanafu-Busega-24h'!G66)</f>
        <v>2</v>
      </c>
      <c r="H66" s="49">
        <f>AVERAGE('26.07 Masanafu-Busega-24h'!H66,'27.07 Masanafu-Busega-24h'!H66)</f>
        <v>0</v>
      </c>
      <c r="I66" s="49">
        <f>AVERAGE('26.07 Masanafu-Busega-24h'!I66,'27.07 Masanafu-Busega-24h'!I66)</f>
        <v>8</v>
      </c>
      <c r="J66" s="49">
        <f>AVERAGE('26.07 Masanafu-Busega-24h'!J66,'27.07 Masanafu-Busega-24h'!J66)</f>
        <v>6.5</v>
      </c>
      <c r="K66" s="49">
        <f>AVERAGE('26.07 Masanafu-Busega-24h'!K66,'27.07 Masanafu-Busega-24h'!K66)</f>
        <v>3.5</v>
      </c>
      <c r="L66" s="49">
        <f>AVERAGE('26.07 Masanafu-Busega-24h'!L66,'27.07 Masanafu-Busega-24h'!L66)</f>
        <v>3</v>
      </c>
      <c r="M66" s="49">
        <f>AVERAGE('26.07 Masanafu-Busega-24h'!M66,'27.07 Masanafu-Busega-24h'!M66)</f>
        <v>133.5</v>
      </c>
      <c r="N66" s="49">
        <f>AVERAGE('26.07 Masanafu-Busega-24h'!N66,'27.07 Masanafu-Busega-24h'!N66)</f>
        <v>0</v>
      </c>
      <c r="O66" s="15">
        <f t="shared" si="0"/>
        <v>138</v>
      </c>
      <c r="P66" s="15">
        <f t="shared" si="1"/>
        <v>271.5</v>
      </c>
      <c r="R66" s="8"/>
      <c r="T66"/>
    </row>
    <row r="67" spans="2:20" ht="23.1" customHeight="1" x14ac:dyDescent="0.25">
      <c r="B67" s="23" t="s">
        <v>104</v>
      </c>
      <c r="C67" s="49">
        <f>AVERAGE('26.07 Masanafu-Busega-24h'!C67,'27.07 Masanafu-Busega-24h'!C67)</f>
        <v>65</v>
      </c>
      <c r="D67" s="49">
        <f>AVERAGE('26.07 Masanafu-Busega-24h'!D67,'27.07 Masanafu-Busega-24h'!D67)</f>
        <v>12.5</v>
      </c>
      <c r="E67" s="49">
        <f>AVERAGE('26.07 Masanafu-Busega-24h'!E67,'27.07 Masanafu-Busega-24h'!E67)</f>
        <v>9.5</v>
      </c>
      <c r="F67" s="49">
        <f>AVERAGE('26.07 Masanafu-Busega-24h'!F67,'27.07 Masanafu-Busega-24h'!F67)</f>
        <v>30</v>
      </c>
      <c r="G67" s="49">
        <f>AVERAGE('26.07 Masanafu-Busega-24h'!G67,'27.07 Masanafu-Busega-24h'!G67)</f>
        <v>1</v>
      </c>
      <c r="H67" s="49">
        <f>AVERAGE('26.07 Masanafu-Busega-24h'!H67,'27.07 Masanafu-Busega-24h'!H67)</f>
        <v>0</v>
      </c>
      <c r="I67" s="49">
        <f>AVERAGE('26.07 Masanafu-Busega-24h'!I67,'27.07 Masanafu-Busega-24h'!I67)</f>
        <v>6</v>
      </c>
      <c r="J67" s="49">
        <f>AVERAGE('26.07 Masanafu-Busega-24h'!J67,'27.07 Masanafu-Busega-24h'!J67)</f>
        <v>9</v>
      </c>
      <c r="K67" s="49">
        <f>AVERAGE('26.07 Masanafu-Busega-24h'!K67,'27.07 Masanafu-Busega-24h'!K67)</f>
        <v>3.5</v>
      </c>
      <c r="L67" s="49">
        <f>AVERAGE('26.07 Masanafu-Busega-24h'!L67,'27.07 Masanafu-Busega-24h'!L67)</f>
        <v>1</v>
      </c>
      <c r="M67" s="49">
        <f>AVERAGE('26.07 Masanafu-Busega-24h'!M67,'27.07 Masanafu-Busega-24h'!M67)</f>
        <v>89</v>
      </c>
      <c r="N67" s="49">
        <f>AVERAGE('26.07 Masanafu-Busega-24h'!N67,'27.07 Masanafu-Busega-24h'!N67)</f>
        <v>0</v>
      </c>
      <c r="O67" s="15">
        <f t="shared" si="0"/>
        <v>137.5</v>
      </c>
      <c r="P67" s="15">
        <f t="shared" si="1"/>
        <v>226.5</v>
      </c>
      <c r="R67" s="8"/>
      <c r="T67"/>
    </row>
    <row r="68" spans="2:20" ht="23.1" customHeight="1" x14ac:dyDescent="0.25">
      <c r="B68" s="23" t="s">
        <v>105</v>
      </c>
      <c r="C68" s="49">
        <f>AVERAGE('26.07 Masanafu-Busega-24h'!C68,'27.07 Masanafu-Busega-24h'!C68)</f>
        <v>52.5</v>
      </c>
      <c r="D68" s="49">
        <f>AVERAGE('26.07 Masanafu-Busega-24h'!D68,'27.07 Masanafu-Busega-24h'!D68)</f>
        <v>10.5</v>
      </c>
      <c r="E68" s="49">
        <f>AVERAGE('26.07 Masanafu-Busega-24h'!E68,'27.07 Masanafu-Busega-24h'!E68)</f>
        <v>4.5</v>
      </c>
      <c r="F68" s="49">
        <f>AVERAGE('26.07 Masanafu-Busega-24h'!F68,'27.07 Masanafu-Busega-24h'!F68)</f>
        <v>29</v>
      </c>
      <c r="G68" s="49">
        <f>AVERAGE('26.07 Masanafu-Busega-24h'!G68,'27.07 Masanafu-Busega-24h'!G68)</f>
        <v>1</v>
      </c>
      <c r="H68" s="49">
        <f>AVERAGE('26.07 Masanafu-Busega-24h'!H68,'27.07 Masanafu-Busega-24h'!H68)</f>
        <v>0</v>
      </c>
      <c r="I68" s="49">
        <f>AVERAGE('26.07 Masanafu-Busega-24h'!I68,'27.07 Masanafu-Busega-24h'!I68)</f>
        <v>4.5</v>
      </c>
      <c r="J68" s="49">
        <f>AVERAGE('26.07 Masanafu-Busega-24h'!J68,'27.07 Masanafu-Busega-24h'!J68)</f>
        <v>5.5</v>
      </c>
      <c r="K68" s="49">
        <f>AVERAGE('26.07 Masanafu-Busega-24h'!K68,'27.07 Masanafu-Busega-24h'!K68)</f>
        <v>3</v>
      </c>
      <c r="L68" s="49">
        <f>AVERAGE('26.07 Masanafu-Busega-24h'!L68,'27.07 Masanafu-Busega-24h'!L68)</f>
        <v>0.5</v>
      </c>
      <c r="M68" s="49">
        <f>AVERAGE('26.07 Masanafu-Busega-24h'!M68,'27.07 Masanafu-Busega-24h'!M68)</f>
        <v>107.5</v>
      </c>
      <c r="N68" s="49">
        <f>AVERAGE('26.07 Masanafu-Busega-24h'!N68,'27.07 Masanafu-Busega-24h'!N68)</f>
        <v>0</v>
      </c>
      <c r="O68" s="15">
        <f t="shared" si="0"/>
        <v>111</v>
      </c>
      <c r="P68" s="15">
        <f t="shared" si="1"/>
        <v>218.5</v>
      </c>
      <c r="R68" s="8"/>
      <c r="T68"/>
    </row>
    <row r="69" spans="2:20" ht="23.1" customHeight="1" x14ac:dyDescent="0.25">
      <c r="B69" s="23" t="s">
        <v>106</v>
      </c>
      <c r="C69" s="49">
        <f>AVERAGE('26.07 Masanafu-Busega-24h'!C69,'27.07 Masanafu-Busega-24h'!C69)</f>
        <v>72</v>
      </c>
      <c r="D69" s="49">
        <f>AVERAGE('26.07 Masanafu-Busega-24h'!D69,'27.07 Masanafu-Busega-24h'!D69)</f>
        <v>9.5</v>
      </c>
      <c r="E69" s="49">
        <f>AVERAGE('26.07 Masanafu-Busega-24h'!E69,'27.07 Masanafu-Busega-24h'!E69)</f>
        <v>4.5</v>
      </c>
      <c r="F69" s="49">
        <f>AVERAGE('26.07 Masanafu-Busega-24h'!F69,'27.07 Masanafu-Busega-24h'!F69)</f>
        <v>24</v>
      </c>
      <c r="G69" s="49">
        <f>AVERAGE('26.07 Masanafu-Busega-24h'!G69,'27.07 Masanafu-Busega-24h'!G69)</f>
        <v>0.5</v>
      </c>
      <c r="H69" s="49">
        <f>AVERAGE('26.07 Masanafu-Busega-24h'!H69,'27.07 Masanafu-Busega-24h'!H69)</f>
        <v>1</v>
      </c>
      <c r="I69" s="49">
        <f>AVERAGE('26.07 Masanafu-Busega-24h'!I69,'27.07 Masanafu-Busega-24h'!I69)</f>
        <v>5.5</v>
      </c>
      <c r="J69" s="49">
        <f>AVERAGE('26.07 Masanafu-Busega-24h'!J69,'27.07 Masanafu-Busega-24h'!J69)</f>
        <v>5.5</v>
      </c>
      <c r="K69" s="49">
        <f>AVERAGE('26.07 Masanafu-Busega-24h'!K69,'27.07 Masanafu-Busega-24h'!K69)</f>
        <v>2</v>
      </c>
      <c r="L69" s="49">
        <f>AVERAGE('26.07 Masanafu-Busega-24h'!L69,'27.07 Masanafu-Busega-24h'!L69)</f>
        <v>3.5</v>
      </c>
      <c r="M69" s="49">
        <f>AVERAGE('26.07 Masanafu-Busega-24h'!M69,'27.07 Masanafu-Busega-24h'!M69)</f>
        <v>100</v>
      </c>
      <c r="N69" s="49">
        <f>AVERAGE('26.07 Masanafu-Busega-24h'!N69,'27.07 Masanafu-Busega-24h'!N69)</f>
        <v>0</v>
      </c>
      <c r="O69" s="15">
        <f t="shared" si="0"/>
        <v>128</v>
      </c>
      <c r="P69" s="15">
        <f t="shared" si="1"/>
        <v>228</v>
      </c>
      <c r="R69" s="8"/>
      <c r="T69"/>
    </row>
    <row r="70" spans="2:20" ht="23.1" customHeight="1" x14ac:dyDescent="0.25">
      <c r="B70" s="23" t="s">
        <v>110</v>
      </c>
      <c r="C70" s="49">
        <f>AVERAGE('26.07 Masanafu-Busega-24h'!C70,'27.07 Masanafu-Busega-24h'!C70)</f>
        <v>62.5</v>
      </c>
      <c r="D70" s="49">
        <f>AVERAGE('26.07 Masanafu-Busega-24h'!D70,'27.07 Masanafu-Busega-24h'!D70)</f>
        <v>7.5</v>
      </c>
      <c r="E70" s="49">
        <f>AVERAGE('26.07 Masanafu-Busega-24h'!E70,'27.07 Masanafu-Busega-24h'!E70)</f>
        <v>8</v>
      </c>
      <c r="F70" s="49">
        <f>AVERAGE('26.07 Masanafu-Busega-24h'!F70,'27.07 Masanafu-Busega-24h'!F70)</f>
        <v>21</v>
      </c>
      <c r="G70" s="49">
        <f>AVERAGE('26.07 Masanafu-Busega-24h'!G70,'27.07 Masanafu-Busega-24h'!G70)</f>
        <v>1</v>
      </c>
      <c r="H70" s="49">
        <f>AVERAGE('26.07 Masanafu-Busega-24h'!H70,'27.07 Masanafu-Busega-24h'!H70)</f>
        <v>0.5</v>
      </c>
      <c r="I70" s="49">
        <f>AVERAGE('26.07 Masanafu-Busega-24h'!I70,'27.07 Masanafu-Busega-24h'!I70)</f>
        <v>3.5</v>
      </c>
      <c r="J70" s="49">
        <f>AVERAGE('26.07 Masanafu-Busega-24h'!J70,'27.07 Masanafu-Busega-24h'!J70)</f>
        <v>4.5</v>
      </c>
      <c r="K70" s="49">
        <f>AVERAGE('26.07 Masanafu-Busega-24h'!K70,'27.07 Masanafu-Busega-24h'!K70)</f>
        <v>3.5</v>
      </c>
      <c r="L70" s="49">
        <f>AVERAGE('26.07 Masanafu-Busega-24h'!L70,'27.07 Masanafu-Busega-24h'!L70)</f>
        <v>2</v>
      </c>
      <c r="M70" s="49">
        <f>AVERAGE('26.07 Masanafu-Busega-24h'!M70,'27.07 Masanafu-Busega-24h'!M70)</f>
        <v>70</v>
      </c>
      <c r="N70" s="49">
        <f>AVERAGE('26.07 Masanafu-Busega-24h'!N70,'27.07 Masanafu-Busega-24h'!N70)</f>
        <v>0</v>
      </c>
      <c r="O70" s="15">
        <f t="shared" si="0"/>
        <v>114</v>
      </c>
      <c r="P70" s="15">
        <f t="shared" si="1"/>
        <v>184</v>
      </c>
      <c r="R70" s="8"/>
      <c r="T70"/>
    </row>
    <row r="71" spans="2:20" ht="23.1" customHeight="1" x14ac:dyDescent="0.25">
      <c r="B71" s="23" t="s">
        <v>111</v>
      </c>
      <c r="C71" s="49">
        <f>AVERAGE('26.07 Masanafu-Busega-24h'!C71,'27.07 Masanafu-Busega-24h'!C71)</f>
        <v>59</v>
      </c>
      <c r="D71" s="49">
        <f>AVERAGE('26.07 Masanafu-Busega-24h'!D71,'27.07 Masanafu-Busega-24h'!D71)</f>
        <v>9.5</v>
      </c>
      <c r="E71" s="49">
        <f>AVERAGE('26.07 Masanafu-Busega-24h'!E71,'27.07 Masanafu-Busega-24h'!E71)</f>
        <v>8.5</v>
      </c>
      <c r="F71" s="49">
        <f>AVERAGE('26.07 Masanafu-Busega-24h'!F71,'27.07 Masanafu-Busega-24h'!F71)</f>
        <v>18</v>
      </c>
      <c r="G71" s="49">
        <f>AVERAGE('26.07 Masanafu-Busega-24h'!G71,'27.07 Masanafu-Busega-24h'!G71)</f>
        <v>2</v>
      </c>
      <c r="H71" s="49">
        <f>AVERAGE('26.07 Masanafu-Busega-24h'!H71,'27.07 Masanafu-Busega-24h'!H71)</f>
        <v>0.5</v>
      </c>
      <c r="I71" s="49">
        <f>AVERAGE('26.07 Masanafu-Busega-24h'!I71,'27.07 Masanafu-Busega-24h'!I71)</f>
        <v>5</v>
      </c>
      <c r="J71" s="49">
        <f>AVERAGE('26.07 Masanafu-Busega-24h'!J71,'27.07 Masanafu-Busega-24h'!J71)</f>
        <v>6.5</v>
      </c>
      <c r="K71" s="49">
        <f>AVERAGE('26.07 Masanafu-Busega-24h'!K71,'27.07 Masanafu-Busega-24h'!K71)</f>
        <v>6</v>
      </c>
      <c r="L71" s="49">
        <f>AVERAGE('26.07 Masanafu-Busega-24h'!L71,'27.07 Masanafu-Busega-24h'!L71)</f>
        <v>2.5</v>
      </c>
      <c r="M71" s="49">
        <f>AVERAGE('26.07 Masanafu-Busega-24h'!M71,'27.07 Masanafu-Busega-24h'!M71)</f>
        <v>83.5</v>
      </c>
      <c r="N71" s="49">
        <f>AVERAGE('26.07 Masanafu-Busega-24h'!N71,'27.07 Masanafu-Busega-24h'!N71)</f>
        <v>0</v>
      </c>
      <c r="O71" s="15">
        <f t="shared" si="0"/>
        <v>117.5</v>
      </c>
      <c r="P71" s="15">
        <f t="shared" si="1"/>
        <v>201</v>
      </c>
      <c r="R71" s="8"/>
      <c r="T71"/>
    </row>
    <row r="72" spans="2:20" ht="23.1" customHeight="1" x14ac:dyDescent="0.25">
      <c r="B72" s="23" t="s">
        <v>112</v>
      </c>
      <c r="C72" s="49">
        <f>AVERAGE('26.07 Masanafu-Busega-24h'!C72,'27.07 Masanafu-Busega-24h'!C72)</f>
        <v>51</v>
      </c>
      <c r="D72" s="49">
        <f>AVERAGE('26.07 Masanafu-Busega-24h'!D72,'27.07 Masanafu-Busega-24h'!D72)</f>
        <v>8.5</v>
      </c>
      <c r="E72" s="49">
        <f>AVERAGE('26.07 Masanafu-Busega-24h'!E72,'27.07 Masanafu-Busega-24h'!E72)</f>
        <v>5.5</v>
      </c>
      <c r="F72" s="49">
        <f>AVERAGE('26.07 Masanafu-Busega-24h'!F72,'27.07 Masanafu-Busega-24h'!F72)</f>
        <v>21</v>
      </c>
      <c r="G72" s="49">
        <f>AVERAGE('26.07 Masanafu-Busega-24h'!G72,'27.07 Masanafu-Busega-24h'!G72)</f>
        <v>1</v>
      </c>
      <c r="H72" s="49">
        <f>AVERAGE('26.07 Masanafu-Busega-24h'!H72,'27.07 Masanafu-Busega-24h'!H72)</f>
        <v>2</v>
      </c>
      <c r="I72" s="49">
        <f>AVERAGE('26.07 Masanafu-Busega-24h'!I72,'27.07 Masanafu-Busega-24h'!I72)</f>
        <v>5.5</v>
      </c>
      <c r="J72" s="49">
        <f>AVERAGE('26.07 Masanafu-Busega-24h'!J72,'27.07 Masanafu-Busega-24h'!J72)</f>
        <v>3.5</v>
      </c>
      <c r="K72" s="49">
        <f>AVERAGE('26.07 Masanafu-Busega-24h'!K72,'27.07 Masanafu-Busega-24h'!K72)</f>
        <v>7</v>
      </c>
      <c r="L72" s="49">
        <f>AVERAGE('26.07 Masanafu-Busega-24h'!L72,'27.07 Masanafu-Busega-24h'!L72)</f>
        <v>3</v>
      </c>
      <c r="M72" s="49">
        <f>AVERAGE('26.07 Masanafu-Busega-24h'!M72,'27.07 Masanafu-Busega-24h'!M72)</f>
        <v>77.5</v>
      </c>
      <c r="N72" s="49">
        <f>AVERAGE('26.07 Masanafu-Busega-24h'!N72,'27.07 Masanafu-Busega-24h'!N72)</f>
        <v>0</v>
      </c>
      <c r="O72" s="15">
        <f t="shared" si="0"/>
        <v>108</v>
      </c>
      <c r="P72" s="15">
        <f t="shared" si="1"/>
        <v>185.5</v>
      </c>
      <c r="R72" s="8"/>
      <c r="T72"/>
    </row>
    <row r="73" spans="2:20" ht="23.1" customHeight="1" x14ac:dyDescent="0.25">
      <c r="B73" s="23" t="s">
        <v>113</v>
      </c>
      <c r="C73" s="49">
        <f>AVERAGE('26.07 Masanafu-Busega-24h'!C73,'27.07 Masanafu-Busega-24h'!C73)</f>
        <v>60.5</v>
      </c>
      <c r="D73" s="49">
        <f>AVERAGE('26.07 Masanafu-Busega-24h'!D73,'27.07 Masanafu-Busega-24h'!D73)</f>
        <v>11.5</v>
      </c>
      <c r="E73" s="49">
        <f>AVERAGE('26.07 Masanafu-Busega-24h'!E73,'27.07 Masanafu-Busega-24h'!E73)</f>
        <v>7</v>
      </c>
      <c r="F73" s="49">
        <f>AVERAGE('26.07 Masanafu-Busega-24h'!F73,'27.07 Masanafu-Busega-24h'!F73)</f>
        <v>20</v>
      </c>
      <c r="G73" s="49">
        <f>AVERAGE('26.07 Masanafu-Busega-24h'!G73,'27.07 Masanafu-Busega-24h'!G73)</f>
        <v>0.5</v>
      </c>
      <c r="H73" s="49">
        <f>AVERAGE('26.07 Masanafu-Busega-24h'!H73,'27.07 Masanafu-Busega-24h'!H73)</f>
        <v>1</v>
      </c>
      <c r="I73" s="49">
        <f>AVERAGE('26.07 Masanafu-Busega-24h'!I73,'27.07 Masanafu-Busega-24h'!I73)</f>
        <v>4.5</v>
      </c>
      <c r="J73" s="49">
        <f>AVERAGE('26.07 Masanafu-Busega-24h'!J73,'27.07 Masanafu-Busega-24h'!J73)</f>
        <v>9.5</v>
      </c>
      <c r="K73" s="49">
        <f>AVERAGE('26.07 Masanafu-Busega-24h'!K73,'27.07 Masanafu-Busega-24h'!K73)</f>
        <v>4</v>
      </c>
      <c r="L73" s="49">
        <f>AVERAGE('26.07 Masanafu-Busega-24h'!L73,'27.07 Masanafu-Busega-24h'!L73)</f>
        <v>3</v>
      </c>
      <c r="M73" s="49">
        <f>AVERAGE('26.07 Masanafu-Busega-24h'!M73,'27.07 Masanafu-Busega-24h'!M73)</f>
        <v>72.5</v>
      </c>
      <c r="N73" s="49">
        <f>AVERAGE('26.07 Masanafu-Busega-24h'!N73,'27.07 Masanafu-Busega-24h'!N73)</f>
        <v>0</v>
      </c>
      <c r="O73" s="15">
        <f t="shared" si="0"/>
        <v>121.5</v>
      </c>
      <c r="P73" s="15">
        <f t="shared" si="1"/>
        <v>194</v>
      </c>
      <c r="R73" s="8"/>
      <c r="T73"/>
    </row>
    <row r="74" spans="2:20" ht="23.1" customHeight="1" x14ac:dyDescent="0.25">
      <c r="B74" s="23" t="s">
        <v>114</v>
      </c>
      <c r="C74" s="49">
        <f>AVERAGE('26.07 Masanafu-Busega-24h'!C74,'27.07 Masanafu-Busega-24h'!C74)</f>
        <v>42</v>
      </c>
      <c r="D74" s="49">
        <f>AVERAGE('26.07 Masanafu-Busega-24h'!D74,'27.07 Masanafu-Busega-24h'!D74)</f>
        <v>6.5</v>
      </c>
      <c r="E74" s="49">
        <f>AVERAGE('26.07 Masanafu-Busega-24h'!E74,'27.07 Masanafu-Busega-24h'!E74)</f>
        <v>5</v>
      </c>
      <c r="F74" s="49">
        <f>AVERAGE('26.07 Masanafu-Busega-24h'!F74,'27.07 Masanafu-Busega-24h'!F74)</f>
        <v>9</v>
      </c>
      <c r="G74" s="49">
        <f>AVERAGE('26.07 Masanafu-Busega-24h'!G74,'27.07 Masanafu-Busega-24h'!G74)</f>
        <v>0.5</v>
      </c>
      <c r="H74" s="49">
        <f>AVERAGE('26.07 Masanafu-Busega-24h'!H74,'27.07 Masanafu-Busega-24h'!H74)</f>
        <v>0</v>
      </c>
      <c r="I74" s="49">
        <f>AVERAGE('26.07 Masanafu-Busega-24h'!I74,'27.07 Masanafu-Busega-24h'!I74)</f>
        <v>4</v>
      </c>
      <c r="J74" s="49">
        <f>AVERAGE('26.07 Masanafu-Busega-24h'!J74,'27.07 Masanafu-Busega-24h'!J74)</f>
        <v>6.5</v>
      </c>
      <c r="K74" s="49">
        <f>AVERAGE('26.07 Masanafu-Busega-24h'!K74,'27.07 Masanafu-Busega-24h'!K74)</f>
        <v>2.5</v>
      </c>
      <c r="L74" s="49">
        <f>AVERAGE('26.07 Masanafu-Busega-24h'!L74,'27.07 Masanafu-Busega-24h'!L74)</f>
        <v>3.5</v>
      </c>
      <c r="M74" s="49">
        <f>AVERAGE('26.07 Masanafu-Busega-24h'!M74,'27.07 Masanafu-Busega-24h'!M74)</f>
        <v>39.5</v>
      </c>
      <c r="N74" s="49">
        <f>AVERAGE('26.07 Masanafu-Busega-24h'!N74,'27.07 Masanafu-Busega-24h'!N74)</f>
        <v>0</v>
      </c>
      <c r="O74" s="15">
        <f t="shared" ref="O74:O105" si="34">SUM(C74:L74,N74)</f>
        <v>79.5</v>
      </c>
      <c r="P74" s="15">
        <f t="shared" ref="P74:P105" si="35">SUM(C74:N74)</f>
        <v>119</v>
      </c>
      <c r="R74" s="8"/>
      <c r="T74"/>
    </row>
    <row r="75" spans="2:20" ht="23.1" customHeight="1" x14ac:dyDescent="0.25">
      <c r="B75" s="23" t="s">
        <v>115</v>
      </c>
      <c r="C75" s="49">
        <f>AVERAGE('26.07 Masanafu-Busega-24h'!C75,'27.07 Masanafu-Busega-24h'!C75)</f>
        <v>32</v>
      </c>
      <c r="D75" s="49">
        <f>AVERAGE('26.07 Masanafu-Busega-24h'!D75,'27.07 Masanafu-Busega-24h'!D75)</f>
        <v>6</v>
      </c>
      <c r="E75" s="49">
        <f>AVERAGE('26.07 Masanafu-Busega-24h'!E75,'27.07 Masanafu-Busega-24h'!E75)</f>
        <v>3</v>
      </c>
      <c r="F75" s="49">
        <f>AVERAGE('26.07 Masanafu-Busega-24h'!F75,'27.07 Masanafu-Busega-24h'!F75)</f>
        <v>10.5</v>
      </c>
      <c r="G75" s="49">
        <f>AVERAGE('26.07 Masanafu-Busega-24h'!G75,'27.07 Masanafu-Busega-24h'!G75)</f>
        <v>0.5</v>
      </c>
      <c r="H75" s="49">
        <f>AVERAGE('26.07 Masanafu-Busega-24h'!H75,'27.07 Masanafu-Busega-24h'!H75)</f>
        <v>0</v>
      </c>
      <c r="I75" s="49">
        <f>AVERAGE('26.07 Masanafu-Busega-24h'!I75,'27.07 Masanafu-Busega-24h'!I75)</f>
        <v>4.5</v>
      </c>
      <c r="J75" s="49">
        <f>AVERAGE('26.07 Masanafu-Busega-24h'!J75,'27.07 Masanafu-Busega-24h'!J75)</f>
        <v>4.5</v>
      </c>
      <c r="K75" s="49">
        <f>AVERAGE('26.07 Masanafu-Busega-24h'!K75,'27.07 Masanafu-Busega-24h'!K75)</f>
        <v>2.5</v>
      </c>
      <c r="L75" s="49">
        <f>AVERAGE('26.07 Masanafu-Busega-24h'!L75,'27.07 Masanafu-Busega-24h'!L75)</f>
        <v>6</v>
      </c>
      <c r="M75" s="49">
        <f>AVERAGE('26.07 Masanafu-Busega-24h'!M75,'27.07 Masanafu-Busega-24h'!M75)</f>
        <v>34</v>
      </c>
      <c r="N75" s="49">
        <f>AVERAGE('26.07 Masanafu-Busega-24h'!N75,'27.07 Masanafu-Busega-24h'!N75)</f>
        <v>0</v>
      </c>
      <c r="O75" s="15">
        <f t="shared" si="34"/>
        <v>69.5</v>
      </c>
      <c r="P75" s="15">
        <f t="shared" si="35"/>
        <v>103.5</v>
      </c>
      <c r="R75" s="8"/>
      <c r="T75"/>
    </row>
    <row r="76" spans="2:20" ht="23.1" customHeight="1" x14ac:dyDescent="0.25">
      <c r="B76" s="23" t="s">
        <v>116</v>
      </c>
      <c r="C76" s="49">
        <f>AVERAGE('26.07 Masanafu-Busega-24h'!C76,'27.07 Masanafu-Busega-24h'!C76)</f>
        <v>29.5</v>
      </c>
      <c r="D76" s="49">
        <f>AVERAGE('26.07 Masanafu-Busega-24h'!D76,'27.07 Masanafu-Busega-24h'!D76)</f>
        <v>5</v>
      </c>
      <c r="E76" s="49">
        <f>AVERAGE('26.07 Masanafu-Busega-24h'!E76,'27.07 Masanafu-Busega-24h'!E76)</f>
        <v>5.5</v>
      </c>
      <c r="F76" s="49">
        <f>AVERAGE('26.07 Masanafu-Busega-24h'!F76,'27.07 Masanafu-Busega-24h'!F76)</f>
        <v>6</v>
      </c>
      <c r="G76" s="49">
        <f>AVERAGE('26.07 Masanafu-Busega-24h'!G76,'27.07 Masanafu-Busega-24h'!G76)</f>
        <v>0</v>
      </c>
      <c r="H76" s="49">
        <f>AVERAGE('26.07 Masanafu-Busega-24h'!H76,'27.07 Masanafu-Busega-24h'!H76)</f>
        <v>0</v>
      </c>
      <c r="I76" s="49">
        <f>AVERAGE('26.07 Masanafu-Busega-24h'!I76,'27.07 Masanafu-Busega-24h'!I76)</f>
        <v>5</v>
      </c>
      <c r="J76" s="49">
        <f>AVERAGE('26.07 Masanafu-Busega-24h'!J76,'27.07 Masanafu-Busega-24h'!J76)</f>
        <v>8</v>
      </c>
      <c r="K76" s="49">
        <f>AVERAGE('26.07 Masanafu-Busega-24h'!K76,'27.07 Masanafu-Busega-24h'!K76)</f>
        <v>1.5</v>
      </c>
      <c r="L76" s="49">
        <f>AVERAGE('26.07 Masanafu-Busega-24h'!L76,'27.07 Masanafu-Busega-24h'!L76)</f>
        <v>3.5</v>
      </c>
      <c r="M76" s="49">
        <f>AVERAGE('26.07 Masanafu-Busega-24h'!M76,'27.07 Masanafu-Busega-24h'!M76)</f>
        <v>36</v>
      </c>
      <c r="N76" s="49">
        <f>AVERAGE('26.07 Masanafu-Busega-24h'!N76,'27.07 Masanafu-Busega-24h'!N76)</f>
        <v>0</v>
      </c>
      <c r="O76" s="15">
        <f t="shared" si="34"/>
        <v>64</v>
      </c>
      <c r="P76" s="15">
        <f t="shared" si="35"/>
        <v>100</v>
      </c>
      <c r="R76" s="8"/>
      <c r="T76"/>
    </row>
    <row r="77" spans="2:20" ht="23.1" customHeight="1" x14ac:dyDescent="0.25">
      <c r="B77" s="23" t="s">
        <v>117</v>
      </c>
      <c r="C77" s="49">
        <f>AVERAGE('26.07 Masanafu-Busega-24h'!C77,'27.07 Masanafu-Busega-24h'!C77)</f>
        <v>31.5</v>
      </c>
      <c r="D77" s="49">
        <f>AVERAGE('26.07 Masanafu-Busega-24h'!D77,'27.07 Masanafu-Busega-24h'!D77)</f>
        <v>3.5</v>
      </c>
      <c r="E77" s="49">
        <f>AVERAGE('26.07 Masanafu-Busega-24h'!E77,'27.07 Masanafu-Busega-24h'!E77)</f>
        <v>4.5</v>
      </c>
      <c r="F77" s="49">
        <f>AVERAGE('26.07 Masanafu-Busega-24h'!F77,'27.07 Masanafu-Busega-24h'!F77)</f>
        <v>5.5</v>
      </c>
      <c r="G77" s="49">
        <f>AVERAGE('26.07 Masanafu-Busega-24h'!G77,'27.07 Masanafu-Busega-24h'!G77)</f>
        <v>0</v>
      </c>
      <c r="H77" s="49">
        <f>AVERAGE('26.07 Masanafu-Busega-24h'!H77,'27.07 Masanafu-Busega-24h'!H77)</f>
        <v>0</v>
      </c>
      <c r="I77" s="49">
        <f>AVERAGE('26.07 Masanafu-Busega-24h'!I77,'27.07 Masanafu-Busega-24h'!I77)</f>
        <v>3</v>
      </c>
      <c r="J77" s="49">
        <f>AVERAGE('26.07 Masanafu-Busega-24h'!J77,'27.07 Masanafu-Busega-24h'!J77)</f>
        <v>4</v>
      </c>
      <c r="K77" s="49">
        <f>AVERAGE('26.07 Masanafu-Busega-24h'!K77,'27.07 Masanafu-Busega-24h'!K77)</f>
        <v>3</v>
      </c>
      <c r="L77" s="49">
        <f>AVERAGE('26.07 Masanafu-Busega-24h'!L77,'27.07 Masanafu-Busega-24h'!L77)</f>
        <v>5</v>
      </c>
      <c r="M77" s="49">
        <f>AVERAGE('26.07 Masanafu-Busega-24h'!M77,'27.07 Masanafu-Busega-24h'!M77)</f>
        <v>33</v>
      </c>
      <c r="N77" s="49">
        <f>AVERAGE('26.07 Masanafu-Busega-24h'!N77,'27.07 Masanafu-Busega-24h'!N77)</f>
        <v>0</v>
      </c>
      <c r="O77" s="15">
        <f t="shared" si="34"/>
        <v>60</v>
      </c>
      <c r="P77" s="15">
        <f t="shared" si="35"/>
        <v>93</v>
      </c>
      <c r="R77" s="8"/>
      <c r="T77"/>
    </row>
    <row r="78" spans="2:20" ht="23.1" customHeight="1" x14ac:dyDescent="0.25">
      <c r="B78" s="24" t="s">
        <v>118</v>
      </c>
      <c r="C78" s="49">
        <f>AVERAGE('26.07 Masanafu-Busega-24h'!C78,'27.07 Masanafu-Busega-24h'!C78)</f>
        <v>23</v>
      </c>
      <c r="D78" s="49">
        <f>AVERAGE('26.07 Masanafu-Busega-24h'!D78,'27.07 Masanafu-Busega-24h'!D78)</f>
        <v>3</v>
      </c>
      <c r="E78" s="49">
        <f>AVERAGE('26.07 Masanafu-Busega-24h'!E78,'27.07 Masanafu-Busega-24h'!E78)</f>
        <v>2.5</v>
      </c>
      <c r="F78" s="49">
        <f>AVERAGE('26.07 Masanafu-Busega-24h'!F78,'27.07 Masanafu-Busega-24h'!F78)</f>
        <v>4</v>
      </c>
      <c r="G78" s="49">
        <f>AVERAGE('26.07 Masanafu-Busega-24h'!G78,'27.07 Masanafu-Busega-24h'!G78)</f>
        <v>1.5</v>
      </c>
      <c r="H78" s="49">
        <f>AVERAGE('26.07 Masanafu-Busega-24h'!H78,'27.07 Masanafu-Busega-24h'!H78)</f>
        <v>0</v>
      </c>
      <c r="I78" s="49">
        <f>AVERAGE('26.07 Masanafu-Busega-24h'!I78,'27.07 Masanafu-Busega-24h'!I78)</f>
        <v>4.5</v>
      </c>
      <c r="J78" s="49">
        <f>AVERAGE('26.07 Masanafu-Busega-24h'!J78,'27.07 Masanafu-Busega-24h'!J78)</f>
        <v>5.5</v>
      </c>
      <c r="K78" s="49">
        <f>AVERAGE('26.07 Masanafu-Busega-24h'!K78,'27.07 Masanafu-Busega-24h'!K78)</f>
        <v>4</v>
      </c>
      <c r="L78" s="49">
        <f>AVERAGE('26.07 Masanafu-Busega-24h'!L78,'27.07 Masanafu-Busega-24h'!L78)</f>
        <v>3</v>
      </c>
      <c r="M78" s="49">
        <f>AVERAGE('26.07 Masanafu-Busega-24h'!M78,'27.07 Masanafu-Busega-24h'!M78)</f>
        <v>31.5</v>
      </c>
      <c r="N78" s="49">
        <f>AVERAGE('26.07 Masanafu-Busega-24h'!N78,'27.07 Masanafu-Busega-24h'!N78)</f>
        <v>0</v>
      </c>
      <c r="O78" s="15">
        <f t="shared" si="34"/>
        <v>51</v>
      </c>
      <c r="P78" s="15">
        <f t="shared" si="35"/>
        <v>82.5</v>
      </c>
      <c r="R78" s="8"/>
      <c r="T78"/>
    </row>
    <row r="79" spans="2:20" ht="23.1" customHeight="1" x14ac:dyDescent="0.25">
      <c r="B79" s="23" t="s">
        <v>119</v>
      </c>
      <c r="C79" s="49">
        <f>AVERAGE('26.07 Masanafu-Busega-24h'!C79,'27.07 Masanafu-Busega-24h'!C79)</f>
        <v>24.5</v>
      </c>
      <c r="D79" s="49">
        <f>AVERAGE('26.07 Masanafu-Busega-24h'!D79,'27.07 Masanafu-Busega-24h'!D79)</f>
        <v>1.5</v>
      </c>
      <c r="E79" s="49">
        <f>AVERAGE('26.07 Masanafu-Busega-24h'!E79,'27.07 Masanafu-Busega-24h'!E79)</f>
        <v>3.5</v>
      </c>
      <c r="F79" s="49">
        <f>AVERAGE('26.07 Masanafu-Busega-24h'!F79,'27.07 Masanafu-Busega-24h'!F79)</f>
        <v>2.5</v>
      </c>
      <c r="G79" s="49">
        <f>AVERAGE('26.07 Masanafu-Busega-24h'!G79,'27.07 Masanafu-Busega-24h'!G79)</f>
        <v>1</v>
      </c>
      <c r="H79" s="49">
        <f>AVERAGE('26.07 Masanafu-Busega-24h'!H79,'27.07 Masanafu-Busega-24h'!H79)</f>
        <v>0</v>
      </c>
      <c r="I79" s="49">
        <f>AVERAGE('26.07 Masanafu-Busega-24h'!I79,'27.07 Masanafu-Busega-24h'!I79)</f>
        <v>4</v>
      </c>
      <c r="J79" s="49">
        <f>AVERAGE('26.07 Masanafu-Busega-24h'!J79,'27.07 Masanafu-Busega-24h'!J79)</f>
        <v>3.5</v>
      </c>
      <c r="K79" s="49">
        <f>AVERAGE('26.07 Masanafu-Busega-24h'!K79,'27.07 Masanafu-Busega-24h'!K79)</f>
        <v>0.5</v>
      </c>
      <c r="L79" s="49">
        <f>AVERAGE('26.07 Masanafu-Busega-24h'!L79,'27.07 Masanafu-Busega-24h'!L79)</f>
        <v>4</v>
      </c>
      <c r="M79" s="49">
        <f>AVERAGE('26.07 Masanafu-Busega-24h'!M79,'27.07 Masanafu-Busega-24h'!M79)</f>
        <v>24.5</v>
      </c>
      <c r="N79" s="49">
        <f>AVERAGE('26.07 Masanafu-Busega-24h'!N79,'27.07 Masanafu-Busega-24h'!N79)</f>
        <v>0</v>
      </c>
      <c r="O79" s="15">
        <f t="shared" si="34"/>
        <v>45</v>
      </c>
      <c r="P79" s="15">
        <f t="shared" si="35"/>
        <v>69.5</v>
      </c>
      <c r="R79" s="8"/>
      <c r="T79"/>
    </row>
    <row r="80" spans="2:20" ht="23.1" customHeight="1" x14ac:dyDescent="0.25">
      <c r="B80" s="25" t="s">
        <v>120</v>
      </c>
      <c r="C80" s="49">
        <f>AVERAGE('26.07 Masanafu-Busega-24h'!C80,'27.07 Masanafu-Busega-24h'!C80)</f>
        <v>19.5</v>
      </c>
      <c r="D80" s="49">
        <f>AVERAGE('26.07 Masanafu-Busega-24h'!D80,'27.07 Masanafu-Busega-24h'!D80)</f>
        <v>1</v>
      </c>
      <c r="E80" s="49">
        <f>AVERAGE('26.07 Masanafu-Busega-24h'!E80,'27.07 Masanafu-Busega-24h'!E80)</f>
        <v>4.5</v>
      </c>
      <c r="F80" s="49">
        <f>AVERAGE('26.07 Masanafu-Busega-24h'!F80,'27.07 Masanafu-Busega-24h'!F80)</f>
        <v>7.5</v>
      </c>
      <c r="G80" s="49">
        <f>AVERAGE('26.07 Masanafu-Busega-24h'!G80,'27.07 Masanafu-Busega-24h'!G80)</f>
        <v>1</v>
      </c>
      <c r="H80" s="49">
        <f>AVERAGE('26.07 Masanafu-Busega-24h'!H80,'27.07 Masanafu-Busega-24h'!H80)</f>
        <v>0</v>
      </c>
      <c r="I80" s="49">
        <f>AVERAGE('26.07 Masanafu-Busega-24h'!I80,'27.07 Masanafu-Busega-24h'!I80)</f>
        <v>4</v>
      </c>
      <c r="J80" s="49">
        <f>AVERAGE('26.07 Masanafu-Busega-24h'!J80,'27.07 Masanafu-Busega-24h'!J80)</f>
        <v>2.5</v>
      </c>
      <c r="K80" s="49">
        <f>AVERAGE('26.07 Masanafu-Busega-24h'!K80,'27.07 Masanafu-Busega-24h'!K80)</f>
        <v>2.5</v>
      </c>
      <c r="L80" s="49">
        <f>AVERAGE('26.07 Masanafu-Busega-24h'!L80,'27.07 Masanafu-Busega-24h'!L80)</f>
        <v>2.5</v>
      </c>
      <c r="M80" s="49">
        <f>AVERAGE('26.07 Masanafu-Busega-24h'!M80,'27.07 Masanafu-Busega-24h'!M80)</f>
        <v>27</v>
      </c>
      <c r="N80" s="49">
        <f>AVERAGE('26.07 Masanafu-Busega-24h'!N80,'27.07 Masanafu-Busega-24h'!N80)</f>
        <v>0</v>
      </c>
      <c r="O80" s="15">
        <f t="shared" si="34"/>
        <v>45</v>
      </c>
      <c r="P80" s="15">
        <f t="shared" si="35"/>
        <v>72</v>
      </c>
      <c r="R80" s="8"/>
      <c r="T80"/>
    </row>
    <row r="81" spans="2:20" ht="23.1" customHeight="1" x14ac:dyDescent="0.25">
      <c r="B81" s="23" t="s">
        <v>121</v>
      </c>
      <c r="C81" s="49">
        <f>AVERAGE('26.07 Masanafu-Busega-24h'!C81,'27.07 Masanafu-Busega-24h'!C81)</f>
        <v>22</v>
      </c>
      <c r="D81" s="49">
        <f>AVERAGE('26.07 Masanafu-Busega-24h'!D81,'27.07 Masanafu-Busega-24h'!D81)</f>
        <v>2</v>
      </c>
      <c r="E81" s="49">
        <f>AVERAGE('26.07 Masanafu-Busega-24h'!E81,'27.07 Masanafu-Busega-24h'!E81)</f>
        <v>1.5</v>
      </c>
      <c r="F81" s="49">
        <f>AVERAGE('26.07 Masanafu-Busega-24h'!F81,'27.07 Masanafu-Busega-24h'!F81)</f>
        <v>4</v>
      </c>
      <c r="G81" s="49">
        <f>AVERAGE('26.07 Masanafu-Busega-24h'!G81,'27.07 Masanafu-Busega-24h'!G81)</f>
        <v>0</v>
      </c>
      <c r="H81" s="49">
        <f>AVERAGE('26.07 Masanafu-Busega-24h'!H81,'27.07 Masanafu-Busega-24h'!H81)</f>
        <v>0</v>
      </c>
      <c r="I81" s="49">
        <f>AVERAGE('26.07 Masanafu-Busega-24h'!I81,'27.07 Masanafu-Busega-24h'!I81)</f>
        <v>2.5</v>
      </c>
      <c r="J81" s="49">
        <f>AVERAGE('26.07 Masanafu-Busega-24h'!J81,'27.07 Masanafu-Busega-24h'!J81)</f>
        <v>5</v>
      </c>
      <c r="K81" s="49">
        <f>AVERAGE('26.07 Masanafu-Busega-24h'!K81,'27.07 Masanafu-Busega-24h'!K81)</f>
        <v>3.5</v>
      </c>
      <c r="L81" s="49">
        <f>AVERAGE('26.07 Masanafu-Busega-24h'!L81,'27.07 Masanafu-Busega-24h'!L81)</f>
        <v>3</v>
      </c>
      <c r="M81" s="49">
        <f>AVERAGE('26.07 Masanafu-Busega-24h'!M81,'27.07 Masanafu-Busega-24h'!M81)</f>
        <v>26.5</v>
      </c>
      <c r="N81" s="49">
        <f>AVERAGE('26.07 Masanafu-Busega-24h'!N81,'27.07 Masanafu-Busega-24h'!N81)</f>
        <v>0</v>
      </c>
      <c r="O81" s="15">
        <f t="shared" si="34"/>
        <v>43.5</v>
      </c>
      <c r="P81" s="15">
        <f t="shared" si="35"/>
        <v>70</v>
      </c>
      <c r="R81" s="8"/>
      <c r="T81"/>
    </row>
    <row r="82" spans="2:20" ht="23.1" customHeight="1" x14ac:dyDescent="0.25">
      <c r="B82" s="24" t="s">
        <v>122</v>
      </c>
      <c r="C82" s="49">
        <f>AVERAGE('26.07 Masanafu-Busega-24h'!C82,'27.07 Masanafu-Busega-24h'!C82)</f>
        <v>18</v>
      </c>
      <c r="D82" s="49">
        <f>AVERAGE('26.07 Masanafu-Busega-24h'!D82,'27.07 Masanafu-Busega-24h'!D82)</f>
        <v>2</v>
      </c>
      <c r="E82" s="49">
        <f>AVERAGE('26.07 Masanafu-Busega-24h'!E82,'27.07 Masanafu-Busega-24h'!E82)</f>
        <v>3.5</v>
      </c>
      <c r="F82" s="49">
        <f>AVERAGE('26.07 Masanafu-Busega-24h'!F82,'27.07 Masanafu-Busega-24h'!F82)</f>
        <v>3.5</v>
      </c>
      <c r="G82" s="49">
        <f>AVERAGE('26.07 Masanafu-Busega-24h'!G82,'27.07 Masanafu-Busega-24h'!G82)</f>
        <v>0.5</v>
      </c>
      <c r="H82" s="49">
        <f>AVERAGE('26.07 Masanafu-Busega-24h'!H82,'27.07 Masanafu-Busega-24h'!H82)</f>
        <v>0</v>
      </c>
      <c r="I82" s="49">
        <f>AVERAGE('26.07 Masanafu-Busega-24h'!I82,'27.07 Masanafu-Busega-24h'!I82)</f>
        <v>4</v>
      </c>
      <c r="J82" s="49">
        <f>AVERAGE('26.07 Masanafu-Busega-24h'!J82,'27.07 Masanafu-Busega-24h'!J82)</f>
        <v>4</v>
      </c>
      <c r="K82" s="49">
        <f>AVERAGE('26.07 Masanafu-Busega-24h'!K82,'27.07 Masanafu-Busega-24h'!K82)</f>
        <v>4.5</v>
      </c>
      <c r="L82" s="49">
        <f>AVERAGE('26.07 Masanafu-Busega-24h'!L82,'27.07 Masanafu-Busega-24h'!L82)</f>
        <v>2</v>
      </c>
      <c r="M82" s="49">
        <f>AVERAGE('26.07 Masanafu-Busega-24h'!M82,'27.07 Masanafu-Busega-24h'!M82)</f>
        <v>23</v>
      </c>
      <c r="N82" s="49">
        <f>AVERAGE('26.07 Masanafu-Busega-24h'!N82,'27.07 Masanafu-Busega-24h'!N82)</f>
        <v>0</v>
      </c>
      <c r="O82" s="15">
        <f t="shared" si="34"/>
        <v>42</v>
      </c>
      <c r="P82" s="15">
        <f t="shared" si="35"/>
        <v>65</v>
      </c>
      <c r="R82" s="8"/>
      <c r="T82"/>
    </row>
    <row r="83" spans="2:20" ht="23.1" customHeight="1" x14ac:dyDescent="0.25">
      <c r="B83" s="23" t="s">
        <v>123</v>
      </c>
      <c r="C83" s="49">
        <f>AVERAGE('26.07 Masanafu-Busega-24h'!C83,'27.07 Masanafu-Busega-24h'!C83)</f>
        <v>15</v>
      </c>
      <c r="D83" s="49">
        <f>AVERAGE('26.07 Masanafu-Busega-24h'!D83,'27.07 Masanafu-Busega-24h'!D83)</f>
        <v>3</v>
      </c>
      <c r="E83" s="49">
        <f>AVERAGE('26.07 Masanafu-Busega-24h'!E83,'27.07 Masanafu-Busega-24h'!E83)</f>
        <v>2</v>
      </c>
      <c r="F83" s="49">
        <f>AVERAGE('26.07 Masanafu-Busega-24h'!F83,'27.07 Masanafu-Busega-24h'!F83)</f>
        <v>3</v>
      </c>
      <c r="G83" s="49">
        <f>AVERAGE('26.07 Masanafu-Busega-24h'!G83,'27.07 Masanafu-Busega-24h'!G83)</f>
        <v>0</v>
      </c>
      <c r="H83" s="49">
        <f>AVERAGE('26.07 Masanafu-Busega-24h'!H83,'27.07 Masanafu-Busega-24h'!H83)</f>
        <v>0</v>
      </c>
      <c r="I83" s="49">
        <f>AVERAGE('26.07 Masanafu-Busega-24h'!I83,'27.07 Masanafu-Busega-24h'!I83)</f>
        <v>1.5</v>
      </c>
      <c r="J83" s="49">
        <f>AVERAGE('26.07 Masanafu-Busega-24h'!J83,'27.07 Masanafu-Busega-24h'!J83)</f>
        <v>3.5</v>
      </c>
      <c r="K83" s="49">
        <f>AVERAGE('26.07 Masanafu-Busega-24h'!K83,'27.07 Masanafu-Busega-24h'!K83)</f>
        <v>0.5</v>
      </c>
      <c r="L83" s="49">
        <f>AVERAGE('26.07 Masanafu-Busega-24h'!L83,'27.07 Masanafu-Busega-24h'!L83)</f>
        <v>2.5</v>
      </c>
      <c r="M83" s="49">
        <f>AVERAGE('26.07 Masanafu-Busega-24h'!M83,'27.07 Masanafu-Busega-24h'!M83)</f>
        <v>17</v>
      </c>
      <c r="N83" s="49">
        <f>AVERAGE('26.07 Masanafu-Busega-24h'!N83,'27.07 Masanafu-Busega-24h'!N83)</f>
        <v>0</v>
      </c>
      <c r="O83" s="15">
        <f t="shared" si="34"/>
        <v>31</v>
      </c>
      <c r="P83" s="15">
        <f t="shared" si="35"/>
        <v>48</v>
      </c>
      <c r="R83" s="8"/>
      <c r="T83"/>
    </row>
    <row r="84" spans="2:20" ht="23.1" customHeight="1" x14ac:dyDescent="0.25">
      <c r="B84" s="25" t="s">
        <v>124</v>
      </c>
      <c r="C84" s="49">
        <f>AVERAGE('26.07 Masanafu-Busega-24h'!C84,'27.07 Masanafu-Busega-24h'!C84)</f>
        <v>14</v>
      </c>
      <c r="D84" s="49">
        <f>AVERAGE('26.07 Masanafu-Busega-24h'!D84,'27.07 Masanafu-Busega-24h'!D84)</f>
        <v>2.5</v>
      </c>
      <c r="E84" s="49">
        <f>AVERAGE('26.07 Masanafu-Busega-24h'!E84,'27.07 Masanafu-Busega-24h'!E84)</f>
        <v>0.5</v>
      </c>
      <c r="F84" s="49">
        <f>AVERAGE('26.07 Masanafu-Busega-24h'!F84,'27.07 Masanafu-Busega-24h'!F84)</f>
        <v>3.5</v>
      </c>
      <c r="G84" s="49">
        <f>AVERAGE('26.07 Masanafu-Busega-24h'!G84,'27.07 Masanafu-Busega-24h'!G84)</f>
        <v>0</v>
      </c>
      <c r="H84" s="49">
        <f>AVERAGE('26.07 Masanafu-Busega-24h'!H84,'27.07 Masanafu-Busega-24h'!H84)</f>
        <v>0</v>
      </c>
      <c r="I84" s="49">
        <f>AVERAGE('26.07 Masanafu-Busega-24h'!I84,'27.07 Masanafu-Busega-24h'!I84)</f>
        <v>4</v>
      </c>
      <c r="J84" s="49">
        <f>AVERAGE('26.07 Masanafu-Busega-24h'!J84,'27.07 Masanafu-Busega-24h'!J84)</f>
        <v>2</v>
      </c>
      <c r="K84" s="49">
        <f>AVERAGE('26.07 Masanafu-Busega-24h'!K84,'27.07 Masanafu-Busega-24h'!K84)</f>
        <v>1.5</v>
      </c>
      <c r="L84" s="49">
        <f>AVERAGE('26.07 Masanafu-Busega-24h'!L84,'27.07 Masanafu-Busega-24h'!L84)</f>
        <v>2.5</v>
      </c>
      <c r="M84" s="49">
        <f>AVERAGE('26.07 Masanafu-Busega-24h'!M84,'27.07 Masanafu-Busega-24h'!M84)</f>
        <v>12.5</v>
      </c>
      <c r="N84" s="49">
        <f>AVERAGE('26.07 Masanafu-Busega-24h'!N84,'27.07 Masanafu-Busega-24h'!N84)</f>
        <v>0</v>
      </c>
      <c r="O84" s="15">
        <f t="shared" si="34"/>
        <v>30.5</v>
      </c>
      <c r="P84" s="15">
        <f t="shared" si="35"/>
        <v>43</v>
      </c>
      <c r="R84" s="8"/>
      <c r="T84"/>
    </row>
    <row r="85" spans="2:20" ht="23.1" customHeight="1" x14ac:dyDescent="0.25">
      <c r="B85" s="23" t="s">
        <v>125</v>
      </c>
      <c r="C85" s="49">
        <f>AVERAGE('26.07 Masanafu-Busega-24h'!C85,'27.07 Masanafu-Busega-24h'!C85)</f>
        <v>12</v>
      </c>
      <c r="D85" s="49">
        <f>AVERAGE('26.07 Masanafu-Busega-24h'!D85,'27.07 Masanafu-Busega-24h'!D85)</f>
        <v>1.5</v>
      </c>
      <c r="E85" s="49">
        <f>AVERAGE('26.07 Masanafu-Busega-24h'!E85,'27.07 Masanafu-Busega-24h'!E85)</f>
        <v>0.5</v>
      </c>
      <c r="F85" s="49">
        <f>AVERAGE('26.07 Masanafu-Busega-24h'!F85,'27.07 Masanafu-Busega-24h'!F85)</f>
        <v>3</v>
      </c>
      <c r="G85" s="49">
        <f>AVERAGE('26.07 Masanafu-Busega-24h'!G85,'27.07 Masanafu-Busega-24h'!G85)</f>
        <v>0</v>
      </c>
      <c r="H85" s="49">
        <f>AVERAGE('26.07 Masanafu-Busega-24h'!H85,'27.07 Masanafu-Busega-24h'!H85)</f>
        <v>0</v>
      </c>
      <c r="I85" s="49">
        <f>AVERAGE('26.07 Masanafu-Busega-24h'!I85,'27.07 Masanafu-Busega-24h'!I85)</f>
        <v>1.5</v>
      </c>
      <c r="J85" s="49">
        <f>AVERAGE('26.07 Masanafu-Busega-24h'!J85,'27.07 Masanafu-Busega-24h'!J85)</f>
        <v>4.5</v>
      </c>
      <c r="K85" s="49">
        <f>AVERAGE('26.07 Masanafu-Busega-24h'!K85,'27.07 Masanafu-Busega-24h'!K85)</f>
        <v>1.5</v>
      </c>
      <c r="L85" s="49">
        <f>AVERAGE('26.07 Masanafu-Busega-24h'!L85,'27.07 Masanafu-Busega-24h'!L85)</f>
        <v>2.5</v>
      </c>
      <c r="M85" s="49">
        <f>AVERAGE('26.07 Masanafu-Busega-24h'!M85,'27.07 Masanafu-Busega-24h'!M85)</f>
        <v>9.5</v>
      </c>
      <c r="N85" s="49">
        <f>AVERAGE('26.07 Masanafu-Busega-24h'!N85,'27.07 Masanafu-Busega-24h'!N85)</f>
        <v>0</v>
      </c>
      <c r="O85" s="15">
        <f t="shared" si="34"/>
        <v>27</v>
      </c>
      <c r="P85" s="15">
        <f t="shared" si="35"/>
        <v>36.5</v>
      </c>
      <c r="R85" s="8"/>
      <c r="T85"/>
    </row>
    <row r="86" spans="2:20" ht="23.1" customHeight="1" x14ac:dyDescent="0.25">
      <c r="B86" s="24" t="s">
        <v>126</v>
      </c>
      <c r="C86" s="49">
        <f>AVERAGE('26.07 Masanafu-Busega-24h'!C86,'27.07 Masanafu-Busega-24h'!C86)</f>
        <v>9.5</v>
      </c>
      <c r="D86" s="49">
        <f>AVERAGE('26.07 Masanafu-Busega-24h'!D86,'27.07 Masanafu-Busega-24h'!D86)</f>
        <v>2.5</v>
      </c>
      <c r="E86" s="49">
        <f>AVERAGE('26.07 Masanafu-Busega-24h'!E86,'27.07 Masanafu-Busega-24h'!E86)</f>
        <v>0.5</v>
      </c>
      <c r="F86" s="49">
        <f>AVERAGE('26.07 Masanafu-Busega-24h'!F86,'27.07 Masanafu-Busega-24h'!F86)</f>
        <v>1.5</v>
      </c>
      <c r="G86" s="49">
        <f>AVERAGE('26.07 Masanafu-Busega-24h'!G86,'27.07 Masanafu-Busega-24h'!G86)</f>
        <v>0.5</v>
      </c>
      <c r="H86" s="49">
        <f>AVERAGE('26.07 Masanafu-Busega-24h'!H86,'27.07 Masanafu-Busega-24h'!H86)</f>
        <v>0.5</v>
      </c>
      <c r="I86" s="49">
        <f>AVERAGE('26.07 Masanafu-Busega-24h'!I86,'27.07 Masanafu-Busega-24h'!I86)</f>
        <v>4.5</v>
      </c>
      <c r="J86" s="49">
        <f>AVERAGE('26.07 Masanafu-Busega-24h'!J86,'27.07 Masanafu-Busega-24h'!J86)</f>
        <v>3</v>
      </c>
      <c r="K86" s="49">
        <f>AVERAGE('26.07 Masanafu-Busega-24h'!K86,'27.07 Masanafu-Busega-24h'!K86)</f>
        <v>0</v>
      </c>
      <c r="L86" s="49">
        <f>AVERAGE('26.07 Masanafu-Busega-24h'!L86,'27.07 Masanafu-Busega-24h'!L86)</f>
        <v>2.5</v>
      </c>
      <c r="M86" s="49">
        <f>AVERAGE('26.07 Masanafu-Busega-24h'!M86,'27.07 Masanafu-Busega-24h'!M86)</f>
        <v>10</v>
      </c>
      <c r="N86" s="49">
        <f>AVERAGE('26.07 Masanafu-Busega-24h'!N86,'27.07 Masanafu-Busega-24h'!N86)</f>
        <v>0</v>
      </c>
      <c r="O86" s="15">
        <f t="shared" si="34"/>
        <v>25</v>
      </c>
      <c r="P86" s="15">
        <f t="shared" si="35"/>
        <v>35</v>
      </c>
      <c r="R86" s="8"/>
      <c r="T86"/>
    </row>
    <row r="87" spans="2:20" ht="23.1" customHeight="1" x14ac:dyDescent="0.25">
      <c r="B87" s="23" t="s">
        <v>127</v>
      </c>
      <c r="C87" s="49">
        <f>AVERAGE('26.07 Masanafu-Busega-24h'!C87,'27.07 Masanafu-Busega-24h'!C87)</f>
        <v>9.5</v>
      </c>
      <c r="D87" s="49">
        <f>AVERAGE('26.07 Masanafu-Busega-24h'!D87,'27.07 Masanafu-Busega-24h'!D87)</f>
        <v>0.5</v>
      </c>
      <c r="E87" s="49">
        <f>AVERAGE('26.07 Masanafu-Busega-24h'!E87,'27.07 Masanafu-Busega-24h'!E87)</f>
        <v>1</v>
      </c>
      <c r="F87" s="49">
        <f>AVERAGE('26.07 Masanafu-Busega-24h'!F87,'27.07 Masanafu-Busega-24h'!F87)</f>
        <v>1</v>
      </c>
      <c r="G87" s="49">
        <f>AVERAGE('26.07 Masanafu-Busega-24h'!G87,'27.07 Masanafu-Busega-24h'!G87)</f>
        <v>0</v>
      </c>
      <c r="H87" s="49">
        <f>AVERAGE('26.07 Masanafu-Busega-24h'!H87,'27.07 Masanafu-Busega-24h'!H87)</f>
        <v>0</v>
      </c>
      <c r="I87" s="49">
        <f>AVERAGE('26.07 Masanafu-Busega-24h'!I87,'27.07 Masanafu-Busega-24h'!I87)</f>
        <v>2</v>
      </c>
      <c r="J87" s="49">
        <f>AVERAGE('26.07 Masanafu-Busega-24h'!J87,'27.07 Masanafu-Busega-24h'!J87)</f>
        <v>5.5</v>
      </c>
      <c r="K87" s="49">
        <f>AVERAGE('26.07 Masanafu-Busega-24h'!K87,'27.07 Masanafu-Busega-24h'!K87)</f>
        <v>0.5</v>
      </c>
      <c r="L87" s="49">
        <f>AVERAGE('26.07 Masanafu-Busega-24h'!L87,'27.07 Masanafu-Busega-24h'!L87)</f>
        <v>0.5</v>
      </c>
      <c r="M87" s="49">
        <f>AVERAGE('26.07 Masanafu-Busega-24h'!M87,'27.07 Masanafu-Busega-24h'!M87)</f>
        <v>13</v>
      </c>
      <c r="N87" s="49">
        <f>AVERAGE('26.07 Masanafu-Busega-24h'!N87,'27.07 Masanafu-Busega-24h'!N87)</f>
        <v>0</v>
      </c>
      <c r="O87" s="15">
        <f t="shared" si="34"/>
        <v>20.5</v>
      </c>
      <c r="P87" s="15">
        <f t="shared" si="35"/>
        <v>33.5</v>
      </c>
      <c r="R87" s="8"/>
      <c r="T87"/>
    </row>
    <row r="88" spans="2:20" ht="23.1" customHeight="1" x14ac:dyDescent="0.25">
      <c r="B88" s="25" t="s">
        <v>128</v>
      </c>
      <c r="C88" s="49">
        <f>AVERAGE('26.07 Masanafu-Busega-24h'!C88,'27.07 Masanafu-Busega-24h'!C88)</f>
        <v>7</v>
      </c>
      <c r="D88" s="49">
        <f>AVERAGE('26.07 Masanafu-Busega-24h'!D88,'27.07 Masanafu-Busega-24h'!D88)</f>
        <v>0.5</v>
      </c>
      <c r="E88" s="49">
        <f>AVERAGE('26.07 Masanafu-Busega-24h'!E88,'27.07 Masanafu-Busega-24h'!E88)</f>
        <v>2</v>
      </c>
      <c r="F88" s="49">
        <f>AVERAGE('26.07 Masanafu-Busega-24h'!F88,'27.07 Masanafu-Busega-24h'!F88)</f>
        <v>2.5</v>
      </c>
      <c r="G88" s="49">
        <f>AVERAGE('26.07 Masanafu-Busega-24h'!G88,'27.07 Masanafu-Busega-24h'!G88)</f>
        <v>0</v>
      </c>
      <c r="H88" s="49">
        <f>AVERAGE('26.07 Masanafu-Busega-24h'!H88,'27.07 Masanafu-Busega-24h'!H88)</f>
        <v>0.5</v>
      </c>
      <c r="I88" s="49">
        <f>AVERAGE('26.07 Masanafu-Busega-24h'!I88,'27.07 Masanafu-Busega-24h'!I88)</f>
        <v>2.5</v>
      </c>
      <c r="J88" s="49">
        <f>AVERAGE('26.07 Masanafu-Busega-24h'!J88,'27.07 Masanafu-Busega-24h'!J88)</f>
        <v>5</v>
      </c>
      <c r="K88" s="49">
        <f>AVERAGE('26.07 Masanafu-Busega-24h'!K88,'27.07 Masanafu-Busega-24h'!K88)</f>
        <v>0.5</v>
      </c>
      <c r="L88" s="49">
        <f>AVERAGE('26.07 Masanafu-Busega-24h'!L88,'27.07 Masanafu-Busega-24h'!L88)</f>
        <v>2</v>
      </c>
      <c r="M88" s="49">
        <f>AVERAGE('26.07 Masanafu-Busega-24h'!M88,'27.07 Masanafu-Busega-24h'!M88)</f>
        <v>15.5</v>
      </c>
      <c r="N88" s="49">
        <f>AVERAGE('26.07 Masanafu-Busega-24h'!N88,'27.07 Masanafu-Busega-24h'!N88)</f>
        <v>0</v>
      </c>
      <c r="O88" s="15">
        <f t="shared" si="34"/>
        <v>22.5</v>
      </c>
      <c r="P88" s="15">
        <f t="shared" si="35"/>
        <v>38</v>
      </c>
      <c r="R88" s="8"/>
      <c r="T88"/>
    </row>
    <row r="89" spans="2:20" ht="23.1" customHeight="1" x14ac:dyDescent="0.25">
      <c r="B89" s="23" t="s">
        <v>129</v>
      </c>
      <c r="C89" s="49">
        <f>AVERAGE('26.07 Masanafu-Busega-24h'!C89,'27.07 Masanafu-Busega-24h'!C89)</f>
        <v>9.5</v>
      </c>
      <c r="D89" s="49">
        <f>AVERAGE('26.07 Masanafu-Busega-24h'!D89,'27.07 Masanafu-Busega-24h'!D89)</f>
        <v>0.5</v>
      </c>
      <c r="E89" s="49">
        <f>AVERAGE('26.07 Masanafu-Busega-24h'!E89,'27.07 Masanafu-Busega-24h'!E89)</f>
        <v>1.5</v>
      </c>
      <c r="F89" s="49">
        <f>AVERAGE('26.07 Masanafu-Busega-24h'!F89,'27.07 Masanafu-Busega-24h'!F89)</f>
        <v>0.5</v>
      </c>
      <c r="G89" s="49">
        <f>AVERAGE('26.07 Masanafu-Busega-24h'!G89,'27.07 Masanafu-Busega-24h'!G89)</f>
        <v>0</v>
      </c>
      <c r="H89" s="49">
        <f>AVERAGE('26.07 Masanafu-Busega-24h'!H89,'27.07 Masanafu-Busega-24h'!H89)</f>
        <v>0</v>
      </c>
      <c r="I89" s="49">
        <f>AVERAGE('26.07 Masanafu-Busega-24h'!I89,'27.07 Masanafu-Busega-24h'!I89)</f>
        <v>1</v>
      </c>
      <c r="J89" s="49">
        <f>AVERAGE('26.07 Masanafu-Busega-24h'!J89,'27.07 Masanafu-Busega-24h'!J89)</f>
        <v>6</v>
      </c>
      <c r="K89" s="49">
        <f>AVERAGE('26.07 Masanafu-Busega-24h'!K89,'27.07 Masanafu-Busega-24h'!K89)</f>
        <v>1.5</v>
      </c>
      <c r="L89" s="49">
        <f>AVERAGE('26.07 Masanafu-Busega-24h'!L89,'27.07 Masanafu-Busega-24h'!L89)</f>
        <v>0</v>
      </c>
      <c r="M89" s="49">
        <f>AVERAGE('26.07 Masanafu-Busega-24h'!M89,'27.07 Masanafu-Busega-24h'!M89)</f>
        <v>11</v>
      </c>
      <c r="N89" s="49">
        <f>AVERAGE('26.07 Masanafu-Busega-24h'!N89,'27.07 Masanafu-Busega-24h'!N89)</f>
        <v>0</v>
      </c>
      <c r="O89" s="15">
        <f t="shared" si="34"/>
        <v>20.5</v>
      </c>
      <c r="P89" s="15">
        <f t="shared" si="35"/>
        <v>31.5</v>
      </c>
      <c r="R89" s="8"/>
      <c r="T89"/>
    </row>
    <row r="90" spans="2:20" ht="23.1" customHeight="1" x14ac:dyDescent="0.25">
      <c r="B90" s="24" t="s">
        <v>130</v>
      </c>
      <c r="C90" s="49">
        <f>AVERAGE('26.07 Masanafu-Busega-24h'!C90,'27.07 Masanafu-Busega-24h'!C90)</f>
        <v>5</v>
      </c>
      <c r="D90" s="49">
        <f>AVERAGE('26.07 Masanafu-Busega-24h'!D90,'27.07 Masanafu-Busega-24h'!D90)</f>
        <v>1</v>
      </c>
      <c r="E90" s="49">
        <f>AVERAGE('26.07 Masanafu-Busega-24h'!E90,'27.07 Masanafu-Busega-24h'!E90)</f>
        <v>1</v>
      </c>
      <c r="F90" s="49">
        <f>AVERAGE('26.07 Masanafu-Busega-24h'!F90,'27.07 Masanafu-Busega-24h'!F90)</f>
        <v>0.5</v>
      </c>
      <c r="G90" s="49">
        <f>AVERAGE('26.07 Masanafu-Busega-24h'!G90,'27.07 Masanafu-Busega-24h'!G90)</f>
        <v>0</v>
      </c>
      <c r="H90" s="49">
        <f>AVERAGE('26.07 Masanafu-Busega-24h'!H90,'27.07 Masanafu-Busega-24h'!H90)</f>
        <v>0</v>
      </c>
      <c r="I90" s="49">
        <f>AVERAGE('26.07 Masanafu-Busega-24h'!I90,'27.07 Masanafu-Busega-24h'!I90)</f>
        <v>3.5</v>
      </c>
      <c r="J90" s="49">
        <f>AVERAGE('26.07 Masanafu-Busega-24h'!J90,'27.07 Masanafu-Busega-24h'!J90)</f>
        <v>5.5</v>
      </c>
      <c r="K90" s="49">
        <f>AVERAGE('26.07 Masanafu-Busega-24h'!K90,'27.07 Masanafu-Busega-24h'!K90)</f>
        <v>1</v>
      </c>
      <c r="L90" s="49">
        <f>AVERAGE('26.07 Masanafu-Busega-24h'!L90,'27.07 Masanafu-Busega-24h'!L90)</f>
        <v>2.5</v>
      </c>
      <c r="M90" s="49">
        <f>AVERAGE('26.07 Masanafu-Busega-24h'!M90,'27.07 Masanafu-Busega-24h'!M90)</f>
        <v>10</v>
      </c>
      <c r="N90" s="49">
        <f>AVERAGE('26.07 Masanafu-Busega-24h'!N90,'27.07 Masanafu-Busega-24h'!N90)</f>
        <v>0</v>
      </c>
      <c r="O90" s="15">
        <f t="shared" si="34"/>
        <v>20</v>
      </c>
      <c r="P90" s="15">
        <f t="shared" si="35"/>
        <v>30</v>
      </c>
      <c r="R90" s="8"/>
      <c r="T90"/>
    </row>
    <row r="91" spans="2:20" ht="23.1" customHeight="1" x14ac:dyDescent="0.25">
      <c r="B91" s="23" t="s">
        <v>131</v>
      </c>
      <c r="C91" s="49">
        <f>AVERAGE('26.07 Masanafu-Busega-24h'!C91,'27.07 Masanafu-Busega-24h'!C91)</f>
        <v>6.5</v>
      </c>
      <c r="D91" s="49">
        <f>AVERAGE('26.07 Masanafu-Busega-24h'!D91,'27.07 Masanafu-Busega-24h'!D91)</f>
        <v>1</v>
      </c>
      <c r="E91" s="49">
        <f>AVERAGE('26.07 Masanafu-Busega-24h'!E91,'27.07 Masanafu-Busega-24h'!E91)</f>
        <v>1</v>
      </c>
      <c r="F91" s="49">
        <f>AVERAGE('26.07 Masanafu-Busega-24h'!F91,'27.07 Masanafu-Busega-24h'!F91)</f>
        <v>2</v>
      </c>
      <c r="G91" s="49">
        <f>AVERAGE('26.07 Masanafu-Busega-24h'!G91,'27.07 Masanafu-Busega-24h'!G91)</f>
        <v>0</v>
      </c>
      <c r="H91" s="49">
        <f>AVERAGE('26.07 Masanafu-Busega-24h'!H91,'27.07 Masanafu-Busega-24h'!H91)</f>
        <v>0</v>
      </c>
      <c r="I91" s="49">
        <f>AVERAGE('26.07 Masanafu-Busega-24h'!I91,'27.07 Masanafu-Busega-24h'!I91)</f>
        <v>3</v>
      </c>
      <c r="J91" s="49">
        <f>AVERAGE('26.07 Masanafu-Busega-24h'!J91,'27.07 Masanafu-Busega-24h'!J91)</f>
        <v>5</v>
      </c>
      <c r="K91" s="49">
        <f>AVERAGE('26.07 Masanafu-Busega-24h'!K91,'27.07 Masanafu-Busega-24h'!K91)</f>
        <v>2.5</v>
      </c>
      <c r="L91" s="49">
        <f>AVERAGE('26.07 Masanafu-Busega-24h'!L91,'27.07 Masanafu-Busega-24h'!L91)</f>
        <v>2</v>
      </c>
      <c r="M91" s="49">
        <f>AVERAGE('26.07 Masanafu-Busega-24h'!M91,'27.07 Masanafu-Busega-24h'!M91)</f>
        <v>6.5</v>
      </c>
      <c r="N91" s="49">
        <f>AVERAGE('26.07 Masanafu-Busega-24h'!N91,'27.07 Masanafu-Busega-24h'!N91)</f>
        <v>0</v>
      </c>
      <c r="O91" s="15">
        <f t="shared" si="34"/>
        <v>23</v>
      </c>
      <c r="P91" s="15">
        <f t="shared" si="35"/>
        <v>29.5</v>
      </c>
      <c r="R91" s="8"/>
      <c r="T91"/>
    </row>
    <row r="92" spans="2:20" ht="23.1" customHeight="1" x14ac:dyDescent="0.25">
      <c r="B92" s="25" t="s">
        <v>132</v>
      </c>
      <c r="C92" s="49">
        <f>AVERAGE('26.07 Masanafu-Busega-24h'!C92,'27.07 Masanafu-Busega-24h'!C92)</f>
        <v>7</v>
      </c>
      <c r="D92" s="49">
        <f>AVERAGE('26.07 Masanafu-Busega-24h'!D92,'27.07 Masanafu-Busega-24h'!D92)</f>
        <v>2</v>
      </c>
      <c r="E92" s="49">
        <f>AVERAGE('26.07 Masanafu-Busega-24h'!E92,'27.07 Masanafu-Busega-24h'!E92)</f>
        <v>2.5</v>
      </c>
      <c r="F92" s="49">
        <f>AVERAGE('26.07 Masanafu-Busega-24h'!F92,'27.07 Masanafu-Busega-24h'!F92)</f>
        <v>0</v>
      </c>
      <c r="G92" s="49">
        <f>AVERAGE('26.07 Masanafu-Busega-24h'!G92,'27.07 Masanafu-Busega-24h'!G92)</f>
        <v>0</v>
      </c>
      <c r="H92" s="49">
        <f>AVERAGE('26.07 Masanafu-Busega-24h'!H92,'27.07 Masanafu-Busega-24h'!H92)</f>
        <v>0</v>
      </c>
      <c r="I92" s="49">
        <f>AVERAGE('26.07 Masanafu-Busega-24h'!I92,'27.07 Masanafu-Busega-24h'!I92)</f>
        <v>1.5</v>
      </c>
      <c r="J92" s="49">
        <f>AVERAGE('26.07 Masanafu-Busega-24h'!J92,'27.07 Masanafu-Busega-24h'!J92)</f>
        <v>4</v>
      </c>
      <c r="K92" s="49">
        <f>AVERAGE('26.07 Masanafu-Busega-24h'!K92,'27.07 Masanafu-Busega-24h'!K92)</f>
        <v>1</v>
      </c>
      <c r="L92" s="49">
        <f>AVERAGE('26.07 Masanafu-Busega-24h'!L92,'27.07 Masanafu-Busega-24h'!L92)</f>
        <v>2.5</v>
      </c>
      <c r="M92" s="49">
        <f>AVERAGE('26.07 Masanafu-Busega-24h'!M92,'27.07 Masanafu-Busega-24h'!M92)</f>
        <v>7.5</v>
      </c>
      <c r="N92" s="49">
        <f>AVERAGE('26.07 Masanafu-Busega-24h'!N92,'27.07 Masanafu-Busega-24h'!N92)</f>
        <v>0</v>
      </c>
      <c r="O92" s="15">
        <f t="shared" si="34"/>
        <v>20.5</v>
      </c>
      <c r="P92" s="15">
        <f t="shared" si="35"/>
        <v>28</v>
      </c>
      <c r="R92" s="8"/>
      <c r="T92"/>
    </row>
    <row r="93" spans="2:20" ht="23.1" customHeight="1" x14ac:dyDescent="0.25">
      <c r="B93" s="23" t="s">
        <v>133</v>
      </c>
      <c r="C93" s="49">
        <f>AVERAGE('26.07 Masanafu-Busega-24h'!C93,'27.07 Masanafu-Busega-24h'!C93)</f>
        <v>8.5</v>
      </c>
      <c r="D93" s="49">
        <f>AVERAGE('26.07 Masanafu-Busega-24h'!D93,'27.07 Masanafu-Busega-24h'!D93)</f>
        <v>0.5</v>
      </c>
      <c r="E93" s="49">
        <f>AVERAGE('26.07 Masanafu-Busega-24h'!E93,'27.07 Masanafu-Busega-24h'!E93)</f>
        <v>2</v>
      </c>
      <c r="F93" s="49">
        <f>AVERAGE('26.07 Masanafu-Busega-24h'!F93,'27.07 Masanafu-Busega-24h'!F93)</f>
        <v>0.5</v>
      </c>
      <c r="G93" s="49">
        <f>AVERAGE('26.07 Masanafu-Busega-24h'!G93,'27.07 Masanafu-Busega-24h'!G93)</f>
        <v>0</v>
      </c>
      <c r="H93" s="49">
        <f>AVERAGE('26.07 Masanafu-Busega-24h'!H93,'27.07 Masanafu-Busega-24h'!H93)</f>
        <v>0</v>
      </c>
      <c r="I93" s="49">
        <f>AVERAGE('26.07 Masanafu-Busega-24h'!I93,'27.07 Masanafu-Busega-24h'!I93)</f>
        <v>2</v>
      </c>
      <c r="J93" s="49">
        <f>AVERAGE('26.07 Masanafu-Busega-24h'!J93,'27.07 Masanafu-Busega-24h'!J93)</f>
        <v>1</v>
      </c>
      <c r="K93" s="49">
        <f>AVERAGE('26.07 Masanafu-Busega-24h'!K93,'27.07 Masanafu-Busega-24h'!K93)</f>
        <v>2.5</v>
      </c>
      <c r="L93" s="49">
        <f>AVERAGE('26.07 Masanafu-Busega-24h'!L93,'27.07 Masanafu-Busega-24h'!L93)</f>
        <v>2</v>
      </c>
      <c r="M93" s="49">
        <f>AVERAGE('26.07 Masanafu-Busega-24h'!M93,'27.07 Masanafu-Busega-24h'!M93)</f>
        <v>9</v>
      </c>
      <c r="N93" s="49">
        <f>AVERAGE('26.07 Masanafu-Busega-24h'!N93,'27.07 Masanafu-Busega-24h'!N93)</f>
        <v>0</v>
      </c>
      <c r="O93" s="15">
        <f t="shared" si="34"/>
        <v>19</v>
      </c>
      <c r="P93" s="15">
        <f t="shared" si="35"/>
        <v>28</v>
      </c>
      <c r="R93" s="8"/>
      <c r="T93"/>
    </row>
    <row r="94" spans="2:20" ht="23.1" customHeight="1" x14ac:dyDescent="0.25">
      <c r="B94" s="24" t="s">
        <v>134</v>
      </c>
      <c r="C94" s="49">
        <f>AVERAGE('26.07 Masanafu-Busega-24h'!C94,'27.07 Masanafu-Busega-24h'!C94)</f>
        <v>9.5</v>
      </c>
      <c r="D94" s="49">
        <f>AVERAGE('26.07 Masanafu-Busega-24h'!D94,'27.07 Masanafu-Busega-24h'!D94)</f>
        <v>4</v>
      </c>
      <c r="E94" s="49">
        <f>AVERAGE('26.07 Masanafu-Busega-24h'!E94,'27.07 Masanafu-Busega-24h'!E94)</f>
        <v>2</v>
      </c>
      <c r="F94" s="49">
        <f>AVERAGE('26.07 Masanafu-Busega-24h'!F94,'27.07 Masanafu-Busega-24h'!F94)</f>
        <v>1</v>
      </c>
      <c r="G94" s="49">
        <f>AVERAGE('26.07 Masanafu-Busega-24h'!G94,'27.07 Masanafu-Busega-24h'!G94)</f>
        <v>0</v>
      </c>
      <c r="H94" s="49">
        <f>AVERAGE('26.07 Masanafu-Busega-24h'!H94,'27.07 Masanafu-Busega-24h'!H94)</f>
        <v>0</v>
      </c>
      <c r="I94" s="49">
        <f>AVERAGE('26.07 Masanafu-Busega-24h'!I94,'27.07 Masanafu-Busega-24h'!I94)</f>
        <v>3</v>
      </c>
      <c r="J94" s="49">
        <f>AVERAGE('26.07 Masanafu-Busega-24h'!J94,'27.07 Masanafu-Busega-24h'!J94)</f>
        <v>3</v>
      </c>
      <c r="K94" s="49">
        <f>AVERAGE('26.07 Masanafu-Busega-24h'!K94,'27.07 Masanafu-Busega-24h'!K94)</f>
        <v>1</v>
      </c>
      <c r="L94" s="49">
        <f>AVERAGE('26.07 Masanafu-Busega-24h'!L94,'27.07 Masanafu-Busega-24h'!L94)</f>
        <v>1.5</v>
      </c>
      <c r="M94" s="49">
        <f>AVERAGE('26.07 Masanafu-Busega-24h'!M94,'27.07 Masanafu-Busega-24h'!M94)</f>
        <v>6.5</v>
      </c>
      <c r="N94" s="49">
        <f>AVERAGE('26.07 Masanafu-Busega-24h'!N94,'27.07 Masanafu-Busega-24h'!N94)</f>
        <v>0</v>
      </c>
      <c r="O94" s="15">
        <f t="shared" si="34"/>
        <v>25</v>
      </c>
      <c r="P94" s="15">
        <f t="shared" si="35"/>
        <v>31.5</v>
      </c>
      <c r="R94" s="8"/>
      <c r="T94"/>
    </row>
    <row r="95" spans="2:20" ht="23.1" customHeight="1" x14ac:dyDescent="0.25">
      <c r="B95" s="23" t="s">
        <v>135</v>
      </c>
      <c r="C95" s="49">
        <f>AVERAGE('26.07 Masanafu-Busega-24h'!C95,'27.07 Masanafu-Busega-24h'!C95)</f>
        <v>11</v>
      </c>
      <c r="D95" s="49">
        <f>AVERAGE('26.07 Masanafu-Busega-24h'!D95,'27.07 Masanafu-Busega-24h'!D95)</f>
        <v>4</v>
      </c>
      <c r="E95" s="49">
        <f>AVERAGE('26.07 Masanafu-Busega-24h'!E95,'27.07 Masanafu-Busega-24h'!E95)</f>
        <v>2</v>
      </c>
      <c r="F95" s="49">
        <f>AVERAGE('26.07 Masanafu-Busega-24h'!F95,'27.07 Masanafu-Busega-24h'!F95)</f>
        <v>2</v>
      </c>
      <c r="G95" s="49">
        <f>AVERAGE('26.07 Masanafu-Busega-24h'!G95,'27.07 Masanafu-Busega-24h'!G95)</f>
        <v>0</v>
      </c>
      <c r="H95" s="49">
        <f>AVERAGE('26.07 Masanafu-Busega-24h'!H95,'27.07 Masanafu-Busega-24h'!H95)</f>
        <v>0</v>
      </c>
      <c r="I95" s="49">
        <f>AVERAGE('26.07 Masanafu-Busega-24h'!I95,'27.07 Masanafu-Busega-24h'!I95)</f>
        <v>2</v>
      </c>
      <c r="J95" s="49">
        <f>AVERAGE('26.07 Masanafu-Busega-24h'!J95,'27.07 Masanafu-Busega-24h'!J95)</f>
        <v>5.5</v>
      </c>
      <c r="K95" s="49">
        <f>AVERAGE('26.07 Masanafu-Busega-24h'!K95,'27.07 Masanafu-Busega-24h'!K95)</f>
        <v>1</v>
      </c>
      <c r="L95" s="49">
        <f>AVERAGE('26.07 Masanafu-Busega-24h'!L95,'27.07 Masanafu-Busega-24h'!L95)</f>
        <v>1.5</v>
      </c>
      <c r="M95" s="49">
        <f>AVERAGE('26.07 Masanafu-Busega-24h'!M95,'27.07 Masanafu-Busega-24h'!M95)</f>
        <v>13.5</v>
      </c>
      <c r="N95" s="49">
        <f>AVERAGE('26.07 Masanafu-Busega-24h'!N95,'27.07 Masanafu-Busega-24h'!N95)</f>
        <v>0</v>
      </c>
      <c r="O95" s="15">
        <f t="shared" si="34"/>
        <v>29</v>
      </c>
      <c r="P95" s="15">
        <f t="shared" si="35"/>
        <v>42.5</v>
      </c>
      <c r="R95" s="8"/>
      <c r="T95"/>
    </row>
    <row r="96" spans="2:20" ht="23.1" customHeight="1" x14ac:dyDescent="0.25">
      <c r="B96" s="25" t="s">
        <v>136</v>
      </c>
      <c r="C96" s="49">
        <f>AVERAGE('26.07 Masanafu-Busega-24h'!C96,'27.07 Masanafu-Busega-24h'!C96)</f>
        <v>9.5</v>
      </c>
      <c r="D96" s="49">
        <f>AVERAGE('26.07 Masanafu-Busega-24h'!D96,'27.07 Masanafu-Busega-24h'!D96)</f>
        <v>3.5</v>
      </c>
      <c r="E96" s="49">
        <f>AVERAGE('26.07 Masanafu-Busega-24h'!E96,'27.07 Masanafu-Busega-24h'!E96)</f>
        <v>2.5</v>
      </c>
      <c r="F96" s="49">
        <f>AVERAGE('26.07 Masanafu-Busega-24h'!F96,'27.07 Masanafu-Busega-24h'!F96)</f>
        <v>2</v>
      </c>
      <c r="G96" s="49">
        <f>AVERAGE('26.07 Masanafu-Busega-24h'!G96,'27.07 Masanafu-Busega-24h'!G96)</f>
        <v>0</v>
      </c>
      <c r="H96" s="49">
        <f>AVERAGE('26.07 Masanafu-Busega-24h'!H96,'27.07 Masanafu-Busega-24h'!H96)</f>
        <v>1</v>
      </c>
      <c r="I96" s="49">
        <f>AVERAGE('26.07 Masanafu-Busega-24h'!I96,'27.07 Masanafu-Busega-24h'!I96)</f>
        <v>0.5</v>
      </c>
      <c r="J96" s="49">
        <f>AVERAGE('26.07 Masanafu-Busega-24h'!J96,'27.07 Masanafu-Busega-24h'!J96)</f>
        <v>3</v>
      </c>
      <c r="K96" s="49">
        <f>AVERAGE('26.07 Masanafu-Busega-24h'!K96,'27.07 Masanafu-Busega-24h'!K96)</f>
        <v>1.5</v>
      </c>
      <c r="L96" s="49">
        <f>AVERAGE('26.07 Masanafu-Busega-24h'!L96,'27.07 Masanafu-Busega-24h'!L96)</f>
        <v>4</v>
      </c>
      <c r="M96" s="49">
        <f>AVERAGE('26.07 Masanafu-Busega-24h'!M96,'27.07 Masanafu-Busega-24h'!M96)</f>
        <v>15.5</v>
      </c>
      <c r="N96" s="49">
        <f>AVERAGE('26.07 Masanafu-Busega-24h'!N96,'27.07 Masanafu-Busega-24h'!N96)</f>
        <v>0</v>
      </c>
      <c r="O96" s="15">
        <f t="shared" si="34"/>
        <v>27.5</v>
      </c>
      <c r="P96" s="15">
        <f t="shared" si="35"/>
        <v>43</v>
      </c>
      <c r="R96" s="8"/>
      <c r="T96"/>
    </row>
    <row r="97" spans="2:20" ht="23.1" customHeight="1" x14ac:dyDescent="0.25">
      <c r="B97" s="23" t="s">
        <v>137</v>
      </c>
      <c r="C97" s="49">
        <f>AVERAGE('26.07 Masanafu-Busega-24h'!C97,'27.07 Masanafu-Busega-24h'!C97)</f>
        <v>11.5</v>
      </c>
      <c r="D97" s="49">
        <f>AVERAGE('26.07 Masanafu-Busega-24h'!D97,'27.07 Masanafu-Busega-24h'!D97)</f>
        <v>3.5</v>
      </c>
      <c r="E97" s="49">
        <f>AVERAGE('26.07 Masanafu-Busega-24h'!E97,'27.07 Masanafu-Busega-24h'!E97)</f>
        <v>3</v>
      </c>
      <c r="F97" s="49">
        <f>AVERAGE('26.07 Masanafu-Busega-24h'!F97,'27.07 Masanafu-Busega-24h'!F97)</f>
        <v>4.5</v>
      </c>
      <c r="G97" s="49">
        <f>AVERAGE('26.07 Masanafu-Busega-24h'!G97,'27.07 Masanafu-Busega-24h'!G97)</f>
        <v>0</v>
      </c>
      <c r="H97" s="49">
        <f>AVERAGE('26.07 Masanafu-Busega-24h'!H97,'27.07 Masanafu-Busega-24h'!H97)</f>
        <v>0</v>
      </c>
      <c r="I97" s="49">
        <f>AVERAGE('26.07 Masanafu-Busega-24h'!I97,'27.07 Masanafu-Busega-24h'!I97)</f>
        <v>3</v>
      </c>
      <c r="J97" s="49">
        <f>AVERAGE('26.07 Masanafu-Busega-24h'!J97,'27.07 Masanafu-Busega-24h'!J97)</f>
        <v>4.5</v>
      </c>
      <c r="K97" s="49">
        <f>AVERAGE('26.07 Masanafu-Busega-24h'!K97,'27.07 Masanafu-Busega-24h'!K97)</f>
        <v>4.5</v>
      </c>
      <c r="L97" s="49">
        <f>AVERAGE('26.07 Masanafu-Busega-24h'!L97,'27.07 Masanafu-Busega-24h'!L97)</f>
        <v>1.5</v>
      </c>
      <c r="M97" s="49">
        <f>AVERAGE('26.07 Masanafu-Busega-24h'!M97,'27.07 Masanafu-Busega-24h'!M97)</f>
        <v>15.5</v>
      </c>
      <c r="N97" s="49">
        <f>AVERAGE('26.07 Masanafu-Busega-24h'!N97,'27.07 Masanafu-Busega-24h'!N97)</f>
        <v>0</v>
      </c>
      <c r="O97" s="15">
        <f t="shared" si="34"/>
        <v>36</v>
      </c>
      <c r="P97" s="15">
        <f t="shared" si="35"/>
        <v>51.5</v>
      </c>
      <c r="R97" s="8"/>
      <c r="T97"/>
    </row>
    <row r="98" spans="2:20" ht="23.1" customHeight="1" x14ac:dyDescent="0.25">
      <c r="B98" s="24" t="s">
        <v>138</v>
      </c>
      <c r="C98" s="49">
        <f>AVERAGE('26.07 Masanafu-Busega-24h'!C98,'27.07 Masanafu-Busega-24h'!C98)</f>
        <v>21.5</v>
      </c>
      <c r="D98" s="49">
        <f>AVERAGE('26.07 Masanafu-Busega-24h'!D98,'27.07 Masanafu-Busega-24h'!D98)</f>
        <v>6</v>
      </c>
      <c r="E98" s="49">
        <f>AVERAGE('26.07 Masanafu-Busega-24h'!E98,'27.07 Masanafu-Busega-24h'!E98)</f>
        <v>3</v>
      </c>
      <c r="F98" s="49">
        <f>AVERAGE('26.07 Masanafu-Busega-24h'!F98,'27.07 Masanafu-Busega-24h'!F98)</f>
        <v>3.5</v>
      </c>
      <c r="G98" s="49">
        <f>AVERAGE('26.07 Masanafu-Busega-24h'!G98,'27.07 Masanafu-Busega-24h'!G98)</f>
        <v>0.5</v>
      </c>
      <c r="H98" s="49">
        <f>AVERAGE('26.07 Masanafu-Busega-24h'!H98,'27.07 Masanafu-Busega-24h'!H98)</f>
        <v>0</v>
      </c>
      <c r="I98" s="49">
        <f>AVERAGE('26.07 Masanafu-Busega-24h'!I98,'27.07 Masanafu-Busega-24h'!I98)</f>
        <v>3</v>
      </c>
      <c r="J98" s="49">
        <f>AVERAGE('26.07 Masanafu-Busega-24h'!J98,'27.07 Masanafu-Busega-24h'!J98)</f>
        <v>5.5</v>
      </c>
      <c r="K98" s="49">
        <f>AVERAGE('26.07 Masanafu-Busega-24h'!K98,'27.07 Masanafu-Busega-24h'!K98)</f>
        <v>0.5</v>
      </c>
      <c r="L98" s="49">
        <f>AVERAGE('26.07 Masanafu-Busega-24h'!L98,'27.07 Masanafu-Busega-24h'!L98)</f>
        <v>1.5</v>
      </c>
      <c r="M98" s="49">
        <f>AVERAGE('26.07 Masanafu-Busega-24h'!M98,'27.07 Masanafu-Busega-24h'!M98)</f>
        <v>18</v>
      </c>
      <c r="N98" s="49">
        <f>AVERAGE('26.07 Masanafu-Busega-24h'!N98,'27.07 Masanafu-Busega-24h'!N98)</f>
        <v>0</v>
      </c>
      <c r="O98" s="15">
        <f t="shared" si="34"/>
        <v>45</v>
      </c>
      <c r="P98" s="15">
        <f t="shared" si="35"/>
        <v>63</v>
      </c>
      <c r="R98" s="8"/>
      <c r="T98"/>
    </row>
    <row r="99" spans="2:20" ht="23.1" customHeight="1" x14ac:dyDescent="0.25">
      <c r="B99" s="23" t="s">
        <v>139</v>
      </c>
      <c r="C99" s="49">
        <f>AVERAGE('26.07 Masanafu-Busega-24h'!C99,'27.07 Masanafu-Busega-24h'!C99)</f>
        <v>15.5</v>
      </c>
      <c r="D99" s="49">
        <f>AVERAGE('26.07 Masanafu-Busega-24h'!D99,'27.07 Masanafu-Busega-24h'!D99)</f>
        <v>6.5</v>
      </c>
      <c r="E99" s="49">
        <f>AVERAGE('26.07 Masanafu-Busega-24h'!E99,'27.07 Masanafu-Busega-24h'!E99)</f>
        <v>4</v>
      </c>
      <c r="F99" s="49">
        <f>AVERAGE('26.07 Masanafu-Busega-24h'!F99,'27.07 Masanafu-Busega-24h'!F99)</f>
        <v>11</v>
      </c>
      <c r="G99" s="49">
        <f>AVERAGE('26.07 Masanafu-Busega-24h'!G99,'27.07 Masanafu-Busega-24h'!G99)</f>
        <v>0.5</v>
      </c>
      <c r="H99" s="49">
        <f>AVERAGE('26.07 Masanafu-Busega-24h'!H99,'27.07 Masanafu-Busega-24h'!H99)</f>
        <v>0</v>
      </c>
      <c r="I99" s="49">
        <f>AVERAGE('26.07 Masanafu-Busega-24h'!I99,'27.07 Masanafu-Busega-24h'!I99)</f>
        <v>4.5</v>
      </c>
      <c r="J99" s="49">
        <f>AVERAGE('26.07 Masanafu-Busega-24h'!J99,'27.07 Masanafu-Busega-24h'!J99)</f>
        <v>5.5</v>
      </c>
      <c r="K99" s="49">
        <f>AVERAGE('26.07 Masanafu-Busega-24h'!K99,'27.07 Masanafu-Busega-24h'!K99)</f>
        <v>0</v>
      </c>
      <c r="L99" s="49">
        <f>AVERAGE('26.07 Masanafu-Busega-24h'!L99,'27.07 Masanafu-Busega-24h'!L99)</f>
        <v>3.5</v>
      </c>
      <c r="M99" s="49">
        <f>AVERAGE('26.07 Masanafu-Busega-24h'!M99,'27.07 Masanafu-Busega-24h'!M99)</f>
        <v>20.5</v>
      </c>
      <c r="N99" s="49">
        <f>AVERAGE('26.07 Masanafu-Busega-24h'!N99,'27.07 Masanafu-Busega-24h'!N99)</f>
        <v>0</v>
      </c>
      <c r="O99" s="15">
        <f t="shared" si="34"/>
        <v>51</v>
      </c>
      <c r="P99" s="15">
        <f t="shared" si="35"/>
        <v>71.5</v>
      </c>
      <c r="R99" s="8"/>
      <c r="T99"/>
    </row>
    <row r="100" spans="2:20" ht="23.1" customHeight="1" x14ac:dyDescent="0.25">
      <c r="B100" s="25" t="s">
        <v>140</v>
      </c>
      <c r="C100" s="49">
        <f>AVERAGE('26.07 Masanafu-Busega-24h'!C100,'27.07 Masanafu-Busega-24h'!C100)</f>
        <v>17.5</v>
      </c>
      <c r="D100" s="49">
        <f>AVERAGE('26.07 Masanafu-Busega-24h'!D100,'27.07 Masanafu-Busega-24h'!D100)</f>
        <v>3</v>
      </c>
      <c r="E100" s="49">
        <f>AVERAGE('26.07 Masanafu-Busega-24h'!E100,'27.07 Masanafu-Busega-24h'!E100)</f>
        <v>5.5</v>
      </c>
      <c r="F100" s="49">
        <f>AVERAGE('26.07 Masanafu-Busega-24h'!F100,'27.07 Masanafu-Busega-24h'!F100)</f>
        <v>5</v>
      </c>
      <c r="G100" s="49">
        <f>AVERAGE('26.07 Masanafu-Busega-24h'!G100,'27.07 Masanafu-Busega-24h'!G100)</f>
        <v>0.5</v>
      </c>
      <c r="H100" s="49">
        <f>AVERAGE('26.07 Masanafu-Busega-24h'!H100,'27.07 Masanafu-Busega-24h'!H100)</f>
        <v>0</v>
      </c>
      <c r="I100" s="49">
        <f>AVERAGE('26.07 Masanafu-Busega-24h'!I100,'27.07 Masanafu-Busega-24h'!I100)</f>
        <v>3.5</v>
      </c>
      <c r="J100" s="49">
        <f>AVERAGE('26.07 Masanafu-Busega-24h'!J100,'27.07 Masanafu-Busega-24h'!J100)</f>
        <v>7.5</v>
      </c>
      <c r="K100" s="49">
        <f>AVERAGE('26.07 Masanafu-Busega-24h'!K100,'27.07 Masanafu-Busega-24h'!K100)</f>
        <v>1</v>
      </c>
      <c r="L100" s="49">
        <f>AVERAGE('26.07 Masanafu-Busega-24h'!L100,'27.07 Masanafu-Busega-24h'!L100)</f>
        <v>3.5</v>
      </c>
      <c r="M100" s="49">
        <f>AVERAGE('26.07 Masanafu-Busega-24h'!M100,'27.07 Masanafu-Busega-24h'!M100)</f>
        <v>22.5</v>
      </c>
      <c r="N100" s="49">
        <f>AVERAGE('26.07 Masanafu-Busega-24h'!N100,'27.07 Masanafu-Busega-24h'!N100)</f>
        <v>0</v>
      </c>
      <c r="O100" s="15">
        <f t="shared" si="34"/>
        <v>47</v>
      </c>
      <c r="P100" s="15">
        <f t="shared" si="35"/>
        <v>69.5</v>
      </c>
      <c r="R100" s="8"/>
      <c r="T100"/>
    </row>
    <row r="101" spans="2:20" ht="23.1" customHeight="1" x14ac:dyDescent="0.25">
      <c r="B101" s="23" t="s">
        <v>141</v>
      </c>
      <c r="C101" s="49">
        <f>AVERAGE('26.07 Masanafu-Busega-24h'!C101,'27.07 Masanafu-Busega-24h'!C101)</f>
        <v>21.5</v>
      </c>
      <c r="D101" s="49">
        <f>AVERAGE('26.07 Masanafu-Busega-24h'!D101,'27.07 Masanafu-Busega-24h'!D101)</f>
        <v>4.5</v>
      </c>
      <c r="E101" s="49">
        <f>AVERAGE('26.07 Masanafu-Busega-24h'!E101,'27.07 Masanafu-Busega-24h'!E101)</f>
        <v>9</v>
      </c>
      <c r="F101" s="49">
        <f>AVERAGE('26.07 Masanafu-Busega-24h'!F101,'27.07 Masanafu-Busega-24h'!F101)</f>
        <v>9</v>
      </c>
      <c r="G101" s="49">
        <f>AVERAGE('26.07 Masanafu-Busega-24h'!G101,'27.07 Masanafu-Busega-24h'!G101)</f>
        <v>2</v>
      </c>
      <c r="H101" s="49">
        <f>AVERAGE('26.07 Masanafu-Busega-24h'!H101,'27.07 Masanafu-Busega-24h'!H101)</f>
        <v>0</v>
      </c>
      <c r="I101" s="49">
        <f>AVERAGE('26.07 Masanafu-Busega-24h'!I101,'27.07 Masanafu-Busega-24h'!I101)</f>
        <v>10.5</v>
      </c>
      <c r="J101" s="49">
        <f>AVERAGE('26.07 Masanafu-Busega-24h'!J101,'27.07 Masanafu-Busega-24h'!J101)</f>
        <v>3</v>
      </c>
      <c r="K101" s="49">
        <f>AVERAGE('26.07 Masanafu-Busega-24h'!K101,'27.07 Masanafu-Busega-24h'!K101)</f>
        <v>3.5</v>
      </c>
      <c r="L101" s="49">
        <f>AVERAGE('26.07 Masanafu-Busega-24h'!L101,'27.07 Masanafu-Busega-24h'!L101)</f>
        <v>3.5</v>
      </c>
      <c r="M101" s="49">
        <f>AVERAGE('26.07 Masanafu-Busega-24h'!M101,'27.07 Masanafu-Busega-24h'!M101)</f>
        <v>24</v>
      </c>
      <c r="N101" s="49">
        <f>AVERAGE('26.07 Masanafu-Busega-24h'!N101,'27.07 Masanafu-Busega-24h'!N101)</f>
        <v>0</v>
      </c>
      <c r="O101" s="15">
        <f t="shared" si="34"/>
        <v>66.5</v>
      </c>
      <c r="P101" s="15">
        <f t="shared" si="35"/>
        <v>90.5</v>
      </c>
      <c r="R101" s="8"/>
      <c r="T101"/>
    </row>
    <row r="102" spans="2:20" ht="23.1" customHeight="1" x14ac:dyDescent="0.25">
      <c r="B102" s="24" t="s">
        <v>142</v>
      </c>
      <c r="C102" s="49">
        <f>AVERAGE('26.07 Masanafu-Busega-24h'!C102,'27.07 Masanafu-Busega-24h'!C102)</f>
        <v>21.5</v>
      </c>
      <c r="D102" s="49">
        <f>AVERAGE('26.07 Masanafu-Busega-24h'!D102,'27.07 Masanafu-Busega-24h'!D102)</f>
        <v>4</v>
      </c>
      <c r="E102" s="49">
        <f>AVERAGE('26.07 Masanafu-Busega-24h'!E102,'27.07 Masanafu-Busega-24h'!E102)</f>
        <v>5.5</v>
      </c>
      <c r="F102" s="49">
        <f>AVERAGE('26.07 Masanafu-Busega-24h'!F102,'27.07 Masanafu-Busega-24h'!F102)</f>
        <v>17.5</v>
      </c>
      <c r="G102" s="49">
        <f>AVERAGE('26.07 Masanafu-Busega-24h'!G102,'27.07 Masanafu-Busega-24h'!G102)</f>
        <v>1</v>
      </c>
      <c r="H102" s="49">
        <f>AVERAGE('26.07 Masanafu-Busega-24h'!H102,'27.07 Masanafu-Busega-24h'!H102)</f>
        <v>0.5</v>
      </c>
      <c r="I102" s="49">
        <f>AVERAGE('26.07 Masanafu-Busega-24h'!I102,'27.07 Masanafu-Busega-24h'!I102)</f>
        <v>4.5</v>
      </c>
      <c r="J102" s="49">
        <f>AVERAGE('26.07 Masanafu-Busega-24h'!J102,'27.07 Masanafu-Busega-24h'!J102)</f>
        <v>2</v>
      </c>
      <c r="K102" s="49">
        <f>AVERAGE('26.07 Masanafu-Busega-24h'!K102,'27.07 Masanafu-Busega-24h'!K102)</f>
        <v>2</v>
      </c>
      <c r="L102" s="49">
        <f>AVERAGE('26.07 Masanafu-Busega-24h'!L102,'27.07 Masanafu-Busega-24h'!L102)</f>
        <v>3.5</v>
      </c>
      <c r="M102" s="49">
        <f>AVERAGE('26.07 Masanafu-Busega-24h'!M102,'27.07 Masanafu-Busega-24h'!M102)</f>
        <v>28.5</v>
      </c>
      <c r="N102" s="49">
        <f>AVERAGE('26.07 Masanafu-Busega-24h'!N102,'27.07 Masanafu-Busega-24h'!N102)</f>
        <v>0</v>
      </c>
      <c r="O102" s="15">
        <f t="shared" si="34"/>
        <v>62</v>
      </c>
      <c r="P102" s="15">
        <f t="shared" si="35"/>
        <v>90.5</v>
      </c>
      <c r="R102" s="8"/>
      <c r="T102"/>
    </row>
    <row r="103" spans="2:20" ht="23.1" customHeight="1" x14ac:dyDescent="0.25">
      <c r="B103" s="23" t="s">
        <v>143</v>
      </c>
      <c r="C103" s="49">
        <f>AVERAGE('26.07 Masanafu-Busega-24h'!C103,'27.07 Masanafu-Busega-24h'!C103)</f>
        <v>31</v>
      </c>
      <c r="D103" s="49">
        <f>AVERAGE('26.07 Masanafu-Busega-24h'!D103,'27.07 Masanafu-Busega-24h'!D103)</f>
        <v>9.5</v>
      </c>
      <c r="E103" s="49">
        <f>AVERAGE('26.07 Masanafu-Busega-24h'!E103,'27.07 Masanafu-Busega-24h'!E103)</f>
        <v>8</v>
      </c>
      <c r="F103" s="49">
        <f>AVERAGE('26.07 Masanafu-Busega-24h'!F103,'27.07 Masanafu-Busega-24h'!F103)</f>
        <v>18</v>
      </c>
      <c r="G103" s="49">
        <f>AVERAGE('26.07 Masanafu-Busega-24h'!G103,'27.07 Masanafu-Busega-24h'!G103)</f>
        <v>0</v>
      </c>
      <c r="H103" s="49">
        <f>AVERAGE('26.07 Masanafu-Busega-24h'!H103,'27.07 Masanafu-Busega-24h'!H103)</f>
        <v>0</v>
      </c>
      <c r="I103" s="49">
        <f>AVERAGE('26.07 Masanafu-Busega-24h'!I103,'27.07 Masanafu-Busega-24h'!I103)</f>
        <v>3.5</v>
      </c>
      <c r="J103" s="49">
        <f>AVERAGE('26.07 Masanafu-Busega-24h'!J103,'27.07 Masanafu-Busega-24h'!J103)</f>
        <v>5</v>
      </c>
      <c r="K103" s="49">
        <f>AVERAGE('26.07 Masanafu-Busega-24h'!K103,'27.07 Masanafu-Busega-24h'!K103)</f>
        <v>1</v>
      </c>
      <c r="L103" s="49">
        <f>AVERAGE('26.07 Masanafu-Busega-24h'!L103,'27.07 Masanafu-Busega-24h'!L103)</f>
        <v>1.5</v>
      </c>
      <c r="M103" s="49">
        <f>AVERAGE('26.07 Masanafu-Busega-24h'!M103,'27.07 Masanafu-Busega-24h'!M103)</f>
        <v>45.5</v>
      </c>
      <c r="N103" s="49">
        <f>AVERAGE('26.07 Masanafu-Busega-24h'!N103,'27.07 Masanafu-Busega-24h'!N103)</f>
        <v>0</v>
      </c>
      <c r="O103" s="15">
        <f t="shared" si="34"/>
        <v>77.5</v>
      </c>
      <c r="P103" s="15">
        <f t="shared" si="35"/>
        <v>123</v>
      </c>
      <c r="R103" s="8"/>
      <c r="T103"/>
    </row>
    <row r="104" spans="2:20" ht="23.1" customHeight="1" x14ac:dyDescent="0.25">
      <c r="B104" s="25" t="s">
        <v>144</v>
      </c>
      <c r="C104" s="49">
        <f>AVERAGE('26.07 Masanafu-Busega-24h'!C104,'27.07 Masanafu-Busega-24h'!C104)</f>
        <v>40.5</v>
      </c>
      <c r="D104" s="49">
        <f>AVERAGE('26.07 Masanafu-Busega-24h'!D104,'27.07 Masanafu-Busega-24h'!D104)</f>
        <v>6</v>
      </c>
      <c r="E104" s="49">
        <f>AVERAGE('26.07 Masanafu-Busega-24h'!E104,'27.07 Masanafu-Busega-24h'!E104)</f>
        <v>12.5</v>
      </c>
      <c r="F104" s="49">
        <f>AVERAGE('26.07 Masanafu-Busega-24h'!F104,'27.07 Masanafu-Busega-24h'!F104)</f>
        <v>25</v>
      </c>
      <c r="G104" s="49">
        <f>AVERAGE('26.07 Masanafu-Busega-24h'!G104,'27.07 Masanafu-Busega-24h'!G104)</f>
        <v>1</v>
      </c>
      <c r="H104" s="49">
        <f>AVERAGE('26.07 Masanafu-Busega-24h'!H104,'27.07 Masanafu-Busega-24h'!H104)</f>
        <v>0</v>
      </c>
      <c r="I104" s="49">
        <f>AVERAGE('26.07 Masanafu-Busega-24h'!I104,'27.07 Masanafu-Busega-24h'!I104)</f>
        <v>5</v>
      </c>
      <c r="J104" s="49">
        <f>AVERAGE('26.07 Masanafu-Busega-24h'!J104,'27.07 Masanafu-Busega-24h'!J104)</f>
        <v>4.5</v>
      </c>
      <c r="K104" s="49">
        <f>AVERAGE('26.07 Masanafu-Busega-24h'!K104,'27.07 Masanafu-Busega-24h'!K104)</f>
        <v>1</v>
      </c>
      <c r="L104" s="49">
        <f>AVERAGE('26.07 Masanafu-Busega-24h'!L104,'27.07 Masanafu-Busega-24h'!L104)</f>
        <v>5</v>
      </c>
      <c r="M104" s="49">
        <f>AVERAGE('26.07 Masanafu-Busega-24h'!M104,'27.07 Masanafu-Busega-24h'!M104)</f>
        <v>57</v>
      </c>
      <c r="N104" s="49">
        <f>AVERAGE('26.07 Masanafu-Busega-24h'!N104,'27.07 Masanafu-Busega-24h'!N104)</f>
        <v>0</v>
      </c>
      <c r="O104" s="15">
        <f t="shared" si="34"/>
        <v>100.5</v>
      </c>
      <c r="P104" s="15">
        <f t="shared" si="35"/>
        <v>157.5</v>
      </c>
      <c r="R104" s="8"/>
      <c r="T104"/>
    </row>
    <row r="105" spans="2:20" ht="23.1" customHeight="1" x14ac:dyDescent="0.25">
      <c r="B105" s="23" t="s">
        <v>145</v>
      </c>
      <c r="C105" s="49">
        <f>AVERAGE('26.07 Masanafu-Busega-24h'!C105,'27.07 Masanafu-Busega-24h'!C105)</f>
        <v>37</v>
      </c>
      <c r="D105" s="49">
        <f>AVERAGE('26.07 Masanafu-Busega-24h'!D105,'27.07 Masanafu-Busega-24h'!D105)</f>
        <v>12.5</v>
      </c>
      <c r="E105" s="49">
        <f>AVERAGE('26.07 Masanafu-Busega-24h'!E105,'27.07 Masanafu-Busega-24h'!E105)</f>
        <v>8</v>
      </c>
      <c r="F105" s="49">
        <f>AVERAGE('26.07 Masanafu-Busega-24h'!F105,'27.07 Masanafu-Busega-24h'!F105)</f>
        <v>27</v>
      </c>
      <c r="G105" s="49">
        <f>AVERAGE('26.07 Masanafu-Busega-24h'!G105,'27.07 Masanafu-Busega-24h'!G105)</f>
        <v>0.5</v>
      </c>
      <c r="H105" s="49">
        <f>AVERAGE('26.07 Masanafu-Busega-24h'!H105,'27.07 Masanafu-Busega-24h'!H105)</f>
        <v>0</v>
      </c>
      <c r="I105" s="49">
        <f>AVERAGE('26.07 Masanafu-Busega-24h'!I105,'27.07 Masanafu-Busega-24h'!I105)</f>
        <v>6</v>
      </c>
      <c r="J105" s="49">
        <f>AVERAGE('26.07 Masanafu-Busega-24h'!J105,'27.07 Masanafu-Busega-24h'!J105)</f>
        <v>4</v>
      </c>
      <c r="K105" s="49">
        <f>AVERAGE('26.07 Masanafu-Busega-24h'!K105,'27.07 Masanafu-Busega-24h'!K105)</f>
        <v>1</v>
      </c>
      <c r="L105" s="49">
        <f>AVERAGE('26.07 Masanafu-Busega-24h'!L105,'27.07 Masanafu-Busega-24h'!L105)</f>
        <v>5</v>
      </c>
      <c r="M105" s="49">
        <f>AVERAGE('26.07 Masanafu-Busega-24h'!M105,'27.07 Masanafu-Busega-24h'!M105)</f>
        <v>58</v>
      </c>
      <c r="N105" s="49">
        <f>AVERAGE('26.07 Masanafu-Busega-24h'!N105,'27.07 Masanafu-Busega-24h'!N105)</f>
        <v>0</v>
      </c>
      <c r="O105" s="15">
        <f t="shared" si="34"/>
        <v>101</v>
      </c>
      <c r="P105" s="15">
        <f t="shared" si="35"/>
        <v>159</v>
      </c>
      <c r="R105" s="8"/>
      <c r="T105"/>
    </row>
    <row r="106" spans="2:20" ht="23.1" customHeight="1" x14ac:dyDescent="0.25">
      <c r="B106" s="54" t="s">
        <v>18</v>
      </c>
      <c r="C106" s="16">
        <f>SUM(C10:C105)</f>
        <v>5742.1428571428578</v>
      </c>
      <c r="D106" s="16">
        <f t="shared" ref="D106:P106" si="36">SUM(D10:D105)</f>
        <v>798.07142857142844</v>
      </c>
      <c r="E106" s="16">
        <f t="shared" si="36"/>
        <v>759.57142857142844</v>
      </c>
      <c r="F106" s="16">
        <f t="shared" si="36"/>
        <v>2404.0714285714284</v>
      </c>
      <c r="G106" s="16">
        <f t="shared" si="36"/>
        <v>128.85714285714286</v>
      </c>
      <c r="H106" s="16">
        <f t="shared" si="36"/>
        <v>46.285714285714285</v>
      </c>
      <c r="I106" s="16">
        <f t="shared" si="36"/>
        <v>919.42857142857122</v>
      </c>
      <c r="J106" s="16">
        <f t="shared" si="36"/>
        <v>602.5</v>
      </c>
      <c r="K106" s="16">
        <f t="shared" si="36"/>
        <v>279.85714285714283</v>
      </c>
      <c r="L106" s="16">
        <f t="shared" si="36"/>
        <v>360.85714285714283</v>
      </c>
      <c r="M106" s="16">
        <f t="shared" si="36"/>
        <v>7415.357142857144</v>
      </c>
      <c r="N106" s="16">
        <f t="shared" si="36"/>
        <v>0.2857142857142857</v>
      </c>
      <c r="O106" s="16">
        <f t="shared" si="36"/>
        <v>12041.928571428571</v>
      </c>
      <c r="P106" s="16">
        <f t="shared" si="36"/>
        <v>19457.285714285714</v>
      </c>
      <c r="R106" s="19"/>
      <c r="S106" s="19"/>
      <c r="T106"/>
    </row>
    <row r="107" spans="2:20" ht="23.1" customHeight="1" x14ac:dyDescent="0.25">
      <c r="B107" s="26" t="s">
        <v>93</v>
      </c>
      <c r="C107" s="43">
        <f t="shared" ref="C107:N107" si="37">C106/$P$106</f>
        <v>0.29511530752343967</v>
      </c>
      <c r="D107" s="43">
        <f t="shared" si="37"/>
        <v>4.1016585781308498E-2</v>
      </c>
      <c r="E107" s="43">
        <f t="shared" si="37"/>
        <v>3.9037892526486581E-2</v>
      </c>
      <c r="F107" s="43">
        <f t="shared" si="37"/>
        <v>0.12355636155387992</v>
      </c>
      <c r="G107" s="43">
        <f t="shared" si="37"/>
        <v>6.6225651794039695E-3</v>
      </c>
      <c r="H107" s="43">
        <f t="shared" si="37"/>
        <v>2.3788371597859045E-3</v>
      </c>
      <c r="I107" s="43">
        <f t="shared" si="37"/>
        <v>4.7253691235747158E-2</v>
      </c>
      <c r="J107" s="43">
        <f t="shared" si="37"/>
        <v>3.0965264572213127E-2</v>
      </c>
      <c r="K107" s="43">
        <f t="shared" si="37"/>
        <v>1.4383154308705515E-2</v>
      </c>
      <c r="L107" s="43">
        <f t="shared" si="37"/>
        <v>1.8546119338330849E-2</v>
      </c>
      <c r="M107" s="43">
        <f t="shared" si="37"/>
        <v>0.38110953664070019</v>
      </c>
      <c r="N107" s="43">
        <f t="shared" si="37"/>
        <v>1.4684179998678423E-5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0.47684578288954671</v>
      </c>
      <c r="D108" s="44">
        <f t="shared" ref="D108:N108" si="38">D106/$O$106</f>
        <v>6.6274386518533457E-2</v>
      </c>
      <c r="E108" s="44">
        <f t="shared" si="38"/>
        <v>6.3077224222508249E-2</v>
      </c>
      <c r="F108" s="44">
        <f t="shared" si="38"/>
        <v>0.19964172800987029</v>
      </c>
      <c r="G108" s="44">
        <f t="shared" si="38"/>
        <v>1.0700706460165969E-2</v>
      </c>
      <c r="H108" s="44">
        <f t="shared" si="38"/>
        <v>3.8437127417891063E-3</v>
      </c>
      <c r="I108" s="44">
        <f t="shared" si="38"/>
        <v>7.6352269154798397E-2</v>
      </c>
      <c r="J108" s="44">
        <f t="shared" si="38"/>
        <v>5.0033513853381346E-2</v>
      </c>
      <c r="K108" s="44">
        <f t="shared" si="38"/>
        <v>2.3240226114706351E-2</v>
      </c>
      <c r="L108" s="44">
        <f t="shared" si="38"/>
        <v>2.9966723412837289E-2</v>
      </c>
      <c r="M108" s="44"/>
      <c r="N108" s="44">
        <f t="shared" si="38"/>
        <v>2.3726621862895714E-5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K47" zoomScale="70" zoomScaleSheetLayoutView="70" workbookViewId="0">
      <selection activeCell="AD53" sqref="AD5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0" width="10.7109375" customWidth="1"/>
    <col min="31" max="31" width="13.140625" customWidth="1"/>
    <col min="32" max="32" width="12.7109375" customWidth="1"/>
    <col min="33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'28.07 Masanafu-Busega'!C3:G3</f>
        <v>MCC - C1 - STN13 - NORTHERN BYPASS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169</v>
      </c>
      <c r="E5" s="67"/>
      <c r="F5" s="41" t="s">
        <v>1</v>
      </c>
      <c r="G5" s="64" t="str">
        <f>'Avg Week Masanafu-Busega'!G5:H5</f>
        <v>NORTHERN BYPASS</v>
      </c>
      <c r="H5" s="65"/>
      <c r="I5" s="14"/>
      <c r="J5" s="2" t="s">
        <v>5</v>
      </c>
      <c r="K5" s="64" t="str">
        <f>'Avg Week Masanafu-Busega'!K5:L5</f>
        <v>SSEMUKO SAMUEL JUNIOR W/MUTEBI CHRISTOPHER/SSEMWOGERERE FREDRICK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8" t="s">
        <v>161</v>
      </c>
      <c r="E6" s="69"/>
      <c r="F6" s="2" t="s">
        <v>2</v>
      </c>
      <c r="G6" s="68" t="s">
        <v>161</v>
      </c>
      <c r="H6" s="69"/>
      <c r="J6" s="2" t="s">
        <v>21</v>
      </c>
      <c r="K6" s="64" t="str">
        <f>'Avg Week Masanafu-Busega'!K6:L6</f>
        <v>ANDY/ANDREW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Busega-Masanafu'!C10+'Avg Week Masanafu-Busega'!C10</f>
        <v>121.57142857142858</v>
      </c>
      <c r="D10" s="49">
        <f>'Avg Week Busega-Masanafu'!D10+'Avg Week Masanafu-Busega'!D10</f>
        <v>13.571428571428571</v>
      </c>
      <c r="E10" s="49">
        <f>'Avg Week Busega-Masanafu'!E10+'Avg Week Masanafu-Busega'!E10</f>
        <v>12</v>
      </c>
      <c r="F10" s="49">
        <f>'Avg Week Busega-Masanafu'!F10+'Avg Week Masanafu-Busega'!F10</f>
        <v>48</v>
      </c>
      <c r="G10" s="49">
        <f>'Avg Week Busega-Masanafu'!G10+'Avg Week Masanafu-Busega'!G10</f>
        <v>5.7142857142857144</v>
      </c>
      <c r="H10" s="49">
        <f>'Avg Week Busega-Masanafu'!H10+'Avg Week Masanafu-Busega'!H10</f>
        <v>0.2857142857142857</v>
      </c>
      <c r="I10" s="49">
        <f>'Avg Week Busega-Masanafu'!I10+'Avg Week Masanafu-Busega'!I10</f>
        <v>16</v>
      </c>
      <c r="J10" s="49">
        <f>'Avg Week Busega-Masanafu'!J10+'Avg Week Masanafu-Busega'!J10</f>
        <v>14.571428571428573</v>
      </c>
      <c r="K10" s="49">
        <f>'Avg Week Busega-Masanafu'!K10+'Avg Week Masanafu-Busega'!K10</f>
        <v>5.7142857142857144</v>
      </c>
      <c r="L10" s="49">
        <f>'Avg Week Busega-Masanafu'!L10+'Avg Week Masanafu-Busega'!L10</f>
        <v>3</v>
      </c>
      <c r="M10" s="49">
        <f>'Avg Week Busega-Masanafu'!M10+'Avg Week Masanafu-Busega'!M10</f>
        <v>196.28571428571428</v>
      </c>
      <c r="N10" s="49">
        <f>'Avg Week Busega-Masanafu'!N10+'Avg Week Masanafu-Busega'!N10</f>
        <v>0</v>
      </c>
      <c r="O10" s="15">
        <f>SUM(C10:L10,N10)</f>
        <v>240.42857142857147</v>
      </c>
      <c r="P10" s="15">
        <f t="shared" ref="P10:P73" si="0">SUM(C10:N10)</f>
        <v>436.71428571428578</v>
      </c>
      <c r="R10" s="1" t="s">
        <v>6</v>
      </c>
      <c r="S10" s="17">
        <f t="shared" ref="S10:AF10" si="1">SUM(C10:C13)</f>
        <v>511.14285714285717</v>
      </c>
      <c r="T10" s="17">
        <f t="shared" si="1"/>
        <v>68</v>
      </c>
      <c r="U10" s="17">
        <f t="shared" si="1"/>
        <v>56.142857142857139</v>
      </c>
      <c r="V10" s="17">
        <f t="shared" si="1"/>
        <v>206.42857142857144</v>
      </c>
      <c r="W10" s="17">
        <f t="shared" si="1"/>
        <v>19.285714285714285</v>
      </c>
      <c r="X10" s="17">
        <f t="shared" si="1"/>
        <v>2.8571428571428568</v>
      </c>
      <c r="Y10" s="17">
        <f t="shared" si="1"/>
        <v>63.285714285714285</v>
      </c>
      <c r="Z10" s="17">
        <f t="shared" si="1"/>
        <v>60.857142857142861</v>
      </c>
      <c r="AA10" s="17">
        <f t="shared" si="1"/>
        <v>22.285714285714285</v>
      </c>
      <c r="AB10" s="17">
        <f t="shared" si="1"/>
        <v>20.571428571428569</v>
      </c>
      <c r="AC10" s="17">
        <f t="shared" si="1"/>
        <v>999.57142857142844</v>
      </c>
      <c r="AD10" s="17">
        <f t="shared" si="1"/>
        <v>0</v>
      </c>
      <c r="AE10" s="31">
        <f t="shared" si="1"/>
        <v>1030.8571428571429</v>
      </c>
      <c r="AF10" s="31">
        <f t="shared" si="1"/>
        <v>2030.4285714285713</v>
      </c>
    </row>
    <row r="11" spans="2:32" s="6" customFormat="1" ht="23.1" customHeight="1" x14ac:dyDescent="0.25">
      <c r="B11" s="23" t="s">
        <v>38</v>
      </c>
      <c r="C11" s="49">
        <f>'Avg Week Busega-Masanafu'!C11+'Avg Week Masanafu-Busega'!C11</f>
        <v>133</v>
      </c>
      <c r="D11" s="49">
        <f>'Avg Week Busega-Masanafu'!D11+'Avg Week Masanafu-Busega'!D11</f>
        <v>14.285714285714285</v>
      </c>
      <c r="E11" s="49">
        <f>'Avg Week Busega-Masanafu'!E11+'Avg Week Masanafu-Busega'!E11</f>
        <v>14.142857142857142</v>
      </c>
      <c r="F11" s="49">
        <f>'Avg Week Busega-Masanafu'!F11+'Avg Week Masanafu-Busega'!F11</f>
        <v>52.428571428571431</v>
      </c>
      <c r="G11" s="49">
        <f>'Avg Week Busega-Masanafu'!G11+'Avg Week Masanafu-Busega'!G11</f>
        <v>4.5714285714285712</v>
      </c>
      <c r="H11" s="49">
        <f>'Avg Week Busega-Masanafu'!H11+'Avg Week Masanafu-Busega'!H11</f>
        <v>0.85714285714285721</v>
      </c>
      <c r="I11" s="49">
        <f>'Avg Week Busega-Masanafu'!I11+'Avg Week Masanafu-Busega'!I11</f>
        <v>15.857142857142858</v>
      </c>
      <c r="J11" s="49">
        <f>'Avg Week Busega-Masanafu'!J11+'Avg Week Masanafu-Busega'!J11</f>
        <v>16.857142857142858</v>
      </c>
      <c r="K11" s="49">
        <f>'Avg Week Busega-Masanafu'!K11+'Avg Week Masanafu-Busega'!K11</f>
        <v>6</v>
      </c>
      <c r="L11" s="49">
        <f>'Avg Week Busega-Masanafu'!L11+'Avg Week Masanafu-Busega'!L11</f>
        <v>5.2857142857142856</v>
      </c>
      <c r="M11" s="49">
        <f>'Avg Week Busega-Masanafu'!M11+'Avg Week Masanafu-Busega'!M11</f>
        <v>249.28571428571428</v>
      </c>
      <c r="N11" s="49">
        <f>'Avg Week Busega-Masanafu'!N11+'Avg Week Masanafu-Busega'!N11</f>
        <v>0</v>
      </c>
      <c r="O11" s="15">
        <f t="shared" ref="O11:O74" si="2">SUM(C11:L11,N11)</f>
        <v>263.28571428571428</v>
      </c>
      <c r="P11" s="15">
        <f t="shared" si="0"/>
        <v>512.57142857142856</v>
      </c>
      <c r="R11" s="1" t="s">
        <v>7</v>
      </c>
      <c r="S11" s="17">
        <f t="shared" ref="S11:AF11" si="3">SUM(C14:C17)</f>
        <v>531</v>
      </c>
      <c r="T11" s="17">
        <f t="shared" si="3"/>
        <v>79</v>
      </c>
      <c r="U11" s="17">
        <f t="shared" si="3"/>
        <v>70.428571428571431</v>
      </c>
      <c r="V11" s="17">
        <f t="shared" si="3"/>
        <v>236.85714285714283</v>
      </c>
      <c r="W11" s="17">
        <f t="shared" si="3"/>
        <v>10.714285714285714</v>
      </c>
      <c r="X11" s="17">
        <f t="shared" si="3"/>
        <v>4.4285714285714288</v>
      </c>
      <c r="Y11" s="17">
        <f t="shared" si="3"/>
        <v>73</v>
      </c>
      <c r="Z11" s="17">
        <f t="shared" si="3"/>
        <v>63.285714285714278</v>
      </c>
      <c r="AA11" s="17">
        <f t="shared" si="3"/>
        <v>23.285714285714285</v>
      </c>
      <c r="AB11" s="17">
        <f t="shared" si="3"/>
        <v>23.571428571428573</v>
      </c>
      <c r="AC11" s="17">
        <f t="shared" si="3"/>
        <v>1126.1428571428573</v>
      </c>
      <c r="AD11" s="17">
        <f t="shared" si="3"/>
        <v>0</v>
      </c>
      <c r="AE11" s="31">
        <f t="shared" si="3"/>
        <v>1115.5714285714284</v>
      </c>
      <c r="AF11" s="31">
        <f t="shared" si="3"/>
        <v>2241.7142857142858</v>
      </c>
    </row>
    <row r="12" spans="2:32" ht="23.1" customHeight="1" x14ac:dyDescent="0.25">
      <c r="B12" s="23" t="s">
        <v>39</v>
      </c>
      <c r="C12" s="49">
        <f>'Avg Week Busega-Masanafu'!C12+'Avg Week Masanafu-Busega'!C12</f>
        <v>126.14285714285714</v>
      </c>
      <c r="D12" s="49">
        <f>'Avg Week Busega-Masanafu'!D12+'Avg Week Masanafu-Busega'!D12</f>
        <v>19.571428571428569</v>
      </c>
      <c r="E12" s="49">
        <f>'Avg Week Busega-Masanafu'!E12+'Avg Week Masanafu-Busega'!E12</f>
        <v>15.142857142857142</v>
      </c>
      <c r="F12" s="49">
        <f>'Avg Week Busega-Masanafu'!F12+'Avg Week Masanafu-Busega'!F12</f>
        <v>53</v>
      </c>
      <c r="G12" s="49">
        <f>'Avg Week Busega-Masanafu'!G12+'Avg Week Masanafu-Busega'!G12</f>
        <v>4.7142857142857135</v>
      </c>
      <c r="H12" s="49">
        <f>'Avg Week Busega-Masanafu'!H12+'Avg Week Masanafu-Busega'!H12</f>
        <v>0.71428571428571419</v>
      </c>
      <c r="I12" s="49">
        <f>'Avg Week Busega-Masanafu'!I12+'Avg Week Masanafu-Busega'!I12</f>
        <v>15.714285714285715</v>
      </c>
      <c r="J12" s="49">
        <f>'Avg Week Busega-Masanafu'!J12+'Avg Week Masanafu-Busega'!J12</f>
        <v>14.428571428571427</v>
      </c>
      <c r="K12" s="49">
        <f>'Avg Week Busega-Masanafu'!K12+'Avg Week Masanafu-Busega'!K12</f>
        <v>4.8571428571428577</v>
      </c>
      <c r="L12" s="49">
        <f>'Avg Week Busega-Masanafu'!L12+'Avg Week Masanafu-Busega'!L12</f>
        <v>5.7142857142857144</v>
      </c>
      <c r="M12" s="49">
        <f>'Avg Week Busega-Masanafu'!M12+'Avg Week Masanafu-Busega'!M12</f>
        <v>268.71428571428572</v>
      </c>
      <c r="N12" s="49">
        <f>'Avg Week Busega-Masanafu'!N12+'Avg Week Masanafu-Busega'!N12</f>
        <v>0</v>
      </c>
      <c r="O12" s="15">
        <f t="shared" si="2"/>
        <v>260</v>
      </c>
      <c r="P12" s="15">
        <f t="shared" si="0"/>
        <v>528.71428571428578</v>
      </c>
      <c r="R12" s="1" t="s">
        <v>8</v>
      </c>
      <c r="S12" s="17">
        <f t="shared" ref="S12:AF12" si="4">SUM(C18:C21)</f>
        <v>541</v>
      </c>
      <c r="T12" s="17">
        <f t="shared" si="4"/>
        <v>89.285714285714306</v>
      </c>
      <c r="U12" s="17">
        <f t="shared" si="4"/>
        <v>77.142857142857153</v>
      </c>
      <c r="V12" s="17">
        <f t="shared" si="4"/>
        <v>255.42857142857144</v>
      </c>
      <c r="W12" s="17">
        <f t="shared" si="4"/>
        <v>20</v>
      </c>
      <c r="X12" s="17">
        <f t="shared" si="4"/>
        <v>4.8571428571428568</v>
      </c>
      <c r="Y12" s="17">
        <f t="shared" si="4"/>
        <v>90.857142857142847</v>
      </c>
      <c r="Z12" s="17">
        <f t="shared" si="4"/>
        <v>59.285714285714292</v>
      </c>
      <c r="AA12" s="17">
        <f t="shared" si="4"/>
        <v>23.571428571428569</v>
      </c>
      <c r="AB12" s="17">
        <f t="shared" si="4"/>
        <v>26.714285714285715</v>
      </c>
      <c r="AC12" s="17">
        <f t="shared" si="4"/>
        <v>1069.7142857142856</v>
      </c>
      <c r="AD12" s="17">
        <f t="shared" si="4"/>
        <v>0</v>
      </c>
      <c r="AE12" s="31">
        <f t="shared" si="4"/>
        <v>1188.1428571428571</v>
      </c>
      <c r="AF12" s="31">
        <f t="shared" si="4"/>
        <v>2257.8571428571427</v>
      </c>
    </row>
    <row r="13" spans="2:32" ht="23.1" customHeight="1" x14ac:dyDescent="0.25">
      <c r="B13" s="23" t="s">
        <v>40</v>
      </c>
      <c r="C13" s="49">
        <f>'Avg Week Busega-Masanafu'!C13+'Avg Week Masanafu-Busega'!C13</f>
        <v>130.42857142857144</v>
      </c>
      <c r="D13" s="49">
        <f>'Avg Week Busega-Masanafu'!D13+'Avg Week Masanafu-Busega'!D13</f>
        <v>20.571428571428569</v>
      </c>
      <c r="E13" s="49">
        <f>'Avg Week Busega-Masanafu'!E13+'Avg Week Masanafu-Busega'!E13</f>
        <v>14.857142857142858</v>
      </c>
      <c r="F13" s="49">
        <f>'Avg Week Busega-Masanafu'!F13+'Avg Week Masanafu-Busega'!F13</f>
        <v>53</v>
      </c>
      <c r="G13" s="49">
        <f>'Avg Week Busega-Masanafu'!G13+'Avg Week Masanafu-Busega'!G13</f>
        <v>4.2857142857142856</v>
      </c>
      <c r="H13" s="49">
        <f>'Avg Week Busega-Masanafu'!H13+'Avg Week Masanafu-Busega'!H13</f>
        <v>1</v>
      </c>
      <c r="I13" s="49">
        <f>'Avg Week Busega-Masanafu'!I13+'Avg Week Masanafu-Busega'!I13</f>
        <v>15.714285714285714</v>
      </c>
      <c r="J13" s="49">
        <f>'Avg Week Busega-Masanafu'!J13+'Avg Week Masanafu-Busega'!J13</f>
        <v>15</v>
      </c>
      <c r="K13" s="49">
        <f>'Avg Week Busega-Masanafu'!K13+'Avg Week Masanafu-Busega'!K13</f>
        <v>5.7142857142857135</v>
      </c>
      <c r="L13" s="49">
        <f>'Avg Week Busega-Masanafu'!L13+'Avg Week Masanafu-Busega'!L13</f>
        <v>6.5714285714285712</v>
      </c>
      <c r="M13" s="49">
        <f>'Avg Week Busega-Masanafu'!M13+'Avg Week Masanafu-Busega'!M13</f>
        <v>285.28571428571428</v>
      </c>
      <c r="N13" s="49">
        <f>'Avg Week Busega-Masanafu'!N13+'Avg Week Masanafu-Busega'!N13</f>
        <v>0</v>
      </c>
      <c r="O13" s="15">
        <f t="shared" si="2"/>
        <v>267.14285714285711</v>
      </c>
      <c r="P13" s="15">
        <f t="shared" si="0"/>
        <v>552.42857142857133</v>
      </c>
      <c r="R13" s="1" t="s">
        <v>9</v>
      </c>
      <c r="S13" s="17">
        <f t="shared" ref="S13:AF13" si="5">SUM(C22:C25)</f>
        <v>561.71428571428578</v>
      </c>
      <c r="T13" s="17">
        <f t="shared" si="5"/>
        <v>93.142857142857139</v>
      </c>
      <c r="U13" s="17">
        <f t="shared" si="5"/>
        <v>73.285714285714278</v>
      </c>
      <c r="V13" s="17">
        <f t="shared" si="5"/>
        <v>268.85714285714283</v>
      </c>
      <c r="W13" s="17">
        <f t="shared" si="5"/>
        <v>19</v>
      </c>
      <c r="X13" s="17">
        <f t="shared" si="5"/>
        <v>5</v>
      </c>
      <c r="Y13" s="17">
        <f t="shared" si="5"/>
        <v>115.57142857142857</v>
      </c>
      <c r="Z13" s="17">
        <f t="shared" si="5"/>
        <v>66</v>
      </c>
      <c r="AA13" s="17">
        <f t="shared" si="5"/>
        <v>28</v>
      </c>
      <c r="AB13" s="17">
        <f t="shared" si="5"/>
        <v>31.571428571428573</v>
      </c>
      <c r="AC13" s="17">
        <f t="shared" si="5"/>
        <v>966.57142857142844</v>
      </c>
      <c r="AD13" s="17">
        <f t="shared" si="5"/>
        <v>0.14285714285714285</v>
      </c>
      <c r="AE13" s="31">
        <f t="shared" si="5"/>
        <v>1262.2857142857147</v>
      </c>
      <c r="AF13" s="31">
        <f t="shared" si="5"/>
        <v>2228.8571428571431</v>
      </c>
    </row>
    <row r="14" spans="2:32" ht="23.1" customHeight="1" x14ac:dyDescent="0.25">
      <c r="B14" s="23" t="s">
        <v>41</v>
      </c>
      <c r="C14" s="49">
        <f>'Avg Week Busega-Masanafu'!C14+'Avg Week Masanafu-Busega'!C14</f>
        <v>135.71428571428572</v>
      </c>
      <c r="D14" s="49">
        <f>'Avg Week Busega-Masanafu'!D14+'Avg Week Masanafu-Busega'!D14</f>
        <v>20.285714285714285</v>
      </c>
      <c r="E14" s="49">
        <f>'Avg Week Busega-Masanafu'!E14+'Avg Week Masanafu-Busega'!E14</f>
        <v>14.571428571428573</v>
      </c>
      <c r="F14" s="49">
        <f>'Avg Week Busega-Masanafu'!F14+'Avg Week Masanafu-Busega'!F14</f>
        <v>56.142857142857139</v>
      </c>
      <c r="G14" s="49">
        <f>'Avg Week Busega-Masanafu'!G14+'Avg Week Masanafu-Busega'!G14</f>
        <v>1.4285714285714284</v>
      </c>
      <c r="H14" s="49">
        <f>'Avg Week Busega-Masanafu'!H14+'Avg Week Masanafu-Busega'!H14</f>
        <v>1</v>
      </c>
      <c r="I14" s="49">
        <f>'Avg Week Busega-Masanafu'!I14+'Avg Week Masanafu-Busega'!I14</f>
        <v>16.857142857142858</v>
      </c>
      <c r="J14" s="49">
        <f>'Avg Week Busega-Masanafu'!J14+'Avg Week Masanafu-Busega'!J14</f>
        <v>16</v>
      </c>
      <c r="K14" s="49">
        <f>'Avg Week Busega-Masanafu'!K14+'Avg Week Masanafu-Busega'!K14</f>
        <v>5.5714285714285712</v>
      </c>
      <c r="L14" s="49">
        <f>'Avg Week Busega-Masanafu'!L14+'Avg Week Masanafu-Busega'!L14</f>
        <v>5.8571428571428577</v>
      </c>
      <c r="M14" s="49">
        <f>'Avg Week Busega-Masanafu'!M14+'Avg Week Masanafu-Busega'!M14</f>
        <v>299.85714285714289</v>
      </c>
      <c r="N14" s="49">
        <f>'Avg Week Busega-Masanafu'!N14+'Avg Week Masanafu-Busega'!N14</f>
        <v>0</v>
      </c>
      <c r="O14" s="15">
        <f t="shared" si="2"/>
        <v>273.42857142857139</v>
      </c>
      <c r="P14" s="15">
        <f t="shared" si="0"/>
        <v>573.28571428571422</v>
      </c>
      <c r="R14" s="1" t="s">
        <v>10</v>
      </c>
      <c r="S14" s="17">
        <f t="shared" ref="S14:AF14" si="6">SUM(C26:C29)</f>
        <v>615.42857142857144</v>
      </c>
      <c r="T14" s="17">
        <f t="shared" si="6"/>
        <v>97.714285714285722</v>
      </c>
      <c r="U14" s="17">
        <f t="shared" si="6"/>
        <v>76.571428571428569</v>
      </c>
      <c r="V14" s="17">
        <f t="shared" si="6"/>
        <v>275.42857142857144</v>
      </c>
      <c r="W14" s="17">
        <f t="shared" si="6"/>
        <v>13.857142857142858</v>
      </c>
      <c r="X14" s="17">
        <f t="shared" si="6"/>
        <v>3.4285714285714279</v>
      </c>
      <c r="Y14" s="17">
        <f t="shared" si="6"/>
        <v>99.428571428571445</v>
      </c>
      <c r="Z14" s="17">
        <f t="shared" si="6"/>
        <v>68.857142857142847</v>
      </c>
      <c r="AA14" s="17">
        <f t="shared" si="6"/>
        <v>31.571428571428577</v>
      </c>
      <c r="AB14" s="17">
        <f t="shared" si="6"/>
        <v>40.142857142857146</v>
      </c>
      <c r="AC14" s="17">
        <f t="shared" si="6"/>
        <v>908.14285714285711</v>
      </c>
      <c r="AD14" s="17">
        <f t="shared" si="6"/>
        <v>0.14285714285714285</v>
      </c>
      <c r="AE14" s="31">
        <f t="shared" si="6"/>
        <v>1322.5714285714287</v>
      </c>
      <c r="AF14" s="31">
        <f t="shared" si="6"/>
        <v>2230.7142857142858</v>
      </c>
    </row>
    <row r="15" spans="2:32" ht="23.1" customHeight="1" x14ac:dyDescent="0.25">
      <c r="B15" s="23" t="s">
        <v>42</v>
      </c>
      <c r="C15" s="49">
        <f>'Avg Week Busega-Masanafu'!C15+'Avg Week Masanafu-Busega'!C15</f>
        <v>127.42857142857143</v>
      </c>
      <c r="D15" s="49">
        <f>'Avg Week Busega-Masanafu'!D15+'Avg Week Masanafu-Busega'!D15</f>
        <v>19.428571428571431</v>
      </c>
      <c r="E15" s="49">
        <f>'Avg Week Busega-Masanafu'!E15+'Avg Week Masanafu-Busega'!E15</f>
        <v>16</v>
      </c>
      <c r="F15" s="49">
        <f>'Avg Week Busega-Masanafu'!F15+'Avg Week Masanafu-Busega'!F15</f>
        <v>58.285714285714285</v>
      </c>
      <c r="G15" s="49">
        <f>'Avg Week Busega-Masanafu'!G15+'Avg Week Masanafu-Busega'!G15</f>
        <v>2.2857142857142856</v>
      </c>
      <c r="H15" s="49">
        <f>'Avg Week Busega-Masanafu'!H15+'Avg Week Masanafu-Busega'!H15</f>
        <v>1.2857142857142856</v>
      </c>
      <c r="I15" s="49">
        <f>'Avg Week Busega-Masanafu'!I15+'Avg Week Masanafu-Busega'!I15</f>
        <v>15.857142857142858</v>
      </c>
      <c r="J15" s="49">
        <f>'Avg Week Busega-Masanafu'!J15+'Avg Week Masanafu-Busega'!J15</f>
        <v>17.571428571428569</v>
      </c>
      <c r="K15" s="49">
        <f>'Avg Week Busega-Masanafu'!K15+'Avg Week Masanafu-Busega'!K15</f>
        <v>5.1428571428571423</v>
      </c>
      <c r="L15" s="49">
        <f>'Avg Week Busega-Masanafu'!L15+'Avg Week Masanafu-Busega'!L15</f>
        <v>5.7142857142857144</v>
      </c>
      <c r="M15" s="49">
        <f>'Avg Week Busega-Masanafu'!M15+'Avg Week Masanafu-Busega'!M15</f>
        <v>298.71428571428572</v>
      </c>
      <c r="N15" s="49">
        <f>'Avg Week Busega-Masanafu'!N15+'Avg Week Masanafu-Busega'!N15</f>
        <v>0</v>
      </c>
      <c r="O15" s="15">
        <f t="shared" si="2"/>
        <v>269</v>
      </c>
      <c r="P15" s="15">
        <f t="shared" si="0"/>
        <v>567.71428571428578</v>
      </c>
      <c r="R15" s="1" t="s">
        <v>11</v>
      </c>
      <c r="S15" s="17">
        <f t="shared" ref="S15:AF15" si="7">SUM(C30:C33)</f>
        <v>651.42857142857144</v>
      </c>
      <c r="T15" s="17">
        <f t="shared" si="7"/>
        <v>101</v>
      </c>
      <c r="U15" s="17">
        <f t="shared" si="7"/>
        <v>74.714285714285722</v>
      </c>
      <c r="V15" s="17">
        <f t="shared" si="7"/>
        <v>296.42857142857144</v>
      </c>
      <c r="W15" s="17">
        <f t="shared" si="7"/>
        <v>18.571428571428569</v>
      </c>
      <c r="X15" s="17">
        <f t="shared" si="7"/>
        <v>5.1428571428571423</v>
      </c>
      <c r="Y15" s="17">
        <f t="shared" si="7"/>
        <v>102.57142857142858</v>
      </c>
      <c r="Z15" s="17">
        <f t="shared" si="7"/>
        <v>74.428571428571431</v>
      </c>
      <c r="AA15" s="17">
        <f t="shared" si="7"/>
        <v>27.857142857142858</v>
      </c>
      <c r="AB15" s="17">
        <f t="shared" si="7"/>
        <v>42.571428571428569</v>
      </c>
      <c r="AC15" s="17">
        <f t="shared" si="7"/>
        <v>880.28571428571422</v>
      </c>
      <c r="AD15" s="17">
        <f t="shared" si="7"/>
        <v>0</v>
      </c>
      <c r="AE15" s="31">
        <f t="shared" si="7"/>
        <v>1394.7142857142858</v>
      </c>
      <c r="AF15" s="31">
        <f t="shared" si="7"/>
        <v>2275</v>
      </c>
    </row>
    <row r="16" spans="2:32" ht="23.1" customHeight="1" x14ac:dyDescent="0.25">
      <c r="B16" s="23" t="s">
        <v>43</v>
      </c>
      <c r="C16" s="49">
        <f>'Avg Week Busega-Masanafu'!C16+'Avg Week Masanafu-Busega'!C16</f>
        <v>141</v>
      </c>
      <c r="D16" s="49">
        <f>'Avg Week Busega-Masanafu'!D16+'Avg Week Masanafu-Busega'!D16</f>
        <v>21.428571428571431</v>
      </c>
      <c r="E16" s="49">
        <f>'Avg Week Busega-Masanafu'!E16+'Avg Week Masanafu-Busega'!E16</f>
        <v>17.714285714285715</v>
      </c>
      <c r="F16" s="49">
        <f>'Avg Week Busega-Masanafu'!F16+'Avg Week Masanafu-Busega'!F16</f>
        <v>64</v>
      </c>
      <c r="G16" s="49">
        <f>'Avg Week Busega-Masanafu'!G16+'Avg Week Masanafu-Busega'!G16</f>
        <v>3.5714285714285712</v>
      </c>
      <c r="H16" s="49">
        <f>'Avg Week Busega-Masanafu'!H16+'Avg Week Masanafu-Busega'!H16</f>
        <v>1.2857142857142856</v>
      </c>
      <c r="I16" s="49">
        <f>'Avg Week Busega-Masanafu'!I16+'Avg Week Masanafu-Busega'!I16</f>
        <v>21.571428571428569</v>
      </c>
      <c r="J16" s="49">
        <f>'Avg Week Busega-Masanafu'!J16+'Avg Week Masanafu-Busega'!J16</f>
        <v>13.285714285714285</v>
      </c>
      <c r="K16" s="49">
        <f>'Avg Week Busega-Masanafu'!K16+'Avg Week Masanafu-Busega'!K16</f>
        <v>7</v>
      </c>
      <c r="L16" s="49">
        <f>'Avg Week Busega-Masanafu'!L16+'Avg Week Masanafu-Busega'!L16</f>
        <v>6.2857142857142856</v>
      </c>
      <c r="M16" s="49">
        <f>'Avg Week Busega-Masanafu'!M16+'Avg Week Masanafu-Busega'!M16</f>
        <v>270.57142857142856</v>
      </c>
      <c r="N16" s="49">
        <f>'Avg Week Busega-Masanafu'!N16+'Avg Week Masanafu-Busega'!N16</f>
        <v>0</v>
      </c>
      <c r="O16" s="15">
        <f t="shared" si="2"/>
        <v>297.14285714285717</v>
      </c>
      <c r="P16" s="15">
        <f t="shared" si="0"/>
        <v>567.71428571428578</v>
      </c>
      <c r="R16" s="1" t="s">
        <v>12</v>
      </c>
      <c r="S16" s="17">
        <f t="shared" ref="S16:AF16" si="8">SUM(C34:C37)</f>
        <v>579.42857142857133</v>
      </c>
      <c r="T16" s="17">
        <f t="shared" si="8"/>
        <v>101</v>
      </c>
      <c r="U16" s="17">
        <f t="shared" si="8"/>
        <v>84.571428571428584</v>
      </c>
      <c r="V16" s="17">
        <f t="shared" si="8"/>
        <v>249.14285714285714</v>
      </c>
      <c r="W16" s="17">
        <f t="shared" si="8"/>
        <v>11</v>
      </c>
      <c r="X16" s="17">
        <f t="shared" si="8"/>
        <v>2.7142857142857144</v>
      </c>
      <c r="Y16" s="17">
        <f t="shared" si="8"/>
        <v>105.42857142857144</v>
      </c>
      <c r="Z16" s="17">
        <f t="shared" si="8"/>
        <v>75.142857142857139</v>
      </c>
      <c r="AA16" s="17">
        <f t="shared" si="8"/>
        <v>32.857142857142861</v>
      </c>
      <c r="AB16" s="17">
        <f t="shared" si="8"/>
        <v>46</v>
      </c>
      <c r="AC16" s="17">
        <f t="shared" si="8"/>
        <v>849.28571428571422</v>
      </c>
      <c r="AD16" s="17">
        <f t="shared" si="8"/>
        <v>0</v>
      </c>
      <c r="AE16" s="31">
        <f t="shared" si="8"/>
        <v>1287.2857142857144</v>
      </c>
      <c r="AF16" s="31">
        <f t="shared" si="8"/>
        <v>2136.5714285714284</v>
      </c>
    </row>
    <row r="17" spans="2:32" ht="23.1" customHeight="1" x14ac:dyDescent="0.25">
      <c r="B17" s="23" t="s">
        <v>44</v>
      </c>
      <c r="C17" s="49">
        <f>'Avg Week Busega-Masanafu'!C17+'Avg Week Masanafu-Busega'!C17</f>
        <v>126.85714285714286</v>
      </c>
      <c r="D17" s="49">
        <f>'Avg Week Busega-Masanafu'!D17+'Avg Week Masanafu-Busega'!D17</f>
        <v>17.857142857142858</v>
      </c>
      <c r="E17" s="49">
        <f>'Avg Week Busega-Masanafu'!E17+'Avg Week Masanafu-Busega'!E17</f>
        <v>22.142857142857142</v>
      </c>
      <c r="F17" s="49">
        <f>'Avg Week Busega-Masanafu'!F17+'Avg Week Masanafu-Busega'!F17</f>
        <v>58.428571428571431</v>
      </c>
      <c r="G17" s="49">
        <f>'Avg Week Busega-Masanafu'!G17+'Avg Week Masanafu-Busega'!G17</f>
        <v>3.4285714285714288</v>
      </c>
      <c r="H17" s="49">
        <f>'Avg Week Busega-Masanafu'!H17+'Avg Week Masanafu-Busega'!H17</f>
        <v>0.85714285714285721</v>
      </c>
      <c r="I17" s="49">
        <f>'Avg Week Busega-Masanafu'!I17+'Avg Week Masanafu-Busega'!I17</f>
        <v>18.714285714285715</v>
      </c>
      <c r="J17" s="49">
        <f>'Avg Week Busega-Masanafu'!J17+'Avg Week Masanafu-Busega'!J17</f>
        <v>16.428571428571427</v>
      </c>
      <c r="K17" s="49">
        <f>'Avg Week Busega-Masanafu'!K17+'Avg Week Masanafu-Busega'!K17</f>
        <v>5.5714285714285712</v>
      </c>
      <c r="L17" s="49">
        <f>'Avg Week Busega-Masanafu'!L17+'Avg Week Masanafu-Busega'!L17</f>
        <v>5.7142857142857144</v>
      </c>
      <c r="M17" s="49">
        <f>'Avg Week Busega-Masanafu'!M17+'Avg Week Masanafu-Busega'!M17</f>
        <v>257</v>
      </c>
      <c r="N17" s="49">
        <f>'Avg Week Busega-Masanafu'!N17+'Avg Week Masanafu-Busega'!N17</f>
        <v>0</v>
      </c>
      <c r="O17" s="15">
        <f t="shared" si="2"/>
        <v>276</v>
      </c>
      <c r="P17" s="15">
        <f t="shared" si="0"/>
        <v>533</v>
      </c>
      <c r="R17" s="1" t="s">
        <v>13</v>
      </c>
      <c r="S17" s="17">
        <f t="shared" ref="S17:AF17" si="9">SUM(C38:C41)</f>
        <v>665.14285714285711</v>
      </c>
      <c r="T17" s="17">
        <f t="shared" si="9"/>
        <v>98.428571428571416</v>
      </c>
      <c r="U17" s="17">
        <f t="shared" si="9"/>
        <v>83.142857142857139</v>
      </c>
      <c r="V17" s="17">
        <f t="shared" si="9"/>
        <v>239</v>
      </c>
      <c r="W17" s="17">
        <f t="shared" si="9"/>
        <v>6.2857142857142865</v>
      </c>
      <c r="X17" s="17">
        <f t="shared" si="9"/>
        <v>3.2857142857142856</v>
      </c>
      <c r="Y17" s="17">
        <f t="shared" si="9"/>
        <v>116.14285714285714</v>
      </c>
      <c r="Z17" s="17">
        <f t="shared" si="9"/>
        <v>73.285714285714278</v>
      </c>
      <c r="AA17" s="17">
        <f t="shared" si="9"/>
        <v>32.285714285714285</v>
      </c>
      <c r="AB17" s="17">
        <f t="shared" si="9"/>
        <v>47.428571428571431</v>
      </c>
      <c r="AC17" s="17">
        <f t="shared" si="9"/>
        <v>765</v>
      </c>
      <c r="AD17" s="17">
        <f t="shared" si="9"/>
        <v>0</v>
      </c>
      <c r="AE17" s="31">
        <f t="shared" si="9"/>
        <v>1364.4285714285716</v>
      </c>
      <c r="AF17" s="31">
        <f t="shared" si="9"/>
        <v>2129.4285714285716</v>
      </c>
    </row>
    <row r="18" spans="2:32" ht="23.1" customHeight="1" x14ac:dyDescent="0.25">
      <c r="B18" s="23" t="s">
        <v>45</v>
      </c>
      <c r="C18" s="49">
        <f>'Avg Week Busega-Masanafu'!C18+'Avg Week Masanafu-Busega'!C18</f>
        <v>135.57142857142856</v>
      </c>
      <c r="D18" s="49">
        <f>'Avg Week Busega-Masanafu'!D18+'Avg Week Masanafu-Busega'!D18</f>
        <v>22.428571428571431</v>
      </c>
      <c r="E18" s="49">
        <f>'Avg Week Busega-Masanafu'!E18+'Avg Week Masanafu-Busega'!E18</f>
        <v>19.714285714285715</v>
      </c>
      <c r="F18" s="49">
        <f>'Avg Week Busega-Masanafu'!F18+'Avg Week Masanafu-Busega'!F18</f>
        <v>58.571428571428569</v>
      </c>
      <c r="G18" s="49">
        <f>'Avg Week Busega-Masanafu'!G18+'Avg Week Masanafu-Busega'!G18</f>
        <v>5.5714285714285712</v>
      </c>
      <c r="H18" s="49">
        <f>'Avg Week Busega-Masanafu'!H18+'Avg Week Masanafu-Busega'!H18</f>
        <v>0.71428571428571419</v>
      </c>
      <c r="I18" s="49">
        <f>'Avg Week Busega-Masanafu'!I18+'Avg Week Masanafu-Busega'!I18</f>
        <v>25.428571428571431</v>
      </c>
      <c r="J18" s="49">
        <f>'Avg Week Busega-Masanafu'!J18+'Avg Week Masanafu-Busega'!J18</f>
        <v>17.857142857142858</v>
      </c>
      <c r="K18" s="49">
        <f>'Avg Week Busega-Masanafu'!K18+'Avg Week Masanafu-Busega'!K18</f>
        <v>4.8571428571428568</v>
      </c>
      <c r="L18" s="49">
        <f>'Avg Week Busega-Masanafu'!L18+'Avg Week Masanafu-Busega'!L18</f>
        <v>6.5714285714285712</v>
      </c>
      <c r="M18" s="49">
        <f>'Avg Week Busega-Masanafu'!M18+'Avg Week Masanafu-Busega'!M18</f>
        <v>271.57142857142856</v>
      </c>
      <c r="N18" s="49">
        <f>'Avg Week Busega-Masanafu'!N18+'Avg Week Masanafu-Busega'!N18</f>
        <v>0</v>
      </c>
      <c r="O18" s="15">
        <f t="shared" si="2"/>
        <v>297.28571428571422</v>
      </c>
      <c r="P18" s="15">
        <f t="shared" si="0"/>
        <v>568.85714285714278</v>
      </c>
      <c r="R18" s="1" t="s">
        <v>14</v>
      </c>
      <c r="S18" s="17">
        <f t="shared" ref="S18:AF18" si="10">SUM(C42:C45)</f>
        <v>601</v>
      </c>
      <c r="T18" s="17">
        <f t="shared" si="10"/>
        <v>118.85714285714286</v>
      </c>
      <c r="U18" s="17">
        <f t="shared" si="10"/>
        <v>93.857142857142861</v>
      </c>
      <c r="V18" s="17">
        <f t="shared" si="10"/>
        <v>230.85714285714286</v>
      </c>
      <c r="W18" s="17">
        <f t="shared" si="10"/>
        <v>7.5714285714285712</v>
      </c>
      <c r="X18" s="17">
        <f t="shared" si="10"/>
        <v>3.1428571428571428</v>
      </c>
      <c r="Y18" s="17">
        <f t="shared" si="10"/>
        <v>103.42857142857143</v>
      </c>
      <c r="Z18" s="17">
        <f t="shared" si="10"/>
        <v>73.428571428571431</v>
      </c>
      <c r="AA18" s="17">
        <f t="shared" si="10"/>
        <v>38.571428571428569</v>
      </c>
      <c r="AB18" s="17">
        <f t="shared" si="10"/>
        <v>42.142857142857139</v>
      </c>
      <c r="AC18" s="17">
        <f t="shared" si="10"/>
        <v>711.42857142857144</v>
      </c>
      <c r="AD18" s="17">
        <f t="shared" si="10"/>
        <v>0</v>
      </c>
      <c r="AE18" s="31">
        <f t="shared" si="10"/>
        <v>1312.8571428571427</v>
      </c>
      <c r="AF18" s="31">
        <f t="shared" si="10"/>
        <v>2024.2857142857142</v>
      </c>
    </row>
    <row r="19" spans="2:32" ht="23.1" customHeight="1" x14ac:dyDescent="0.25">
      <c r="B19" s="23" t="s">
        <v>46</v>
      </c>
      <c r="C19" s="49">
        <f>'Avg Week Busega-Masanafu'!C19+'Avg Week Masanafu-Busega'!C19</f>
        <v>132.28571428571428</v>
      </c>
      <c r="D19" s="49">
        <f>'Avg Week Busega-Masanafu'!D19+'Avg Week Masanafu-Busega'!D19</f>
        <v>21.428571428571431</v>
      </c>
      <c r="E19" s="49">
        <f>'Avg Week Busega-Masanafu'!E19+'Avg Week Masanafu-Busega'!E19</f>
        <v>21.428571428571431</v>
      </c>
      <c r="F19" s="49">
        <f>'Avg Week Busega-Masanafu'!F19+'Avg Week Masanafu-Busega'!F19</f>
        <v>65.857142857142861</v>
      </c>
      <c r="G19" s="49">
        <f>'Avg Week Busega-Masanafu'!G19+'Avg Week Masanafu-Busega'!G19</f>
        <v>3.2857142857142856</v>
      </c>
      <c r="H19" s="49">
        <f>'Avg Week Busega-Masanafu'!H19+'Avg Week Masanafu-Busega'!H19</f>
        <v>1.2857142857142856</v>
      </c>
      <c r="I19" s="49">
        <f>'Avg Week Busega-Masanafu'!I19+'Avg Week Masanafu-Busega'!I19</f>
        <v>21.285714285714285</v>
      </c>
      <c r="J19" s="49">
        <f>'Avg Week Busega-Masanafu'!J19+'Avg Week Masanafu-Busega'!J19</f>
        <v>13.428571428571429</v>
      </c>
      <c r="K19" s="49">
        <f>'Avg Week Busega-Masanafu'!K19+'Avg Week Masanafu-Busega'!K19</f>
        <v>5.4285714285714288</v>
      </c>
      <c r="L19" s="49">
        <f>'Avg Week Busega-Masanafu'!L19+'Avg Week Masanafu-Busega'!L19</f>
        <v>7.5714285714285712</v>
      </c>
      <c r="M19" s="49">
        <f>'Avg Week Busega-Masanafu'!M19+'Avg Week Masanafu-Busega'!M19</f>
        <v>281.71428571428567</v>
      </c>
      <c r="N19" s="49">
        <f>'Avg Week Busega-Masanafu'!N19+'Avg Week Masanafu-Busega'!N19</f>
        <v>0</v>
      </c>
      <c r="O19" s="15">
        <f t="shared" si="2"/>
        <v>293.28571428571433</v>
      </c>
      <c r="P19" s="15">
        <f t="shared" si="0"/>
        <v>575</v>
      </c>
      <c r="R19" s="1" t="s">
        <v>15</v>
      </c>
      <c r="S19" s="17">
        <f t="shared" ref="S19:AF19" si="11">SUM(C46:C49)</f>
        <v>684.85714285714278</v>
      </c>
      <c r="T19" s="17">
        <f t="shared" si="11"/>
        <v>109.85714285714286</v>
      </c>
      <c r="U19" s="17">
        <f t="shared" si="11"/>
        <v>89.428571428571431</v>
      </c>
      <c r="V19" s="17">
        <f t="shared" si="11"/>
        <v>249.14285714285714</v>
      </c>
      <c r="W19" s="17">
        <f t="shared" si="11"/>
        <v>13</v>
      </c>
      <c r="X19" s="17">
        <f t="shared" si="11"/>
        <v>3.4285714285714288</v>
      </c>
      <c r="Y19" s="17">
        <f t="shared" si="11"/>
        <v>111.85714285714285</v>
      </c>
      <c r="Z19" s="17">
        <f t="shared" si="11"/>
        <v>74.714285714285722</v>
      </c>
      <c r="AA19" s="17">
        <f t="shared" si="11"/>
        <v>33.428571428571431</v>
      </c>
      <c r="AB19" s="17">
        <f t="shared" si="11"/>
        <v>53.857142857142861</v>
      </c>
      <c r="AC19" s="17">
        <f t="shared" si="11"/>
        <v>754</v>
      </c>
      <c r="AD19" s="17">
        <f t="shared" si="11"/>
        <v>0</v>
      </c>
      <c r="AE19" s="31">
        <f t="shared" si="11"/>
        <v>1423.5714285714287</v>
      </c>
      <c r="AF19" s="31">
        <f t="shared" si="11"/>
        <v>2177.5714285714284</v>
      </c>
    </row>
    <row r="20" spans="2:32" ht="23.1" customHeight="1" x14ac:dyDescent="0.25">
      <c r="B20" s="23" t="s">
        <v>47</v>
      </c>
      <c r="C20" s="49">
        <f>'Avg Week Busega-Masanafu'!C20+'Avg Week Masanafu-Busega'!C20</f>
        <v>130.71428571428572</v>
      </c>
      <c r="D20" s="49">
        <f>'Avg Week Busega-Masanafu'!D20+'Avg Week Masanafu-Busega'!D20</f>
        <v>23.714285714285715</v>
      </c>
      <c r="E20" s="49">
        <f>'Avg Week Busega-Masanafu'!E20+'Avg Week Masanafu-Busega'!E20</f>
        <v>18.571428571428573</v>
      </c>
      <c r="F20" s="49">
        <f>'Avg Week Busega-Masanafu'!F20+'Avg Week Masanafu-Busega'!F20</f>
        <v>66.428571428571431</v>
      </c>
      <c r="G20" s="49">
        <f>'Avg Week Busega-Masanafu'!G20+'Avg Week Masanafu-Busega'!G20</f>
        <v>4.8571428571428568</v>
      </c>
      <c r="H20" s="49">
        <f>'Avg Week Busega-Masanafu'!H20+'Avg Week Masanafu-Busega'!H20</f>
        <v>2.1428571428571428</v>
      </c>
      <c r="I20" s="49">
        <f>'Avg Week Busega-Masanafu'!I20+'Avg Week Masanafu-Busega'!I20</f>
        <v>21.571428571428569</v>
      </c>
      <c r="J20" s="49">
        <f>'Avg Week Busega-Masanafu'!J20+'Avg Week Masanafu-Busega'!J20</f>
        <v>14.142857142857142</v>
      </c>
      <c r="K20" s="49">
        <f>'Avg Week Busega-Masanafu'!K20+'Avg Week Masanafu-Busega'!K20</f>
        <v>5.7142857142857144</v>
      </c>
      <c r="L20" s="49">
        <f>'Avg Week Busega-Masanafu'!L20+'Avg Week Masanafu-Busega'!L20</f>
        <v>6.7142857142857144</v>
      </c>
      <c r="M20" s="49">
        <f>'Avg Week Busega-Masanafu'!M20+'Avg Week Masanafu-Busega'!M20</f>
        <v>248.28571428571428</v>
      </c>
      <c r="N20" s="49">
        <f>'Avg Week Busega-Masanafu'!N20+'Avg Week Masanafu-Busega'!N20</f>
        <v>0</v>
      </c>
      <c r="O20" s="15">
        <f t="shared" si="2"/>
        <v>294.57142857142861</v>
      </c>
      <c r="P20" s="15">
        <f t="shared" si="0"/>
        <v>542.85714285714289</v>
      </c>
      <c r="R20" s="1" t="s">
        <v>16</v>
      </c>
      <c r="S20" s="17">
        <f t="shared" ref="S20:AF20" si="12">SUM(C50:C53)</f>
        <v>741</v>
      </c>
      <c r="T20" s="17">
        <f t="shared" si="12"/>
        <v>109.57142857142856</v>
      </c>
      <c r="U20" s="17">
        <f t="shared" si="12"/>
        <v>87.285714285714278</v>
      </c>
      <c r="V20" s="17">
        <f t="shared" si="12"/>
        <v>285.71428571428572</v>
      </c>
      <c r="W20" s="17">
        <f t="shared" si="12"/>
        <v>19.142857142857142</v>
      </c>
      <c r="X20" s="17">
        <f t="shared" si="12"/>
        <v>5.1428571428571423</v>
      </c>
      <c r="Y20" s="17">
        <f t="shared" si="12"/>
        <v>109.71428571428572</v>
      </c>
      <c r="Z20" s="17">
        <f t="shared" si="12"/>
        <v>69.857142857142861</v>
      </c>
      <c r="AA20" s="17">
        <f t="shared" si="12"/>
        <v>33.428571428571431</v>
      </c>
      <c r="AB20" s="17">
        <f t="shared" si="12"/>
        <v>46.285714285714285</v>
      </c>
      <c r="AC20" s="17">
        <f t="shared" si="12"/>
        <v>840.71428571428578</v>
      </c>
      <c r="AD20" s="17">
        <f t="shared" si="12"/>
        <v>0.2857142857142857</v>
      </c>
      <c r="AE20" s="31">
        <f t="shared" si="12"/>
        <v>1507.4285714285716</v>
      </c>
      <c r="AF20" s="31">
        <f t="shared" si="12"/>
        <v>2348.1428571428573</v>
      </c>
    </row>
    <row r="21" spans="2:32" ht="23.1" customHeight="1" x14ac:dyDescent="0.25">
      <c r="B21" s="23" t="s">
        <v>48</v>
      </c>
      <c r="C21" s="49">
        <f>'Avg Week Busega-Masanafu'!C21+'Avg Week Masanafu-Busega'!C21</f>
        <v>142.42857142857144</v>
      </c>
      <c r="D21" s="49">
        <f>'Avg Week Busega-Masanafu'!D21+'Avg Week Masanafu-Busega'!D21</f>
        <v>21.714285714285715</v>
      </c>
      <c r="E21" s="49">
        <f>'Avg Week Busega-Masanafu'!E21+'Avg Week Masanafu-Busega'!E21</f>
        <v>17.428571428571431</v>
      </c>
      <c r="F21" s="49">
        <f>'Avg Week Busega-Masanafu'!F21+'Avg Week Masanafu-Busega'!F21</f>
        <v>64.571428571428569</v>
      </c>
      <c r="G21" s="49">
        <f>'Avg Week Busega-Masanafu'!G21+'Avg Week Masanafu-Busega'!G21</f>
        <v>6.2857142857142865</v>
      </c>
      <c r="H21" s="49">
        <f>'Avg Week Busega-Masanafu'!H21+'Avg Week Masanafu-Busega'!H21</f>
        <v>0.71428571428571419</v>
      </c>
      <c r="I21" s="49">
        <f>'Avg Week Busega-Masanafu'!I21+'Avg Week Masanafu-Busega'!I21</f>
        <v>22.571428571428569</v>
      </c>
      <c r="J21" s="49">
        <f>'Avg Week Busega-Masanafu'!J21+'Avg Week Masanafu-Busega'!J21</f>
        <v>13.857142857142858</v>
      </c>
      <c r="K21" s="49">
        <f>'Avg Week Busega-Masanafu'!K21+'Avg Week Masanafu-Busega'!K21</f>
        <v>7.5714285714285712</v>
      </c>
      <c r="L21" s="49">
        <f>'Avg Week Busega-Masanafu'!L21+'Avg Week Masanafu-Busega'!L21</f>
        <v>5.8571428571428577</v>
      </c>
      <c r="M21" s="49">
        <f>'Avg Week Busega-Masanafu'!M21+'Avg Week Masanafu-Busega'!M21</f>
        <v>268.14285714285717</v>
      </c>
      <c r="N21" s="49">
        <f>'Avg Week Busega-Masanafu'!N21+'Avg Week Masanafu-Busega'!N21</f>
        <v>0</v>
      </c>
      <c r="O21" s="15">
        <f t="shared" si="2"/>
        <v>302.99999999999994</v>
      </c>
      <c r="P21" s="15">
        <f t="shared" si="0"/>
        <v>571.14285714285711</v>
      </c>
      <c r="R21" s="36" t="s">
        <v>20</v>
      </c>
      <c r="S21" s="34">
        <f t="shared" ref="S21:AF21" si="13">SUM(C54:C57)</f>
        <v>766</v>
      </c>
      <c r="T21" s="17">
        <f t="shared" si="13"/>
        <v>110.28571428571428</v>
      </c>
      <c r="U21" s="17">
        <f t="shared" si="13"/>
        <v>82.857142857142861</v>
      </c>
      <c r="V21" s="17">
        <f t="shared" si="13"/>
        <v>301.71428571428567</v>
      </c>
      <c r="W21" s="17">
        <f t="shared" si="13"/>
        <v>22.428571428571427</v>
      </c>
      <c r="X21" s="17">
        <f t="shared" si="13"/>
        <v>4.5714285714285712</v>
      </c>
      <c r="Y21" s="17">
        <f t="shared" si="13"/>
        <v>84.857142857142847</v>
      </c>
      <c r="Z21" s="17">
        <f t="shared" si="13"/>
        <v>71.714285714285722</v>
      </c>
      <c r="AA21" s="17">
        <f t="shared" si="13"/>
        <v>23</v>
      </c>
      <c r="AB21" s="17">
        <f t="shared" si="13"/>
        <v>36.142857142857139</v>
      </c>
      <c r="AC21" s="17">
        <f t="shared" si="13"/>
        <v>941.28571428571422</v>
      </c>
      <c r="AD21" s="17">
        <f t="shared" si="13"/>
        <v>0</v>
      </c>
      <c r="AE21" s="31">
        <f t="shared" si="13"/>
        <v>1503.5714285714284</v>
      </c>
      <c r="AF21" s="31">
        <f t="shared" si="13"/>
        <v>2444.8571428571431</v>
      </c>
    </row>
    <row r="22" spans="2:32" ht="23.1" customHeight="1" x14ac:dyDescent="0.25">
      <c r="B22" s="23" t="s">
        <v>49</v>
      </c>
      <c r="C22" s="49">
        <f>'Avg Week Busega-Masanafu'!C22+'Avg Week Masanafu-Busega'!C22</f>
        <v>136</v>
      </c>
      <c r="D22" s="49">
        <f>'Avg Week Busega-Masanafu'!D22+'Avg Week Masanafu-Busega'!D22</f>
        <v>20.571428571428573</v>
      </c>
      <c r="E22" s="49">
        <f>'Avg Week Busega-Masanafu'!E22+'Avg Week Masanafu-Busega'!E22</f>
        <v>17.142857142857142</v>
      </c>
      <c r="F22" s="49">
        <f>'Avg Week Busega-Masanafu'!F22+'Avg Week Masanafu-Busega'!F22</f>
        <v>69</v>
      </c>
      <c r="G22" s="49">
        <f>'Avg Week Busega-Masanafu'!G22+'Avg Week Masanafu-Busega'!G22</f>
        <v>4.7142857142857144</v>
      </c>
      <c r="H22" s="49">
        <f>'Avg Week Busega-Masanafu'!H22+'Avg Week Masanafu-Busega'!H22</f>
        <v>1.8571428571428572</v>
      </c>
      <c r="I22" s="49">
        <f>'Avg Week Busega-Masanafu'!I22+'Avg Week Masanafu-Busega'!I22</f>
        <v>43.142857142857146</v>
      </c>
      <c r="J22" s="49">
        <f>'Avg Week Busega-Masanafu'!J22+'Avg Week Masanafu-Busega'!J22</f>
        <v>13</v>
      </c>
      <c r="K22" s="49">
        <f>'Avg Week Busega-Masanafu'!K22+'Avg Week Masanafu-Busega'!K22</f>
        <v>8.1428571428571423</v>
      </c>
      <c r="L22" s="49">
        <f>'Avg Week Busega-Masanafu'!L22+'Avg Week Masanafu-Busega'!L22</f>
        <v>7.4285714285714288</v>
      </c>
      <c r="M22" s="49">
        <f>'Avg Week Busega-Masanafu'!M22+'Avg Week Masanafu-Busega'!M22</f>
        <v>255.71428571428572</v>
      </c>
      <c r="N22" s="49">
        <f>'Avg Week Busega-Masanafu'!N22+'Avg Week Masanafu-Busega'!N22</f>
        <v>0</v>
      </c>
      <c r="O22" s="15">
        <f t="shared" si="2"/>
        <v>321.00000000000006</v>
      </c>
      <c r="P22" s="15">
        <f t="shared" si="0"/>
        <v>576.71428571428578</v>
      </c>
      <c r="R22" s="1" t="s">
        <v>146</v>
      </c>
      <c r="S22" s="34">
        <f>SUM(C58:C61)</f>
        <v>538</v>
      </c>
      <c r="T22" s="34">
        <f t="shared" ref="T22:AF22" si="14">SUM(D58:D61)</f>
        <v>88</v>
      </c>
      <c r="U22" s="34">
        <f t="shared" si="14"/>
        <v>84.5</v>
      </c>
      <c r="V22" s="34">
        <f t="shared" si="14"/>
        <v>227.5</v>
      </c>
      <c r="W22" s="34">
        <f t="shared" si="14"/>
        <v>23</v>
      </c>
      <c r="X22" s="34">
        <f t="shared" si="14"/>
        <v>13.5</v>
      </c>
      <c r="Y22" s="34">
        <f t="shared" si="14"/>
        <v>61.5</v>
      </c>
      <c r="Z22" s="34">
        <f t="shared" si="14"/>
        <v>52.5</v>
      </c>
      <c r="AA22" s="34">
        <f t="shared" si="14"/>
        <v>22.5</v>
      </c>
      <c r="AB22" s="34">
        <f t="shared" si="14"/>
        <v>27.5</v>
      </c>
      <c r="AC22" s="34">
        <f t="shared" si="14"/>
        <v>756.5</v>
      </c>
      <c r="AD22" s="34">
        <f t="shared" si="14"/>
        <v>0</v>
      </c>
      <c r="AE22" s="31">
        <f t="shared" si="14"/>
        <v>1138.5</v>
      </c>
      <c r="AF22" s="31">
        <f t="shared" si="14"/>
        <v>1895</v>
      </c>
    </row>
    <row r="23" spans="2:32" ht="23.1" customHeight="1" x14ac:dyDescent="0.25">
      <c r="B23" s="23" t="s">
        <v>50</v>
      </c>
      <c r="C23" s="49">
        <f>'Avg Week Busega-Masanafu'!C23+'Avg Week Masanafu-Busega'!C23</f>
        <v>147</v>
      </c>
      <c r="D23" s="49">
        <f>'Avg Week Busega-Masanafu'!D23+'Avg Week Masanafu-Busega'!D23</f>
        <v>22.428571428571431</v>
      </c>
      <c r="E23" s="49">
        <f>'Avg Week Busega-Masanafu'!E23+'Avg Week Masanafu-Busega'!E23</f>
        <v>17.428571428571431</v>
      </c>
      <c r="F23" s="49">
        <f>'Avg Week Busega-Masanafu'!F23+'Avg Week Masanafu-Busega'!F23</f>
        <v>62.571428571428569</v>
      </c>
      <c r="G23" s="49">
        <f>'Avg Week Busega-Masanafu'!G23+'Avg Week Masanafu-Busega'!G23</f>
        <v>4.5714285714285712</v>
      </c>
      <c r="H23" s="49">
        <f>'Avg Week Busega-Masanafu'!H23+'Avg Week Masanafu-Busega'!H23</f>
        <v>1</v>
      </c>
      <c r="I23" s="49">
        <f>'Avg Week Busega-Masanafu'!I23+'Avg Week Masanafu-Busega'!I23</f>
        <v>24.714285714285715</v>
      </c>
      <c r="J23" s="49">
        <f>'Avg Week Busega-Masanafu'!J23+'Avg Week Masanafu-Busega'!J23</f>
        <v>19.714285714285715</v>
      </c>
      <c r="K23" s="49">
        <f>'Avg Week Busega-Masanafu'!K23+'Avg Week Masanafu-Busega'!K23</f>
        <v>5.4285714285714288</v>
      </c>
      <c r="L23" s="49">
        <f>'Avg Week Busega-Masanafu'!L23+'Avg Week Masanafu-Busega'!L23</f>
        <v>8.5714285714285712</v>
      </c>
      <c r="M23" s="49">
        <f>'Avg Week Busega-Masanafu'!M23+'Avg Week Masanafu-Busega'!M23</f>
        <v>248.85714285714286</v>
      </c>
      <c r="N23" s="49">
        <f>'Avg Week Busega-Masanafu'!N23+'Avg Week Masanafu-Busega'!N23</f>
        <v>0</v>
      </c>
      <c r="O23" s="15">
        <f t="shared" si="2"/>
        <v>313.42857142857144</v>
      </c>
      <c r="P23" s="15">
        <f t="shared" si="0"/>
        <v>562.28571428571433</v>
      </c>
      <c r="R23" s="1" t="s">
        <v>147</v>
      </c>
      <c r="S23" s="34">
        <f>SUM(C62:C65)</f>
        <v>610</v>
      </c>
      <c r="T23" s="34">
        <f t="shared" ref="T23:AF23" si="15">SUM(D62:D65)</f>
        <v>87</v>
      </c>
      <c r="U23" s="34">
        <f t="shared" si="15"/>
        <v>114</v>
      </c>
      <c r="V23" s="34">
        <f t="shared" si="15"/>
        <v>252</v>
      </c>
      <c r="W23" s="34">
        <f t="shared" si="15"/>
        <v>20.5</v>
      </c>
      <c r="X23" s="34">
        <f t="shared" si="15"/>
        <v>8.5</v>
      </c>
      <c r="Y23" s="34">
        <f t="shared" si="15"/>
        <v>68.5</v>
      </c>
      <c r="Z23" s="34">
        <f t="shared" si="15"/>
        <v>64.5</v>
      </c>
      <c r="AA23" s="34">
        <f t="shared" si="15"/>
        <v>30</v>
      </c>
      <c r="AB23" s="34">
        <f t="shared" si="15"/>
        <v>32</v>
      </c>
      <c r="AC23" s="34">
        <f t="shared" si="15"/>
        <v>864.5</v>
      </c>
      <c r="AD23" s="34">
        <f t="shared" si="15"/>
        <v>0</v>
      </c>
      <c r="AE23" s="31">
        <f t="shared" si="15"/>
        <v>1287</v>
      </c>
      <c r="AF23" s="31">
        <f t="shared" si="15"/>
        <v>2151.5</v>
      </c>
    </row>
    <row r="24" spans="2:32" ht="23.1" customHeight="1" x14ac:dyDescent="0.25">
      <c r="B24" s="23" t="s">
        <v>51</v>
      </c>
      <c r="C24" s="49">
        <f>'Avg Week Busega-Masanafu'!C24+'Avg Week Masanafu-Busega'!C24</f>
        <v>143.42857142857144</v>
      </c>
      <c r="D24" s="49">
        <f>'Avg Week Busega-Masanafu'!D24+'Avg Week Masanafu-Busega'!D24</f>
        <v>26.857142857142858</v>
      </c>
      <c r="E24" s="49">
        <f>'Avg Week Busega-Masanafu'!E24+'Avg Week Masanafu-Busega'!E24</f>
        <v>21.571428571428569</v>
      </c>
      <c r="F24" s="49">
        <f>'Avg Week Busega-Masanafu'!F24+'Avg Week Masanafu-Busega'!F24</f>
        <v>64.857142857142861</v>
      </c>
      <c r="G24" s="49">
        <f>'Avg Week Busega-Masanafu'!G24+'Avg Week Masanafu-Busega'!G24</f>
        <v>5.7142857142857144</v>
      </c>
      <c r="H24" s="49">
        <f>'Avg Week Busega-Masanafu'!H24+'Avg Week Masanafu-Busega'!H24</f>
        <v>1.1428571428571428</v>
      </c>
      <c r="I24" s="49">
        <f>'Avg Week Busega-Masanafu'!I24+'Avg Week Masanafu-Busega'!I24</f>
        <v>24.142857142857142</v>
      </c>
      <c r="J24" s="49">
        <f>'Avg Week Busega-Masanafu'!J24+'Avg Week Masanafu-Busega'!J24</f>
        <v>17</v>
      </c>
      <c r="K24" s="49">
        <f>'Avg Week Busega-Masanafu'!K24+'Avg Week Masanafu-Busega'!K24</f>
        <v>7.7142857142857144</v>
      </c>
      <c r="L24" s="49">
        <f>'Avg Week Busega-Masanafu'!L24+'Avg Week Masanafu-Busega'!L24</f>
        <v>7.4285714285714288</v>
      </c>
      <c r="M24" s="49">
        <f>'Avg Week Busega-Masanafu'!M24+'Avg Week Masanafu-Busega'!M24</f>
        <v>240.71428571428572</v>
      </c>
      <c r="N24" s="49">
        <f>'Avg Week Busega-Masanafu'!N24+'Avg Week Masanafu-Busega'!N24</f>
        <v>0</v>
      </c>
      <c r="O24" s="15">
        <f t="shared" si="2"/>
        <v>319.857142857143</v>
      </c>
      <c r="P24" s="15">
        <f t="shared" si="0"/>
        <v>560.57142857142867</v>
      </c>
      <c r="R24" s="1" t="s">
        <v>148</v>
      </c>
      <c r="S24" s="34">
        <f>SUM(C66:C69)</f>
        <v>513.5</v>
      </c>
      <c r="T24" s="34">
        <f t="shared" ref="T24:AF24" si="16">SUM(D66:D69)</f>
        <v>74</v>
      </c>
      <c r="U24" s="34">
        <f t="shared" si="16"/>
        <v>65</v>
      </c>
      <c r="V24" s="34">
        <f t="shared" si="16"/>
        <v>216</v>
      </c>
      <c r="W24" s="34">
        <f t="shared" si="16"/>
        <v>12.5</v>
      </c>
      <c r="X24" s="34">
        <f t="shared" si="16"/>
        <v>2.5</v>
      </c>
      <c r="Y24" s="34">
        <f t="shared" si="16"/>
        <v>38.5</v>
      </c>
      <c r="Z24" s="34">
        <f t="shared" si="16"/>
        <v>51.5</v>
      </c>
      <c r="AA24" s="34">
        <f t="shared" si="16"/>
        <v>21</v>
      </c>
      <c r="AB24" s="34">
        <f t="shared" si="16"/>
        <v>25.5</v>
      </c>
      <c r="AC24" s="34">
        <f t="shared" si="16"/>
        <v>738</v>
      </c>
      <c r="AD24" s="34">
        <f t="shared" si="16"/>
        <v>0</v>
      </c>
      <c r="AE24" s="31">
        <f t="shared" si="16"/>
        <v>1020</v>
      </c>
      <c r="AF24" s="31">
        <f t="shared" si="16"/>
        <v>1758</v>
      </c>
    </row>
    <row r="25" spans="2:32" ht="23.1" customHeight="1" x14ac:dyDescent="0.25">
      <c r="B25" s="23" t="s">
        <v>52</v>
      </c>
      <c r="C25" s="49">
        <f>'Avg Week Busega-Masanafu'!C25+'Avg Week Masanafu-Busega'!C25</f>
        <v>135.28571428571428</v>
      </c>
      <c r="D25" s="49">
        <f>'Avg Week Busega-Masanafu'!D25+'Avg Week Masanafu-Busega'!D25</f>
        <v>23.285714285714285</v>
      </c>
      <c r="E25" s="49">
        <f>'Avg Week Busega-Masanafu'!E25+'Avg Week Masanafu-Busega'!E25</f>
        <v>17.142857142857146</v>
      </c>
      <c r="F25" s="49">
        <f>'Avg Week Busega-Masanafu'!F25+'Avg Week Masanafu-Busega'!F25</f>
        <v>72.428571428571416</v>
      </c>
      <c r="G25" s="49">
        <f>'Avg Week Busega-Masanafu'!G25+'Avg Week Masanafu-Busega'!G25</f>
        <v>4</v>
      </c>
      <c r="H25" s="49">
        <f>'Avg Week Busega-Masanafu'!H25+'Avg Week Masanafu-Busega'!H25</f>
        <v>1</v>
      </c>
      <c r="I25" s="49">
        <f>'Avg Week Busega-Masanafu'!I25+'Avg Week Masanafu-Busega'!I25</f>
        <v>23.571428571428569</v>
      </c>
      <c r="J25" s="49">
        <f>'Avg Week Busega-Masanafu'!J25+'Avg Week Masanafu-Busega'!J25</f>
        <v>16.285714285714285</v>
      </c>
      <c r="K25" s="49">
        <f>'Avg Week Busega-Masanafu'!K25+'Avg Week Masanafu-Busega'!K25</f>
        <v>6.7142857142857144</v>
      </c>
      <c r="L25" s="49">
        <f>'Avg Week Busega-Masanafu'!L25+'Avg Week Masanafu-Busega'!L25</f>
        <v>8.1428571428571423</v>
      </c>
      <c r="M25" s="49">
        <f>'Avg Week Busega-Masanafu'!M25+'Avg Week Masanafu-Busega'!M25</f>
        <v>221.28571428571428</v>
      </c>
      <c r="N25" s="49">
        <f>'Avg Week Busega-Masanafu'!N25+'Avg Week Masanafu-Busega'!N25</f>
        <v>0.14285714285714285</v>
      </c>
      <c r="O25" s="15">
        <f t="shared" si="2"/>
        <v>308</v>
      </c>
      <c r="P25" s="15">
        <f t="shared" si="0"/>
        <v>529.28571428571422</v>
      </c>
      <c r="R25" s="1" t="s">
        <v>149</v>
      </c>
      <c r="S25" s="34">
        <f>SUM(C70:C73)</f>
        <v>426</v>
      </c>
      <c r="T25" s="34">
        <f t="shared" ref="T25:AF25" si="17">SUM(D70:D73)</f>
        <v>44.5</v>
      </c>
      <c r="U25" s="34">
        <f t="shared" si="17"/>
        <v>68</v>
      </c>
      <c r="V25" s="34">
        <f t="shared" si="17"/>
        <v>148.5</v>
      </c>
      <c r="W25" s="34">
        <f t="shared" si="17"/>
        <v>9</v>
      </c>
      <c r="X25" s="34">
        <f t="shared" si="17"/>
        <v>6.5</v>
      </c>
      <c r="Y25" s="34">
        <f t="shared" si="17"/>
        <v>37</v>
      </c>
      <c r="Z25" s="34">
        <f t="shared" si="17"/>
        <v>47</v>
      </c>
      <c r="AA25" s="34">
        <f t="shared" si="17"/>
        <v>29</v>
      </c>
      <c r="AB25" s="34">
        <f t="shared" si="17"/>
        <v>26.5</v>
      </c>
      <c r="AC25" s="34">
        <f t="shared" si="17"/>
        <v>526</v>
      </c>
      <c r="AD25" s="34">
        <f t="shared" si="17"/>
        <v>0</v>
      </c>
      <c r="AE25" s="31">
        <f t="shared" si="17"/>
        <v>842</v>
      </c>
      <c r="AF25" s="31">
        <f t="shared" si="17"/>
        <v>1368</v>
      </c>
    </row>
    <row r="26" spans="2:32" ht="23.1" customHeight="1" x14ac:dyDescent="0.25">
      <c r="B26" s="23" t="s">
        <v>53</v>
      </c>
      <c r="C26" s="49">
        <f>'Avg Week Busega-Masanafu'!C26+'Avg Week Masanafu-Busega'!C26</f>
        <v>166.42857142857142</v>
      </c>
      <c r="D26" s="49">
        <f>'Avg Week Busega-Masanafu'!D26+'Avg Week Masanafu-Busega'!D26</f>
        <v>23</v>
      </c>
      <c r="E26" s="49">
        <f>'Avg Week Busega-Masanafu'!E26+'Avg Week Masanafu-Busega'!E26</f>
        <v>22.571428571428569</v>
      </c>
      <c r="F26" s="49">
        <f>'Avg Week Busega-Masanafu'!F26+'Avg Week Masanafu-Busega'!F26</f>
        <v>73.857142857142861</v>
      </c>
      <c r="G26" s="49">
        <f>'Avg Week Busega-Masanafu'!G26+'Avg Week Masanafu-Busega'!G26</f>
        <v>4</v>
      </c>
      <c r="H26" s="49">
        <f>'Avg Week Busega-Masanafu'!H26+'Avg Week Masanafu-Busega'!H26</f>
        <v>1.1428571428571428</v>
      </c>
      <c r="I26" s="49">
        <f>'Avg Week Busega-Masanafu'!I26+'Avg Week Masanafu-Busega'!I26</f>
        <v>24.142857142857146</v>
      </c>
      <c r="J26" s="49">
        <f>'Avg Week Busega-Masanafu'!J26+'Avg Week Masanafu-Busega'!J26</f>
        <v>17.285714285714285</v>
      </c>
      <c r="K26" s="49">
        <f>'Avg Week Busega-Masanafu'!K26+'Avg Week Masanafu-Busega'!K26</f>
        <v>7.5714285714285712</v>
      </c>
      <c r="L26" s="49">
        <f>'Avg Week Busega-Masanafu'!L26+'Avg Week Masanafu-Busega'!L26</f>
        <v>8.1428571428571423</v>
      </c>
      <c r="M26" s="49">
        <f>'Avg Week Busega-Masanafu'!M26+'Avg Week Masanafu-Busega'!M26</f>
        <v>210.14285714285714</v>
      </c>
      <c r="N26" s="49">
        <f>'Avg Week Busega-Masanafu'!N26+'Avg Week Masanafu-Busega'!N26</f>
        <v>0</v>
      </c>
      <c r="O26" s="15">
        <f t="shared" si="2"/>
        <v>348.14285714285722</v>
      </c>
      <c r="P26" s="15">
        <f t="shared" si="0"/>
        <v>558.28571428571433</v>
      </c>
      <c r="R26" s="1" t="s">
        <v>150</v>
      </c>
      <c r="S26" s="34">
        <f>SUM(C74:C77)</f>
        <v>245.5</v>
      </c>
      <c r="T26" s="34">
        <f t="shared" ref="T26:AF26" si="18">SUM(D74:D77)</f>
        <v>30.5</v>
      </c>
      <c r="U26" s="34">
        <f t="shared" si="18"/>
        <v>38</v>
      </c>
      <c r="V26" s="34">
        <f t="shared" si="18"/>
        <v>74.5</v>
      </c>
      <c r="W26" s="34">
        <f t="shared" si="18"/>
        <v>8.5</v>
      </c>
      <c r="X26" s="34">
        <f t="shared" si="18"/>
        <v>1</v>
      </c>
      <c r="Y26" s="34">
        <f t="shared" si="18"/>
        <v>37</v>
      </c>
      <c r="Z26" s="34">
        <f t="shared" si="18"/>
        <v>35.5</v>
      </c>
      <c r="AA26" s="34">
        <f t="shared" si="18"/>
        <v>29</v>
      </c>
      <c r="AB26" s="34">
        <f t="shared" si="18"/>
        <v>23</v>
      </c>
      <c r="AC26" s="34">
        <f t="shared" si="18"/>
        <v>317</v>
      </c>
      <c r="AD26" s="34">
        <f t="shared" si="18"/>
        <v>0</v>
      </c>
      <c r="AE26" s="31">
        <f t="shared" si="18"/>
        <v>522.5</v>
      </c>
      <c r="AF26" s="31">
        <f t="shared" si="18"/>
        <v>839.5</v>
      </c>
    </row>
    <row r="27" spans="2:32" ht="23.1" customHeight="1" x14ac:dyDescent="0.25">
      <c r="B27" s="23" t="s">
        <v>54</v>
      </c>
      <c r="C27" s="49">
        <f>'Avg Week Busega-Masanafu'!C27+'Avg Week Masanafu-Busega'!C27</f>
        <v>145.14285714285714</v>
      </c>
      <c r="D27" s="49">
        <f>'Avg Week Busega-Masanafu'!D27+'Avg Week Masanafu-Busega'!D27</f>
        <v>21.571428571428569</v>
      </c>
      <c r="E27" s="49">
        <f>'Avg Week Busega-Masanafu'!E27+'Avg Week Masanafu-Busega'!E27</f>
        <v>18.857142857142858</v>
      </c>
      <c r="F27" s="49">
        <f>'Avg Week Busega-Masanafu'!F27+'Avg Week Masanafu-Busega'!F27</f>
        <v>69.142857142857139</v>
      </c>
      <c r="G27" s="49">
        <f>'Avg Week Busega-Masanafu'!G27+'Avg Week Masanafu-Busega'!G27</f>
        <v>2.714285714285714</v>
      </c>
      <c r="H27" s="49">
        <f>'Avg Week Busega-Masanafu'!H27+'Avg Week Masanafu-Busega'!H27</f>
        <v>0.71428571428571419</v>
      </c>
      <c r="I27" s="49">
        <f>'Avg Week Busega-Masanafu'!I27+'Avg Week Masanafu-Busega'!I27</f>
        <v>22.142857142857142</v>
      </c>
      <c r="J27" s="49">
        <f>'Avg Week Busega-Masanafu'!J27+'Avg Week Masanafu-Busega'!J27</f>
        <v>19.571428571428569</v>
      </c>
      <c r="K27" s="49">
        <f>'Avg Week Busega-Masanafu'!K27+'Avg Week Masanafu-Busega'!K27</f>
        <v>10.571428571428573</v>
      </c>
      <c r="L27" s="49">
        <f>'Avg Week Busega-Masanafu'!L27+'Avg Week Masanafu-Busega'!L27</f>
        <v>8.8571428571428577</v>
      </c>
      <c r="M27" s="49">
        <f>'Avg Week Busega-Masanafu'!M27+'Avg Week Masanafu-Busega'!M27</f>
        <v>227.57142857142856</v>
      </c>
      <c r="N27" s="49">
        <f>'Avg Week Busega-Masanafu'!N27+'Avg Week Masanafu-Busega'!N27</f>
        <v>0.14285714285714285</v>
      </c>
      <c r="O27" s="15">
        <f t="shared" si="2"/>
        <v>319.42857142857144</v>
      </c>
      <c r="P27" s="15">
        <f t="shared" si="0"/>
        <v>547</v>
      </c>
      <c r="R27" s="1" t="s">
        <v>151</v>
      </c>
      <c r="S27" s="34">
        <f>SUM(C78:C81)</f>
        <v>170.5</v>
      </c>
      <c r="T27" s="34">
        <f t="shared" ref="T27:AF27" si="19">SUM(D78:D81)</f>
        <v>14.5</v>
      </c>
      <c r="U27" s="34">
        <f t="shared" si="19"/>
        <v>25</v>
      </c>
      <c r="V27" s="34">
        <f t="shared" si="19"/>
        <v>32.5</v>
      </c>
      <c r="W27" s="34">
        <f t="shared" si="19"/>
        <v>5</v>
      </c>
      <c r="X27" s="34">
        <f t="shared" si="19"/>
        <v>1</v>
      </c>
      <c r="Y27" s="34">
        <f t="shared" si="19"/>
        <v>34</v>
      </c>
      <c r="Z27" s="34">
        <f t="shared" si="19"/>
        <v>32.5</v>
      </c>
      <c r="AA27" s="34">
        <f t="shared" si="19"/>
        <v>28.5</v>
      </c>
      <c r="AB27" s="34">
        <f t="shared" si="19"/>
        <v>21.5</v>
      </c>
      <c r="AC27" s="34">
        <f t="shared" si="19"/>
        <v>183</v>
      </c>
      <c r="AD27" s="34">
        <f t="shared" si="19"/>
        <v>0</v>
      </c>
      <c r="AE27" s="31">
        <f t="shared" si="19"/>
        <v>365</v>
      </c>
      <c r="AF27" s="31">
        <f t="shared" si="19"/>
        <v>548</v>
      </c>
    </row>
    <row r="28" spans="2:32" ht="23.1" customHeight="1" x14ac:dyDescent="0.25">
      <c r="B28" s="23" t="s">
        <v>55</v>
      </c>
      <c r="C28" s="49">
        <f>'Avg Week Busega-Masanafu'!C28+'Avg Week Masanafu-Busega'!C28</f>
        <v>156</v>
      </c>
      <c r="D28" s="49">
        <f>'Avg Week Busega-Masanafu'!D28+'Avg Week Masanafu-Busega'!D28</f>
        <v>25.285714285714285</v>
      </c>
      <c r="E28" s="49">
        <f>'Avg Week Busega-Masanafu'!E28+'Avg Week Masanafu-Busega'!E28</f>
        <v>18</v>
      </c>
      <c r="F28" s="49">
        <f>'Avg Week Busega-Masanafu'!F28+'Avg Week Masanafu-Busega'!F28</f>
        <v>70.428571428571431</v>
      </c>
      <c r="G28" s="49">
        <f>'Avg Week Busega-Masanafu'!G28+'Avg Week Masanafu-Busega'!G28</f>
        <v>3</v>
      </c>
      <c r="H28" s="49">
        <f>'Avg Week Busega-Masanafu'!H28+'Avg Week Masanafu-Busega'!H28</f>
        <v>0.8571428571428571</v>
      </c>
      <c r="I28" s="49">
        <f>'Avg Week Busega-Masanafu'!I28+'Avg Week Masanafu-Busega'!I28</f>
        <v>25.285714285714285</v>
      </c>
      <c r="J28" s="49">
        <f>'Avg Week Busega-Masanafu'!J28+'Avg Week Masanafu-Busega'!J28</f>
        <v>15.857142857142858</v>
      </c>
      <c r="K28" s="49">
        <f>'Avg Week Busega-Masanafu'!K28+'Avg Week Masanafu-Busega'!K28</f>
        <v>7.1428571428571423</v>
      </c>
      <c r="L28" s="49">
        <f>'Avg Week Busega-Masanafu'!L28+'Avg Week Masanafu-Busega'!L28</f>
        <v>10.714285714285715</v>
      </c>
      <c r="M28" s="49">
        <f>'Avg Week Busega-Masanafu'!M28+'Avg Week Masanafu-Busega'!M28</f>
        <v>248.14285714285714</v>
      </c>
      <c r="N28" s="49">
        <f>'Avg Week Busega-Masanafu'!N28+'Avg Week Masanafu-Busega'!N28</f>
        <v>0</v>
      </c>
      <c r="O28" s="15">
        <f t="shared" si="2"/>
        <v>332.57142857142856</v>
      </c>
      <c r="P28" s="15">
        <f t="shared" si="0"/>
        <v>580.71428571428567</v>
      </c>
      <c r="R28" s="1" t="s">
        <v>152</v>
      </c>
      <c r="S28" s="34">
        <f>SUM(C82:C85)</f>
        <v>102.5</v>
      </c>
      <c r="T28" s="34">
        <f t="shared" ref="T28:AF28" si="20">SUM(D82:D85)</f>
        <v>17.5</v>
      </c>
      <c r="U28" s="34">
        <f t="shared" si="20"/>
        <v>22</v>
      </c>
      <c r="V28" s="34">
        <f t="shared" si="20"/>
        <v>29</v>
      </c>
      <c r="W28" s="34">
        <f t="shared" si="20"/>
        <v>2.5</v>
      </c>
      <c r="X28" s="34">
        <f t="shared" si="20"/>
        <v>0.5</v>
      </c>
      <c r="Y28" s="34">
        <f t="shared" si="20"/>
        <v>31.5</v>
      </c>
      <c r="Z28" s="34">
        <f t="shared" si="20"/>
        <v>21.5</v>
      </c>
      <c r="AA28" s="34">
        <f t="shared" si="20"/>
        <v>27</v>
      </c>
      <c r="AB28" s="34">
        <f t="shared" si="20"/>
        <v>20.5</v>
      </c>
      <c r="AC28" s="34">
        <f t="shared" si="20"/>
        <v>112.5</v>
      </c>
      <c r="AD28" s="34">
        <f t="shared" si="20"/>
        <v>0</v>
      </c>
      <c r="AE28" s="31">
        <f t="shared" si="20"/>
        <v>274.5</v>
      </c>
      <c r="AF28" s="31">
        <f t="shared" si="20"/>
        <v>387</v>
      </c>
    </row>
    <row r="29" spans="2:32" ht="23.1" customHeight="1" x14ac:dyDescent="0.25">
      <c r="B29" s="23" t="s">
        <v>56</v>
      </c>
      <c r="C29" s="49">
        <f>'Avg Week Busega-Masanafu'!C29+'Avg Week Masanafu-Busega'!C29</f>
        <v>147.85714285714286</v>
      </c>
      <c r="D29" s="49">
        <f>'Avg Week Busega-Masanafu'!D29+'Avg Week Masanafu-Busega'!D29</f>
        <v>27.857142857142858</v>
      </c>
      <c r="E29" s="49">
        <f>'Avg Week Busega-Masanafu'!E29+'Avg Week Masanafu-Busega'!E29</f>
        <v>17.142857142857142</v>
      </c>
      <c r="F29" s="49">
        <f>'Avg Week Busega-Masanafu'!F29+'Avg Week Masanafu-Busega'!F29</f>
        <v>62</v>
      </c>
      <c r="G29" s="49">
        <f>'Avg Week Busega-Masanafu'!G29+'Avg Week Masanafu-Busega'!G29</f>
        <v>4.1428571428571432</v>
      </c>
      <c r="H29" s="49">
        <f>'Avg Week Busega-Masanafu'!H29+'Avg Week Masanafu-Busega'!H29</f>
        <v>0.71428571428571419</v>
      </c>
      <c r="I29" s="49">
        <f>'Avg Week Busega-Masanafu'!I29+'Avg Week Masanafu-Busega'!I29</f>
        <v>27.857142857142854</v>
      </c>
      <c r="J29" s="49">
        <f>'Avg Week Busega-Masanafu'!J29+'Avg Week Masanafu-Busega'!J29</f>
        <v>16.142857142857142</v>
      </c>
      <c r="K29" s="49">
        <f>'Avg Week Busega-Masanafu'!K29+'Avg Week Masanafu-Busega'!K29</f>
        <v>6.2857142857142865</v>
      </c>
      <c r="L29" s="49">
        <f>'Avg Week Busega-Masanafu'!L29+'Avg Week Masanafu-Busega'!L29</f>
        <v>12.428571428571429</v>
      </c>
      <c r="M29" s="49">
        <f>'Avg Week Busega-Masanafu'!M29+'Avg Week Masanafu-Busega'!M29</f>
        <v>222.28571428571428</v>
      </c>
      <c r="N29" s="49">
        <f>'Avg Week Busega-Masanafu'!N29+'Avg Week Masanafu-Busega'!N29</f>
        <v>0</v>
      </c>
      <c r="O29" s="15">
        <f t="shared" si="2"/>
        <v>322.42857142857144</v>
      </c>
      <c r="P29" s="15">
        <f t="shared" si="0"/>
        <v>544.71428571428578</v>
      </c>
      <c r="R29" s="1" t="s">
        <v>153</v>
      </c>
      <c r="S29" s="34">
        <f>SUM(C86:C89)</f>
        <v>72</v>
      </c>
      <c r="T29" s="34">
        <f t="shared" ref="T29:AF29" si="21">SUM(D86:D89)</f>
        <v>7</v>
      </c>
      <c r="U29" s="34">
        <f t="shared" si="21"/>
        <v>17.5</v>
      </c>
      <c r="V29" s="34">
        <f t="shared" si="21"/>
        <v>16</v>
      </c>
      <c r="W29" s="34">
        <f t="shared" si="21"/>
        <v>1</v>
      </c>
      <c r="X29" s="34">
        <f t="shared" si="21"/>
        <v>1</v>
      </c>
      <c r="Y29" s="34">
        <f t="shared" si="21"/>
        <v>30.5</v>
      </c>
      <c r="Z29" s="34">
        <f t="shared" si="21"/>
        <v>40</v>
      </c>
      <c r="AA29" s="34">
        <f t="shared" si="21"/>
        <v>27</v>
      </c>
      <c r="AB29" s="34">
        <f t="shared" si="21"/>
        <v>13.5</v>
      </c>
      <c r="AC29" s="34">
        <f t="shared" si="21"/>
        <v>83</v>
      </c>
      <c r="AD29" s="34">
        <f t="shared" si="21"/>
        <v>0</v>
      </c>
      <c r="AE29" s="31">
        <f t="shared" si="21"/>
        <v>225.5</v>
      </c>
      <c r="AF29" s="31">
        <f t="shared" si="21"/>
        <v>308.5</v>
      </c>
    </row>
    <row r="30" spans="2:32" ht="23.1" customHeight="1" x14ac:dyDescent="0.25">
      <c r="B30" s="23" t="s">
        <v>57</v>
      </c>
      <c r="C30" s="49">
        <f>'Avg Week Busega-Masanafu'!C30+'Avg Week Masanafu-Busega'!C30</f>
        <v>147.14285714285714</v>
      </c>
      <c r="D30" s="49">
        <f>'Avg Week Busega-Masanafu'!D30+'Avg Week Masanafu-Busega'!D30</f>
        <v>23</v>
      </c>
      <c r="E30" s="49">
        <f>'Avg Week Busega-Masanafu'!E30+'Avg Week Masanafu-Busega'!E30</f>
        <v>17.142857142857142</v>
      </c>
      <c r="F30" s="49">
        <f>'Avg Week Busega-Masanafu'!F30+'Avg Week Masanafu-Busega'!F30</f>
        <v>68.428571428571416</v>
      </c>
      <c r="G30" s="49">
        <f>'Avg Week Busega-Masanafu'!G30+'Avg Week Masanafu-Busega'!G30</f>
        <v>5.8571428571428568</v>
      </c>
      <c r="H30" s="49">
        <f>'Avg Week Busega-Masanafu'!H30+'Avg Week Masanafu-Busega'!H30</f>
        <v>1.1428571428571428</v>
      </c>
      <c r="I30" s="49">
        <f>'Avg Week Busega-Masanafu'!I30+'Avg Week Masanafu-Busega'!I30</f>
        <v>27.857142857142858</v>
      </c>
      <c r="J30" s="49">
        <f>'Avg Week Busega-Masanafu'!J30+'Avg Week Masanafu-Busega'!J30</f>
        <v>19.714285714285715</v>
      </c>
      <c r="K30" s="49">
        <f>'Avg Week Busega-Masanafu'!K30+'Avg Week Masanafu-Busega'!K30</f>
        <v>7.7142857142857135</v>
      </c>
      <c r="L30" s="49">
        <f>'Avg Week Busega-Masanafu'!L30+'Avg Week Masanafu-Busega'!L30</f>
        <v>9</v>
      </c>
      <c r="M30" s="49">
        <f>'Avg Week Busega-Masanafu'!M30+'Avg Week Masanafu-Busega'!M30</f>
        <v>233.14285714285714</v>
      </c>
      <c r="N30" s="49">
        <f>'Avg Week Busega-Masanafu'!N30+'Avg Week Masanafu-Busega'!N30</f>
        <v>0</v>
      </c>
      <c r="O30" s="15">
        <f t="shared" si="2"/>
        <v>327</v>
      </c>
      <c r="P30" s="15">
        <f t="shared" si="0"/>
        <v>560.14285714285711</v>
      </c>
      <c r="R30" s="1" t="s">
        <v>154</v>
      </c>
      <c r="S30" s="34">
        <f>SUM(C90:C93)</f>
        <v>58.5</v>
      </c>
      <c r="T30" s="34">
        <f t="shared" ref="T30:AF30" si="22">SUM(D90:D93)</f>
        <v>10</v>
      </c>
      <c r="U30" s="34">
        <f t="shared" si="22"/>
        <v>16.5</v>
      </c>
      <c r="V30" s="34">
        <f t="shared" si="22"/>
        <v>10</v>
      </c>
      <c r="W30" s="34">
        <f t="shared" si="22"/>
        <v>1.5</v>
      </c>
      <c r="X30" s="34">
        <f t="shared" si="22"/>
        <v>2</v>
      </c>
      <c r="Y30" s="34">
        <f t="shared" si="22"/>
        <v>41.5</v>
      </c>
      <c r="Z30" s="34">
        <f t="shared" si="22"/>
        <v>64</v>
      </c>
      <c r="AA30" s="34">
        <f t="shared" si="22"/>
        <v>19.5</v>
      </c>
      <c r="AB30" s="34">
        <f t="shared" si="22"/>
        <v>20</v>
      </c>
      <c r="AC30" s="34">
        <f t="shared" si="22"/>
        <v>72</v>
      </c>
      <c r="AD30" s="34">
        <f t="shared" si="22"/>
        <v>0</v>
      </c>
      <c r="AE30" s="31">
        <f t="shared" si="22"/>
        <v>243.5</v>
      </c>
      <c r="AF30" s="31">
        <f t="shared" si="22"/>
        <v>315.5</v>
      </c>
    </row>
    <row r="31" spans="2:32" ht="23.1" customHeight="1" x14ac:dyDescent="0.25">
      <c r="B31" s="24" t="s">
        <v>58</v>
      </c>
      <c r="C31" s="49">
        <f>'Avg Week Busega-Masanafu'!C31+'Avg Week Masanafu-Busega'!C31</f>
        <v>162.85714285714283</v>
      </c>
      <c r="D31" s="49">
        <f>'Avg Week Busega-Masanafu'!D31+'Avg Week Masanafu-Busega'!D31</f>
        <v>23.428571428571427</v>
      </c>
      <c r="E31" s="49">
        <f>'Avg Week Busega-Masanafu'!E31+'Avg Week Masanafu-Busega'!E31</f>
        <v>17.428571428571427</v>
      </c>
      <c r="F31" s="49">
        <f>'Avg Week Busega-Masanafu'!F31+'Avg Week Masanafu-Busega'!F31</f>
        <v>76.285714285714292</v>
      </c>
      <c r="G31" s="49">
        <f>'Avg Week Busega-Masanafu'!G31+'Avg Week Masanafu-Busega'!G31</f>
        <v>1.8571428571428572</v>
      </c>
      <c r="H31" s="49">
        <f>'Avg Week Busega-Masanafu'!H31+'Avg Week Masanafu-Busega'!H31</f>
        <v>0.14285714285714285</v>
      </c>
      <c r="I31" s="49">
        <f>'Avg Week Busega-Masanafu'!I31+'Avg Week Masanafu-Busega'!I31</f>
        <v>21.142857142857142</v>
      </c>
      <c r="J31" s="49">
        <f>'Avg Week Busega-Masanafu'!J31+'Avg Week Masanafu-Busega'!J31</f>
        <v>17.714285714285715</v>
      </c>
      <c r="K31" s="49">
        <f>'Avg Week Busega-Masanafu'!K31+'Avg Week Masanafu-Busega'!K31</f>
        <v>6.7142857142857144</v>
      </c>
      <c r="L31" s="49">
        <f>'Avg Week Busega-Masanafu'!L31+'Avg Week Masanafu-Busega'!L31</f>
        <v>8.5714285714285712</v>
      </c>
      <c r="M31" s="49">
        <f>'Avg Week Busega-Masanafu'!M31+'Avg Week Masanafu-Busega'!M31</f>
        <v>224</v>
      </c>
      <c r="N31" s="49">
        <f>'Avg Week Busega-Masanafu'!N31+'Avg Week Masanafu-Busega'!N31</f>
        <v>0</v>
      </c>
      <c r="O31" s="15">
        <f t="shared" si="2"/>
        <v>336.14285714285711</v>
      </c>
      <c r="P31" s="15">
        <f t="shared" si="0"/>
        <v>560.14285714285711</v>
      </c>
      <c r="R31" s="1" t="s">
        <v>155</v>
      </c>
      <c r="S31" s="34">
        <f>SUM(C94:C97)</f>
        <v>85</v>
      </c>
      <c r="T31" s="34">
        <f t="shared" ref="T31:AF31" si="23">SUM(D94:D97)</f>
        <v>25.5</v>
      </c>
      <c r="U31" s="34">
        <f t="shared" si="23"/>
        <v>19</v>
      </c>
      <c r="V31" s="34">
        <f t="shared" si="23"/>
        <v>26</v>
      </c>
      <c r="W31" s="34">
        <f t="shared" si="23"/>
        <v>2</v>
      </c>
      <c r="X31" s="34">
        <f t="shared" si="23"/>
        <v>4</v>
      </c>
      <c r="Y31" s="34">
        <f t="shared" si="23"/>
        <v>29</v>
      </c>
      <c r="Z31" s="34">
        <f t="shared" si="23"/>
        <v>48</v>
      </c>
      <c r="AA31" s="34">
        <f t="shared" si="23"/>
        <v>16</v>
      </c>
      <c r="AB31" s="34">
        <f t="shared" si="23"/>
        <v>15</v>
      </c>
      <c r="AC31" s="34">
        <f t="shared" si="23"/>
        <v>102</v>
      </c>
      <c r="AD31" s="34">
        <f t="shared" si="23"/>
        <v>0</v>
      </c>
      <c r="AE31" s="31">
        <f t="shared" si="23"/>
        <v>269.5</v>
      </c>
      <c r="AF31" s="31">
        <f t="shared" si="23"/>
        <v>371.5</v>
      </c>
    </row>
    <row r="32" spans="2:32" ht="23.1" customHeight="1" x14ac:dyDescent="0.25">
      <c r="B32" s="24" t="s">
        <v>59</v>
      </c>
      <c r="C32" s="49">
        <f>'Avg Week Busega-Masanafu'!C32+'Avg Week Masanafu-Busega'!C32</f>
        <v>181.57142857142856</v>
      </c>
      <c r="D32" s="49">
        <f>'Avg Week Busega-Masanafu'!D32+'Avg Week Masanafu-Busega'!D32</f>
        <v>28.285714285714285</v>
      </c>
      <c r="E32" s="49">
        <f>'Avg Week Busega-Masanafu'!E32+'Avg Week Masanafu-Busega'!E32</f>
        <v>20.857142857142858</v>
      </c>
      <c r="F32" s="49">
        <f>'Avg Week Busega-Masanafu'!F32+'Avg Week Masanafu-Busega'!F32</f>
        <v>79.714285714285708</v>
      </c>
      <c r="G32" s="49">
        <f>'Avg Week Busega-Masanafu'!G32+'Avg Week Masanafu-Busega'!G32</f>
        <v>5.7142857142857144</v>
      </c>
      <c r="H32" s="49">
        <f>'Avg Week Busega-Masanafu'!H32+'Avg Week Masanafu-Busega'!H32</f>
        <v>1.7142857142857142</v>
      </c>
      <c r="I32" s="49">
        <f>'Avg Week Busega-Masanafu'!I32+'Avg Week Masanafu-Busega'!I32</f>
        <v>25.428571428571431</v>
      </c>
      <c r="J32" s="49">
        <f>'Avg Week Busega-Masanafu'!J32+'Avg Week Masanafu-Busega'!J32</f>
        <v>14.714285714285715</v>
      </c>
      <c r="K32" s="49">
        <f>'Avg Week Busega-Masanafu'!K32+'Avg Week Masanafu-Busega'!K32</f>
        <v>6.5714285714285712</v>
      </c>
      <c r="L32" s="49">
        <f>'Avg Week Busega-Masanafu'!L32+'Avg Week Masanafu-Busega'!L32</f>
        <v>14</v>
      </c>
      <c r="M32" s="49">
        <f>'Avg Week Busega-Masanafu'!M32+'Avg Week Masanafu-Busega'!M32</f>
        <v>207.85714285714286</v>
      </c>
      <c r="N32" s="49">
        <f>'Avg Week Busega-Masanafu'!N32+'Avg Week Masanafu-Busega'!N32</f>
        <v>0</v>
      </c>
      <c r="O32" s="15">
        <f t="shared" si="2"/>
        <v>378.57142857142856</v>
      </c>
      <c r="P32" s="15">
        <f t="shared" si="0"/>
        <v>586.42857142857144</v>
      </c>
      <c r="R32" s="1" t="s">
        <v>156</v>
      </c>
      <c r="S32" s="34">
        <f>SUM(C98:C101)</f>
        <v>138</v>
      </c>
      <c r="T32" s="34">
        <f t="shared" ref="T32:AF32" si="24">SUM(D98:D101)</f>
        <v>27</v>
      </c>
      <c r="U32" s="34">
        <f t="shared" si="24"/>
        <v>34</v>
      </c>
      <c r="V32" s="34">
        <f t="shared" si="24"/>
        <v>65</v>
      </c>
      <c r="W32" s="34">
        <f t="shared" si="24"/>
        <v>7</v>
      </c>
      <c r="X32" s="34">
        <f t="shared" si="24"/>
        <v>1.5</v>
      </c>
      <c r="Y32" s="34">
        <f t="shared" si="24"/>
        <v>44</v>
      </c>
      <c r="Z32" s="34">
        <f t="shared" si="24"/>
        <v>52.5</v>
      </c>
      <c r="AA32" s="34">
        <f t="shared" si="24"/>
        <v>10.5</v>
      </c>
      <c r="AB32" s="34">
        <f t="shared" si="24"/>
        <v>28</v>
      </c>
      <c r="AC32" s="34">
        <f t="shared" si="24"/>
        <v>153</v>
      </c>
      <c r="AD32" s="34">
        <f t="shared" si="24"/>
        <v>0</v>
      </c>
      <c r="AE32" s="31">
        <f t="shared" si="24"/>
        <v>407.5</v>
      </c>
      <c r="AF32" s="31">
        <f t="shared" si="24"/>
        <v>560.5</v>
      </c>
    </row>
    <row r="33" spans="2:32" ht="23.1" customHeight="1" x14ac:dyDescent="0.25">
      <c r="B33" s="23" t="s">
        <v>60</v>
      </c>
      <c r="C33" s="49">
        <f>'Avg Week Busega-Masanafu'!C33+'Avg Week Masanafu-Busega'!C33</f>
        <v>159.85714285714286</v>
      </c>
      <c r="D33" s="49">
        <f>'Avg Week Busega-Masanafu'!D33+'Avg Week Masanafu-Busega'!D33</f>
        <v>26.285714285714285</v>
      </c>
      <c r="E33" s="49">
        <f>'Avg Week Busega-Masanafu'!E33+'Avg Week Masanafu-Busega'!E33</f>
        <v>19.285714285714285</v>
      </c>
      <c r="F33" s="49">
        <f>'Avg Week Busega-Masanafu'!F33+'Avg Week Masanafu-Busega'!F33</f>
        <v>72</v>
      </c>
      <c r="G33" s="49">
        <f>'Avg Week Busega-Masanafu'!G33+'Avg Week Masanafu-Busega'!G33</f>
        <v>5.1428571428571423</v>
      </c>
      <c r="H33" s="49">
        <f>'Avg Week Busega-Masanafu'!H33+'Avg Week Masanafu-Busega'!H33</f>
        <v>2.1428571428571428</v>
      </c>
      <c r="I33" s="49">
        <f>'Avg Week Busega-Masanafu'!I33+'Avg Week Masanafu-Busega'!I33</f>
        <v>28.142857142857146</v>
      </c>
      <c r="J33" s="49">
        <f>'Avg Week Busega-Masanafu'!J33+'Avg Week Masanafu-Busega'!J33</f>
        <v>22.285714285714285</v>
      </c>
      <c r="K33" s="49">
        <f>'Avg Week Busega-Masanafu'!K33+'Avg Week Masanafu-Busega'!K33</f>
        <v>6.8571428571428577</v>
      </c>
      <c r="L33" s="49">
        <f>'Avg Week Busega-Masanafu'!L33+'Avg Week Masanafu-Busega'!L33</f>
        <v>11</v>
      </c>
      <c r="M33" s="49">
        <f>'Avg Week Busega-Masanafu'!M33+'Avg Week Masanafu-Busega'!M33</f>
        <v>215.28571428571428</v>
      </c>
      <c r="N33" s="49">
        <f>'Avg Week Busega-Masanafu'!N33+'Avg Week Masanafu-Busega'!N33</f>
        <v>0</v>
      </c>
      <c r="O33" s="15">
        <f t="shared" si="2"/>
        <v>353.00000000000006</v>
      </c>
      <c r="P33" s="15">
        <f t="shared" si="0"/>
        <v>568.28571428571433</v>
      </c>
      <c r="R33" s="1" t="s">
        <v>157</v>
      </c>
      <c r="S33" s="34">
        <f>SUM(C102:C105)</f>
        <v>242</v>
      </c>
      <c r="T33" s="34">
        <f t="shared" ref="T33:AF33" si="25">SUM(D102:D105)</f>
        <v>46.5</v>
      </c>
      <c r="U33" s="34">
        <f t="shared" si="25"/>
        <v>52.5</v>
      </c>
      <c r="V33" s="34">
        <f t="shared" si="25"/>
        <v>162</v>
      </c>
      <c r="W33" s="34">
        <f t="shared" si="25"/>
        <v>5</v>
      </c>
      <c r="X33" s="34">
        <f t="shared" si="25"/>
        <v>3</v>
      </c>
      <c r="Y33" s="34">
        <f t="shared" si="25"/>
        <v>56</v>
      </c>
      <c r="Z33" s="34">
        <f t="shared" si="25"/>
        <v>50.5</v>
      </c>
      <c r="AA33" s="34">
        <f t="shared" si="25"/>
        <v>6.5</v>
      </c>
      <c r="AB33" s="34">
        <f t="shared" si="25"/>
        <v>33.5</v>
      </c>
      <c r="AC33" s="34">
        <f t="shared" si="25"/>
        <v>361</v>
      </c>
      <c r="AD33" s="34">
        <f t="shared" si="25"/>
        <v>0.5</v>
      </c>
      <c r="AE33" s="31">
        <f t="shared" si="25"/>
        <v>658</v>
      </c>
      <c r="AF33" s="31">
        <f t="shared" si="25"/>
        <v>1019</v>
      </c>
    </row>
    <row r="34" spans="2:32" ht="23.1" customHeight="1" x14ac:dyDescent="0.25">
      <c r="B34" s="24" t="s">
        <v>61</v>
      </c>
      <c r="C34" s="49">
        <f>'Avg Week Busega-Masanafu'!C34+'Avg Week Masanafu-Busega'!C34</f>
        <v>149</v>
      </c>
      <c r="D34" s="49">
        <f>'Avg Week Busega-Masanafu'!D34+'Avg Week Masanafu-Busega'!D34</f>
        <v>24.571428571428569</v>
      </c>
      <c r="E34" s="49">
        <f>'Avg Week Busega-Masanafu'!E34+'Avg Week Masanafu-Busega'!E34</f>
        <v>17.571428571428569</v>
      </c>
      <c r="F34" s="49">
        <f>'Avg Week Busega-Masanafu'!F34+'Avg Week Masanafu-Busega'!F34</f>
        <v>66.142857142857139</v>
      </c>
      <c r="G34" s="49">
        <f>'Avg Week Busega-Masanafu'!G34+'Avg Week Masanafu-Busega'!G34</f>
        <v>3.7142857142857144</v>
      </c>
      <c r="H34" s="49">
        <f>'Avg Week Busega-Masanafu'!H34+'Avg Week Masanafu-Busega'!H34</f>
        <v>0.5714285714285714</v>
      </c>
      <c r="I34" s="49">
        <f>'Avg Week Busega-Masanafu'!I34+'Avg Week Masanafu-Busega'!I34</f>
        <v>25.428571428571431</v>
      </c>
      <c r="J34" s="49">
        <f>'Avg Week Busega-Masanafu'!J34+'Avg Week Masanafu-Busega'!J34</f>
        <v>20</v>
      </c>
      <c r="K34" s="49">
        <f>'Avg Week Busega-Masanafu'!K34+'Avg Week Masanafu-Busega'!K34</f>
        <v>8.1428571428571423</v>
      </c>
      <c r="L34" s="49">
        <f>'Avg Week Busega-Masanafu'!L34+'Avg Week Masanafu-Busega'!L34</f>
        <v>10.428571428571429</v>
      </c>
      <c r="M34" s="49">
        <f>'Avg Week Busega-Masanafu'!M34+'Avg Week Masanafu-Busega'!M34</f>
        <v>212</v>
      </c>
      <c r="N34" s="49">
        <f>'Avg Week Busega-Masanafu'!N34+'Avg Week Masanafu-Busega'!N34</f>
        <v>0</v>
      </c>
      <c r="O34" s="15">
        <f t="shared" si="2"/>
        <v>325.57142857142856</v>
      </c>
      <c r="P34" s="15">
        <f t="shared" si="0"/>
        <v>537.57142857142856</v>
      </c>
      <c r="R34" s="38" t="s">
        <v>90</v>
      </c>
      <c r="S34" s="39">
        <f t="shared" ref="S34:AF34" si="26">MAX(S10:S12)</f>
        <v>541</v>
      </c>
      <c r="T34" s="39">
        <f t="shared" si="26"/>
        <v>89.285714285714306</v>
      </c>
      <c r="U34" s="39">
        <f t="shared" si="26"/>
        <v>77.142857142857153</v>
      </c>
      <c r="V34" s="39">
        <f t="shared" si="26"/>
        <v>255.42857142857144</v>
      </c>
      <c r="W34" s="39">
        <f t="shared" si="26"/>
        <v>20</v>
      </c>
      <c r="X34" s="39">
        <f t="shared" si="26"/>
        <v>4.8571428571428568</v>
      </c>
      <c r="Y34" s="39">
        <f t="shared" si="26"/>
        <v>90.857142857142847</v>
      </c>
      <c r="Z34" s="39">
        <f t="shared" si="26"/>
        <v>63.285714285714278</v>
      </c>
      <c r="AA34" s="39">
        <f t="shared" si="26"/>
        <v>23.571428571428569</v>
      </c>
      <c r="AB34" s="39">
        <f t="shared" si="26"/>
        <v>26.714285714285715</v>
      </c>
      <c r="AC34" s="39">
        <f t="shared" si="26"/>
        <v>1126.1428571428573</v>
      </c>
      <c r="AD34" s="39">
        <f t="shared" si="26"/>
        <v>0</v>
      </c>
      <c r="AE34" s="40">
        <f t="shared" si="26"/>
        <v>1188.1428571428571</v>
      </c>
      <c r="AF34" s="40">
        <f t="shared" si="26"/>
        <v>2257.8571428571427</v>
      </c>
    </row>
    <row r="35" spans="2:32" ht="23.1" customHeight="1" x14ac:dyDescent="0.25">
      <c r="B35" s="24" t="s">
        <v>62</v>
      </c>
      <c r="C35" s="49">
        <f>'Avg Week Busega-Masanafu'!C35+'Avg Week Masanafu-Busega'!C35</f>
        <v>146.14285714285714</v>
      </c>
      <c r="D35" s="49">
        <f>'Avg Week Busega-Masanafu'!D35+'Avg Week Masanafu-Busega'!D35</f>
        <v>26.571428571428569</v>
      </c>
      <c r="E35" s="49">
        <f>'Avg Week Busega-Masanafu'!E35+'Avg Week Masanafu-Busega'!E35</f>
        <v>22.857142857142858</v>
      </c>
      <c r="F35" s="49">
        <f>'Avg Week Busega-Masanafu'!F35+'Avg Week Masanafu-Busega'!F35</f>
        <v>65.142857142857139</v>
      </c>
      <c r="G35" s="49">
        <f>'Avg Week Busega-Masanafu'!G35+'Avg Week Masanafu-Busega'!G35</f>
        <v>2.7142857142857144</v>
      </c>
      <c r="H35" s="49">
        <f>'Avg Week Busega-Masanafu'!H35+'Avg Week Masanafu-Busega'!H35</f>
        <v>0.5714285714285714</v>
      </c>
      <c r="I35" s="49">
        <f>'Avg Week Busega-Masanafu'!I35+'Avg Week Masanafu-Busega'!I35</f>
        <v>27.428571428571427</v>
      </c>
      <c r="J35" s="49">
        <f>'Avg Week Busega-Masanafu'!J35+'Avg Week Masanafu-Busega'!J35</f>
        <v>18.285714285714285</v>
      </c>
      <c r="K35" s="49">
        <f>'Avg Week Busega-Masanafu'!K35+'Avg Week Masanafu-Busega'!K35</f>
        <v>6.7142857142857144</v>
      </c>
      <c r="L35" s="49">
        <f>'Avg Week Busega-Masanafu'!L35+'Avg Week Masanafu-Busega'!L35</f>
        <v>10.857142857142858</v>
      </c>
      <c r="M35" s="49">
        <f>'Avg Week Busega-Masanafu'!M35+'Avg Week Masanafu-Busega'!M35</f>
        <v>223</v>
      </c>
      <c r="N35" s="49">
        <f>'Avg Week Busega-Masanafu'!N35+'Avg Week Masanafu-Busega'!N35</f>
        <v>0</v>
      </c>
      <c r="O35" s="15">
        <f t="shared" si="2"/>
        <v>327.28571428571428</v>
      </c>
      <c r="P35" s="15">
        <f t="shared" si="0"/>
        <v>550.28571428571422</v>
      </c>
      <c r="R35" s="38" t="s">
        <v>91</v>
      </c>
      <c r="S35" s="39">
        <f t="shared" ref="S35:AF35" si="27">MAX(S13:S18)</f>
        <v>665.14285714285711</v>
      </c>
      <c r="T35" s="39">
        <f t="shared" si="27"/>
        <v>118.85714285714286</v>
      </c>
      <c r="U35" s="39">
        <f t="shared" si="27"/>
        <v>93.857142857142861</v>
      </c>
      <c r="V35" s="39">
        <f t="shared" si="27"/>
        <v>296.42857142857144</v>
      </c>
      <c r="W35" s="39">
        <f t="shared" si="27"/>
        <v>19</v>
      </c>
      <c r="X35" s="39">
        <f t="shared" si="27"/>
        <v>5.1428571428571423</v>
      </c>
      <c r="Y35" s="39">
        <f t="shared" si="27"/>
        <v>116.14285714285714</v>
      </c>
      <c r="Z35" s="39">
        <f t="shared" si="27"/>
        <v>75.142857142857139</v>
      </c>
      <c r="AA35" s="39">
        <f t="shared" si="27"/>
        <v>38.571428571428569</v>
      </c>
      <c r="AB35" s="39">
        <f t="shared" si="27"/>
        <v>47.428571428571431</v>
      </c>
      <c r="AC35" s="39">
        <f t="shared" si="27"/>
        <v>966.57142857142844</v>
      </c>
      <c r="AD35" s="39">
        <f t="shared" si="27"/>
        <v>0.14285714285714285</v>
      </c>
      <c r="AE35" s="40">
        <f t="shared" si="27"/>
        <v>1394.7142857142858</v>
      </c>
      <c r="AF35" s="40">
        <f t="shared" si="27"/>
        <v>2275</v>
      </c>
    </row>
    <row r="36" spans="2:32" ht="23.1" customHeight="1" x14ac:dyDescent="0.25">
      <c r="B36" s="24" t="s">
        <v>63</v>
      </c>
      <c r="C36" s="49">
        <f>'Avg Week Busega-Masanafu'!C36+'Avg Week Masanafu-Busega'!C36</f>
        <v>140.57142857142856</v>
      </c>
      <c r="D36" s="49">
        <f>'Avg Week Busega-Masanafu'!D36+'Avg Week Masanafu-Busega'!D36</f>
        <v>26.571428571428569</v>
      </c>
      <c r="E36" s="49">
        <f>'Avg Week Busega-Masanafu'!E36+'Avg Week Masanafu-Busega'!E36</f>
        <v>22.428571428571431</v>
      </c>
      <c r="F36" s="49">
        <f>'Avg Week Busega-Masanafu'!F36+'Avg Week Masanafu-Busega'!F36</f>
        <v>56.857142857142861</v>
      </c>
      <c r="G36" s="49">
        <f>'Avg Week Busega-Masanafu'!G36+'Avg Week Masanafu-Busega'!G36</f>
        <v>2.4285714285714284</v>
      </c>
      <c r="H36" s="49">
        <f>'Avg Week Busega-Masanafu'!H36+'Avg Week Masanafu-Busega'!H36</f>
        <v>0.42857142857142855</v>
      </c>
      <c r="I36" s="49">
        <f>'Avg Week Busega-Masanafu'!I36+'Avg Week Masanafu-Busega'!I36</f>
        <v>24.428571428571427</v>
      </c>
      <c r="J36" s="49">
        <f>'Avg Week Busega-Masanafu'!J36+'Avg Week Masanafu-Busega'!J36</f>
        <v>20.428571428571427</v>
      </c>
      <c r="K36" s="49">
        <f>'Avg Week Busega-Masanafu'!K36+'Avg Week Masanafu-Busega'!K36</f>
        <v>9.5714285714285712</v>
      </c>
      <c r="L36" s="49">
        <f>'Avg Week Busega-Masanafu'!L36+'Avg Week Masanafu-Busega'!L36</f>
        <v>12.142857142857142</v>
      </c>
      <c r="M36" s="49">
        <f>'Avg Week Busega-Masanafu'!M36+'Avg Week Masanafu-Busega'!M36</f>
        <v>220.14285714285714</v>
      </c>
      <c r="N36" s="49">
        <f>'Avg Week Busega-Masanafu'!N36+'Avg Week Masanafu-Busega'!N36</f>
        <v>0</v>
      </c>
      <c r="O36" s="15">
        <f t="shared" si="2"/>
        <v>315.85714285714283</v>
      </c>
      <c r="P36" s="15">
        <f t="shared" si="0"/>
        <v>536</v>
      </c>
      <c r="R36" s="38" t="s">
        <v>92</v>
      </c>
      <c r="S36" s="39">
        <f t="shared" ref="S36:AF36" si="28">MAX(S19:S21)</f>
        <v>766</v>
      </c>
      <c r="T36" s="39">
        <f t="shared" si="28"/>
        <v>110.28571428571428</v>
      </c>
      <c r="U36" s="39">
        <f t="shared" si="28"/>
        <v>89.428571428571431</v>
      </c>
      <c r="V36" s="39">
        <f t="shared" si="28"/>
        <v>301.71428571428567</v>
      </c>
      <c r="W36" s="39">
        <f t="shared" si="28"/>
        <v>22.428571428571427</v>
      </c>
      <c r="X36" s="39">
        <f t="shared" si="28"/>
        <v>5.1428571428571423</v>
      </c>
      <c r="Y36" s="39">
        <f t="shared" si="28"/>
        <v>111.85714285714285</v>
      </c>
      <c r="Z36" s="39">
        <f t="shared" si="28"/>
        <v>74.714285714285722</v>
      </c>
      <c r="AA36" s="39">
        <f t="shared" si="28"/>
        <v>33.428571428571431</v>
      </c>
      <c r="AB36" s="39">
        <f t="shared" si="28"/>
        <v>53.857142857142861</v>
      </c>
      <c r="AC36" s="39">
        <f t="shared" si="28"/>
        <v>941.28571428571422</v>
      </c>
      <c r="AD36" s="39">
        <f t="shared" si="28"/>
        <v>0.2857142857142857</v>
      </c>
      <c r="AE36" s="40">
        <f t="shared" si="28"/>
        <v>1507.4285714285716</v>
      </c>
      <c r="AF36" s="40">
        <f t="shared" si="28"/>
        <v>2444.8571428571431</v>
      </c>
    </row>
    <row r="37" spans="2:32" ht="23.1" customHeight="1" x14ac:dyDescent="0.25">
      <c r="B37" s="23" t="s">
        <v>64</v>
      </c>
      <c r="C37" s="49">
        <f>'Avg Week Busega-Masanafu'!C37+'Avg Week Masanafu-Busega'!C37</f>
        <v>143.71428571428572</v>
      </c>
      <c r="D37" s="49">
        <f>'Avg Week Busega-Masanafu'!D37+'Avg Week Masanafu-Busega'!D37</f>
        <v>23.285714285714285</v>
      </c>
      <c r="E37" s="49">
        <f>'Avg Week Busega-Masanafu'!E37+'Avg Week Masanafu-Busega'!E37</f>
        <v>21.714285714285715</v>
      </c>
      <c r="F37" s="49">
        <f>'Avg Week Busega-Masanafu'!F37+'Avg Week Masanafu-Busega'!F37</f>
        <v>61</v>
      </c>
      <c r="G37" s="49">
        <f>'Avg Week Busega-Masanafu'!G37+'Avg Week Masanafu-Busega'!G37</f>
        <v>2.1428571428571428</v>
      </c>
      <c r="H37" s="49">
        <f>'Avg Week Busega-Masanafu'!H37+'Avg Week Masanafu-Busega'!H37</f>
        <v>1.1428571428571428</v>
      </c>
      <c r="I37" s="49">
        <f>'Avg Week Busega-Masanafu'!I37+'Avg Week Masanafu-Busega'!I37</f>
        <v>28.142857142857146</v>
      </c>
      <c r="J37" s="49">
        <f>'Avg Week Busega-Masanafu'!J37+'Avg Week Masanafu-Busega'!J37</f>
        <v>16.428571428571427</v>
      </c>
      <c r="K37" s="49">
        <f>'Avg Week Busega-Masanafu'!K37+'Avg Week Masanafu-Busega'!K37</f>
        <v>8.4285714285714288</v>
      </c>
      <c r="L37" s="49">
        <f>'Avg Week Busega-Masanafu'!L37+'Avg Week Masanafu-Busega'!L37</f>
        <v>12.571428571428571</v>
      </c>
      <c r="M37" s="49">
        <f>'Avg Week Busega-Masanafu'!M37+'Avg Week Masanafu-Busega'!M37</f>
        <v>194.14285714285714</v>
      </c>
      <c r="N37" s="49">
        <f>'Avg Week Busega-Masanafu'!N37+'Avg Week Masanafu-Busega'!N37</f>
        <v>0</v>
      </c>
      <c r="O37" s="15">
        <f t="shared" si="2"/>
        <v>318.57142857142861</v>
      </c>
      <c r="P37" s="15">
        <f t="shared" si="0"/>
        <v>512.71428571428578</v>
      </c>
      <c r="R37" s="37" t="s">
        <v>85</v>
      </c>
      <c r="S37" s="35">
        <f t="shared" ref="S37:AF37" si="29">SUM(S10:S12)</f>
        <v>1583.1428571428571</v>
      </c>
      <c r="T37" s="16">
        <f t="shared" si="29"/>
        <v>236.28571428571431</v>
      </c>
      <c r="U37" s="16">
        <f t="shared" si="29"/>
        <v>203.71428571428572</v>
      </c>
      <c r="V37" s="16">
        <f t="shared" si="29"/>
        <v>698.71428571428578</v>
      </c>
      <c r="W37" s="16">
        <f t="shared" si="29"/>
        <v>50</v>
      </c>
      <c r="X37" s="16">
        <f t="shared" si="29"/>
        <v>12.142857142857142</v>
      </c>
      <c r="Y37" s="16">
        <f t="shared" si="29"/>
        <v>227.14285714285711</v>
      </c>
      <c r="Z37" s="16">
        <f t="shared" si="29"/>
        <v>183.42857142857144</v>
      </c>
      <c r="AA37" s="16">
        <f t="shared" si="29"/>
        <v>69.142857142857139</v>
      </c>
      <c r="AB37" s="16">
        <f t="shared" si="29"/>
        <v>70.857142857142861</v>
      </c>
      <c r="AC37" s="16">
        <f t="shared" si="29"/>
        <v>3195.4285714285716</v>
      </c>
      <c r="AD37" s="16">
        <f t="shared" si="29"/>
        <v>0</v>
      </c>
      <c r="AE37" s="32">
        <f t="shared" si="29"/>
        <v>3334.5714285714284</v>
      </c>
      <c r="AF37" s="32">
        <f t="shared" si="29"/>
        <v>6530</v>
      </c>
    </row>
    <row r="38" spans="2:32" ht="23.1" customHeight="1" x14ac:dyDescent="0.25">
      <c r="B38" s="24" t="s">
        <v>65</v>
      </c>
      <c r="C38" s="49">
        <f>'Avg Week Busega-Masanafu'!C38+'Avg Week Masanafu-Busega'!C38</f>
        <v>151.28571428571428</v>
      </c>
      <c r="D38" s="49">
        <f>'Avg Week Busega-Masanafu'!D38+'Avg Week Masanafu-Busega'!D38</f>
        <v>26</v>
      </c>
      <c r="E38" s="49">
        <f>'Avg Week Busega-Masanafu'!E38+'Avg Week Masanafu-Busega'!E38</f>
        <v>20.428571428571431</v>
      </c>
      <c r="F38" s="49">
        <f>'Avg Week Busega-Masanafu'!F38+'Avg Week Masanafu-Busega'!F38</f>
        <v>64.428571428571431</v>
      </c>
      <c r="G38" s="49">
        <f>'Avg Week Busega-Masanafu'!G38+'Avg Week Masanafu-Busega'!G38</f>
        <v>1.2857142857142856</v>
      </c>
      <c r="H38" s="49">
        <f>'Avg Week Busega-Masanafu'!H38+'Avg Week Masanafu-Busega'!H38</f>
        <v>0.71428571428571419</v>
      </c>
      <c r="I38" s="49">
        <f>'Avg Week Busega-Masanafu'!I38+'Avg Week Masanafu-Busega'!I38</f>
        <v>30.142857142857142</v>
      </c>
      <c r="J38" s="49">
        <f>'Avg Week Busega-Masanafu'!J38+'Avg Week Masanafu-Busega'!J38</f>
        <v>19.571428571428569</v>
      </c>
      <c r="K38" s="49">
        <f>'Avg Week Busega-Masanafu'!K38+'Avg Week Masanafu-Busega'!K38</f>
        <v>7.1428571428571423</v>
      </c>
      <c r="L38" s="49">
        <f>'Avg Week Busega-Masanafu'!L38+'Avg Week Masanafu-Busega'!L38</f>
        <v>12.714285714285715</v>
      </c>
      <c r="M38" s="49">
        <f>'Avg Week Busega-Masanafu'!M38+'Avg Week Masanafu-Busega'!M38</f>
        <v>202.42857142857144</v>
      </c>
      <c r="N38" s="49">
        <f>'Avg Week Busega-Masanafu'!N38+'Avg Week Masanafu-Busega'!N38</f>
        <v>0</v>
      </c>
      <c r="O38" s="15">
        <f t="shared" si="2"/>
        <v>333.71428571428578</v>
      </c>
      <c r="P38" s="15">
        <f t="shared" si="0"/>
        <v>536.14285714285722</v>
      </c>
      <c r="R38" s="28" t="s">
        <v>86</v>
      </c>
      <c r="S38" s="16">
        <f t="shared" ref="S38:AF38" si="30">SUM(S13:S18)</f>
        <v>3674.1428571428569</v>
      </c>
      <c r="T38" s="16">
        <f t="shared" si="30"/>
        <v>610.14285714285722</v>
      </c>
      <c r="U38" s="16">
        <f t="shared" si="30"/>
        <v>486.14285714285711</v>
      </c>
      <c r="V38" s="16">
        <f t="shared" si="30"/>
        <v>1559.7142857142858</v>
      </c>
      <c r="W38" s="16">
        <f t="shared" si="30"/>
        <v>76.285714285714292</v>
      </c>
      <c r="X38" s="16">
        <f t="shared" si="30"/>
        <v>22.714285714285712</v>
      </c>
      <c r="Y38" s="16">
        <f t="shared" si="30"/>
        <v>642.57142857142856</v>
      </c>
      <c r="Z38" s="16">
        <f t="shared" si="30"/>
        <v>431.14285714285717</v>
      </c>
      <c r="AA38" s="16">
        <f t="shared" si="30"/>
        <v>191.14285714285717</v>
      </c>
      <c r="AB38" s="16">
        <f t="shared" si="30"/>
        <v>249.85714285714286</v>
      </c>
      <c r="AC38" s="16">
        <f t="shared" si="30"/>
        <v>5080.7142857142853</v>
      </c>
      <c r="AD38" s="16">
        <f t="shared" si="30"/>
        <v>0.2857142857142857</v>
      </c>
      <c r="AE38" s="32">
        <f t="shared" si="30"/>
        <v>7944.1428571428569</v>
      </c>
      <c r="AF38" s="32">
        <f t="shared" si="30"/>
        <v>13024.857142857145</v>
      </c>
    </row>
    <row r="39" spans="2:32" ht="23.1" customHeight="1" x14ac:dyDescent="0.25">
      <c r="B39" s="24" t="s">
        <v>66</v>
      </c>
      <c r="C39" s="49">
        <f>'Avg Week Busega-Masanafu'!C39+'Avg Week Masanafu-Busega'!C39</f>
        <v>139.85714285714286</v>
      </c>
      <c r="D39" s="49">
        <f>'Avg Week Busega-Masanafu'!D39+'Avg Week Masanafu-Busega'!D39</f>
        <v>22.428571428571431</v>
      </c>
      <c r="E39" s="49">
        <f>'Avg Week Busega-Masanafu'!E39+'Avg Week Masanafu-Busega'!E39</f>
        <v>17.428571428571431</v>
      </c>
      <c r="F39" s="49">
        <f>'Avg Week Busega-Masanafu'!F39+'Avg Week Masanafu-Busega'!F39</f>
        <v>57.142857142857146</v>
      </c>
      <c r="G39" s="49">
        <f>'Avg Week Busega-Masanafu'!G39+'Avg Week Masanafu-Busega'!G39</f>
        <v>0.71428571428571419</v>
      </c>
      <c r="H39" s="49">
        <f>'Avg Week Busega-Masanafu'!H39+'Avg Week Masanafu-Busega'!H39</f>
        <v>0.85714285714285721</v>
      </c>
      <c r="I39" s="49">
        <f>'Avg Week Busega-Masanafu'!I39+'Avg Week Masanafu-Busega'!I39</f>
        <v>31.428571428571431</v>
      </c>
      <c r="J39" s="49">
        <f>'Avg Week Busega-Masanafu'!J39+'Avg Week Masanafu-Busega'!J39</f>
        <v>16.857142857142858</v>
      </c>
      <c r="K39" s="49">
        <f>'Avg Week Busega-Masanafu'!K39+'Avg Week Masanafu-Busega'!K39</f>
        <v>10.857142857142858</v>
      </c>
      <c r="L39" s="49">
        <f>'Avg Week Busega-Masanafu'!L39+'Avg Week Masanafu-Busega'!L39</f>
        <v>9.5714285714285712</v>
      </c>
      <c r="M39" s="49">
        <f>'Avg Week Busega-Masanafu'!M39+'Avg Week Masanafu-Busega'!M39</f>
        <v>192.28571428571428</v>
      </c>
      <c r="N39" s="49">
        <f>'Avg Week Busega-Masanafu'!N39+'Avg Week Masanafu-Busega'!N39</f>
        <v>0</v>
      </c>
      <c r="O39" s="15">
        <f t="shared" si="2"/>
        <v>307.14285714285711</v>
      </c>
      <c r="P39" s="15">
        <f t="shared" si="0"/>
        <v>499.42857142857139</v>
      </c>
      <c r="R39" s="29" t="s">
        <v>87</v>
      </c>
      <c r="S39" s="16">
        <f t="shared" ref="S39:AF39" si="31">SUM(S19:S21)</f>
        <v>2191.8571428571427</v>
      </c>
      <c r="T39" s="16">
        <f t="shared" si="31"/>
        <v>329.71428571428567</v>
      </c>
      <c r="U39" s="16">
        <f t="shared" si="31"/>
        <v>259.57142857142856</v>
      </c>
      <c r="V39" s="16">
        <f t="shared" si="31"/>
        <v>836.57142857142856</v>
      </c>
      <c r="W39" s="16">
        <f t="shared" si="31"/>
        <v>54.571428571428569</v>
      </c>
      <c r="X39" s="16">
        <f t="shared" si="31"/>
        <v>13.142857142857142</v>
      </c>
      <c r="Y39" s="16">
        <f t="shared" si="31"/>
        <v>306.42857142857139</v>
      </c>
      <c r="Z39" s="16">
        <f t="shared" si="31"/>
        <v>216.28571428571431</v>
      </c>
      <c r="AA39" s="16">
        <f t="shared" si="31"/>
        <v>89.857142857142861</v>
      </c>
      <c r="AB39" s="16">
        <f t="shared" si="31"/>
        <v>136.28571428571428</v>
      </c>
      <c r="AC39" s="16">
        <f t="shared" si="31"/>
        <v>2536</v>
      </c>
      <c r="AD39" s="16">
        <f t="shared" si="31"/>
        <v>0.2857142857142857</v>
      </c>
      <c r="AE39" s="32">
        <f t="shared" si="31"/>
        <v>4434.5714285714284</v>
      </c>
      <c r="AF39" s="32">
        <f t="shared" si="31"/>
        <v>6970.5714285714294</v>
      </c>
    </row>
    <row r="40" spans="2:32" ht="23.1" customHeight="1" x14ac:dyDescent="0.25">
      <c r="B40" s="24" t="s">
        <v>67</v>
      </c>
      <c r="C40" s="49">
        <f>'Avg Week Busega-Masanafu'!C40+'Avg Week Masanafu-Busega'!C40</f>
        <v>126.85714285714286</v>
      </c>
      <c r="D40" s="49">
        <f>'Avg Week Busega-Masanafu'!D40+'Avg Week Masanafu-Busega'!D40</f>
        <v>24.857142857142854</v>
      </c>
      <c r="E40" s="49">
        <f>'Avg Week Busega-Masanafu'!E40+'Avg Week Masanafu-Busega'!E40</f>
        <v>22.857142857142854</v>
      </c>
      <c r="F40" s="49">
        <f>'Avg Week Busega-Masanafu'!F40+'Avg Week Masanafu-Busega'!F40</f>
        <v>59.857142857142854</v>
      </c>
      <c r="G40" s="49">
        <f>'Avg Week Busega-Masanafu'!G40+'Avg Week Masanafu-Busega'!G40</f>
        <v>2.4285714285714288</v>
      </c>
      <c r="H40" s="49">
        <f>'Avg Week Busega-Masanafu'!H40+'Avg Week Masanafu-Busega'!H40</f>
        <v>1</v>
      </c>
      <c r="I40" s="49">
        <f>'Avg Week Busega-Masanafu'!I40+'Avg Week Masanafu-Busega'!I40</f>
        <v>26.571428571428573</v>
      </c>
      <c r="J40" s="49">
        <f>'Avg Week Busega-Masanafu'!J40+'Avg Week Masanafu-Busega'!J40</f>
        <v>19.285714285714285</v>
      </c>
      <c r="K40" s="49">
        <f>'Avg Week Busega-Masanafu'!K40+'Avg Week Masanafu-Busega'!K40</f>
        <v>6.7142857142857135</v>
      </c>
      <c r="L40" s="49">
        <f>'Avg Week Busega-Masanafu'!L40+'Avg Week Masanafu-Busega'!L40</f>
        <v>12.285714285714285</v>
      </c>
      <c r="M40" s="49">
        <f>'Avg Week Busega-Masanafu'!M40+'Avg Week Masanafu-Busega'!M40</f>
        <v>185.28571428571428</v>
      </c>
      <c r="N40" s="49">
        <f>'Avg Week Busega-Masanafu'!N40+'Avg Week Masanafu-Busega'!N40</f>
        <v>0</v>
      </c>
      <c r="O40" s="15">
        <f t="shared" si="2"/>
        <v>302.71428571428572</v>
      </c>
      <c r="P40" s="15">
        <f t="shared" si="0"/>
        <v>488</v>
      </c>
      <c r="R40" s="5" t="s">
        <v>17</v>
      </c>
      <c r="S40" s="16">
        <f t="shared" ref="S40:AF40" si="32">SUM(S10:S21)</f>
        <v>7449.1428571428578</v>
      </c>
      <c r="T40" s="16">
        <f t="shared" si="32"/>
        <v>1176.1428571428571</v>
      </c>
      <c r="U40" s="16">
        <f t="shared" si="32"/>
        <v>949.42857142857156</v>
      </c>
      <c r="V40" s="16">
        <f t="shared" si="32"/>
        <v>3095.0000000000005</v>
      </c>
      <c r="W40" s="16">
        <f t="shared" si="32"/>
        <v>180.85714285714283</v>
      </c>
      <c r="X40" s="16">
        <f t="shared" si="32"/>
        <v>48</v>
      </c>
      <c r="Y40" s="16">
        <f t="shared" si="32"/>
        <v>1176.1428571428571</v>
      </c>
      <c r="Z40" s="16">
        <f t="shared" si="32"/>
        <v>830.85714285714289</v>
      </c>
      <c r="AA40" s="16">
        <f t="shared" si="32"/>
        <v>350.14285714285717</v>
      </c>
      <c r="AB40" s="16">
        <f t="shared" si="32"/>
        <v>457.00000000000011</v>
      </c>
      <c r="AC40" s="16">
        <f t="shared" si="32"/>
        <v>10812.142857142855</v>
      </c>
      <c r="AD40" s="16">
        <f t="shared" si="32"/>
        <v>0.5714285714285714</v>
      </c>
      <c r="AE40" s="32">
        <f t="shared" si="32"/>
        <v>15713.285714285714</v>
      </c>
      <c r="AF40" s="32">
        <f t="shared" si="32"/>
        <v>26525.428571428572</v>
      </c>
    </row>
    <row r="41" spans="2:32" ht="23.1" customHeight="1" x14ac:dyDescent="0.25">
      <c r="B41" s="23" t="s">
        <v>68</v>
      </c>
      <c r="C41" s="49">
        <f>'Avg Week Busega-Masanafu'!C41+'Avg Week Masanafu-Busega'!C41</f>
        <v>247.14285714285714</v>
      </c>
      <c r="D41" s="49">
        <f>'Avg Week Busega-Masanafu'!D41+'Avg Week Masanafu-Busega'!D41</f>
        <v>25.142857142857142</v>
      </c>
      <c r="E41" s="49">
        <f>'Avg Week Busega-Masanafu'!E41+'Avg Week Masanafu-Busega'!E41</f>
        <v>22.428571428571431</v>
      </c>
      <c r="F41" s="49">
        <f>'Avg Week Busega-Masanafu'!F41+'Avg Week Masanafu-Busega'!F41</f>
        <v>57.571428571428569</v>
      </c>
      <c r="G41" s="49">
        <f>'Avg Week Busega-Masanafu'!G41+'Avg Week Masanafu-Busega'!G41</f>
        <v>1.8571428571428572</v>
      </c>
      <c r="H41" s="49">
        <f>'Avg Week Busega-Masanafu'!H41+'Avg Week Masanafu-Busega'!H41</f>
        <v>0.71428571428571419</v>
      </c>
      <c r="I41" s="49">
        <f>'Avg Week Busega-Masanafu'!I41+'Avg Week Masanafu-Busega'!I41</f>
        <v>28</v>
      </c>
      <c r="J41" s="49">
        <f>'Avg Week Busega-Masanafu'!J41+'Avg Week Masanafu-Busega'!J41</f>
        <v>17.571428571428569</v>
      </c>
      <c r="K41" s="49">
        <f>'Avg Week Busega-Masanafu'!K41+'Avg Week Masanafu-Busega'!K41</f>
        <v>7.5714285714285712</v>
      </c>
      <c r="L41" s="49">
        <f>'Avg Week Busega-Masanafu'!L41+'Avg Week Masanafu-Busega'!L41</f>
        <v>12.857142857142858</v>
      </c>
      <c r="M41" s="49">
        <f>'Avg Week Busega-Masanafu'!M41+'Avg Week Masanafu-Busega'!M41</f>
        <v>185</v>
      </c>
      <c r="N41" s="49">
        <f>'Avg Week Busega-Masanafu'!N41+'Avg Week Masanafu-Busega'!N41</f>
        <v>0</v>
      </c>
      <c r="O41" s="15">
        <f t="shared" si="2"/>
        <v>420.85714285714278</v>
      </c>
      <c r="P41" s="15">
        <f t="shared" si="0"/>
        <v>605.85714285714278</v>
      </c>
      <c r="R41" s="5" t="s">
        <v>176</v>
      </c>
      <c r="S41" s="51">
        <f>SUM(S10:S33)</f>
        <v>10650.642857142859</v>
      </c>
      <c r="T41" s="51">
        <f t="shared" ref="T41:AD41" si="33">SUM(T10:T33)</f>
        <v>1648.1428571428571</v>
      </c>
      <c r="U41" s="51">
        <f t="shared" si="33"/>
        <v>1505.4285714285716</v>
      </c>
      <c r="V41" s="51">
        <f t="shared" si="33"/>
        <v>4354</v>
      </c>
      <c r="W41" s="51">
        <f t="shared" si="33"/>
        <v>278.35714285714283</v>
      </c>
      <c r="X41" s="51">
        <f t="shared" si="33"/>
        <v>93</v>
      </c>
      <c r="Y41" s="51">
        <f t="shared" si="33"/>
        <v>1685.1428571428571</v>
      </c>
      <c r="Z41" s="51">
        <f t="shared" si="33"/>
        <v>1390.8571428571429</v>
      </c>
      <c r="AA41" s="51">
        <f t="shared" si="33"/>
        <v>616.64285714285711</v>
      </c>
      <c r="AB41" s="51">
        <f t="shared" si="33"/>
        <v>743.50000000000011</v>
      </c>
      <c r="AC41" s="51">
        <f t="shared" si="33"/>
        <v>15080.642857142855</v>
      </c>
      <c r="AD41" s="51">
        <f t="shared" si="33"/>
        <v>1.0714285714285714</v>
      </c>
      <c r="AE41" s="52">
        <f>SUM(AE10:AE33)</f>
        <v>22966.785714285714</v>
      </c>
      <c r="AF41" s="52">
        <f>SUM(AF10:AF33)</f>
        <v>38047.428571428572</v>
      </c>
    </row>
    <row r="42" spans="2:32" ht="23.1" customHeight="1" x14ac:dyDescent="0.25">
      <c r="B42" s="24" t="s">
        <v>69</v>
      </c>
      <c r="C42" s="49">
        <f>'Avg Week Busega-Masanafu'!C42+'Avg Week Masanafu-Busega'!C42</f>
        <v>146.71428571428572</v>
      </c>
      <c r="D42" s="49">
        <f>'Avg Week Busega-Masanafu'!D42+'Avg Week Masanafu-Busega'!D42</f>
        <v>29</v>
      </c>
      <c r="E42" s="49">
        <f>'Avg Week Busega-Masanafu'!E42+'Avg Week Masanafu-Busega'!E42</f>
        <v>24.428571428571431</v>
      </c>
      <c r="F42" s="49">
        <f>'Avg Week Busega-Masanafu'!F42+'Avg Week Masanafu-Busega'!F42</f>
        <v>63.142857142857146</v>
      </c>
      <c r="G42" s="49">
        <f>'Avg Week Busega-Masanafu'!G42+'Avg Week Masanafu-Busega'!G42</f>
        <v>1.5714285714285714</v>
      </c>
      <c r="H42" s="49">
        <f>'Avg Week Busega-Masanafu'!H42+'Avg Week Masanafu-Busega'!H42</f>
        <v>1</v>
      </c>
      <c r="I42" s="49">
        <f>'Avg Week Busega-Masanafu'!I42+'Avg Week Masanafu-Busega'!I42</f>
        <v>26.714285714285715</v>
      </c>
      <c r="J42" s="49">
        <f>'Avg Week Busega-Masanafu'!J42+'Avg Week Masanafu-Busega'!J42</f>
        <v>21.714285714285715</v>
      </c>
      <c r="K42" s="49">
        <f>'Avg Week Busega-Masanafu'!K42+'Avg Week Masanafu-Busega'!K42</f>
        <v>8.7142857142857153</v>
      </c>
      <c r="L42" s="49">
        <f>'Avg Week Busega-Masanafu'!L42+'Avg Week Masanafu-Busega'!L42</f>
        <v>10</v>
      </c>
      <c r="M42" s="49">
        <f>'Avg Week Busega-Masanafu'!M42+'Avg Week Masanafu-Busega'!M42</f>
        <v>189.42857142857144</v>
      </c>
      <c r="N42" s="49">
        <f>'Avg Week Busega-Masanafu'!N42+'Avg Week Masanafu-Busega'!N42</f>
        <v>0</v>
      </c>
      <c r="O42" s="15">
        <f t="shared" si="2"/>
        <v>333.00000000000006</v>
      </c>
      <c r="P42" s="15">
        <f t="shared" si="0"/>
        <v>522.42857142857156</v>
      </c>
      <c r="R42" s="5" t="s">
        <v>160</v>
      </c>
      <c r="S42" s="48">
        <f>S41/S40</f>
        <v>1.4297809911015651</v>
      </c>
      <c r="T42" s="48">
        <f t="shared" ref="T42:AF42" si="34">T41/T40</f>
        <v>1.401311793999757</v>
      </c>
      <c r="U42" s="48">
        <f t="shared" si="34"/>
        <v>1.5856154077640685</v>
      </c>
      <c r="V42" s="48">
        <f t="shared" si="34"/>
        <v>1.4067851373182549</v>
      </c>
      <c r="W42" s="48">
        <f t="shared" si="34"/>
        <v>1.5390995260663507</v>
      </c>
      <c r="X42" s="48">
        <f t="shared" si="34"/>
        <v>1.9375</v>
      </c>
      <c r="Y42" s="48">
        <f t="shared" si="34"/>
        <v>1.4327705575124499</v>
      </c>
      <c r="Z42" s="48">
        <f t="shared" si="34"/>
        <v>1.6740027510316369</v>
      </c>
      <c r="AA42" s="48">
        <f t="shared" si="34"/>
        <v>1.7611179110567112</v>
      </c>
      <c r="AB42" s="48">
        <f t="shared" si="34"/>
        <v>1.6269146608315097</v>
      </c>
      <c r="AC42" s="48">
        <f t="shared" si="34"/>
        <v>1.394787606527053</v>
      </c>
      <c r="AD42" s="48">
        <f t="shared" si="34"/>
        <v>1.875</v>
      </c>
      <c r="AE42" s="53">
        <f t="shared" si="34"/>
        <v>1.4616157391834026</v>
      </c>
      <c r="AF42" s="53">
        <f t="shared" si="34"/>
        <v>1.4343756395480347</v>
      </c>
    </row>
    <row r="43" spans="2:32" ht="23.1" customHeight="1" x14ac:dyDescent="0.25">
      <c r="B43" s="23" t="s">
        <v>70</v>
      </c>
      <c r="C43" s="49">
        <f>'Avg Week Busega-Masanafu'!C43+'Avg Week Masanafu-Busega'!C43</f>
        <v>143</v>
      </c>
      <c r="D43" s="49">
        <f>'Avg Week Busega-Masanafu'!D43+'Avg Week Masanafu-Busega'!D43</f>
        <v>27.142857142857146</v>
      </c>
      <c r="E43" s="49">
        <f>'Avg Week Busega-Masanafu'!E43+'Avg Week Masanafu-Busega'!E43</f>
        <v>24.142857142857146</v>
      </c>
      <c r="F43" s="49">
        <f>'Avg Week Busega-Masanafu'!F43+'Avg Week Masanafu-Busega'!F43</f>
        <v>51.857142857142861</v>
      </c>
      <c r="G43" s="49">
        <f>'Avg Week Busega-Masanafu'!G43+'Avg Week Masanafu-Busega'!G43</f>
        <v>1.1428571428571428</v>
      </c>
      <c r="H43" s="49">
        <f>'Avg Week Busega-Masanafu'!H43+'Avg Week Masanafu-Busega'!H43</f>
        <v>0.71428571428571419</v>
      </c>
      <c r="I43" s="49">
        <f>'Avg Week Busega-Masanafu'!I43+'Avg Week Masanafu-Busega'!I43</f>
        <v>23.857142857142858</v>
      </c>
      <c r="J43" s="49">
        <f>'Avg Week Busega-Masanafu'!J43+'Avg Week Masanafu-Busega'!J43</f>
        <v>18</v>
      </c>
      <c r="K43" s="49">
        <f>'Avg Week Busega-Masanafu'!K43+'Avg Week Masanafu-Busega'!K43</f>
        <v>11.285714285714285</v>
      </c>
      <c r="L43" s="49">
        <f>'Avg Week Busega-Masanafu'!L43+'Avg Week Masanafu-Busega'!L43</f>
        <v>8.8571428571428577</v>
      </c>
      <c r="M43" s="49">
        <f>'Avg Week Busega-Masanafu'!M43+'Avg Week Masanafu-Busega'!M43</f>
        <v>185</v>
      </c>
      <c r="N43" s="49">
        <f>'Avg Week Busega-Masanafu'!N43+'Avg Week Masanafu-Busega'!N43</f>
        <v>0</v>
      </c>
      <c r="O43" s="15">
        <f t="shared" si="2"/>
        <v>309.99999999999994</v>
      </c>
      <c r="P43" s="15">
        <f t="shared" si="0"/>
        <v>494.99999999999994</v>
      </c>
    </row>
    <row r="44" spans="2:32" ht="23.1" customHeight="1" x14ac:dyDescent="0.25">
      <c r="B44" s="25" t="s">
        <v>71</v>
      </c>
      <c r="C44" s="49">
        <f>'Avg Week Busega-Masanafu'!C44+'Avg Week Masanafu-Busega'!C44</f>
        <v>153.14285714285714</v>
      </c>
      <c r="D44" s="49">
        <f>'Avg Week Busega-Masanafu'!D44+'Avg Week Masanafu-Busega'!D44</f>
        <v>32.285714285714285</v>
      </c>
      <c r="E44" s="49">
        <f>'Avg Week Busega-Masanafu'!E44+'Avg Week Masanafu-Busega'!E44</f>
        <v>21.571428571428573</v>
      </c>
      <c r="F44" s="49">
        <f>'Avg Week Busega-Masanafu'!F44+'Avg Week Masanafu-Busega'!F44</f>
        <v>60.142857142857139</v>
      </c>
      <c r="G44" s="49">
        <f>'Avg Week Busega-Masanafu'!G44+'Avg Week Masanafu-Busega'!G44</f>
        <v>3.5714285714285712</v>
      </c>
      <c r="H44" s="49">
        <f>'Avg Week Busega-Masanafu'!H44+'Avg Week Masanafu-Busega'!H44</f>
        <v>0.42857142857142855</v>
      </c>
      <c r="I44" s="49">
        <f>'Avg Week Busega-Masanafu'!I44+'Avg Week Masanafu-Busega'!I44</f>
        <v>27</v>
      </c>
      <c r="J44" s="49">
        <f>'Avg Week Busega-Masanafu'!J44+'Avg Week Masanafu-Busega'!J44</f>
        <v>15.714285714285714</v>
      </c>
      <c r="K44" s="49">
        <f>'Avg Week Busega-Masanafu'!K44+'Avg Week Masanafu-Busega'!K44</f>
        <v>10.285714285714285</v>
      </c>
      <c r="L44" s="49">
        <f>'Avg Week Busega-Masanafu'!L44+'Avg Week Masanafu-Busega'!L44</f>
        <v>11.428571428571429</v>
      </c>
      <c r="M44" s="49">
        <f>'Avg Week Busega-Masanafu'!M44+'Avg Week Masanafu-Busega'!M44</f>
        <v>175</v>
      </c>
      <c r="N44" s="49">
        <f>'Avg Week Busega-Masanafu'!N44+'Avg Week Masanafu-Busega'!N44</f>
        <v>0</v>
      </c>
      <c r="O44" s="15">
        <f t="shared" si="2"/>
        <v>335.57142857142856</v>
      </c>
      <c r="P44" s="15">
        <f t="shared" si="0"/>
        <v>510.57142857142856</v>
      </c>
    </row>
    <row r="45" spans="2:32" ht="23.1" customHeight="1" x14ac:dyDescent="0.25">
      <c r="B45" s="23" t="s">
        <v>72</v>
      </c>
      <c r="C45" s="49">
        <f>'Avg Week Busega-Masanafu'!C45+'Avg Week Masanafu-Busega'!C45</f>
        <v>158.14285714285714</v>
      </c>
      <c r="D45" s="49">
        <f>'Avg Week Busega-Masanafu'!D45+'Avg Week Masanafu-Busega'!D45</f>
        <v>30.428571428571431</v>
      </c>
      <c r="E45" s="49">
        <f>'Avg Week Busega-Masanafu'!E45+'Avg Week Masanafu-Busega'!E45</f>
        <v>23.714285714285715</v>
      </c>
      <c r="F45" s="49">
        <f>'Avg Week Busega-Masanafu'!F45+'Avg Week Masanafu-Busega'!F45</f>
        <v>55.714285714285715</v>
      </c>
      <c r="G45" s="49">
        <f>'Avg Week Busega-Masanafu'!G45+'Avg Week Masanafu-Busega'!G45</f>
        <v>1.2857142857142856</v>
      </c>
      <c r="H45" s="49">
        <f>'Avg Week Busega-Masanafu'!H45+'Avg Week Masanafu-Busega'!H45</f>
        <v>1</v>
      </c>
      <c r="I45" s="49">
        <f>'Avg Week Busega-Masanafu'!I45+'Avg Week Masanafu-Busega'!I45</f>
        <v>25.857142857142858</v>
      </c>
      <c r="J45" s="49">
        <f>'Avg Week Busega-Masanafu'!J45+'Avg Week Masanafu-Busega'!J45</f>
        <v>18</v>
      </c>
      <c r="K45" s="49">
        <f>'Avg Week Busega-Masanafu'!K45+'Avg Week Masanafu-Busega'!K45</f>
        <v>8.2857142857142865</v>
      </c>
      <c r="L45" s="49">
        <f>'Avg Week Busega-Masanafu'!L45+'Avg Week Masanafu-Busega'!L45</f>
        <v>11.857142857142858</v>
      </c>
      <c r="M45" s="49">
        <f>'Avg Week Busega-Masanafu'!M45+'Avg Week Masanafu-Busega'!M45</f>
        <v>162</v>
      </c>
      <c r="N45" s="49">
        <f>'Avg Week Busega-Masanafu'!N45+'Avg Week Masanafu-Busega'!N45</f>
        <v>0</v>
      </c>
      <c r="O45" s="15">
        <f t="shared" si="2"/>
        <v>334.28571428571422</v>
      </c>
      <c r="P45" s="15">
        <f t="shared" si="0"/>
        <v>496.28571428571422</v>
      </c>
    </row>
    <row r="46" spans="2:32" ht="23.1" customHeight="1" x14ac:dyDescent="0.25">
      <c r="B46" s="24" t="s">
        <v>73</v>
      </c>
      <c r="C46" s="49">
        <f>'Avg Week Busega-Masanafu'!C46+'Avg Week Masanafu-Busega'!C46</f>
        <v>154.57142857142856</v>
      </c>
      <c r="D46" s="49">
        <f>'Avg Week Busega-Masanafu'!D46+'Avg Week Masanafu-Busega'!D46</f>
        <v>23</v>
      </c>
      <c r="E46" s="49">
        <f>'Avg Week Busega-Masanafu'!E46+'Avg Week Masanafu-Busega'!E46</f>
        <v>21.142857142857146</v>
      </c>
      <c r="F46" s="49">
        <f>'Avg Week Busega-Masanafu'!F46+'Avg Week Masanafu-Busega'!F46</f>
        <v>55.714285714285715</v>
      </c>
      <c r="G46" s="49">
        <f>'Avg Week Busega-Masanafu'!G46+'Avg Week Masanafu-Busega'!G46</f>
        <v>1.8571428571428572</v>
      </c>
      <c r="H46" s="49">
        <f>'Avg Week Busega-Masanafu'!H46+'Avg Week Masanafu-Busega'!H46</f>
        <v>0.5714285714285714</v>
      </c>
      <c r="I46" s="49">
        <f>'Avg Week Busega-Masanafu'!I46+'Avg Week Masanafu-Busega'!I46</f>
        <v>26.714285714285715</v>
      </c>
      <c r="J46" s="49">
        <f>'Avg Week Busega-Masanafu'!J46+'Avg Week Masanafu-Busega'!J46</f>
        <v>16.428571428571431</v>
      </c>
      <c r="K46" s="49">
        <f>'Avg Week Busega-Masanafu'!K46+'Avg Week Masanafu-Busega'!K46</f>
        <v>11.285714285714285</v>
      </c>
      <c r="L46" s="49">
        <f>'Avg Week Busega-Masanafu'!L46+'Avg Week Masanafu-Busega'!L46</f>
        <v>12.714285714285715</v>
      </c>
      <c r="M46" s="49">
        <f>'Avg Week Busega-Masanafu'!M46+'Avg Week Masanafu-Busega'!M46</f>
        <v>178.57142857142856</v>
      </c>
      <c r="N46" s="49">
        <f>'Avg Week Busega-Masanafu'!N46+'Avg Week Masanafu-Busega'!N46</f>
        <v>0</v>
      </c>
      <c r="O46" s="15">
        <f t="shared" si="2"/>
        <v>324</v>
      </c>
      <c r="P46" s="15">
        <f t="shared" si="0"/>
        <v>502.57142857142856</v>
      </c>
    </row>
    <row r="47" spans="2:32" ht="23.1" customHeight="1" x14ac:dyDescent="0.25">
      <c r="B47" s="24" t="s">
        <v>74</v>
      </c>
      <c r="C47" s="49">
        <f>'Avg Week Busega-Masanafu'!C47+'Avg Week Masanafu-Busega'!C47</f>
        <v>166.14285714285714</v>
      </c>
      <c r="D47" s="49">
        <f>'Avg Week Busega-Masanafu'!D47+'Avg Week Masanafu-Busega'!D47</f>
        <v>30.571428571428569</v>
      </c>
      <c r="E47" s="49">
        <f>'Avg Week Busega-Masanafu'!E47+'Avg Week Masanafu-Busega'!E47</f>
        <v>25</v>
      </c>
      <c r="F47" s="49">
        <f>'Avg Week Busega-Masanafu'!F47+'Avg Week Masanafu-Busega'!F47</f>
        <v>62.142857142857139</v>
      </c>
      <c r="G47" s="49">
        <f>'Avg Week Busega-Masanafu'!G47+'Avg Week Masanafu-Busega'!G47</f>
        <v>3.5714285714285712</v>
      </c>
      <c r="H47" s="49">
        <f>'Avg Week Busega-Masanafu'!H47+'Avg Week Masanafu-Busega'!H47</f>
        <v>0.5714285714285714</v>
      </c>
      <c r="I47" s="49">
        <f>'Avg Week Busega-Masanafu'!I47+'Avg Week Masanafu-Busega'!I47</f>
        <v>27.857142857142854</v>
      </c>
      <c r="J47" s="49">
        <f>'Avg Week Busega-Masanafu'!J47+'Avg Week Masanafu-Busega'!J47</f>
        <v>19.428571428571427</v>
      </c>
      <c r="K47" s="49">
        <f>'Avg Week Busega-Masanafu'!K47+'Avg Week Masanafu-Busega'!K47</f>
        <v>6.2857142857142856</v>
      </c>
      <c r="L47" s="49">
        <f>'Avg Week Busega-Masanafu'!L47+'Avg Week Masanafu-Busega'!L47</f>
        <v>13.571428571428571</v>
      </c>
      <c r="M47" s="49">
        <f>'Avg Week Busega-Masanafu'!M47+'Avg Week Masanafu-Busega'!M47</f>
        <v>185.57142857142856</v>
      </c>
      <c r="N47" s="49">
        <f>'Avg Week Busega-Masanafu'!N47+'Avg Week Masanafu-Busega'!N47</f>
        <v>0</v>
      </c>
      <c r="O47" s="15">
        <f t="shared" si="2"/>
        <v>355.14285714285711</v>
      </c>
      <c r="P47" s="15">
        <f t="shared" si="0"/>
        <v>540.71428571428567</v>
      </c>
    </row>
    <row r="48" spans="2:32" ht="23.1" customHeight="1" x14ac:dyDescent="0.25">
      <c r="B48" s="24" t="s">
        <v>75</v>
      </c>
      <c r="C48" s="49">
        <f>'Avg Week Busega-Masanafu'!C48+'Avg Week Masanafu-Busega'!C48</f>
        <v>172.57142857142856</v>
      </c>
      <c r="D48" s="49">
        <f>'Avg Week Busega-Masanafu'!D48+'Avg Week Masanafu-Busega'!D48</f>
        <v>28</v>
      </c>
      <c r="E48" s="49">
        <f>'Avg Week Busega-Masanafu'!E48+'Avg Week Masanafu-Busega'!E48</f>
        <v>20.714285714285715</v>
      </c>
      <c r="F48" s="49">
        <f>'Avg Week Busega-Masanafu'!F48+'Avg Week Masanafu-Busega'!F48</f>
        <v>61.285714285714285</v>
      </c>
      <c r="G48" s="49">
        <f>'Avg Week Busega-Masanafu'!G48+'Avg Week Masanafu-Busega'!G48</f>
        <v>4.5714285714285712</v>
      </c>
      <c r="H48" s="49">
        <f>'Avg Week Busega-Masanafu'!H48+'Avg Week Masanafu-Busega'!H48</f>
        <v>1.5714285714285714</v>
      </c>
      <c r="I48" s="49">
        <f>'Avg Week Busega-Masanafu'!I48+'Avg Week Masanafu-Busega'!I48</f>
        <v>30.142857142857142</v>
      </c>
      <c r="J48" s="49">
        <f>'Avg Week Busega-Masanafu'!J48+'Avg Week Masanafu-Busega'!J48</f>
        <v>18.571428571428569</v>
      </c>
      <c r="K48" s="49">
        <f>'Avg Week Busega-Masanafu'!K48+'Avg Week Masanafu-Busega'!K48</f>
        <v>7.1428571428571423</v>
      </c>
      <c r="L48" s="49">
        <f>'Avg Week Busega-Masanafu'!L48+'Avg Week Masanafu-Busega'!L48</f>
        <v>11.142857142857142</v>
      </c>
      <c r="M48" s="49">
        <f>'Avg Week Busega-Masanafu'!M48+'Avg Week Masanafu-Busega'!M48</f>
        <v>189.85714285714283</v>
      </c>
      <c r="N48" s="49">
        <f>'Avg Week Busega-Masanafu'!N48+'Avg Week Masanafu-Busega'!N48</f>
        <v>0</v>
      </c>
      <c r="O48" s="15">
        <f t="shared" si="2"/>
        <v>355.71428571428572</v>
      </c>
      <c r="P48" s="15">
        <f t="shared" si="0"/>
        <v>545.57142857142856</v>
      </c>
    </row>
    <row r="49" spans="2:20" ht="23.1" customHeight="1" x14ac:dyDescent="0.25">
      <c r="B49" s="23" t="s">
        <v>76</v>
      </c>
      <c r="C49" s="49">
        <f>'Avg Week Busega-Masanafu'!C49+'Avg Week Masanafu-Busega'!C49</f>
        <v>191.57142857142856</v>
      </c>
      <c r="D49" s="49">
        <f>'Avg Week Busega-Masanafu'!D49+'Avg Week Masanafu-Busega'!D49</f>
        <v>28.285714285714285</v>
      </c>
      <c r="E49" s="49">
        <f>'Avg Week Busega-Masanafu'!E49+'Avg Week Masanafu-Busega'!E49</f>
        <v>22.571428571428569</v>
      </c>
      <c r="F49" s="49">
        <f>'Avg Week Busega-Masanafu'!F49+'Avg Week Masanafu-Busega'!F49</f>
        <v>70</v>
      </c>
      <c r="G49" s="49">
        <f>'Avg Week Busega-Masanafu'!G49+'Avg Week Masanafu-Busega'!G49</f>
        <v>3</v>
      </c>
      <c r="H49" s="49">
        <f>'Avg Week Busega-Masanafu'!H49+'Avg Week Masanafu-Busega'!H49</f>
        <v>0.71428571428571419</v>
      </c>
      <c r="I49" s="49">
        <f>'Avg Week Busega-Masanafu'!I49+'Avg Week Masanafu-Busega'!I49</f>
        <v>27.142857142857142</v>
      </c>
      <c r="J49" s="49">
        <f>'Avg Week Busega-Masanafu'!J49+'Avg Week Masanafu-Busega'!J49</f>
        <v>20.285714285714285</v>
      </c>
      <c r="K49" s="49">
        <f>'Avg Week Busega-Masanafu'!K49+'Avg Week Masanafu-Busega'!K49</f>
        <v>8.7142857142857153</v>
      </c>
      <c r="L49" s="49">
        <f>'Avg Week Busega-Masanafu'!L49+'Avg Week Masanafu-Busega'!L49</f>
        <v>16.428571428571431</v>
      </c>
      <c r="M49" s="49">
        <f>'Avg Week Busega-Masanafu'!M49+'Avg Week Masanafu-Busega'!M49</f>
        <v>200</v>
      </c>
      <c r="N49" s="49">
        <f>'Avg Week Busega-Masanafu'!N49+'Avg Week Masanafu-Busega'!N49</f>
        <v>0</v>
      </c>
      <c r="O49" s="15">
        <f t="shared" si="2"/>
        <v>388.71428571428572</v>
      </c>
      <c r="P49" s="15">
        <f t="shared" si="0"/>
        <v>588.71428571428578</v>
      </c>
    </row>
    <row r="50" spans="2:20" ht="23.1" customHeight="1" x14ac:dyDescent="0.25">
      <c r="B50" s="24" t="s">
        <v>77</v>
      </c>
      <c r="C50" s="49">
        <f>'Avg Week Busega-Masanafu'!C50+'Avg Week Masanafu-Busega'!C50</f>
        <v>172.14285714285717</v>
      </c>
      <c r="D50" s="49">
        <f>'Avg Week Busega-Masanafu'!D50+'Avg Week Masanafu-Busega'!D50</f>
        <v>26.285714285714285</v>
      </c>
      <c r="E50" s="49">
        <f>'Avg Week Busega-Masanafu'!E50+'Avg Week Masanafu-Busega'!E50</f>
        <v>20.857142857142858</v>
      </c>
      <c r="F50" s="49">
        <f>'Avg Week Busega-Masanafu'!F50+'Avg Week Masanafu-Busega'!F50</f>
        <v>63.714285714285715</v>
      </c>
      <c r="G50" s="49">
        <f>'Avg Week Busega-Masanafu'!G50+'Avg Week Masanafu-Busega'!G50</f>
        <v>5.2857142857142865</v>
      </c>
      <c r="H50" s="49">
        <f>'Avg Week Busega-Masanafu'!H50+'Avg Week Masanafu-Busega'!H50</f>
        <v>0.71428571428571419</v>
      </c>
      <c r="I50" s="49">
        <f>'Avg Week Busega-Masanafu'!I50+'Avg Week Masanafu-Busega'!I50</f>
        <v>26.285714285714285</v>
      </c>
      <c r="J50" s="49">
        <f>'Avg Week Busega-Masanafu'!J50+'Avg Week Masanafu-Busega'!J50</f>
        <v>18</v>
      </c>
      <c r="K50" s="49">
        <f>'Avg Week Busega-Masanafu'!K50+'Avg Week Masanafu-Busega'!K50</f>
        <v>8.1428571428571423</v>
      </c>
      <c r="L50" s="49">
        <f>'Avg Week Busega-Masanafu'!L50+'Avg Week Masanafu-Busega'!L50</f>
        <v>14.142857142857142</v>
      </c>
      <c r="M50" s="49">
        <f>'Avg Week Busega-Masanafu'!M50+'Avg Week Masanafu-Busega'!M50</f>
        <v>203.14285714285717</v>
      </c>
      <c r="N50" s="49">
        <f>'Avg Week Busega-Masanafu'!N50+'Avg Week Masanafu-Busega'!N50</f>
        <v>0.14285714285714285</v>
      </c>
      <c r="O50" s="15">
        <f t="shared" si="2"/>
        <v>355.71428571428578</v>
      </c>
      <c r="P50" s="15">
        <f t="shared" si="0"/>
        <v>558.85714285714289</v>
      </c>
      <c r="R50" s="8"/>
      <c r="T50"/>
    </row>
    <row r="51" spans="2:20" ht="23.1" customHeight="1" x14ac:dyDescent="0.25">
      <c r="B51" s="24" t="s">
        <v>78</v>
      </c>
      <c r="C51" s="49">
        <f>'Avg Week Busega-Masanafu'!C51+'Avg Week Masanafu-Busega'!C51</f>
        <v>180</v>
      </c>
      <c r="D51" s="49">
        <f>'Avg Week Busega-Masanafu'!D51+'Avg Week Masanafu-Busega'!D51</f>
        <v>28.857142857142858</v>
      </c>
      <c r="E51" s="49">
        <f>'Avg Week Busega-Masanafu'!E51+'Avg Week Masanafu-Busega'!E51</f>
        <v>21.428571428571431</v>
      </c>
      <c r="F51" s="49">
        <f>'Avg Week Busega-Masanafu'!F51+'Avg Week Masanafu-Busega'!F51</f>
        <v>61.857142857142861</v>
      </c>
      <c r="G51" s="49">
        <f>'Avg Week Busega-Masanafu'!G51+'Avg Week Masanafu-Busega'!G51</f>
        <v>3.7142857142857144</v>
      </c>
      <c r="H51" s="49">
        <f>'Avg Week Busega-Masanafu'!H51+'Avg Week Masanafu-Busega'!H51</f>
        <v>1.5714285714285714</v>
      </c>
      <c r="I51" s="49">
        <f>'Avg Week Busega-Masanafu'!I51+'Avg Week Masanafu-Busega'!I51</f>
        <v>31</v>
      </c>
      <c r="J51" s="49">
        <f>'Avg Week Busega-Masanafu'!J51+'Avg Week Masanafu-Busega'!J51</f>
        <v>18.571428571428569</v>
      </c>
      <c r="K51" s="49">
        <f>'Avg Week Busega-Masanafu'!K51+'Avg Week Masanafu-Busega'!K51</f>
        <v>11.142857142857142</v>
      </c>
      <c r="L51" s="49">
        <f>'Avg Week Busega-Masanafu'!L51+'Avg Week Masanafu-Busega'!L51</f>
        <v>12.142857142857142</v>
      </c>
      <c r="M51" s="49">
        <f>'Avg Week Busega-Masanafu'!M51+'Avg Week Masanafu-Busega'!M51</f>
        <v>200.14285714285714</v>
      </c>
      <c r="N51" s="49">
        <f>'Avg Week Busega-Masanafu'!N51+'Avg Week Masanafu-Busega'!N51</f>
        <v>0.14285714285714285</v>
      </c>
      <c r="O51" s="15">
        <f t="shared" si="2"/>
        <v>370.42857142857144</v>
      </c>
      <c r="P51" s="15">
        <f t="shared" si="0"/>
        <v>570.57142857142856</v>
      </c>
      <c r="R51" s="8"/>
      <c r="T51"/>
    </row>
    <row r="52" spans="2:20" ht="23.1" customHeight="1" x14ac:dyDescent="0.25">
      <c r="B52" s="24" t="s">
        <v>79</v>
      </c>
      <c r="C52" s="49">
        <f>'Avg Week Busega-Masanafu'!C52+'Avg Week Masanafu-Busega'!C52</f>
        <v>201</v>
      </c>
      <c r="D52" s="49">
        <f>'Avg Week Busega-Masanafu'!D52+'Avg Week Masanafu-Busega'!D52</f>
        <v>30.285714285714285</v>
      </c>
      <c r="E52" s="49">
        <f>'Avg Week Busega-Masanafu'!E52+'Avg Week Masanafu-Busega'!E52</f>
        <v>22.714285714285715</v>
      </c>
      <c r="F52" s="49">
        <f>'Avg Week Busega-Masanafu'!F52+'Avg Week Masanafu-Busega'!F52</f>
        <v>71.857142857142861</v>
      </c>
      <c r="G52" s="49">
        <f>'Avg Week Busega-Masanafu'!G52+'Avg Week Masanafu-Busega'!G52</f>
        <v>6.4285714285714288</v>
      </c>
      <c r="H52" s="49">
        <f>'Avg Week Busega-Masanafu'!H52+'Avg Week Masanafu-Busega'!H52</f>
        <v>1.2857142857142856</v>
      </c>
      <c r="I52" s="49">
        <f>'Avg Week Busega-Masanafu'!I52+'Avg Week Masanafu-Busega'!I52</f>
        <v>23.714285714285715</v>
      </c>
      <c r="J52" s="49">
        <f>'Avg Week Busega-Masanafu'!J52+'Avg Week Masanafu-Busega'!J52</f>
        <v>15.714285714285715</v>
      </c>
      <c r="K52" s="49">
        <f>'Avg Week Busega-Masanafu'!K52+'Avg Week Masanafu-Busega'!K52</f>
        <v>6.4285714285714288</v>
      </c>
      <c r="L52" s="49">
        <f>'Avg Week Busega-Masanafu'!L52+'Avg Week Masanafu-Busega'!L52</f>
        <v>10.285714285714285</v>
      </c>
      <c r="M52" s="49">
        <f>'Avg Week Busega-Masanafu'!M52+'Avg Week Masanafu-Busega'!M52</f>
        <v>218.57142857142856</v>
      </c>
      <c r="N52" s="49">
        <f>'Avg Week Busega-Masanafu'!N52+'Avg Week Masanafu-Busega'!N52</f>
        <v>0</v>
      </c>
      <c r="O52" s="15">
        <f t="shared" si="2"/>
        <v>389.71428571428578</v>
      </c>
      <c r="P52" s="15">
        <f t="shared" si="0"/>
        <v>608.28571428571433</v>
      </c>
      <c r="R52" s="8"/>
      <c r="T52"/>
    </row>
    <row r="53" spans="2:20" ht="23.1" customHeight="1" x14ac:dyDescent="0.25">
      <c r="B53" s="23" t="s">
        <v>80</v>
      </c>
      <c r="C53" s="49">
        <f>'Avg Week Busega-Masanafu'!C53+'Avg Week Masanafu-Busega'!C53</f>
        <v>187.85714285714286</v>
      </c>
      <c r="D53" s="49">
        <f>'Avg Week Busega-Masanafu'!D53+'Avg Week Masanafu-Busega'!D53</f>
        <v>24.142857142857142</v>
      </c>
      <c r="E53" s="49">
        <f>'Avg Week Busega-Masanafu'!E53+'Avg Week Masanafu-Busega'!E53</f>
        <v>22.285714285714285</v>
      </c>
      <c r="F53" s="49">
        <f>'Avg Week Busega-Masanafu'!F53+'Avg Week Masanafu-Busega'!F53</f>
        <v>88.285714285714292</v>
      </c>
      <c r="G53" s="49">
        <f>'Avg Week Busega-Masanafu'!G53+'Avg Week Masanafu-Busega'!G53</f>
        <v>3.7142857142857144</v>
      </c>
      <c r="H53" s="49">
        <f>'Avg Week Busega-Masanafu'!H53+'Avg Week Masanafu-Busega'!H53</f>
        <v>1.5714285714285714</v>
      </c>
      <c r="I53" s="49">
        <f>'Avg Week Busega-Masanafu'!I53+'Avg Week Masanafu-Busega'!I53</f>
        <v>28.714285714285715</v>
      </c>
      <c r="J53" s="49">
        <f>'Avg Week Busega-Masanafu'!J53+'Avg Week Masanafu-Busega'!J53</f>
        <v>17.571428571428573</v>
      </c>
      <c r="K53" s="49">
        <f>'Avg Week Busega-Masanafu'!K53+'Avg Week Masanafu-Busega'!K53</f>
        <v>7.7142857142857144</v>
      </c>
      <c r="L53" s="49">
        <f>'Avg Week Busega-Masanafu'!L53+'Avg Week Masanafu-Busega'!L53</f>
        <v>9.7142857142857153</v>
      </c>
      <c r="M53" s="49">
        <f>'Avg Week Busega-Masanafu'!M53+'Avg Week Masanafu-Busega'!M53</f>
        <v>218.85714285714286</v>
      </c>
      <c r="N53" s="49">
        <f>'Avg Week Busega-Masanafu'!N53+'Avg Week Masanafu-Busega'!N53</f>
        <v>0</v>
      </c>
      <c r="O53" s="15">
        <f t="shared" si="2"/>
        <v>391.57142857142856</v>
      </c>
      <c r="P53" s="15">
        <f t="shared" si="0"/>
        <v>610.42857142857144</v>
      </c>
      <c r="R53" s="8"/>
      <c r="T53"/>
    </row>
    <row r="54" spans="2:20" ht="23.1" customHeight="1" x14ac:dyDescent="0.25">
      <c r="B54" s="23" t="s">
        <v>81</v>
      </c>
      <c r="C54" s="49">
        <f>'Avg Week Busega-Masanafu'!C54+'Avg Week Masanafu-Busega'!C54</f>
        <v>185.42857142857144</v>
      </c>
      <c r="D54" s="49">
        <f>'Avg Week Busega-Masanafu'!D54+'Avg Week Masanafu-Busega'!D54</f>
        <v>28.428571428571427</v>
      </c>
      <c r="E54" s="49">
        <f>'Avg Week Busega-Masanafu'!E54+'Avg Week Masanafu-Busega'!E54</f>
        <v>24.142857142857142</v>
      </c>
      <c r="F54" s="49">
        <f>'Avg Week Busega-Masanafu'!F54+'Avg Week Masanafu-Busega'!F54</f>
        <v>79</v>
      </c>
      <c r="G54" s="49">
        <f>'Avg Week Busega-Masanafu'!G54+'Avg Week Masanafu-Busega'!G54</f>
        <v>7.5714285714285712</v>
      </c>
      <c r="H54" s="49">
        <f>'Avg Week Busega-Masanafu'!H54+'Avg Week Masanafu-Busega'!H54</f>
        <v>1.4285714285714284</v>
      </c>
      <c r="I54" s="49">
        <f>'Avg Week Busega-Masanafu'!I54+'Avg Week Masanafu-Busega'!I54</f>
        <v>25.142857142857142</v>
      </c>
      <c r="J54" s="49">
        <f>'Avg Week Busega-Masanafu'!J54+'Avg Week Masanafu-Busega'!J54</f>
        <v>18.714285714285715</v>
      </c>
      <c r="K54" s="49">
        <f>'Avg Week Busega-Masanafu'!K54+'Avg Week Masanafu-Busega'!K54</f>
        <v>6.8571428571428568</v>
      </c>
      <c r="L54" s="49">
        <f>'Avg Week Busega-Masanafu'!L54+'Avg Week Masanafu-Busega'!L54</f>
        <v>7.4285714285714288</v>
      </c>
      <c r="M54" s="49">
        <f>'Avg Week Busega-Masanafu'!M54+'Avg Week Masanafu-Busega'!M54</f>
        <v>256.28571428571428</v>
      </c>
      <c r="N54" s="49">
        <f>'Avg Week Busega-Masanafu'!N54+'Avg Week Masanafu-Busega'!N54</f>
        <v>0</v>
      </c>
      <c r="O54" s="15">
        <f t="shared" si="2"/>
        <v>384.14285714285717</v>
      </c>
      <c r="P54" s="15">
        <f t="shared" si="0"/>
        <v>640.42857142857144</v>
      </c>
      <c r="R54" s="8"/>
      <c r="T54"/>
    </row>
    <row r="55" spans="2:20" ht="23.1" customHeight="1" x14ac:dyDescent="0.25">
      <c r="B55" s="23" t="s">
        <v>82</v>
      </c>
      <c r="C55" s="49">
        <f>'Avg Week Busega-Masanafu'!C55+'Avg Week Masanafu-Busega'!C55</f>
        <v>196</v>
      </c>
      <c r="D55" s="49">
        <f>'Avg Week Busega-Masanafu'!D55+'Avg Week Masanafu-Busega'!D55</f>
        <v>27.857142857142854</v>
      </c>
      <c r="E55" s="49">
        <f>'Avg Week Busega-Masanafu'!E55+'Avg Week Masanafu-Busega'!E55</f>
        <v>19.142857142857146</v>
      </c>
      <c r="F55" s="49">
        <f>'Avg Week Busega-Masanafu'!F55+'Avg Week Masanafu-Busega'!F55</f>
        <v>74.571428571428569</v>
      </c>
      <c r="G55" s="49">
        <f>'Avg Week Busega-Masanafu'!G55+'Avg Week Masanafu-Busega'!G55</f>
        <v>4.7142857142857144</v>
      </c>
      <c r="H55" s="49">
        <f>'Avg Week Busega-Masanafu'!H55+'Avg Week Masanafu-Busega'!H55</f>
        <v>1.4285714285714284</v>
      </c>
      <c r="I55" s="49">
        <f>'Avg Week Busega-Masanafu'!I55+'Avg Week Masanafu-Busega'!I55</f>
        <v>19</v>
      </c>
      <c r="J55" s="49">
        <f>'Avg Week Busega-Masanafu'!J55+'Avg Week Masanafu-Busega'!J55</f>
        <v>19.428571428571431</v>
      </c>
      <c r="K55" s="49">
        <f>'Avg Week Busega-Masanafu'!K55+'Avg Week Masanafu-Busega'!K55</f>
        <v>6.5714285714285712</v>
      </c>
      <c r="L55" s="49">
        <f>'Avg Week Busega-Masanafu'!L55+'Avg Week Masanafu-Busega'!L55</f>
        <v>9.5714285714285712</v>
      </c>
      <c r="M55" s="49">
        <f>'Avg Week Busega-Masanafu'!M55+'Avg Week Masanafu-Busega'!M55</f>
        <v>227.71428571428572</v>
      </c>
      <c r="N55" s="49">
        <f>'Avg Week Busega-Masanafu'!N55+'Avg Week Masanafu-Busega'!N55</f>
        <v>0</v>
      </c>
      <c r="O55" s="15">
        <f t="shared" si="2"/>
        <v>378.28571428571428</v>
      </c>
      <c r="P55" s="15">
        <f t="shared" si="0"/>
        <v>606</v>
      </c>
      <c r="R55" s="8"/>
      <c r="T55"/>
    </row>
    <row r="56" spans="2:20" ht="23.1" customHeight="1" x14ac:dyDescent="0.25">
      <c r="B56" s="23" t="s">
        <v>83</v>
      </c>
      <c r="C56" s="49">
        <f>'Avg Week Busega-Masanafu'!C56+'Avg Week Masanafu-Busega'!C56</f>
        <v>188.85714285714286</v>
      </c>
      <c r="D56" s="49">
        <f>'Avg Week Busega-Masanafu'!D56+'Avg Week Masanafu-Busega'!D56</f>
        <v>24.571428571428569</v>
      </c>
      <c r="E56" s="49">
        <f>'Avg Week Busega-Masanafu'!E56+'Avg Week Masanafu-Busega'!E56</f>
        <v>20</v>
      </c>
      <c r="F56" s="49">
        <f>'Avg Week Busega-Masanafu'!F56+'Avg Week Masanafu-Busega'!F56</f>
        <v>73.571428571428569</v>
      </c>
      <c r="G56" s="49">
        <f>'Avg Week Busega-Masanafu'!G56+'Avg Week Masanafu-Busega'!G56</f>
        <v>5</v>
      </c>
      <c r="H56" s="49">
        <f>'Avg Week Busega-Masanafu'!H56+'Avg Week Masanafu-Busega'!H56</f>
        <v>1</v>
      </c>
      <c r="I56" s="49">
        <f>'Avg Week Busega-Masanafu'!I56+'Avg Week Masanafu-Busega'!I56</f>
        <v>21.571428571428569</v>
      </c>
      <c r="J56" s="49">
        <f>'Avg Week Busega-Masanafu'!J56+'Avg Week Masanafu-Busega'!J56</f>
        <v>16.714285714285715</v>
      </c>
      <c r="K56" s="49">
        <f>'Avg Week Busega-Masanafu'!K56+'Avg Week Masanafu-Busega'!K56</f>
        <v>5.8571428571428577</v>
      </c>
      <c r="L56" s="49">
        <f>'Avg Week Busega-Masanafu'!L56+'Avg Week Masanafu-Busega'!L56</f>
        <v>10.857142857142858</v>
      </c>
      <c r="M56" s="49">
        <f>'Avg Week Busega-Masanafu'!M56+'Avg Week Masanafu-Busega'!M56</f>
        <v>216.14285714285717</v>
      </c>
      <c r="N56" s="49">
        <f>'Avg Week Busega-Masanafu'!N56+'Avg Week Masanafu-Busega'!N56</f>
        <v>0</v>
      </c>
      <c r="O56" s="15">
        <f t="shared" si="2"/>
        <v>367.99999999999994</v>
      </c>
      <c r="P56" s="15">
        <f t="shared" si="0"/>
        <v>584.14285714285711</v>
      </c>
      <c r="R56" s="8"/>
      <c r="T56"/>
    </row>
    <row r="57" spans="2:20" ht="23.1" customHeight="1" x14ac:dyDescent="0.25">
      <c r="B57" s="23" t="s">
        <v>84</v>
      </c>
      <c r="C57" s="49">
        <f>'Avg Week Busega-Masanafu'!C57+'Avg Week Masanafu-Busega'!C57</f>
        <v>195.71428571428572</v>
      </c>
      <c r="D57" s="49">
        <f>'Avg Week Busega-Masanafu'!D57+'Avg Week Masanafu-Busega'!D57</f>
        <v>29.428571428571431</v>
      </c>
      <c r="E57" s="49">
        <f>'Avg Week Busega-Masanafu'!E57+'Avg Week Masanafu-Busega'!E57</f>
        <v>19.571428571428569</v>
      </c>
      <c r="F57" s="49">
        <f>'Avg Week Busega-Masanafu'!F57+'Avg Week Masanafu-Busega'!F57</f>
        <v>74.571428571428584</v>
      </c>
      <c r="G57" s="49">
        <f>'Avg Week Busega-Masanafu'!G57+'Avg Week Masanafu-Busega'!G57</f>
        <v>5.1428571428571432</v>
      </c>
      <c r="H57" s="49">
        <f>'Avg Week Busega-Masanafu'!H57+'Avg Week Masanafu-Busega'!H57</f>
        <v>0.71428571428571419</v>
      </c>
      <c r="I57" s="49">
        <f>'Avg Week Busega-Masanafu'!I57+'Avg Week Masanafu-Busega'!I57</f>
        <v>19.142857142857142</v>
      </c>
      <c r="J57" s="49">
        <f>'Avg Week Busega-Masanafu'!J57+'Avg Week Masanafu-Busega'!J57</f>
        <v>16.857142857142858</v>
      </c>
      <c r="K57" s="49">
        <f>'Avg Week Busega-Masanafu'!K57+'Avg Week Masanafu-Busega'!K57</f>
        <v>3.7142857142857144</v>
      </c>
      <c r="L57" s="49">
        <f>'Avg Week Busega-Masanafu'!L57+'Avg Week Masanafu-Busega'!L57</f>
        <v>8.2857142857142847</v>
      </c>
      <c r="M57" s="49">
        <f>'Avg Week Busega-Masanafu'!M57+'Avg Week Masanafu-Busega'!M57</f>
        <v>241.14285714285714</v>
      </c>
      <c r="N57" s="49">
        <f>'Avg Week Busega-Masanafu'!N57+'Avg Week Masanafu-Busega'!N57</f>
        <v>0</v>
      </c>
      <c r="O57" s="15">
        <f t="shared" si="2"/>
        <v>373.14285714285722</v>
      </c>
      <c r="P57" s="15">
        <f t="shared" si="0"/>
        <v>614.28571428571433</v>
      </c>
      <c r="R57" s="8"/>
      <c r="T57"/>
    </row>
    <row r="58" spans="2:20" ht="23.1" customHeight="1" x14ac:dyDescent="0.25">
      <c r="B58" s="23" t="s">
        <v>99</v>
      </c>
      <c r="C58" s="49">
        <f>'Avg Week Busega-Masanafu'!C58+'Avg Week Masanafu-Busega'!C58</f>
        <v>141.5</v>
      </c>
      <c r="D58" s="49">
        <f>'Avg Week Busega-Masanafu'!D58+'Avg Week Masanafu-Busega'!D58</f>
        <v>17.5</v>
      </c>
      <c r="E58" s="49">
        <f>'Avg Week Busega-Masanafu'!E58+'Avg Week Masanafu-Busega'!E58</f>
        <v>14.5</v>
      </c>
      <c r="F58" s="49">
        <f>'Avg Week Busega-Masanafu'!F58+'Avg Week Masanafu-Busega'!F58</f>
        <v>39.5</v>
      </c>
      <c r="G58" s="49">
        <f>'Avg Week Busega-Masanafu'!G58+'Avg Week Masanafu-Busega'!G58</f>
        <v>3</v>
      </c>
      <c r="H58" s="49">
        <f>'Avg Week Busega-Masanafu'!H58+'Avg Week Masanafu-Busega'!H58</f>
        <v>2.5</v>
      </c>
      <c r="I58" s="49">
        <f>'Avg Week Busega-Masanafu'!I58+'Avg Week Masanafu-Busega'!I58</f>
        <v>11.5</v>
      </c>
      <c r="J58" s="49">
        <f>'Avg Week Busega-Masanafu'!J58+'Avg Week Masanafu-Busega'!J58</f>
        <v>7.5</v>
      </c>
      <c r="K58" s="49">
        <f>'Avg Week Busega-Masanafu'!K58+'Avg Week Masanafu-Busega'!K58</f>
        <v>3.5</v>
      </c>
      <c r="L58" s="49">
        <f>'Avg Week Busega-Masanafu'!L58+'Avg Week Masanafu-Busega'!L58</f>
        <v>5.5</v>
      </c>
      <c r="M58" s="49">
        <f>'Avg Week Busega-Masanafu'!M58+'Avg Week Masanafu-Busega'!M58</f>
        <v>153.5</v>
      </c>
      <c r="N58" s="49">
        <f>'Avg Week Busega-Masanafu'!N58+'Avg Week Masanafu-Busega'!N58</f>
        <v>0</v>
      </c>
      <c r="O58" s="15">
        <f t="shared" si="2"/>
        <v>246.5</v>
      </c>
      <c r="P58" s="15">
        <f t="shared" si="0"/>
        <v>400</v>
      </c>
      <c r="R58" s="8"/>
      <c r="T58"/>
    </row>
    <row r="59" spans="2:20" ht="23.1" customHeight="1" x14ac:dyDescent="0.25">
      <c r="B59" s="23" t="s">
        <v>100</v>
      </c>
      <c r="C59" s="49">
        <f>'Avg Week Busega-Masanafu'!C59+'Avg Week Masanafu-Busega'!C59</f>
        <v>141.5</v>
      </c>
      <c r="D59" s="49">
        <f>'Avg Week Busega-Masanafu'!D59+'Avg Week Masanafu-Busega'!D59</f>
        <v>33.5</v>
      </c>
      <c r="E59" s="49">
        <f>'Avg Week Busega-Masanafu'!E59+'Avg Week Masanafu-Busega'!E59</f>
        <v>31.5</v>
      </c>
      <c r="F59" s="49">
        <f>'Avg Week Busega-Masanafu'!F59+'Avg Week Masanafu-Busega'!F59</f>
        <v>73</v>
      </c>
      <c r="G59" s="49">
        <f>'Avg Week Busega-Masanafu'!G59+'Avg Week Masanafu-Busega'!G59</f>
        <v>6.5</v>
      </c>
      <c r="H59" s="49">
        <f>'Avg Week Busega-Masanafu'!H59+'Avg Week Masanafu-Busega'!H59</f>
        <v>6.5</v>
      </c>
      <c r="I59" s="49">
        <f>'Avg Week Busega-Masanafu'!I59+'Avg Week Masanafu-Busega'!I59</f>
        <v>19</v>
      </c>
      <c r="J59" s="49">
        <f>'Avg Week Busega-Masanafu'!J59+'Avg Week Masanafu-Busega'!J59</f>
        <v>16.5</v>
      </c>
      <c r="K59" s="49">
        <f>'Avg Week Busega-Masanafu'!K59+'Avg Week Masanafu-Busega'!K59</f>
        <v>8.5</v>
      </c>
      <c r="L59" s="49">
        <f>'Avg Week Busega-Masanafu'!L59+'Avg Week Masanafu-Busega'!L59</f>
        <v>7.5</v>
      </c>
      <c r="M59" s="49">
        <f>'Avg Week Busega-Masanafu'!M59+'Avg Week Masanafu-Busega'!M59</f>
        <v>209.5</v>
      </c>
      <c r="N59" s="49">
        <f>'Avg Week Busega-Masanafu'!N59+'Avg Week Masanafu-Busega'!N59</f>
        <v>0</v>
      </c>
      <c r="O59" s="15">
        <f t="shared" si="2"/>
        <v>344</v>
      </c>
      <c r="P59" s="15">
        <f t="shared" si="0"/>
        <v>553.5</v>
      </c>
      <c r="R59" s="8"/>
      <c r="T59"/>
    </row>
    <row r="60" spans="2:20" ht="23.1" customHeight="1" x14ac:dyDescent="0.25">
      <c r="B60" s="23" t="s">
        <v>101</v>
      </c>
      <c r="C60" s="49">
        <f>'Avg Week Busega-Masanafu'!C60+'Avg Week Masanafu-Busega'!C60</f>
        <v>146.5</v>
      </c>
      <c r="D60" s="49">
        <f>'Avg Week Busega-Masanafu'!D60+'Avg Week Masanafu-Busega'!D60</f>
        <v>20.5</v>
      </c>
      <c r="E60" s="49">
        <f>'Avg Week Busega-Masanafu'!E60+'Avg Week Masanafu-Busega'!E60</f>
        <v>21.5</v>
      </c>
      <c r="F60" s="49">
        <f>'Avg Week Busega-Masanafu'!F60+'Avg Week Masanafu-Busega'!F60</f>
        <v>59</v>
      </c>
      <c r="G60" s="49">
        <f>'Avg Week Busega-Masanafu'!G60+'Avg Week Masanafu-Busega'!G60</f>
        <v>8.5</v>
      </c>
      <c r="H60" s="49">
        <f>'Avg Week Busega-Masanafu'!H60+'Avg Week Masanafu-Busega'!H60</f>
        <v>4</v>
      </c>
      <c r="I60" s="49">
        <f>'Avg Week Busega-Masanafu'!I60+'Avg Week Masanafu-Busega'!I60</f>
        <v>18</v>
      </c>
      <c r="J60" s="49">
        <f>'Avg Week Busega-Masanafu'!J60+'Avg Week Masanafu-Busega'!J60</f>
        <v>15</v>
      </c>
      <c r="K60" s="49">
        <f>'Avg Week Busega-Masanafu'!K60+'Avg Week Masanafu-Busega'!K60</f>
        <v>6.5</v>
      </c>
      <c r="L60" s="49">
        <f>'Avg Week Busega-Masanafu'!L60+'Avg Week Masanafu-Busega'!L60</f>
        <v>9</v>
      </c>
      <c r="M60" s="49">
        <f>'Avg Week Busega-Masanafu'!M60+'Avg Week Masanafu-Busega'!M60</f>
        <v>198.5</v>
      </c>
      <c r="N60" s="49">
        <f>'Avg Week Busega-Masanafu'!N60+'Avg Week Masanafu-Busega'!N60</f>
        <v>0</v>
      </c>
      <c r="O60" s="15">
        <f t="shared" si="2"/>
        <v>308.5</v>
      </c>
      <c r="P60" s="15">
        <f t="shared" si="0"/>
        <v>507</v>
      </c>
      <c r="R60" s="8"/>
      <c r="T60"/>
    </row>
    <row r="61" spans="2:20" ht="23.1" customHeight="1" x14ac:dyDescent="0.25">
      <c r="B61" s="23" t="s">
        <v>102</v>
      </c>
      <c r="C61" s="49">
        <f>'Avg Week Busega-Masanafu'!C61+'Avg Week Masanafu-Busega'!C61</f>
        <v>108.5</v>
      </c>
      <c r="D61" s="49">
        <f>'Avg Week Busega-Masanafu'!D61+'Avg Week Masanafu-Busega'!D61</f>
        <v>16.5</v>
      </c>
      <c r="E61" s="49">
        <f>'Avg Week Busega-Masanafu'!E61+'Avg Week Masanafu-Busega'!E61</f>
        <v>17</v>
      </c>
      <c r="F61" s="49">
        <f>'Avg Week Busega-Masanafu'!F61+'Avg Week Masanafu-Busega'!F61</f>
        <v>56</v>
      </c>
      <c r="G61" s="49">
        <f>'Avg Week Busega-Masanafu'!G61+'Avg Week Masanafu-Busega'!G61</f>
        <v>5</v>
      </c>
      <c r="H61" s="49">
        <f>'Avg Week Busega-Masanafu'!H61+'Avg Week Masanafu-Busega'!H61</f>
        <v>0.5</v>
      </c>
      <c r="I61" s="49">
        <f>'Avg Week Busega-Masanafu'!I61+'Avg Week Masanafu-Busega'!I61</f>
        <v>13</v>
      </c>
      <c r="J61" s="49">
        <f>'Avg Week Busega-Masanafu'!J61+'Avg Week Masanafu-Busega'!J61</f>
        <v>13.5</v>
      </c>
      <c r="K61" s="49">
        <f>'Avg Week Busega-Masanafu'!K61+'Avg Week Masanafu-Busega'!K61</f>
        <v>4</v>
      </c>
      <c r="L61" s="49">
        <f>'Avg Week Busega-Masanafu'!L61+'Avg Week Masanafu-Busega'!L61</f>
        <v>5.5</v>
      </c>
      <c r="M61" s="49">
        <f>'Avg Week Busega-Masanafu'!M61+'Avg Week Masanafu-Busega'!M61</f>
        <v>195</v>
      </c>
      <c r="N61" s="49">
        <f>'Avg Week Busega-Masanafu'!N61+'Avg Week Masanafu-Busega'!N61</f>
        <v>0</v>
      </c>
      <c r="O61" s="15">
        <f t="shared" si="2"/>
        <v>239.5</v>
      </c>
      <c r="P61" s="15">
        <f t="shared" si="0"/>
        <v>434.5</v>
      </c>
      <c r="R61" s="8"/>
      <c r="T61"/>
    </row>
    <row r="62" spans="2:20" ht="23.1" customHeight="1" x14ac:dyDescent="0.25">
      <c r="B62" s="23" t="s">
        <v>107</v>
      </c>
      <c r="C62" s="49">
        <f>'Avg Week Busega-Masanafu'!C62+'Avg Week Masanafu-Busega'!C62</f>
        <v>143</v>
      </c>
      <c r="D62" s="49">
        <f>'Avg Week Busega-Masanafu'!D62+'Avg Week Masanafu-Busega'!D62</f>
        <v>16</v>
      </c>
      <c r="E62" s="49">
        <f>'Avg Week Busega-Masanafu'!E62+'Avg Week Masanafu-Busega'!E62</f>
        <v>36</v>
      </c>
      <c r="F62" s="49">
        <f>'Avg Week Busega-Masanafu'!F62+'Avg Week Masanafu-Busega'!F62</f>
        <v>75</v>
      </c>
      <c r="G62" s="49">
        <f>'Avg Week Busega-Masanafu'!G62+'Avg Week Masanafu-Busega'!G62</f>
        <v>7.5</v>
      </c>
      <c r="H62" s="49">
        <f>'Avg Week Busega-Masanafu'!H62+'Avg Week Masanafu-Busega'!H62</f>
        <v>3.5</v>
      </c>
      <c r="I62" s="49">
        <f>'Avg Week Busega-Masanafu'!I62+'Avg Week Masanafu-Busega'!I62</f>
        <v>19.5</v>
      </c>
      <c r="J62" s="49">
        <f>'Avg Week Busega-Masanafu'!J62+'Avg Week Masanafu-Busega'!J62</f>
        <v>18</v>
      </c>
      <c r="K62" s="49">
        <f>'Avg Week Busega-Masanafu'!K62+'Avg Week Masanafu-Busega'!K62</f>
        <v>6.5</v>
      </c>
      <c r="L62" s="49">
        <f>'Avg Week Busega-Masanafu'!L62+'Avg Week Masanafu-Busega'!L62</f>
        <v>8</v>
      </c>
      <c r="M62" s="49">
        <f>'Avg Week Busega-Masanafu'!M62+'Avg Week Masanafu-Busega'!M62</f>
        <v>199</v>
      </c>
      <c r="N62" s="49">
        <f>'Avg Week Busega-Masanafu'!N62+'Avg Week Masanafu-Busega'!N62</f>
        <v>0</v>
      </c>
      <c r="O62" s="15">
        <f t="shared" si="2"/>
        <v>333</v>
      </c>
      <c r="P62" s="15">
        <f t="shared" si="0"/>
        <v>532</v>
      </c>
      <c r="R62" s="8"/>
      <c r="T62"/>
    </row>
    <row r="63" spans="2:20" ht="23.1" customHeight="1" x14ac:dyDescent="0.25">
      <c r="B63" s="23" t="s">
        <v>108</v>
      </c>
      <c r="C63" s="49">
        <f>'Avg Week Busega-Masanafu'!C63+'Avg Week Masanafu-Busega'!C63</f>
        <v>149.5</v>
      </c>
      <c r="D63" s="49">
        <f>'Avg Week Busega-Masanafu'!D63+'Avg Week Masanafu-Busega'!D63</f>
        <v>21.5</v>
      </c>
      <c r="E63" s="49">
        <f>'Avg Week Busega-Masanafu'!E63+'Avg Week Masanafu-Busega'!E63</f>
        <v>38</v>
      </c>
      <c r="F63" s="49">
        <f>'Avg Week Busega-Masanafu'!F63+'Avg Week Masanafu-Busega'!F63</f>
        <v>58</v>
      </c>
      <c r="G63" s="49">
        <f>'Avg Week Busega-Masanafu'!G63+'Avg Week Masanafu-Busega'!G63</f>
        <v>5.5</v>
      </c>
      <c r="H63" s="49">
        <f>'Avg Week Busega-Masanafu'!H63+'Avg Week Masanafu-Busega'!H63</f>
        <v>2</v>
      </c>
      <c r="I63" s="49">
        <f>'Avg Week Busega-Masanafu'!I63+'Avg Week Masanafu-Busega'!I63</f>
        <v>14</v>
      </c>
      <c r="J63" s="49">
        <f>'Avg Week Busega-Masanafu'!J63+'Avg Week Masanafu-Busega'!J63</f>
        <v>20</v>
      </c>
      <c r="K63" s="49">
        <f>'Avg Week Busega-Masanafu'!K63+'Avg Week Masanafu-Busega'!K63</f>
        <v>6.5</v>
      </c>
      <c r="L63" s="49">
        <f>'Avg Week Busega-Masanafu'!L63+'Avg Week Masanafu-Busega'!L63</f>
        <v>8.5</v>
      </c>
      <c r="M63" s="49">
        <f>'Avg Week Busega-Masanafu'!M63+'Avg Week Masanafu-Busega'!M63</f>
        <v>225</v>
      </c>
      <c r="N63" s="49">
        <f>'Avg Week Busega-Masanafu'!N63+'Avg Week Masanafu-Busega'!N63</f>
        <v>0</v>
      </c>
      <c r="O63" s="15">
        <f t="shared" si="2"/>
        <v>323.5</v>
      </c>
      <c r="P63" s="15">
        <f t="shared" si="0"/>
        <v>548.5</v>
      </c>
      <c r="R63" s="8"/>
      <c r="T63"/>
    </row>
    <row r="64" spans="2:20" ht="23.1" customHeight="1" x14ac:dyDescent="0.25">
      <c r="B64" s="23" t="s">
        <v>109</v>
      </c>
      <c r="C64" s="49">
        <f>'Avg Week Busega-Masanafu'!C64+'Avg Week Masanafu-Busega'!C64</f>
        <v>151</v>
      </c>
      <c r="D64" s="49">
        <f>'Avg Week Busega-Masanafu'!D64+'Avg Week Masanafu-Busega'!D64</f>
        <v>22</v>
      </c>
      <c r="E64" s="49">
        <f>'Avg Week Busega-Masanafu'!E64+'Avg Week Masanafu-Busega'!E64</f>
        <v>18.5</v>
      </c>
      <c r="F64" s="49">
        <f>'Avg Week Busega-Masanafu'!F64+'Avg Week Masanafu-Busega'!F64</f>
        <v>56.5</v>
      </c>
      <c r="G64" s="49">
        <f>'Avg Week Busega-Masanafu'!G64+'Avg Week Masanafu-Busega'!G64</f>
        <v>4.5</v>
      </c>
      <c r="H64" s="49">
        <f>'Avg Week Busega-Masanafu'!H64+'Avg Week Masanafu-Busega'!H64</f>
        <v>1</v>
      </c>
      <c r="I64" s="49">
        <f>'Avg Week Busega-Masanafu'!I64+'Avg Week Masanafu-Busega'!I64</f>
        <v>15.5</v>
      </c>
      <c r="J64" s="49">
        <f>'Avg Week Busega-Masanafu'!J64+'Avg Week Masanafu-Busega'!J64</f>
        <v>11</v>
      </c>
      <c r="K64" s="49">
        <f>'Avg Week Busega-Masanafu'!K64+'Avg Week Masanafu-Busega'!K64</f>
        <v>6</v>
      </c>
      <c r="L64" s="49">
        <f>'Avg Week Busega-Masanafu'!L64+'Avg Week Masanafu-Busega'!L64</f>
        <v>7</v>
      </c>
      <c r="M64" s="49">
        <f>'Avg Week Busega-Masanafu'!M64+'Avg Week Masanafu-Busega'!M64</f>
        <v>231.5</v>
      </c>
      <c r="N64" s="49">
        <f>'Avg Week Busega-Masanafu'!N64+'Avg Week Masanafu-Busega'!N64</f>
        <v>0</v>
      </c>
      <c r="O64" s="15">
        <f t="shared" si="2"/>
        <v>293</v>
      </c>
      <c r="P64" s="15">
        <f t="shared" si="0"/>
        <v>524.5</v>
      </c>
      <c r="R64" s="8"/>
      <c r="T64"/>
    </row>
    <row r="65" spans="2:20" ht="23.1" customHeight="1" x14ac:dyDescent="0.25">
      <c r="B65" s="23" t="s">
        <v>158</v>
      </c>
      <c r="C65" s="49">
        <f>'Avg Week Busega-Masanafu'!C65+'Avg Week Masanafu-Busega'!C65</f>
        <v>166.5</v>
      </c>
      <c r="D65" s="49">
        <f>'Avg Week Busega-Masanafu'!D65+'Avg Week Masanafu-Busega'!D65</f>
        <v>27.5</v>
      </c>
      <c r="E65" s="49">
        <f>'Avg Week Busega-Masanafu'!E65+'Avg Week Masanafu-Busega'!E65</f>
        <v>21.5</v>
      </c>
      <c r="F65" s="49">
        <f>'Avg Week Busega-Masanafu'!F65+'Avg Week Masanafu-Busega'!F65</f>
        <v>62.5</v>
      </c>
      <c r="G65" s="49">
        <f>'Avg Week Busega-Masanafu'!G65+'Avg Week Masanafu-Busega'!G65</f>
        <v>3</v>
      </c>
      <c r="H65" s="49">
        <f>'Avg Week Busega-Masanafu'!H65+'Avg Week Masanafu-Busega'!H65</f>
        <v>2</v>
      </c>
      <c r="I65" s="49">
        <f>'Avg Week Busega-Masanafu'!I65+'Avg Week Masanafu-Busega'!I65</f>
        <v>19.5</v>
      </c>
      <c r="J65" s="49">
        <f>'Avg Week Busega-Masanafu'!J65+'Avg Week Masanafu-Busega'!J65</f>
        <v>15.5</v>
      </c>
      <c r="K65" s="49">
        <f>'Avg Week Busega-Masanafu'!K65+'Avg Week Masanafu-Busega'!K65</f>
        <v>11</v>
      </c>
      <c r="L65" s="49">
        <f>'Avg Week Busega-Masanafu'!L65+'Avg Week Masanafu-Busega'!L65</f>
        <v>8.5</v>
      </c>
      <c r="M65" s="49">
        <f>'Avg Week Busega-Masanafu'!M65+'Avg Week Masanafu-Busega'!M65</f>
        <v>209</v>
      </c>
      <c r="N65" s="49">
        <f>'Avg Week Busega-Masanafu'!N65+'Avg Week Masanafu-Busega'!N65</f>
        <v>0</v>
      </c>
      <c r="O65" s="15">
        <f t="shared" si="2"/>
        <v>337.5</v>
      </c>
      <c r="P65" s="15">
        <f t="shared" si="0"/>
        <v>546.5</v>
      </c>
      <c r="R65" s="8"/>
      <c r="T65"/>
    </row>
    <row r="66" spans="2:20" ht="23.1" customHeight="1" x14ac:dyDescent="0.25">
      <c r="B66" s="23" t="s">
        <v>103</v>
      </c>
      <c r="C66" s="49">
        <f>'Avg Week Busega-Masanafu'!C66+'Avg Week Masanafu-Busega'!C66</f>
        <v>143</v>
      </c>
      <c r="D66" s="49">
        <f>'Avg Week Busega-Masanafu'!D66+'Avg Week Masanafu-Busega'!D66</f>
        <v>18</v>
      </c>
      <c r="E66" s="49">
        <f>'Avg Week Busega-Masanafu'!E66+'Avg Week Masanafu-Busega'!E66</f>
        <v>14.5</v>
      </c>
      <c r="F66" s="49">
        <f>'Avg Week Busega-Masanafu'!F66+'Avg Week Masanafu-Busega'!F66</f>
        <v>59</v>
      </c>
      <c r="G66" s="49">
        <f>'Avg Week Busega-Masanafu'!G66+'Avg Week Masanafu-Busega'!G66</f>
        <v>6</v>
      </c>
      <c r="H66" s="49">
        <f>'Avg Week Busega-Masanafu'!H66+'Avg Week Masanafu-Busega'!H66</f>
        <v>0.5</v>
      </c>
      <c r="I66" s="49">
        <f>'Avg Week Busega-Masanafu'!I66+'Avg Week Masanafu-Busega'!I66</f>
        <v>12.5</v>
      </c>
      <c r="J66" s="49">
        <f>'Avg Week Busega-Masanafu'!J66+'Avg Week Masanafu-Busega'!J66</f>
        <v>15</v>
      </c>
      <c r="K66" s="49">
        <f>'Avg Week Busega-Masanafu'!K66+'Avg Week Masanafu-Busega'!K66</f>
        <v>8</v>
      </c>
      <c r="L66" s="49">
        <f>'Avg Week Busega-Masanafu'!L66+'Avg Week Masanafu-Busega'!L66</f>
        <v>9</v>
      </c>
      <c r="M66" s="49">
        <f>'Avg Week Busega-Masanafu'!M66+'Avg Week Masanafu-Busega'!M66</f>
        <v>218.5</v>
      </c>
      <c r="N66" s="49">
        <f>'Avg Week Busega-Masanafu'!N66+'Avg Week Masanafu-Busega'!N66</f>
        <v>0</v>
      </c>
      <c r="O66" s="15">
        <f t="shared" si="2"/>
        <v>285.5</v>
      </c>
      <c r="P66" s="15">
        <f t="shared" si="0"/>
        <v>504</v>
      </c>
      <c r="R66" s="8"/>
      <c r="T66"/>
    </row>
    <row r="67" spans="2:20" ht="23.1" customHeight="1" x14ac:dyDescent="0.25">
      <c r="B67" s="23" t="s">
        <v>104</v>
      </c>
      <c r="C67" s="49">
        <f>'Avg Week Busega-Masanafu'!C67+'Avg Week Masanafu-Busega'!C67</f>
        <v>122.5</v>
      </c>
      <c r="D67" s="49">
        <f>'Avg Week Busega-Masanafu'!D67+'Avg Week Masanafu-Busega'!D67</f>
        <v>23.5</v>
      </c>
      <c r="E67" s="49">
        <f>'Avg Week Busega-Masanafu'!E67+'Avg Week Masanafu-Busega'!E67</f>
        <v>21.5</v>
      </c>
      <c r="F67" s="49">
        <f>'Avg Week Busega-Masanafu'!F67+'Avg Week Masanafu-Busega'!F67</f>
        <v>54</v>
      </c>
      <c r="G67" s="49">
        <f>'Avg Week Busega-Masanafu'!G67+'Avg Week Masanafu-Busega'!G67</f>
        <v>2.5</v>
      </c>
      <c r="H67" s="49">
        <f>'Avg Week Busega-Masanafu'!H67+'Avg Week Masanafu-Busega'!H67</f>
        <v>0.5</v>
      </c>
      <c r="I67" s="49">
        <f>'Avg Week Busega-Masanafu'!I67+'Avg Week Masanafu-Busega'!I67</f>
        <v>11</v>
      </c>
      <c r="J67" s="49">
        <f>'Avg Week Busega-Masanafu'!J67+'Avg Week Masanafu-Busega'!J67</f>
        <v>14</v>
      </c>
      <c r="K67" s="49">
        <f>'Avg Week Busega-Masanafu'!K67+'Avg Week Masanafu-Busega'!K67</f>
        <v>6.5</v>
      </c>
      <c r="L67" s="49">
        <f>'Avg Week Busega-Masanafu'!L67+'Avg Week Masanafu-Busega'!L67</f>
        <v>6.5</v>
      </c>
      <c r="M67" s="49">
        <f>'Avg Week Busega-Masanafu'!M67+'Avg Week Masanafu-Busega'!M67</f>
        <v>175.5</v>
      </c>
      <c r="N67" s="49">
        <f>'Avg Week Busega-Masanafu'!N67+'Avg Week Masanafu-Busega'!N67</f>
        <v>0</v>
      </c>
      <c r="O67" s="15">
        <f t="shared" si="2"/>
        <v>262.5</v>
      </c>
      <c r="P67" s="15">
        <f t="shared" si="0"/>
        <v>438</v>
      </c>
      <c r="R67" s="8"/>
      <c r="T67"/>
    </row>
    <row r="68" spans="2:20" ht="23.1" customHeight="1" x14ac:dyDescent="0.25">
      <c r="B68" s="23" t="s">
        <v>105</v>
      </c>
      <c r="C68" s="49">
        <f>'Avg Week Busega-Masanafu'!C68+'Avg Week Masanafu-Busega'!C68</f>
        <v>116.5</v>
      </c>
      <c r="D68" s="49">
        <f>'Avg Week Busega-Masanafu'!D68+'Avg Week Masanafu-Busega'!D68</f>
        <v>17.5</v>
      </c>
      <c r="E68" s="49">
        <f>'Avg Week Busega-Masanafu'!E68+'Avg Week Masanafu-Busega'!E68</f>
        <v>17</v>
      </c>
      <c r="F68" s="49">
        <f>'Avg Week Busega-Masanafu'!F68+'Avg Week Masanafu-Busega'!F68</f>
        <v>62.5</v>
      </c>
      <c r="G68" s="49">
        <f>'Avg Week Busega-Masanafu'!G68+'Avg Week Masanafu-Busega'!G68</f>
        <v>2</v>
      </c>
      <c r="H68" s="49">
        <f>'Avg Week Busega-Masanafu'!H68+'Avg Week Masanafu-Busega'!H68</f>
        <v>0</v>
      </c>
      <c r="I68" s="49">
        <f>'Avg Week Busega-Masanafu'!I68+'Avg Week Masanafu-Busega'!I68</f>
        <v>6.5</v>
      </c>
      <c r="J68" s="49">
        <f>'Avg Week Busega-Masanafu'!J68+'Avg Week Masanafu-Busega'!J68</f>
        <v>13</v>
      </c>
      <c r="K68" s="49">
        <f>'Avg Week Busega-Masanafu'!K68+'Avg Week Masanafu-Busega'!K68</f>
        <v>4.5</v>
      </c>
      <c r="L68" s="49">
        <f>'Avg Week Busega-Masanafu'!L68+'Avg Week Masanafu-Busega'!L68</f>
        <v>2.5</v>
      </c>
      <c r="M68" s="49">
        <f>'Avg Week Busega-Masanafu'!M68+'Avg Week Masanafu-Busega'!M68</f>
        <v>186</v>
      </c>
      <c r="N68" s="49">
        <f>'Avg Week Busega-Masanafu'!N68+'Avg Week Masanafu-Busega'!N68</f>
        <v>0</v>
      </c>
      <c r="O68" s="15">
        <f t="shared" si="2"/>
        <v>242</v>
      </c>
      <c r="P68" s="15">
        <f t="shared" si="0"/>
        <v>428</v>
      </c>
      <c r="R68" s="8"/>
      <c r="T68"/>
    </row>
    <row r="69" spans="2:20" ht="23.1" customHeight="1" x14ac:dyDescent="0.25">
      <c r="B69" s="23" t="s">
        <v>106</v>
      </c>
      <c r="C69" s="49">
        <f>'Avg Week Busega-Masanafu'!C69+'Avg Week Masanafu-Busega'!C69</f>
        <v>131.5</v>
      </c>
      <c r="D69" s="49">
        <f>'Avg Week Busega-Masanafu'!D69+'Avg Week Masanafu-Busega'!D69</f>
        <v>15</v>
      </c>
      <c r="E69" s="49">
        <f>'Avg Week Busega-Masanafu'!E69+'Avg Week Masanafu-Busega'!E69</f>
        <v>12</v>
      </c>
      <c r="F69" s="49">
        <f>'Avg Week Busega-Masanafu'!F69+'Avg Week Masanafu-Busega'!F69</f>
        <v>40.5</v>
      </c>
      <c r="G69" s="49">
        <f>'Avg Week Busega-Masanafu'!G69+'Avg Week Masanafu-Busega'!G69</f>
        <v>2</v>
      </c>
      <c r="H69" s="49">
        <f>'Avg Week Busega-Masanafu'!H69+'Avg Week Masanafu-Busega'!H69</f>
        <v>1.5</v>
      </c>
      <c r="I69" s="49">
        <f>'Avg Week Busega-Masanafu'!I69+'Avg Week Masanafu-Busega'!I69</f>
        <v>8.5</v>
      </c>
      <c r="J69" s="49">
        <f>'Avg Week Busega-Masanafu'!J69+'Avg Week Masanafu-Busega'!J69</f>
        <v>9.5</v>
      </c>
      <c r="K69" s="49">
        <f>'Avg Week Busega-Masanafu'!K69+'Avg Week Masanafu-Busega'!K69</f>
        <v>2</v>
      </c>
      <c r="L69" s="49">
        <f>'Avg Week Busega-Masanafu'!L69+'Avg Week Masanafu-Busega'!L69</f>
        <v>7.5</v>
      </c>
      <c r="M69" s="49">
        <f>'Avg Week Busega-Masanafu'!M69+'Avg Week Masanafu-Busega'!M69</f>
        <v>158</v>
      </c>
      <c r="N69" s="49">
        <f>'Avg Week Busega-Masanafu'!N69+'Avg Week Masanafu-Busega'!N69</f>
        <v>0</v>
      </c>
      <c r="O69" s="15">
        <f t="shared" si="2"/>
        <v>230</v>
      </c>
      <c r="P69" s="15">
        <f t="shared" si="0"/>
        <v>388</v>
      </c>
      <c r="R69" s="8"/>
      <c r="T69"/>
    </row>
    <row r="70" spans="2:20" ht="23.1" customHeight="1" x14ac:dyDescent="0.25">
      <c r="B70" s="23" t="s">
        <v>110</v>
      </c>
      <c r="C70" s="49">
        <f>'Avg Week Busega-Masanafu'!C70+'Avg Week Masanafu-Busega'!C70</f>
        <v>110</v>
      </c>
      <c r="D70" s="49">
        <f>'Avg Week Busega-Masanafu'!D70+'Avg Week Masanafu-Busega'!D70</f>
        <v>10</v>
      </c>
      <c r="E70" s="49">
        <f>'Avg Week Busega-Masanafu'!E70+'Avg Week Masanafu-Busega'!E70</f>
        <v>18</v>
      </c>
      <c r="F70" s="49">
        <f>'Avg Week Busega-Masanafu'!F70+'Avg Week Masanafu-Busega'!F70</f>
        <v>38</v>
      </c>
      <c r="G70" s="49">
        <f>'Avg Week Busega-Masanafu'!G70+'Avg Week Masanafu-Busega'!G70</f>
        <v>2</v>
      </c>
      <c r="H70" s="49">
        <f>'Avg Week Busega-Masanafu'!H70+'Avg Week Masanafu-Busega'!H70</f>
        <v>1</v>
      </c>
      <c r="I70" s="49">
        <f>'Avg Week Busega-Masanafu'!I70+'Avg Week Masanafu-Busega'!I70</f>
        <v>7.5</v>
      </c>
      <c r="J70" s="49">
        <f>'Avg Week Busega-Masanafu'!J70+'Avg Week Masanafu-Busega'!J70</f>
        <v>8</v>
      </c>
      <c r="K70" s="49">
        <f>'Avg Week Busega-Masanafu'!K70+'Avg Week Masanafu-Busega'!K70</f>
        <v>5.5</v>
      </c>
      <c r="L70" s="49">
        <f>'Avg Week Busega-Masanafu'!L70+'Avg Week Masanafu-Busega'!L70</f>
        <v>3.5</v>
      </c>
      <c r="M70" s="49">
        <f>'Avg Week Busega-Masanafu'!M70+'Avg Week Masanafu-Busega'!M70</f>
        <v>129.5</v>
      </c>
      <c r="N70" s="49">
        <f>'Avg Week Busega-Masanafu'!N70+'Avg Week Masanafu-Busega'!N70</f>
        <v>0</v>
      </c>
      <c r="O70" s="15">
        <f t="shared" si="2"/>
        <v>203.5</v>
      </c>
      <c r="P70" s="15">
        <f t="shared" si="0"/>
        <v>333</v>
      </c>
      <c r="R70" s="8"/>
      <c r="T70"/>
    </row>
    <row r="71" spans="2:20" ht="23.1" customHeight="1" x14ac:dyDescent="0.25">
      <c r="B71" s="23" t="s">
        <v>111</v>
      </c>
      <c r="C71" s="49">
        <f>'Avg Week Busega-Masanafu'!C71+'Avg Week Masanafu-Busega'!C71</f>
        <v>107</v>
      </c>
      <c r="D71" s="49">
        <f>'Avg Week Busega-Masanafu'!D71+'Avg Week Masanafu-Busega'!D71</f>
        <v>11</v>
      </c>
      <c r="E71" s="49">
        <f>'Avg Week Busega-Masanafu'!E71+'Avg Week Masanafu-Busega'!E71</f>
        <v>17.5</v>
      </c>
      <c r="F71" s="49">
        <f>'Avg Week Busega-Masanafu'!F71+'Avg Week Masanafu-Busega'!F71</f>
        <v>36</v>
      </c>
      <c r="G71" s="49">
        <f>'Avg Week Busega-Masanafu'!G71+'Avg Week Masanafu-Busega'!G71</f>
        <v>3</v>
      </c>
      <c r="H71" s="49">
        <f>'Avg Week Busega-Masanafu'!H71+'Avg Week Masanafu-Busega'!H71</f>
        <v>2.5</v>
      </c>
      <c r="I71" s="49">
        <f>'Avg Week Busega-Masanafu'!I71+'Avg Week Masanafu-Busega'!I71</f>
        <v>8.5</v>
      </c>
      <c r="J71" s="49">
        <f>'Avg Week Busega-Masanafu'!J71+'Avg Week Masanafu-Busega'!J71</f>
        <v>15</v>
      </c>
      <c r="K71" s="49">
        <f>'Avg Week Busega-Masanafu'!K71+'Avg Week Masanafu-Busega'!K71</f>
        <v>7</v>
      </c>
      <c r="L71" s="49">
        <f>'Avg Week Busega-Masanafu'!L71+'Avg Week Masanafu-Busega'!L71</f>
        <v>8</v>
      </c>
      <c r="M71" s="49">
        <f>'Avg Week Busega-Masanafu'!M71+'Avg Week Masanafu-Busega'!M71</f>
        <v>144</v>
      </c>
      <c r="N71" s="49">
        <f>'Avg Week Busega-Masanafu'!N71+'Avg Week Masanafu-Busega'!N71</f>
        <v>0</v>
      </c>
      <c r="O71" s="15">
        <f t="shared" si="2"/>
        <v>215.5</v>
      </c>
      <c r="P71" s="15">
        <f t="shared" si="0"/>
        <v>359.5</v>
      </c>
      <c r="R71" s="8"/>
      <c r="T71"/>
    </row>
    <row r="72" spans="2:20" ht="23.1" customHeight="1" x14ac:dyDescent="0.25">
      <c r="B72" s="23" t="s">
        <v>112</v>
      </c>
      <c r="C72" s="49">
        <f>'Avg Week Busega-Masanafu'!C72+'Avg Week Masanafu-Busega'!C72</f>
        <v>93</v>
      </c>
      <c r="D72" s="49">
        <f>'Avg Week Busega-Masanafu'!D72+'Avg Week Masanafu-Busega'!D72</f>
        <v>8.5</v>
      </c>
      <c r="E72" s="49">
        <f>'Avg Week Busega-Masanafu'!E72+'Avg Week Masanafu-Busega'!E72</f>
        <v>15</v>
      </c>
      <c r="F72" s="49">
        <f>'Avg Week Busega-Masanafu'!F72+'Avg Week Masanafu-Busega'!F72</f>
        <v>35.5</v>
      </c>
      <c r="G72" s="49">
        <f>'Avg Week Busega-Masanafu'!G72+'Avg Week Masanafu-Busega'!G72</f>
        <v>1.5</v>
      </c>
      <c r="H72" s="49">
        <f>'Avg Week Busega-Masanafu'!H72+'Avg Week Masanafu-Busega'!H72</f>
        <v>2</v>
      </c>
      <c r="I72" s="49">
        <f>'Avg Week Busega-Masanafu'!I72+'Avg Week Masanafu-Busega'!I72</f>
        <v>12.5</v>
      </c>
      <c r="J72" s="49">
        <f>'Avg Week Busega-Masanafu'!J72+'Avg Week Masanafu-Busega'!J72</f>
        <v>9</v>
      </c>
      <c r="K72" s="49">
        <f>'Avg Week Busega-Masanafu'!K72+'Avg Week Masanafu-Busega'!K72</f>
        <v>11</v>
      </c>
      <c r="L72" s="49">
        <f>'Avg Week Busega-Masanafu'!L72+'Avg Week Masanafu-Busega'!L72</f>
        <v>8</v>
      </c>
      <c r="M72" s="49">
        <f>'Avg Week Busega-Masanafu'!M72+'Avg Week Masanafu-Busega'!M72</f>
        <v>125.5</v>
      </c>
      <c r="N72" s="49">
        <f>'Avg Week Busega-Masanafu'!N72+'Avg Week Masanafu-Busega'!N72</f>
        <v>0</v>
      </c>
      <c r="O72" s="15">
        <f t="shared" si="2"/>
        <v>196</v>
      </c>
      <c r="P72" s="15">
        <f t="shared" si="0"/>
        <v>321.5</v>
      </c>
      <c r="R72" s="8"/>
      <c r="T72"/>
    </row>
    <row r="73" spans="2:20" ht="23.1" customHeight="1" x14ac:dyDescent="0.25">
      <c r="B73" s="23" t="s">
        <v>113</v>
      </c>
      <c r="C73" s="49">
        <f>'Avg Week Busega-Masanafu'!C73+'Avg Week Masanafu-Busega'!C73</f>
        <v>116</v>
      </c>
      <c r="D73" s="49">
        <f>'Avg Week Busega-Masanafu'!D73+'Avg Week Masanafu-Busega'!D73</f>
        <v>15</v>
      </c>
      <c r="E73" s="49">
        <f>'Avg Week Busega-Masanafu'!E73+'Avg Week Masanafu-Busega'!E73</f>
        <v>17.5</v>
      </c>
      <c r="F73" s="49">
        <f>'Avg Week Busega-Masanafu'!F73+'Avg Week Masanafu-Busega'!F73</f>
        <v>39</v>
      </c>
      <c r="G73" s="49">
        <f>'Avg Week Busega-Masanafu'!G73+'Avg Week Masanafu-Busega'!G73</f>
        <v>2.5</v>
      </c>
      <c r="H73" s="49">
        <f>'Avg Week Busega-Masanafu'!H73+'Avg Week Masanafu-Busega'!H73</f>
        <v>1</v>
      </c>
      <c r="I73" s="49">
        <f>'Avg Week Busega-Masanafu'!I73+'Avg Week Masanafu-Busega'!I73</f>
        <v>8.5</v>
      </c>
      <c r="J73" s="49">
        <f>'Avg Week Busega-Masanafu'!J73+'Avg Week Masanafu-Busega'!J73</f>
        <v>15</v>
      </c>
      <c r="K73" s="49">
        <f>'Avg Week Busega-Masanafu'!K73+'Avg Week Masanafu-Busega'!K73</f>
        <v>5.5</v>
      </c>
      <c r="L73" s="49">
        <f>'Avg Week Busega-Masanafu'!L73+'Avg Week Masanafu-Busega'!L73</f>
        <v>7</v>
      </c>
      <c r="M73" s="49">
        <f>'Avg Week Busega-Masanafu'!M73+'Avg Week Masanafu-Busega'!M73</f>
        <v>127</v>
      </c>
      <c r="N73" s="49">
        <f>'Avg Week Busega-Masanafu'!N73+'Avg Week Masanafu-Busega'!N73</f>
        <v>0</v>
      </c>
      <c r="O73" s="15">
        <f t="shared" si="2"/>
        <v>227</v>
      </c>
      <c r="P73" s="15">
        <f t="shared" si="0"/>
        <v>354</v>
      </c>
      <c r="R73" s="8"/>
      <c r="T73"/>
    </row>
    <row r="74" spans="2:20" ht="23.1" customHeight="1" x14ac:dyDescent="0.25">
      <c r="B74" s="23" t="s">
        <v>114</v>
      </c>
      <c r="C74" s="49">
        <f>'Avg Week Busega-Masanafu'!C74+'Avg Week Masanafu-Busega'!C74</f>
        <v>77.5</v>
      </c>
      <c r="D74" s="49">
        <f>'Avg Week Busega-Masanafu'!D74+'Avg Week Masanafu-Busega'!D74</f>
        <v>8</v>
      </c>
      <c r="E74" s="49">
        <f>'Avg Week Busega-Masanafu'!E74+'Avg Week Masanafu-Busega'!E74</f>
        <v>10.5</v>
      </c>
      <c r="F74" s="49">
        <f>'Avg Week Busega-Masanafu'!F74+'Avg Week Masanafu-Busega'!F74</f>
        <v>21.5</v>
      </c>
      <c r="G74" s="49">
        <f>'Avg Week Busega-Masanafu'!G74+'Avg Week Masanafu-Busega'!G74</f>
        <v>1</v>
      </c>
      <c r="H74" s="49">
        <f>'Avg Week Busega-Masanafu'!H74+'Avg Week Masanafu-Busega'!H74</f>
        <v>0.5</v>
      </c>
      <c r="I74" s="49">
        <f>'Avg Week Busega-Masanafu'!I74+'Avg Week Masanafu-Busega'!I74</f>
        <v>8</v>
      </c>
      <c r="J74" s="49">
        <f>'Avg Week Busega-Masanafu'!J74+'Avg Week Masanafu-Busega'!J74</f>
        <v>9.5</v>
      </c>
      <c r="K74" s="49">
        <f>'Avg Week Busega-Masanafu'!K74+'Avg Week Masanafu-Busega'!K74</f>
        <v>5.5</v>
      </c>
      <c r="L74" s="49">
        <f>'Avg Week Busega-Masanafu'!L74+'Avg Week Masanafu-Busega'!L74</f>
        <v>5.5</v>
      </c>
      <c r="M74" s="49">
        <f>'Avg Week Busega-Masanafu'!M74+'Avg Week Masanafu-Busega'!M74</f>
        <v>86</v>
      </c>
      <c r="N74" s="49">
        <f>'Avg Week Busega-Masanafu'!N74+'Avg Week Masanafu-Busega'!N74</f>
        <v>0</v>
      </c>
      <c r="O74" s="15">
        <f t="shared" si="2"/>
        <v>147.5</v>
      </c>
      <c r="P74" s="15">
        <f t="shared" ref="P74:P105" si="35">SUM(C74:N74)</f>
        <v>233.5</v>
      </c>
      <c r="R74" s="8"/>
      <c r="T74"/>
    </row>
    <row r="75" spans="2:20" ht="23.1" customHeight="1" x14ac:dyDescent="0.25">
      <c r="B75" s="23" t="s">
        <v>115</v>
      </c>
      <c r="C75" s="49">
        <f>'Avg Week Busega-Masanafu'!C75+'Avg Week Masanafu-Busega'!C75</f>
        <v>58</v>
      </c>
      <c r="D75" s="49">
        <f>'Avg Week Busega-Masanafu'!D75+'Avg Week Masanafu-Busega'!D75</f>
        <v>10</v>
      </c>
      <c r="E75" s="49">
        <f>'Avg Week Busega-Masanafu'!E75+'Avg Week Masanafu-Busega'!E75</f>
        <v>8</v>
      </c>
      <c r="F75" s="49">
        <f>'Avg Week Busega-Masanafu'!F75+'Avg Week Masanafu-Busega'!F75</f>
        <v>22.5</v>
      </c>
      <c r="G75" s="49">
        <f>'Avg Week Busega-Masanafu'!G75+'Avg Week Masanafu-Busega'!G75</f>
        <v>2.5</v>
      </c>
      <c r="H75" s="49">
        <f>'Avg Week Busega-Masanafu'!H75+'Avg Week Masanafu-Busega'!H75</f>
        <v>0</v>
      </c>
      <c r="I75" s="49">
        <f>'Avg Week Busega-Masanafu'!I75+'Avg Week Masanafu-Busega'!I75</f>
        <v>7.5</v>
      </c>
      <c r="J75" s="49">
        <f>'Avg Week Busega-Masanafu'!J75+'Avg Week Masanafu-Busega'!J75</f>
        <v>8</v>
      </c>
      <c r="K75" s="49">
        <f>'Avg Week Busega-Masanafu'!K75+'Avg Week Masanafu-Busega'!K75</f>
        <v>11</v>
      </c>
      <c r="L75" s="49">
        <f>'Avg Week Busega-Masanafu'!L75+'Avg Week Masanafu-Busega'!L75</f>
        <v>7.5</v>
      </c>
      <c r="M75" s="49">
        <f>'Avg Week Busega-Masanafu'!M75+'Avg Week Masanafu-Busega'!M75</f>
        <v>72.5</v>
      </c>
      <c r="N75" s="49">
        <f>'Avg Week Busega-Masanafu'!N75+'Avg Week Masanafu-Busega'!N75</f>
        <v>0</v>
      </c>
      <c r="O75" s="15">
        <f t="shared" ref="O75:O105" si="36">SUM(C75:L75,N75)</f>
        <v>135</v>
      </c>
      <c r="P75" s="15">
        <f t="shared" si="35"/>
        <v>207.5</v>
      </c>
      <c r="R75" s="8"/>
      <c r="T75"/>
    </row>
    <row r="76" spans="2:20" ht="23.1" customHeight="1" x14ac:dyDescent="0.25">
      <c r="B76" s="23" t="s">
        <v>116</v>
      </c>
      <c r="C76" s="49">
        <f>'Avg Week Busega-Masanafu'!C76+'Avg Week Masanafu-Busega'!C76</f>
        <v>56</v>
      </c>
      <c r="D76" s="49">
        <f>'Avg Week Busega-Masanafu'!D76+'Avg Week Masanafu-Busega'!D76</f>
        <v>6.5</v>
      </c>
      <c r="E76" s="49">
        <f>'Avg Week Busega-Masanafu'!E76+'Avg Week Masanafu-Busega'!E76</f>
        <v>12</v>
      </c>
      <c r="F76" s="49">
        <f>'Avg Week Busega-Masanafu'!F76+'Avg Week Masanafu-Busega'!F76</f>
        <v>17</v>
      </c>
      <c r="G76" s="49">
        <f>'Avg Week Busega-Masanafu'!G76+'Avg Week Masanafu-Busega'!G76</f>
        <v>1.5</v>
      </c>
      <c r="H76" s="49">
        <f>'Avg Week Busega-Masanafu'!H76+'Avg Week Masanafu-Busega'!H76</f>
        <v>0.5</v>
      </c>
      <c r="I76" s="49">
        <f>'Avg Week Busega-Masanafu'!I76+'Avg Week Masanafu-Busega'!I76</f>
        <v>12</v>
      </c>
      <c r="J76" s="49">
        <f>'Avg Week Busega-Masanafu'!J76+'Avg Week Masanafu-Busega'!J76</f>
        <v>9</v>
      </c>
      <c r="K76" s="49">
        <f>'Avg Week Busega-Masanafu'!K76+'Avg Week Masanafu-Busega'!K76</f>
        <v>4.5</v>
      </c>
      <c r="L76" s="49">
        <f>'Avg Week Busega-Masanafu'!L76+'Avg Week Masanafu-Busega'!L76</f>
        <v>3.5</v>
      </c>
      <c r="M76" s="49">
        <f>'Avg Week Busega-Masanafu'!M76+'Avg Week Masanafu-Busega'!M76</f>
        <v>83.5</v>
      </c>
      <c r="N76" s="49">
        <f>'Avg Week Busega-Masanafu'!N76+'Avg Week Masanafu-Busega'!N76</f>
        <v>0</v>
      </c>
      <c r="O76" s="15">
        <f t="shared" si="36"/>
        <v>122.5</v>
      </c>
      <c r="P76" s="15">
        <f t="shared" si="35"/>
        <v>206</v>
      </c>
      <c r="R76" s="8"/>
      <c r="T76"/>
    </row>
    <row r="77" spans="2:20" ht="23.1" customHeight="1" x14ac:dyDescent="0.25">
      <c r="B77" s="23" t="s">
        <v>117</v>
      </c>
      <c r="C77" s="49">
        <f>'Avg Week Busega-Masanafu'!C77+'Avg Week Masanafu-Busega'!C77</f>
        <v>54</v>
      </c>
      <c r="D77" s="49">
        <f>'Avg Week Busega-Masanafu'!D77+'Avg Week Masanafu-Busega'!D77</f>
        <v>6</v>
      </c>
      <c r="E77" s="49">
        <f>'Avg Week Busega-Masanafu'!E77+'Avg Week Masanafu-Busega'!E77</f>
        <v>7.5</v>
      </c>
      <c r="F77" s="49">
        <f>'Avg Week Busega-Masanafu'!F77+'Avg Week Masanafu-Busega'!F77</f>
        <v>13.5</v>
      </c>
      <c r="G77" s="49">
        <f>'Avg Week Busega-Masanafu'!G77+'Avg Week Masanafu-Busega'!G77</f>
        <v>3.5</v>
      </c>
      <c r="H77" s="49">
        <f>'Avg Week Busega-Masanafu'!H77+'Avg Week Masanafu-Busega'!H77</f>
        <v>0</v>
      </c>
      <c r="I77" s="49">
        <f>'Avg Week Busega-Masanafu'!I77+'Avg Week Masanafu-Busega'!I77</f>
        <v>9.5</v>
      </c>
      <c r="J77" s="49">
        <f>'Avg Week Busega-Masanafu'!J77+'Avg Week Masanafu-Busega'!J77</f>
        <v>9</v>
      </c>
      <c r="K77" s="49">
        <f>'Avg Week Busega-Masanafu'!K77+'Avg Week Masanafu-Busega'!K77</f>
        <v>8</v>
      </c>
      <c r="L77" s="49">
        <f>'Avg Week Busega-Masanafu'!L77+'Avg Week Masanafu-Busega'!L77</f>
        <v>6.5</v>
      </c>
      <c r="M77" s="49">
        <f>'Avg Week Busega-Masanafu'!M77+'Avg Week Masanafu-Busega'!M77</f>
        <v>75</v>
      </c>
      <c r="N77" s="49">
        <f>'Avg Week Busega-Masanafu'!N77+'Avg Week Masanafu-Busega'!N77</f>
        <v>0</v>
      </c>
      <c r="O77" s="15">
        <f t="shared" si="36"/>
        <v>117.5</v>
      </c>
      <c r="P77" s="15">
        <f t="shared" si="35"/>
        <v>192.5</v>
      </c>
      <c r="R77" s="8"/>
      <c r="T77"/>
    </row>
    <row r="78" spans="2:20" ht="23.1" customHeight="1" x14ac:dyDescent="0.25">
      <c r="B78" s="24" t="s">
        <v>118</v>
      </c>
      <c r="C78" s="49">
        <f>'Avg Week Busega-Masanafu'!C78+'Avg Week Masanafu-Busega'!C78</f>
        <v>43</v>
      </c>
      <c r="D78" s="49">
        <f>'Avg Week Busega-Masanafu'!D78+'Avg Week Masanafu-Busega'!D78</f>
        <v>4.5</v>
      </c>
      <c r="E78" s="49">
        <f>'Avg Week Busega-Masanafu'!E78+'Avg Week Masanafu-Busega'!E78</f>
        <v>8</v>
      </c>
      <c r="F78" s="49">
        <f>'Avg Week Busega-Masanafu'!F78+'Avg Week Masanafu-Busega'!F78</f>
        <v>7</v>
      </c>
      <c r="G78" s="49">
        <f>'Avg Week Busega-Masanafu'!G78+'Avg Week Masanafu-Busega'!G78</f>
        <v>2</v>
      </c>
      <c r="H78" s="49">
        <f>'Avg Week Busega-Masanafu'!H78+'Avg Week Masanafu-Busega'!H78</f>
        <v>0.5</v>
      </c>
      <c r="I78" s="49">
        <f>'Avg Week Busega-Masanafu'!I78+'Avg Week Masanafu-Busega'!I78</f>
        <v>7</v>
      </c>
      <c r="J78" s="49">
        <f>'Avg Week Busega-Masanafu'!J78+'Avg Week Masanafu-Busega'!J78</f>
        <v>10</v>
      </c>
      <c r="K78" s="49">
        <f>'Avg Week Busega-Masanafu'!K78+'Avg Week Masanafu-Busega'!K78</f>
        <v>8.5</v>
      </c>
      <c r="L78" s="49">
        <f>'Avg Week Busega-Masanafu'!L78+'Avg Week Masanafu-Busega'!L78</f>
        <v>6.5</v>
      </c>
      <c r="M78" s="49">
        <f>'Avg Week Busega-Masanafu'!M78+'Avg Week Masanafu-Busega'!M78</f>
        <v>54.5</v>
      </c>
      <c r="N78" s="49">
        <f>'Avg Week Busega-Masanafu'!N78+'Avg Week Masanafu-Busega'!N78</f>
        <v>0</v>
      </c>
      <c r="O78" s="15">
        <f t="shared" si="36"/>
        <v>97</v>
      </c>
      <c r="P78" s="15">
        <f t="shared" si="35"/>
        <v>151.5</v>
      </c>
      <c r="R78" s="8"/>
      <c r="T78"/>
    </row>
    <row r="79" spans="2:20" ht="23.1" customHeight="1" x14ac:dyDescent="0.25">
      <c r="B79" s="23" t="s">
        <v>119</v>
      </c>
      <c r="C79" s="49">
        <f>'Avg Week Busega-Masanafu'!C79+'Avg Week Masanafu-Busega'!C79</f>
        <v>52.5</v>
      </c>
      <c r="D79" s="49">
        <f>'Avg Week Busega-Masanafu'!D79+'Avg Week Masanafu-Busega'!D79</f>
        <v>3</v>
      </c>
      <c r="E79" s="49">
        <f>'Avg Week Busega-Masanafu'!E79+'Avg Week Masanafu-Busega'!E79</f>
        <v>5</v>
      </c>
      <c r="F79" s="49">
        <f>'Avg Week Busega-Masanafu'!F79+'Avg Week Masanafu-Busega'!F79</f>
        <v>7.5</v>
      </c>
      <c r="G79" s="49">
        <f>'Avg Week Busega-Masanafu'!G79+'Avg Week Masanafu-Busega'!G79</f>
        <v>2</v>
      </c>
      <c r="H79" s="49">
        <f>'Avg Week Busega-Masanafu'!H79+'Avg Week Masanafu-Busega'!H79</f>
        <v>0</v>
      </c>
      <c r="I79" s="49">
        <f>'Avg Week Busega-Masanafu'!I79+'Avg Week Masanafu-Busega'!I79</f>
        <v>9.5</v>
      </c>
      <c r="J79" s="49">
        <f>'Avg Week Busega-Masanafu'!J79+'Avg Week Masanafu-Busega'!J79</f>
        <v>9.5</v>
      </c>
      <c r="K79" s="49">
        <f>'Avg Week Busega-Masanafu'!K79+'Avg Week Masanafu-Busega'!K79</f>
        <v>3.5</v>
      </c>
      <c r="L79" s="49">
        <f>'Avg Week Busega-Masanafu'!L79+'Avg Week Masanafu-Busega'!L79</f>
        <v>6</v>
      </c>
      <c r="M79" s="49">
        <f>'Avg Week Busega-Masanafu'!M79+'Avg Week Masanafu-Busega'!M79</f>
        <v>46</v>
      </c>
      <c r="N79" s="49">
        <f>'Avg Week Busega-Masanafu'!N79+'Avg Week Masanafu-Busega'!N79</f>
        <v>0</v>
      </c>
      <c r="O79" s="15">
        <f t="shared" si="36"/>
        <v>98.5</v>
      </c>
      <c r="P79" s="15">
        <f t="shared" si="35"/>
        <v>144.5</v>
      </c>
      <c r="R79" s="8"/>
      <c r="T79"/>
    </row>
    <row r="80" spans="2:20" ht="23.1" customHeight="1" x14ac:dyDescent="0.25">
      <c r="B80" s="25" t="s">
        <v>120</v>
      </c>
      <c r="C80" s="49">
        <f>'Avg Week Busega-Masanafu'!C80+'Avg Week Masanafu-Busega'!C80</f>
        <v>37.5</v>
      </c>
      <c r="D80" s="49">
        <f>'Avg Week Busega-Masanafu'!D80+'Avg Week Masanafu-Busega'!D80</f>
        <v>4.5</v>
      </c>
      <c r="E80" s="49">
        <f>'Avg Week Busega-Masanafu'!E80+'Avg Week Masanafu-Busega'!E80</f>
        <v>8</v>
      </c>
      <c r="F80" s="49">
        <f>'Avg Week Busega-Masanafu'!F80+'Avg Week Masanafu-Busega'!F80</f>
        <v>11</v>
      </c>
      <c r="G80" s="49">
        <f>'Avg Week Busega-Masanafu'!G80+'Avg Week Masanafu-Busega'!G80</f>
        <v>1</v>
      </c>
      <c r="H80" s="49">
        <f>'Avg Week Busega-Masanafu'!H80+'Avg Week Masanafu-Busega'!H80</f>
        <v>0</v>
      </c>
      <c r="I80" s="49">
        <f>'Avg Week Busega-Masanafu'!I80+'Avg Week Masanafu-Busega'!I80</f>
        <v>9</v>
      </c>
      <c r="J80" s="49">
        <f>'Avg Week Busega-Masanafu'!J80+'Avg Week Masanafu-Busega'!J80</f>
        <v>6</v>
      </c>
      <c r="K80" s="49">
        <f>'Avg Week Busega-Masanafu'!K80+'Avg Week Masanafu-Busega'!K80</f>
        <v>5.5</v>
      </c>
      <c r="L80" s="49">
        <f>'Avg Week Busega-Masanafu'!L80+'Avg Week Masanafu-Busega'!L80</f>
        <v>3.5</v>
      </c>
      <c r="M80" s="49">
        <f>'Avg Week Busega-Masanafu'!M80+'Avg Week Masanafu-Busega'!M80</f>
        <v>41.5</v>
      </c>
      <c r="N80" s="49">
        <f>'Avg Week Busega-Masanafu'!N80+'Avg Week Masanafu-Busega'!N80</f>
        <v>0</v>
      </c>
      <c r="O80" s="15">
        <f t="shared" si="36"/>
        <v>86</v>
      </c>
      <c r="P80" s="15">
        <f t="shared" si="35"/>
        <v>127.5</v>
      </c>
      <c r="R80" s="8"/>
      <c r="T80"/>
    </row>
    <row r="81" spans="2:20" ht="23.1" customHeight="1" x14ac:dyDescent="0.25">
      <c r="B81" s="23" t="s">
        <v>121</v>
      </c>
      <c r="C81" s="49">
        <f>'Avg Week Busega-Masanafu'!C81+'Avg Week Masanafu-Busega'!C81</f>
        <v>37.5</v>
      </c>
      <c r="D81" s="49">
        <f>'Avg Week Busega-Masanafu'!D81+'Avg Week Masanafu-Busega'!D81</f>
        <v>2.5</v>
      </c>
      <c r="E81" s="49">
        <f>'Avg Week Busega-Masanafu'!E81+'Avg Week Masanafu-Busega'!E81</f>
        <v>4</v>
      </c>
      <c r="F81" s="49">
        <f>'Avg Week Busega-Masanafu'!F81+'Avg Week Masanafu-Busega'!F81</f>
        <v>7</v>
      </c>
      <c r="G81" s="49">
        <f>'Avg Week Busega-Masanafu'!G81+'Avg Week Masanafu-Busega'!G81</f>
        <v>0</v>
      </c>
      <c r="H81" s="49">
        <f>'Avg Week Busega-Masanafu'!H81+'Avg Week Masanafu-Busega'!H81</f>
        <v>0.5</v>
      </c>
      <c r="I81" s="49">
        <f>'Avg Week Busega-Masanafu'!I81+'Avg Week Masanafu-Busega'!I81</f>
        <v>8.5</v>
      </c>
      <c r="J81" s="49">
        <f>'Avg Week Busega-Masanafu'!J81+'Avg Week Masanafu-Busega'!J81</f>
        <v>7</v>
      </c>
      <c r="K81" s="49">
        <f>'Avg Week Busega-Masanafu'!K81+'Avg Week Masanafu-Busega'!K81</f>
        <v>11</v>
      </c>
      <c r="L81" s="49">
        <f>'Avg Week Busega-Masanafu'!L81+'Avg Week Masanafu-Busega'!L81</f>
        <v>5.5</v>
      </c>
      <c r="M81" s="49">
        <f>'Avg Week Busega-Masanafu'!M81+'Avg Week Masanafu-Busega'!M81</f>
        <v>41</v>
      </c>
      <c r="N81" s="49">
        <f>'Avg Week Busega-Masanafu'!N81+'Avg Week Masanafu-Busega'!N81</f>
        <v>0</v>
      </c>
      <c r="O81" s="15">
        <f t="shared" si="36"/>
        <v>83.5</v>
      </c>
      <c r="P81" s="15">
        <f t="shared" si="35"/>
        <v>124.5</v>
      </c>
      <c r="R81" s="8"/>
      <c r="T81"/>
    </row>
    <row r="82" spans="2:20" ht="23.1" customHeight="1" x14ac:dyDescent="0.25">
      <c r="B82" s="24" t="s">
        <v>122</v>
      </c>
      <c r="C82" s="49">
        <f>'Avg Week Busega-Masanafu'!C82+'Avg Week Masanafu-Busega'!C82</f>
        <v>32</v>
      </c>
      <c r="D82" s="49">
        <f>'Avg Week Busega-Masanafu'!D82+'Avg Week Masanafu-Busega'!D82</f>
        <v>3</v>
      </c>
      <c r="E82" s="49">
        <f>'Avg Week Busega-Masanafu'!E82+'Avg Week Masanafu-Busega'!E82</f>
        <v>8</v>
      </c>
      <c r="F82" s="49">
        <f>'Avg Week Busega-Masanafu'!F82+'Avg Week Masanafu-Busega'!F82</f>
        <v>7</v>
      </c>
      <c r="G82" s="49">
        <f>'Avg Week Busega-Masanafu'!G82+'Avg Week Masanafu-Busega'!G82</f>
        <v>1</v>
      </c>
      <c r="H82" s="49">
        <f>'Avg Week Busega-Masanafu'!H82+'Avg Week Masanafu-Busega'!H82</f>
        <v>0</v>
      </c>
      <c r="I82" s="49">
        <f>'Avg Week Busega-Masanafu'!I82+'Avg Week Masanafu-Busega'!I82</f>
        <v>10</v>
      </c>
      <c r="J82" s="49">
        <f>'Avg Week Busega-Masanafu'!J82+'Avg Week Masanafu-Busega'!J82</f>
        <v>7</v>
      </c>
      <c r="K82" s="49">
        <f>'Avg Week Busega-Masanafu'!K82+'Avg Week Masanafu-Busega'!K82</f>
        <v>12</v>
      </c>
      <c r="L82" s="49">
        <f>'Avg Week Busega-Masanafu'!L82+'Avg Week Masanafu-Busega'!L82</f>
        <v>7</v>
      </c>
      <c r="M82" s="49">
        <f>'Avg Week Busega-Masanafu'!M82+'Avg Week Masanafu-Busega'!M82</f>
        <v>37</v>
      </c>
      <c r="N82" s="49">
        <f>'Avg Week Busega-Masanafu'!N82+'Avg Week Masanafu-Busega'!N82</f>
        <v>0</v>
      </c>
      <c r="O82" s="15">
        <f t="shared" si="36"/>
        <v>87</v>
      </c>
      <c r="P82" s="15">
        <f t="shared" si="35"/>
        <v>124</v>
      </c>
      <c r="R82" s="8"/>
      <c r="T82"/>
    </row>
    <row r="83" spans="2:20" ht="23.1" customHeight="1" x14ac:dyDescent="0.25">
      <c r="B83" s="23" t="s">
        <v>123</v>
      </c>
      <c r="C83" s="49">
        <f>'Avg Week Busega-Masanafu'!C83+'Avg Week Masanafu-Busega'!C83</f>
        <v>25.5</v>
      </c>
      <c r="D83" s="49">
        <f>'Avg Week Busega-Masanafu'!D83+'Avg Week Masanafu-Busega'!D83</f>
        <v>5</v>
      </c>
      <c r="E83" s="49">
        <f>'Avg Week Busega-Masanafu'!E83+'Avg Week Masanafu-Busega'!E83</f>
        <v>4.5</v>
      </c>
      <c r="F83" s="49">
        <f>'Avg Week Busega-Masanafu'!F83+'Avg Week Masanafu-Busega'!F83</f>
        <v>7.5</v>
      </c>
      <c r="G83" s="49">
        <f>'Avg Week Busega-Masanafu'!G83+'Avg Week Masanafu-Busega'!G83</f>
        <v>0</v>
      </c>
      <c r="H83" s="49">
        <f>'Avg Week Busega-Masanafu'!H83+'Avg Week Masanafu-Busega'!H83</f>
        <v>0</v>
      </c>
      <c r="I83" s="49">
        <f>'Avg Week Busega-Masanafu'!I83+'Avg Week Masanafu-Busega'!I83</f>
        <v>7</v>
      </c>
      <c r="J83" s="49">
        <f>'Avg Week Busega-Masanafu'!J83+'Avg Week Masanafu-Busega'!J83</f>
        <v>4</v>
      </c>
      <c r="K83" s="49">
        <f>'Avg Week Busega-Masanafu'!K83+'Avg Week Masanafu-Busega'!K83</f>
        <v>3</v>
      </c>
      <c r="L83" s="49">
        <f>'Avg Week Busega-Masanafu'!L83+'Avg Week Masanafu-Busega'!L83</f>
        <v>4.5</v>
      </c>
      <c r="M83" s="49">
        <f>'Avg Week Busega-Masanafu'!M83+'Avg Week Masanafu-Busega'!M83</f>
        <v>27.5</v>
      </c>
      <c r="N83" s="49">
        <f>'Avg Week Busega-Masanafu'!N83+'Avg Week Masanafu-Busega'!N83</f>
        <v>0</v>
      </c>
      <c r="O83" s="15">
        <f t="shared" si="36"/>
        <v>61</v>
      </c>
      <c r="P83" s="15">
        <f t="shared" si="35"/>
        <v>88.5</v>
      </c>
      <c r="R83" s="8"/>
      <c r="T83"/>
    </row>
    <row r="84" spans="2:20" ht="23.1" customHeight="1" x14ac:dyDescent="0.25">
      <c r="B84" s="25" t="s">
        <v>124</v>
      </c>
      <c r="C84" s="49">
        <f>'Avg Week Busega-Masanafu'!C84+'Avg Week Masanafu-Busega'!C84</f>
        <v>23</v>
      </c>
      <c r="D84" s="49">
        <f>'Avg Week Busega-Masanafu'!D84+'Avg Week Masanafu-Busega'!D84</f>
        <v>5</v>
      </c>
      <c r="E84" s="49">
        <f>'Avg Week Busega-Masanafu'!E84+'Avg Week Masanafu-Busega'!E84</f>
        <v>3</v>
      </c>
      <c r="F84" s="49">
        <f>'Avg Week Busega-Masanafu'!F84+'Avg Week Masanafu-Busega'!F84</f>
        <v>9</v>
      </c>
      <c r="G84" s="49">
        <f>'Avg Week Busega-Masanafu'!G84+'Avg Week Masanafu-Busega'!G84</f>
        <v>0.5</v>
      </c>
      <c r="H84" s="49">
        <f>'Avg Week Busega-Masanafu'!H84+'Avg Week Masanafu-Busega'!H84</f>
        <v>0</v>
      </c>
      <c r="I84" s="49">
        <f>'Avg Week Busega-Masanafu'!I84+'Avg Week Masanafu-Busega'!I84</f>
        <v>8.5</v>
      </c>
      <c r="J84" s="49">
        <f>'Avg Week Busega-Masanafu'!J84+'Avg Week Masanafu-Busega'!J84</f>
        <v>3</v>
      </c>
      <c r="K84" s="49">
        <f>'Avg Week Busega-Masanafu'!K84+'Avg Week Masanafu-Busega'!K84</f>
        <v>5</v>
      </c>
      <c r="L84" s="49">
        <f>'Avg Week Busega-Masanafu'!L84+'Avg Week Masanafu-Busega'!L84</f>
        <v>4</v>
      </c>
      <c r="M84" s="49">
        <f>'Avg Week Busega-Masanafu'!M84+'Avg Week Masanafu-Busega'!M84</f>
        <v>25.5</v>
      </c>
      <c r="N84" s="49">
        <f>'Avg Week Busega-Masanafu'!N84+'Avg Week Masanafu-Busega'!N84</f>
        <v>0</v>
      </c>
      <c r="O84" s="15">
        <f t="shared" si="36"/>
        <v>61</v>
      </c>
      <c r="P84" s="15">
        <f t="shared" si="35"/>
        <v>86.5</v>
      </c>
      <c r="R84" s="8"/>
      <c r="T84"/>
    </row>
    <row r="85" spans="2:20" ht="23.1" customHeight="1" x14ac:dyDescent="0.25">
      <c r="B85" s="23" t="s">
        <v>125</v>
      </c>
      <c r="C85" s="49">
        <f>'Avg Week Busega-Masanafu'!C85+'Avg Week Masanafu-Busega'!C85</f>
        <v>22</v>
      </c>
      <c r="D85" s="49">
        <f>'Avg Week Busega-Masanafu'!D85+'Avg Week Masanafu-Busega'!D85</f>
        <v>4.5</v>
      </c>
      <c r="E85" s="49">
        <f>'Avg Week Busega-Masanafu'!E85+'Avg Week Masanafu-Busega'!E85</f>
        <v>6.5</v>
      </c>
      <c r="F85" s="49">
        <f>'Avg Week Busega-Masanafu'!F85+'Avg Week Masanafu-Busega'!F85</f>
        <v>5.5</v>
      </c>
      <c r="G85" s="49">
        <f>'Avg Week Busega-Masanafu'!G85+'Avg Week Masanafu-Busega'!G85</f>
        <v>1</v>
      </c>
      <c r="H85" s="49">
        <f>'Avg Week Busega-Masanafu'!H85+'Avg Week Masanafu-Busega'!H85</f>
        <v>0.5</v>
      </c>
      <c r="I85" s="49">
        <f>'Avg Week Busega-Masanafu'!I85+'Avg Week Masanafu-Busega'!I85</f>
        <v>6</v>
      </c>
      <c r="J85" s="49">
        <f>'Avg Week Busega-Masanafu'!J85+'Avg Week Masanafu-Busega'!J85</f>
        <v>7.5</v>
      </c>
      <c r="K85" s="49">
        <f>'Avg Week Busega-Masanafu'!K85+'Avg Week Masanafu-Busega'!K85</f>
        <v>7</v>
      </c>
      <c r="L85" s="49">
        <f>'Avg Week Busega-Masanafu'!L85+'Avg Week Masanafu-Busega'!L85</f>
        <v>5</v>
      </c>
      <c r="M85" s="49">
        <f>'Avg Week Busega-Masanafu'!M85+'Avg Week Masanafu-Busega'!M85</f>
        <v>22.5</v>
      </c>
      <c r="N85" s="49">
        <f>'Avg Week Busega-Masanafu'!N85+'Avg Week Masanafu-Busega'!N85</f>
        <v>0</v>
      </c>
      <c r="O85" s="15">
        <f t="shared" si="36"/>
        <v>65.5</v>
      </c>
      <c r="P85" s="15">
        <f t="shared" si="35"/>
        <v>88</v>
      </c>
      <c r="R85" s="8"/>
      <c r="T85"/>
    </row>
    <row r="86" spans="2:20" ht="23.1" customHeight="1" x14ac:dyDescent="0.25">
      <c r="B86" s="24" t="s">
        <v>126</v>
      </c>
      <c r="C86" s="49">
        <f>'Avg Week Busega-Masanafu'!C86+'Avg Week Masanafu-Busega'!C86</f>
        <v>19.5</v>
      </c>
      <c r="D86" s="49">
        <f>'Avg Week Busega-Masanafu'!D86+'Avg Week Masanafu-Busega'!D86</f>
        <v>4</v>
      </c>
      <c r="E86" s="49">
        <f>'Avg Week Busega-Masanafu'!E86+'Avg Week Masanafu-Busega'!E86</f>
        <v>5</v>
      </c>
      <c r="F86" s="49">
        <f>'Avg Week Busega-Masanafu'!F86+'Avg Week Masanafu-Busega'!F86</f>
        <v>3.5</v>
      </c>
      <c r="G86" s="49">
        <f>'Avg Week Busega-Masanafu'!G86+'Avg Week Masanafu-Busega'!G86</f>
        <v>0.5</v>
      </c>
      <c r="H86" s="49">
        <f>'Avg Week Busega-Masanafu'!H86+'Avg Week Masanafu-Busega'!H86</f>
        <v>0.5</v>
      </c>
      <c r="I86" s="49">
        <f>'Avg Week Busega-Masanafu'!I86+'Avg Week Masanafu-Busega'!I86</f>
        <v>10.5</v>
      </c>
      <c r="J86" s="49">
        <f>'Avg Week Busega-Masanafu'!J86+'Avg Week Masanafu-Busega'!J86</f>
        <v>6</v>
      </c>
      <c r="K86" s="49">
        <f>'Avg Week Busega-Masanafu'!K86+'Avg Week Masanafu-Busega'!K86</f>
        <v>7.5</v>
      </c>
      <c r="L86" s="49">
        <f>'Avg Week Busega-Masanafu'!L86+'Avg Week Masanafu-Busega'!L86</f>
        <v>4.5</v>
      </c>
      <c r="M86" s="49">
        <f>'Avg Week Busega-Masanafu'!M86+'Avg Week Masanafu-Busega'!M86</f>
        <v>18</v>
      </c>
      <c r="N86" s="49">
        <f>'Avg Week Busega-Masanafu'!N86+'Avg Week Masanafu-Busega'!N86</f>
        <v>0</v>
      </c>
      <c r="O86" s="15">
        <f t="shared" si="36"/>
        <v>61.5</v>
      </c>
      <c r="P86" s="15">
        <f t="shared" si="35"/>
        <v>79.5</v>
      </c>
      <c r="R86" s="8"/>
      <c r="T86"/>
    </row>
    <row r="87" spans="2:20" ht="23.1" customHeight="1" x14ac:dyDescent="0.25">
      <c r="B87" s="23" t="s">
        <v>127</v>
      </c>
      <c r="C87" s="49">
        <f>'Avg Week Busega-Masanafu'!C87+'Avg Week Masanafu-Busega'!C87</f>
        <v>20.5</v>
      </c>
      <c r="D87" s="49">
        <f>'Avg Week Busega-Masanafu'!D87+'Avg Week Masanafu-Busega'!D87</f>
        <v>1</v>
      </c>
      <c r="E87" s="49">
        <f>'Avg Week Busega-Masanafu'!E87+'Avg Week Masanafu-Busega'!E87</f>
        <v>5</v>
      </c>
      <c r="F87" s="49">
        <f>'Avg Week Busega-Masanafu'!F87+'Avg Week Masanafu-Busega'!F87</f>
        <v>4.5</v>
      </c>
      <c r="G87" s="49">
        <f>'Avg Week Busega-Masanafu'!G87+'Avg Week Masanafu-Busega'!G87</f>
        <v>0</v>
      </c>
      <c r="H87" s="49">
        <f>'Avg Week Busega-Masanafu'!H87+'Avg Week Masanafu-Busega'!H87</f>
        <v>0</v>
      </c>
      <c r="I87" s="49">
        <f>'Avg Week Busega-Masanafu'!I87+'Avg Week Masanafu-Busega'!I87</f>
        <v>7.5</v>
      </c>
      <c r="J87" s="49">
        <f>'Avg Week Busega-Masanafu'!J87+'Avg Week Masanafu-Busega'!J87</f>
        <v>10.5</v>
      </c>
      <c r="K87" s="49">
        <f>'Avg Week Busega-Masanafu'!K87+'Avg Week Masanafu-Busega'!K87</f>
        <v>6</v>
      </c>
      <c r="L87" s="49">
        <f>'Avg Week Busega-Masanafu'!L87+'Avg Week Masanafu-Busega'!L87</f>
        <v>2.5</v>
      </c>
      <c r="M87" s="49">
        <f>'Avg Week Busega-Masanafu'!M87+'Avg Week Masanafu-Busega'!M87</f>
        <v>19</v>
      </c>
      <c r="N87" s="49">
        <f>'Avg Week Busega-Masanafu'!N87+'Avg Week Masanafu-Busega'!N87</f>
        <v>0</v>
      </c>
      <c r="O87" s="15">
        <f t="shared" si="36"/>
        <v>57.5</v>
      </c>
      <c r="P87" s="15">
        <f t="shared" si="35"/>
        <v>76.5</v>
      </c>
      <c r="R87" s="8"/>
      <c r="T87"/>
    </row>
    <row r="88" spans="2:20" ht="23.1" customHeight="1" x14ac:dyDescent="0.25">
      <c r="B88" s="25" t="s">
        <v>128</v>
      </c>
      <c r="C88" s="49">
        <f>'Avg Week Busega-Masanafu'!C88+'Avg Week Masanafu-Busega'!C88</f>
        <v>16</v>
      </c>
      <c r="D88" s="49">
        <f>'Avg Week Busega-Masanafu'!D88+'Avg Week Masanafu-Busega'!D88</f>
        <v>0.5</v>
      </c>
      <c r="E88" s="49">
        <f>'Avg Week Busega-Masanafu'!E88+'Avg Week Masanafu-Busega'!E88</f>
        <v>3.5</v>
      </c>
      <c r="F88" s="49">
        <f>'Avg Week Busega-Masanafu'!F88+'Avg Week Masanafu-Busega'!F88</f>
        <v>4.5</v>
      </c>
      <c r="G88" s="49">
        <f>'Avg Week Busega-Masanafu'!G88+'Avg Week Masanafu-Busega'!G88</f>
        <v>0</v>
      </c>
      <c r="H88" s="49">
        <f>'Avg Week Busega-Masanafu'!H88+'Avg Week Masanafu-Busega'!H88</f>
        <v>0.5</v>
      </c>
      <c r="I88" s="49">
        <f>'Avg Week Busega-Masanafu'!I88+'Avg Week Masanafu-Busega'!I88</f>
        <v>8.5</v>
      </c>
      <c r="J88" s="49">
        <f>'Avg Week Busega-Masanafu'!J88+'Avg Week Masanafu-Busega'!J88</f>
        <v>10</v>
      </c>
      <c r="K88" s="49">
        <f>'Avg Week Busega-Masanafu'!K88+'Avg Week Masanafu-Busega'!K88</f>
        <v>5.5</v>
      </c>
      <c r="L88" s="49">
        <f>'Avg Week Busega-Masanafu'!L88+'Avg Week Masanafu-Busega'!L88</f>
        <v>5.5</v>
      </c>
      <c r="M88" s="49">
        <f>'Avg Week Busega-Masanafu'!M88+'Avg Week Masanafu-Busega'!M88</f>
        <v>24</v>
      </c>
      <c r="N88" s="49">
        <f>'Avg Week Busega-Masanafu'!N88+'Avg Week Masanafu-Busega'!N88</f>
        <v>0</v>
      </c>
      <c r="O88" s="15">
        <f t="shared" si="36"/>
        <v>54.5</v>
      </c>
      <c r="P88" s="15">
        <f t="shared" si="35"/>
        <v>78.5</v>
      </c>
      <c r="R88" s="8"/>
      <c r="T88"/>
    </row>
    <row r="89" spans="2:20" ht="23.1" customHeight="1" x14ac:dyDescent="0.25">
      <c r="B89" s="23" t="s">
        <v>129</v>
      </c>
      <c r="C89" s="49">
        <f>'Avg Week Busega-Masanafu'!C89+'Avg Week Masanafu-Busega'!C89</f>
        <v>16</v>
      </c>
      <c r="D89" s="49">
        <f>'Avg Week Busega-Masanafu'!D89+'Avg Week Masanafu-Busega'!D89</f>
        <v>1.5</v>
      </c>
      <c r="E89" s="49">
        <f>'Avg Week Busega-Masanafu'!E89+'Avg Week Masanafu-Busega'!E89</f>
        <v>4</v>
      </c>
      <c r="F89" s="49">
        <f>'Avg Week Busega-Masanafu'!F89+'Avg Week Masanafu-Busega'!F89</f>
        <v>3.5</v>
      </c>
      <c r="G89" s="49">
        <f>'Avg Week Busega-Masanafu'!G89+'Avg Week Masanafu-Busega'!G89</f>
        <v>0.5</v>
      </c>
      <c r="H89" s="49">
        <f>'Avg Week Busega-Masanafu'!H89+'Avg Week Masanafu-Busega'!H89</f>
        <v>0</v>
      </c>
      <c r="I89" s="49">
        <f>'Avg Week Busega-Masanafu'!I89+'Avg Week Masanafu-Busega'!I89</f>
        <v>4</v>
      </c>
      <c r="J89" s="49">
        <f>'Avg Week Busega-Masanafu'!J89+'Avg Week Masanafu-Busega'!J89</f>
        <v>13.5</v>
      </c>
      <c r="K89" s="49">
        <f>'Avg Week Busega-Masanafu'!K89+'Avg Week Masanafu-Busega'!K89</f>
        <v>8</v>
      </c>
      <c r="L89" s="49">
        <f>'Avg Week Busega-Masanafu'!L89+'Avg Week Masanafu-Busega'!L89</f>
        <v>1</v>
      </c>
      <c r="M89" s="49">
        <f>'Avg Week Busega-Masanafu'!M89+'Avg Week Masanafu-Busega'!M89</f>
        <v>22</v>
      </c>
      <c r="N89" s="49">
        <f>'Avg Week Busega-Masanafu'!N89+'Avg Week Masanafu-Busega'!N89</f>
        <v>0</v>
      </c>
      <c r="O89" s="15">
        <f t="shared" si="36"/>
        <v>52</v>
      </c>
      <c r="P89" s="15">
        <f t="shared" si="35"/>
        <v>74</v>
      </c>
      <c r="R89" s="8"/>
      <c r="T89"/>
    </row>
    <row r="90" spans="2:20" ht="23.1" customHeight="1" x14ac:dyDescent="0.25">
      <c r="B90" s="24" t="s">
        <v>130</v>
      </c>
      <c r="C90" s="49">
        <f>'Avg Week Busega-Masanafu'!C90+'Avg Week Masanafu-Busega'!C90</f>
        <v>14</v>
      </c>
      <c r="D90" s="49">
        <f>'Avg Week Busega-Masanafu'!D90+'Avg Week Masanafu-Busega'!D90</f>
        <v>1.5</v>
      </c>
      <c r="E90" s="49">
        <f>'Avg Week Busega-Masanafu'!E90+'Avg Week Masanafu-Busega'!E90</f>
        <v>2.5</v>
      </c>
      <c r="F90" s="49">
        <f>'Avg Week Busega-Masanafu'!F90+'Avg Week Masanafu-Busega'!F90</f>
        <v>2.5</v>
      </c>
      <c r="G90" s="49">
        <f>'Avg Week Busega-Masanafu'!G90+'Avg Week Masanafu-Busega'!G90</f>
        <v>0</v>
      </c>
      <c r="H90" s="49">
        <f>'Avg Week Busega-Masanafu'!H90+'Avg Week Masanafu-Busega'!H90</f>
        <v>0.5</v>
      </c>
      <c r="I90" s="49">
        <f>'Avg Week Busega-Masanafu'!I90+'Avg Week Masanafu-Busega'!I90</f>
        <v>10</v>
      </c>
      <c r="J90" s="49">
        <f>'Avg Week Busega-Masanafu'!J90+'Avg Week Masanafu-Busega'!J90</f>
        <v>20.5</v>
      </c>
      <c r="K90" s="49">
        <f>'Avg Week Busega-Masanafu'!K90+'Avg Week Masanafu-Busega'!K90</f>
        <v>6</v>
      </c>
      <c r="L90" s="49">
        <f>'Avg Week Busega-Masanafu'!L90+'Avg Week Masanafu-Busega'!L90</f>
        <v>6</v>
      </c>
      <c r="M90" s="49">
        <f>'Avg Week Busega-Masanafu'!M90+'Avg Week Masanafu-Busega'!M90</f>
        <v>16</v>
      </c>
      <c r="N90" s="49">
        <f>'Avg Week Busega-Masanafu'!N90+'Avg Week Masanafu-Busega'!N90</f>
        <v>0</v>
      </c>
      <c r="O90" s="15">
        <f t="shared" si="36"/>
        <v>63.5</v>
      </c>
      <c r="P90" s="15">
        <f t="shared" si="35"/>
        <v>79.5</v>
      </c>
      <c r="R90" s="8"/>
      <c r="T90"/>
    </row>
    <row r="91" spans="2:20" ht="23.1" customHeight="1" x14ac:dyDescent="0.25">
      <c r="B91" s="23" t="s">
        <v>131</v>
      </c>
      <c r="C91" s="49">
        <f>'Avg Week Busega-Masanafu'!C91+'Avg Week Masanafu-Busega'!C91</f>
        <v>12.5</v>
      </c>
      <c r="D91" s="49">
        <f>'Avg Week Busega-Masanafu'!D91+'Avg Week Masanafu-Busega'!D91</f>
        <v>2.5</v>
      </c>
      <c r="E91" s="49">
        <f>'Avg Week Busega-Masanafu'!E91+'Avg Week Masanafu-Busega'!E91</f>
        <v>3.5</v>
      </c>
      <c r="F91" s="49">
        <f>'Avg Week Busega-Masanafu'!F91+'Avg Week Masanafu-Busega'!F91</f>
        <v>3.5</v>
      </c>
      <c r="G91" s="49">
        <f>'Avg Week Busega-Masanafu'!G91+'Avg Week Masanafu-Busega'!G91</f>
        <v>1</v>
      </c>
      <c r="H91" s="49">
        <f>'Avg Week Busega-Masanafu'!H91+'Avg Week Masanafu-Busega'!H91</f>
        <v>0.5</v>
      </c>
      <c r="I91" s="49">
        <f>'Avg Week Busega-Masanafu'!I91+'Avg Week Masanafu-Busega'!I91</f>
        <v>11</v>
      </c>
      <c r="J91" s="49">
        <f>'Avg Week Busega-Masanafu'!J91+'Avg Week Masanafu-Busega'!J91</f>
        <v>18</v>
      </c>
      <c r="K91" s="49">
        <f>'Avg Week Busega-Masanafu'!K91+'Avg Week Masanafu-Busega'!K91</f>
        <v>6</v>
      </c>
      <c r="L91" s="49">
        <f>'Avg Week Busega-Masanafu'!L91+'Avg Week Masanafu-Busega'!L91</f>
        <v>4.5</v>
      </c>
      <c r="M91" s="49">
        <f>'Avg Week Busega-Masanafu'!M91+'Avg Week Masanafu-Busega'!M91</f>
        <v>19</v>
      </c>
      <c r="N91" s="49">
        <f>'Avg Week Busega-Masanafu'!N91+'Avg Week Masanafu-Busega'!N91</f>
        <v>0</v>
      </c>
      <c r="O91" s="15">
        <f t="shared" si="36"/>
        <v>63</v>
      </c>
      <c r="P91" s="15">
        <f t="shared" si="35"/>
        <v>82</v>
      </c>
      <c r="R91" s="8"/>
      <c r="T91"/>
    </row>
    <row r="92" spans="2:20" ht="23.1" customHeight="1" x14ac:dyDescent="0.25">
      <c r="B92" s="25" t="s">
        <v>132</v>
      </c>
      <c r="C92" s="49">
        <f>'Avg Week Busega-Masanafu'!C92+'Avg Week Masanafu-Busega'!C92</f>
        <v>13.5</v>
      </c>
      <c r="D92" s="49">
        <f>'Avg Week Busega-Masanafu'!D92+'Avg Week Masanafu-Busega'!D92</f>
        <v>4</v>
      </c>
      <c r="E92" s="49">
        <f>'Avg Week Busega-Masanafu'!E92+'Avg Week Masanafu-Busega'!E92</f>
        <v>5.5</v>
      </c>
      <c r="F92" s="49">
        <f>'Avg Week Busega-Masanafu'!F92+'Avg Week Masanafu-Busega'!F92</f>
        <v>1</v>
      </c>
      <c r="G92" s="49">
        <f>'Avg Week Busega-Masanafu'!G92+'Avg Week Masanafu-Busega'!G92</f>
        <v>0.5</v>
      </c>
      <c r="H92" s="49">
        <f>'Avg Week Busega-Masanafu'!H92+'Avg Week Masanafu-Busega'!H92</f>
        <v>0</v>
      </c>
      <c r="I92" s="49">
        <f>'Avg Week Busega-Masanafu'!I92+'Avg Week Masanafu-Busega'!I92</f>
        <v>10.5</v>
      </c>
      <c r="J92" s="49">
        <f>'Avg Week Busega-Masanafu'!J92+'Avg Week Masanafu-Busega'!J92</f>
        <v>13</v>
      </c>
      <c r="K92" s="49">
        <f>'Avg Week Busega-Masanafu'!K92+'Avg Week Masanafu-Busega'!K92</f>
        <v>3.5</v>
      </c>
      <c r="L92" s="49">
        <f>'Avg Week Busega-Masanafu'!L92+'Avg Week Masanafu-Busega'!L92</f>
        <v>4</v>
      </c>
      <c r="M92" s="49">
        <f>'Avg Week Busega-Masanafu'!M92+'Avg Week Masanafu-Busega'!M92</f>
        <v>16.5</v>
      </c>
      <c r="N92" s="49">
        <f>'Avg Week Busega-Masanafu'!N92+'Avg Week Masanafu-Busega'!N92</f>
        <v>0</v>
      </c>
      <c r="O92" s="15">
        <f t="shared" si="36"/>
        <v>55.5</v>
      </c>
      <c r="P92" s="15">
        <f t="shared" si="35"/>
        <v>72</v>
      </c>
      <c r="R92" s="8"/>
      <c r="T92"/>
    </row>
    <row r="93" spans="2:20" ht="23.1" customHeight="1" x14ac:dyDescent="0.25">
      <c r="B93" s="23" t="s">
        <v>133</v>
      </c>
      <c r="C93" s="49">
        <f>'Avg Week Busega-Masanafu'!C93+'Avg Week Masanafu-Busega'!C93</f>
        <v>18.5</v>
      </c>
      <c r="D93" s="49">
        <f>'Avg Week Busega-Masanafu'!D93+'Avg Week Masanafu-Busega'!D93</f>
        <v>2</v>
      </c>
      <c r="E93" s="49">
        <f>'Avg Week Busega-Masanafu'!E93+'Avg Week Masanafu-Busega'!E93</f>
        <v>5</v>
      </c>
      <c r="F93" s="49">
        <f>'Avg Week Busega-Masanafu'!F93+'Avg Week Masanafu-Busega'!F93</f>
        <v>3</v>
      </c>
      <c r="G93" s="49">
        <f>'Avg Week Busega-Masanafu'!G93+'Avg Week Masanafu-Busega'!G93</f>
        <v>0</v>
      </c>
      <c r="H93" s="49">
        <f>'Avg Week Busega-Masanafu'!H93+'Avg Week Masanafu-Busega'!H93</f>
        <v>1</v>
      </c>
      <c r="I93" s="49">
        <f>'Avg Week Busega-Masanafu'!I93+'Avg Week Masanafu-Busega'!I93</f>
        <v>10</v>
      </c>
      <c r="J93" s="49">
        <f>'Avg Week Busega-Masanafu'!J93+'Avg Week Masanafu-Busega'!J93</f>
        <v>12.5</v>
      </c>
      <c r="K93" s="49">
        <f>'Avg Week Busega-Masanafu'!K93+'Avg Week Masanafu-Busega'!K93</f>
        <v>4</v>
      </c>
      <c r="L93" s="49">
        <f>'Avg Week Busega-Masanafu'!L93+'Avg Week Masanafu-Busega'!L93</f>
        <v>5.5</v>
      </c>
      <c r="M93" s="49">
        <f>'Avg Week Busega-Masanafu'!M93+'Avg Week Masanafu-Busega'!M93</f>
        <v>20.5</v>
      </c>
      <c r="N93" s="49">
        <f>'Avg Week Busega-Masanafu'!N93+'Avg Week Masanafu-Busega'!N93</f>
        <v>0</v>
      </c>
      <c r="O93" s="15">
        <f t="shared" si="36"/>
        <v>61.5</v>
      </c>
      <c r="P93" s="15">
        <f t="shared" si="35"/>
        <v>82</v>
      </c>
      <c r="R93" s="8"/>
      <c r="T93"/>
    </row>
    <row r="94" spans="2:20" ht="23.1" customHeight="1" x14ac:dyDescent="0.25">
      <c r="B94" s="24" t="s">
        <v>134</v>
      </c>
      <c r="C94" s="49">
        <f>'Avg Week Busega-Masanafu'!C94+'Avg Week Masanafu-Busega'!C94</f>
        <v>21.5</v>
      </c>
      <c r="D94" s="49">
        <f>'Avg Week Busega-Masanafu'!D94+'Avg Week Masanafu-Busega'!D94</f>
        <v>6.5</v>
      </c>
      <c r="E94" s="49">
        <f>'Avg Week Busega-Masanafu'!E94+'Avg Week Masanafu-Busega'!E94</f>
        <v>4</v>
      </c>
      <c r="F94" s="49">
        <f>'Avg Week Busega-Masanafu'!F94+'Avg Week Masanafu-Busega'!F94</f>
        <v>4.5</v>
      </c>
      <c r="G94" s="49">
        <f>'Avg Week Busega-Masanafu'!G94+'Avg Week Masanafu-Busega'!G94</f>
        <v>0</v>
      </c>
      <c r="H94" s="49">
        <f>'Avg Week Busega-Masanafu'!H94+'Avg Week Masanafu-Busega'!H94</f>
        <v>1.5</v>
      </c>
      <c r="I94" s="49">
        <f>'Avg Week Busega-Masanafu'!I94+'Avg Week Masanafu-Busega'!I94</f>
        <v>8</v>
      </c>
      <c r="J94" s="49">
        <f>'Avg Week Busega-Masanafu'!J94+'Avg Week Masanafu-Busega'!J94</f>
        <v>13.5</v>
      </c>
      <c r="K94" s="49">
        <f>'Avg Week Busega-Masanafu'!K94+'Avg Week Masanafu-Busega'!K94</f>
        <v>2</v>
      </c>
      <c r="L94" s="49">
        <f>'Avg Week Busega-Masanafu'!L94+'Avg Week Masanafu-Busega'!L94</f>
        <v>3.5</v>
      </c>
      <c r="M94" s="49">
        <f>'Avg Week Busega-Masanafu'!M94+'Avg Week Masanafu-Busega'!M94</f>
        <v>19.5</v>
      </c>
      <c r="N94" s="49">
        <f>'Avg Week Busega-Masanafu'!N94+'Avg Week Masanafu-Busega'!N94</f>
        <v>0</v>
      </c>
      <c r="O94" s="15">
        <f t="shared" si="36"/>
        <v>65</v>
      </c>
      <c r="P94" s="15">
        <f t="shared" si="35"/>
        <v>84.5</v>
      </c>
      <c r="R94" s="8"/>
      <c r="T94"/>
    </row>
    <row r="95" spans="2:20" ht="23.1" customHeight="1" x14ac:dyDescent="0.25">
      <c r="B95" s="23" t="s">
        <v>135</v>
      </c>
      <c r="C95" s="49">
        <f>'Avg Week Busega-Masanafu'!C95+'Avg Week Masanafu-Busega'!C95</f>
        <v>21.5</v>
      </c>
      <c r="D95" s="49">
        <f>'Avg Week Busega-Masanafu'!D95+'Avg Week Masanafu-Busega'!D95</f>
        <v>6.5</v>
      </c>
      <c r="E95" s="49">
        <f>'Avg Week Busega-Masanafu'!E95+'Avg Week Masanafu-Busega'!E95</f>
        <v>3.5</v>
      </c>
      <c r="F95" s="49">
        <f>'Avg Week Busega-Masanafu'!F95+'Avg Week Masanafu-Busega'!F95</f>
        <v>5.5</v>
      </c>
      <c r="G95" s="49">
        <f>'Avg Week Busega-Masanafu'!G95+'Avg Week Masanafu-Busega'!G95</f>
        <v>1</v>
      </c>
      <c r="H95" s="49">
        <f>'Avg Week Busega-Masanafu'!H95+'Avg Week Masanafu-Busega'!H95</f>
        <v>0</v>
      </c>
      <c r="I95" s="49">
        <f>'Avg Week Busega-Masanafu'!I95+'Avg Week Masanafu-Busega'!I95</f>
        <v>5.5</v>
      </c>
      <c r="J95" s="49">
        <f>'Avg Week Busega-Masanafu'!J95+'Avg Week Masanafu-Busega'!J95</f>
        <v>13</v>
      </c>
      <c r="K95" s="49">
        <f>'Avg Week Busega-Masanafu'!K95+'Avg Week Masanafu-Busega'!K95</f>
        <v>1.5</v>
      </c>
      <c r="L95" s="49">
        <f>'Avg Week Busega-Masanafu'!L95+'Avg Week Masanafu-Busega'!L95</f>
        <v>3</v>
      </c>
      <c r="M95" s="49">
        <f>'Avg Week Busega-Masanafu'!M95+'Avg Week Masanafu-Busega'!M95</f>
        <v>24.5</v>
      </c>
      <c r="N95" s="49">
        <f>'Avg Week Busega-Masanafu'!N95+'Avg Week Masanafu-Busega'!N95</f>
        <v>0</v>
      </c>
      <c r="O95" s="15">
        <f t="shared" si="36"/>
        <v>61</v>
      </c>
      <c r="P95" s="15">
        <f t="shared" si="35"/>
        <v>85.5</v>
      </c>
      <c r="R95" s="8"/>
      <c r="T95"/>
    </row>
    <row r="96" spans="2:20" ht="23.1" customHeight="1" x14ac:dyDescent="0.25">
      <c r="B96" s="25" t="s">
        <v>136</v>
      </c>
      <c r="C96" s="49">
        <f>'Avg Week Busega-Masanafu'!C96+'Avg Week Masanafu-Busega'!C96</f>
        <v>24</v>
      </c>
      <c r="D96" s="49">
        <f>'Avg Week Busega-Masanafu'!D96+'Avg Week Masanafu-Busega'!D96</f>
        <v>6.5</v>
      </c>
      <c r="E96" s="49">
        <f>'Avg Week Busega-Masanafu'!E96+'Avg Week Masanafu-Busega'!E96</f>
        <v>5.5</v>
      </c>
      <c r="F96" s="49">
        <f>'Avg Week Busega-Masanafu'!F96+'Avg Week Masanafu-Busega'!F96</f>
        <v>6</v>
      </c>
      <c r="G96" s="49">
        <f>'Avg Week Busega-Masanafu'!G96+'Avg Week Masanafu-Busega'!G96</f>
        <v>0.5</v>
      </c>
      <c r="H96" s="49">
        <f>'Avg Week Busega-Masanafu'!H96+'Avg Week Masanafu-Busega'!H96</f>
        <v>1.5</v>
      </c>
      <c r="I96" s="49">
        <f>'Avg Week Busega-Masanafu'!I96+'Avg Week Masanafu-Busega'!I96</f>
        <v>5</v>
      </c>
      <c r="J96" s="49">
        <f>'Avg Week Busega-Masanafu'!J96+'Avg Week Masanafu-Busega'!J96</f>
        <v>9</v>
      </c>
      <c r="K96" s="49">
        <f>'Avg Week Busega-Masanafu'!K96+'Avg Week Masanafu-Busega'!K96</f>
        <v>6</v>
      </c>
      <c r="L96" s="49">
        <f>'Avg Week Busega-Masanafu'!L96+'Avg Week Masanafu-Busega'!L96</f>
        <v>5</v>
      </c>
      <c r="M96" s="49">
        <f>'Avg Week Busega-Masanafu'!M96+'Avg Week Masanafu-Busega'!M96</f>
        <v>30.5</v>
      </c>
      <c r="N96" s="49">
        <f>'Avg Week Busega-Masanafu'!N96+'Avg Week Masanafu-Busega'!N96</f>
        <v>0</v>
      </c>
      <c r="O96" s="15">
        <f t="shared" si="36"/>
        <v>69</v>
      </c>
      <c r="P96" s="15">
        <f t="shared" si="35"/>
        <v>99.5</v>
      </c>
      <c r="R96" s="8"/>
      <c r="T96"/>
    </row>
    <row r="97" spans="2:20" ht="23.1" customHeight="1" x14ac:dyDescent="0.25">
      <c r="B97" s="23" t="s">
        <v>137</v>
      </c>
      <c r="C97" s="49">
        <f>'Avg Week Busega-Masanafu'!C97+'Avg Week Masanafu-Busega'!C97</f>
        <v>18</v>
      </c>
      <c r="D97" s="49">
        <f>'Avg Week Busega-Masanafu'!D97+'Avg Week Masanafu-Busega'!D97</f>
        <v>6</v>
      </c>
      <c r="E97" s="49">
        <f>'Avg Week Busega-Masanafu'!E97+'Avg Week Masanafu-Busega'!E97</f>
        <v>6</v>
      </c>
      <c r="F97" s="49">
        <f>'Avg Week Busega-Masanafu'!F97+'Avg Week Masanafu-Busega'!F97</f>
        <v>10</v>
      </c>
      <c r="G97" s="49">
        <f>'Avg Week Busega-Masanafu'!G97+'Avg Week Masanafu-Busega'!G97</f>
        <v>0.5</v>
      </c>
      <c r="H97" s="49">
        <f>'Avg Week Busega-Masanafu'!H97+'Avg Week Masanafu-Busega'!H97</f>
        <v>1</v>
      </c>
      <c r="I97" s="49">
        <f>'Avg Week Busega-Masanafu'!I97+'Avg Week Masanafu-Busega'!I97</f>
        <v>10.5</v>
      </c>
      <c r="J97" s="49">
        <f>'Avg Week Busega-Masanafu'!J97+'Avg Week Masanafu-Busega'!J97</f>
        <v>12.5</v>
      </c>
      <c r="K97" s="49">
        <f>'Avg Week Busega-Masanafu'!K97+'Avg Week Masanafu-Busega'!K97</f>
        <v>6.5</v>
      </c>
      <c r="L97" s="49">
        <f>'Avg Week Busega-Masanafu'!L97+'Avg Week Masanafu-Busega'!L97</f>
        <v>3.5</v>
      </c>
      <c r="M97" s="49">
        <f>'Avg Week Busega-Masanafu'!M97+'Avg Week Masanafu-Busega'!M97</f>
        <v>27.5</v>
      </c>
      <c r="N97" s="49">
        <f>'Avg Week Busega-Masanafu'!N97+'Avg Week Masanafu-Busega'!N97</f>
        <v>0</v>
      </c>
      <c r="O97" s="15">
        <f t="shared" si="36"/>
        <v>74.5</v>
      </c>
      <c r="P97" s="15">
        <f t="shared" si="35"/>
        <v>102</v>
      </c>
      <c r="R97" s="8"/>
      <c r="T97"/>
    </row>
    <row r="98" spans="2:20" ht="23.1" customHeight="1" x14ac:dyDescent="0.25">
      <c r="B98" s="24" t="s">
        <v>138</v>
      </c>
      <c r="C98" s="49">
        <f>'Avg Week Busega-Masanafu'!C98+'Avg Week Masanafu-Busega'!C98</f>
        <v>34</v>
      </c>
      <c r="D98" s="49">
        <f>'Avg Week Busega-Masanafu'!D98+'Avg Week Masanafu-Busega'!D98</f>
        <v>7</v>
      </c>
      <c r="E98" s="49">
        <f>'Avg Week Busega-Masanafu'!E98+'Avg Week Masanafu-Busega'!E98</f>
        <v>6.5</v>
      </c>
      <c r="F98" s="49">
        <f>'Avg Week Busega-Masanafu'!F98+'Avg Week Masanafu-Busega'!F98</f>
        <v>10</v>
      </c>
      <c r="G98" s="49">
        <f>'Avg Week Busega-Masanafu'!G98+'Avg Week Masanafu-Busega'!G98</f>
        <v>1.5</v>
      </c>
      <c r="H98" s="49">
        <f>'Avg Week Busega-Masanafu'!H98+'Avg Week Masanafu-Busega'!H98</f>
        <v>0</v>
      </c>
      <c r="I98" s="49">
        <f>'Avg Week Busega-Masanafu'!I98+'Avg Week Masanafu-Busega'!I98</f>
        <v>9</v>
      </c>
      <c r="J98" s="49">
        <f>'Avg Week Busega-Masanafu'!J98+'Avg Week Masanafu-Busega'!J98</f>
        <v>9.5</v>
      </c>
      <c r="K98" s="49">
        <f>'Avg Week Busega-Masanafu'!K98+'Avg Week Masanafu-Busega'!K98</f>
        <v>1.5</v>
      </c>
      <c r="L98" s="49">
        <f>'Avg Week Busega-Masanafu'!L98+'Avg Week Masanafu-Busega'!L98</f>
        <v>3.5</v>
      </c>
      <c r="M98" s="49">
        <f>'Avg Week Busega-Masanafu'!M98+'Avg Week Masanafu-Busega'!M98</f>
        <v>37</v>
      </c>
      <c r="N98" s="49">
        <f>'Avg Week Busega-Masanafu'!N98+'Avg Week Masanafu-Busega'!N98</f>
        <v>0</v>
      </c>
      <c r="O98" s="15">
        <f t="shared" si="36"/>
        <v>82.5</v>
      </c>
      <c r="P98" s="15">
        <f t="shared" si="35"/>
        <v>119.5</v>
      </c>
      <c r="R98" s="8"/>
      <c r="T98"/>
    </row>
    <row r="99" spans="2:20" ht="23.1" customHeight="1" x14ac:dyDescent="0.25">
      <c r="B99" s="23" t="s">
        <v>139</v>
      </c>
      <c r="C99" s="49">
        <f>'Avg Week Busega-Masanafu'!C99+'Avg Week Masanafu-Busega'!C99</f>
        <v>32</v>
      </c>
      <c r="D99" s="49">
        <f>'Avg Week Busega-Masanafu'!D99+'Avg Week Masanafu-Busega'!D99</f>
        <v>7.5</v>
      </c>
      <c r="E99" s="49">
        <f>'Avg Week Busega-Masanafu'!E99+'Avg Week Masanafu-Busega'!E99</f>
        <v>6</v>
      </c>
      <c r="F99" s="49">
        <f>'Avg Week Busega-Masanafu'!F99+'Avg Week Masanafu-Busega'!F99</f>
        <v>20</v>
      </c>
      <c r="G99" s="49">
        <f>'Avg Week Busega-Masanafu'!G99+'Avg Week Masanafu-Busega'!G99</f>
        <v>0.5</v>
      </c>
      <c r="H99" s="49">
        <f>'Avg Week Busega-Masanafu'!H99+'Avg Week Masanafu-Busega'!H99</f>
        <v>0.5</v>
      </c>
      <c r="I99" s="49">
        <f>'Avg Week Busega-Masanafu'!I99+'Avg Week Masanafu-Busega'!I99</f>
        <v>11</v>
      </c>
      <c r="J99" s="49">
        <f>'Avg Week Busega-Masanafu'!J99+'Avg Week Masanafu-Busega'!J99</f>
        <v>13</v>
      </c>
      <c r="K99" s="49">
        <f>'Avg Week Busega-Masanafu'!K99+'Avg Week Masanafu-Busega'!K99</f>
        <v>0.5</v>
      </c>
      <c r="L99" s="49">
        <f>'Avg Week Busega-Masanafu'!L99+'Avg Week Masanafu-Busega'!L99</f>
        <v>7.5</v>
      </c>
      <c r="M99" s="49">
        <f>'Avg Week Busega-Masanafu'!M99+'Avg Week Masanafu-Busega'!M99</f>
        <v>36</v>
      </c>
      <c r="N99" s="49">
        <f>'Avg Week Busega-Masanafu'!N99+'Avg Week Masanafu-Busega'!N99</f>
        <v>0</v>
      </c>
      <c r="O99" s="15">
        <f t="shared" si="36"/>
        <v>98.5</v>
      </c>
      <c r="P99" s="15">
        <f t="shared" si="35"/>
        <v>134.5</v>
      </c>
      <c r="R99" s="8"/>
      <c r="T99"/>
    </row>
    <row r="100" spans="2:20" ht="23.1" customHeight="1" x14ac:dyDescent="0.25">
      <c r="B100" s="25" t="s">
        <v>140</v>
      </c>
      <c r="C100" s="49">
        <f>'Avg Week Busega-Masanafu'!C100+'Avg Week Masanafu-Busega'!C100</f>
        <v>32.5</v>
      </c>
      <c r="D100" s="49">
        <f>'Avg Week Busega-Masanafu'!D100+'Avg Week Masanafu-Busega'!D100</f>
        <v>4.5</v>
      </c>
      <c r="E100" s="49">
        <f>'Avg Week Busega-Masanafu'!E100+'Avg Week Masanafu-Busega'!E100</f>
        <v>8.5</v>
      </c>
      <c r="F100" s="49">
        <f>'Avg Week Busega-Masanafu'!F100+'Avg Week Masanafu-Busega'!F100</f>
        <v>14</v>
      </c>
      <c r="G100" s="49">
        <f>'Avg Week Busega-Masanafu'!G100+'Avg Week Masanafu-Busega'!G100</f>
        <v>2</v>
      </c>
      <c r="H100" s="49">
        <f>'Avg Week Busega-Masanafu'!H100+'Avg Week Masanafu-Busega'!H100</f>
        <v>0</v>
      </c>
      <c r="I100" s="49">
        <f>'Avg Week Busega-Masanafu'!I100+'Avg Week Masanafu-Busega'!I100</f>
        <v>10.5</v>
      </c>
      <c r="J100" s="49">
        <f>'Avg Week Busega-Masanafu'!J100+'Avg Week Masanafu-Busega'!J100</f>
        <v>17.5</v>
      </c>
      <c r="K100" s="49">
        <f>'Avg Week Busega-Masanafu'!K100+'Avg Week Masanafu-Busega'!K100</f>
        <v>3</v>
      </c>
      <c r="L100" s="49">
        <f>'Avg Week Busega-Masanafu'!L100+'Avg Week Masanafu-Busega'!L100</f>
        <v>9</v>
      </c>
      <c r="M100" s="49">
        <f>'Avg Week Busega-Masanafu'!M100+'Avg Week Masanafu-Busega'!M100</f>
        <v>36.5</v>
      </c>
      <c r="N100" s="49">
        <f>'Avg Week Busega-Masanafu'!N100+'Avg Week Masanafu-Busega'!N100</f>
        <v>0</v>
      </c>
      <c r="O100" s="15">
        <f t="shared" si="36"/>
        <v>101.5</v>
      </c>
      <c r="P100" s="15">
        <f t="shared" si="35"/>
        <v>138</v>
      </c>
      <c r="R100" s="8"/>
      <c r="T100"/>
    </row>
    <row r="101" spans="2:20" ht="23.1" customHeight="1" x14ac:dyDescent="0.25">
      <c r="B101" s="23" t="s">
        <v>141</v>
      </c>
      <c r="C101" s="49">
        <f>'Avg Week Busega-Masanafu'!C101+'Avg Week Masanafu-Busega'!C101</f>
        <v>39.5</v>
      </c>
      <c r="D101" s="49">
        <f>'Avg Week Busega-Masanafu'!D101+'Avg Week Masanafu-Busega'!D101</f>
        <v>8</v>
      </c>
      <c r="E101" s="49">
        <f>'Avg Week Busega-Masanafu'!E101+'Avg Week Masanafu-Busega'!E101</f>
        <v>13</v>
      </c>
      <c r="F101" s="49">
        <f>'Avg Week Busega-Masanafu'!F101+'Avg Week Masanafu-Busega'!F101</f>
        <v>21</v>
      </c>
      <c r="G101" s="49">
        <f>'Avg Week Busega-Masanafu'!G101+'Avg Week Masanafu-Busega'!G101</f>
        <v>3</v>
      </c>
      <c r="H101" s="49">
        <f>'Avg Week Busega-Masanafu'!H101+'Avg Week Masanafu-Busega'!H101</f>
        <v>1</v>
      </c>
      <c r="I101" s="49">
        <f>'Avg Week Busega-Masanafu'!I101+'Avg Week Masanafu-Busega'!I101</f>
        <v>13.5</v>
      </c>
      <c r="J101" s="49">
        <f>'Avg Week Busega-Masanafu'!J101+'Avg Week Masanafu-Busega'!J101</f>
        <v>12.5</v>
      </c>
      <c r="K101" s="49">
        <f>'Avg Week Busega-Masanafu'!K101+'Avg Week Masanafu-Busega'!K101</f>
        <v>5.5</v>
      </c>
      <c r="L101" s="49">
        <f>'Avg Week Busega-Masanafu'!L101+'Avg Week Masanafu-Busega'!L101</f>
        <v>8</v>
      </c>
      <c r="M101" s="49">
        <f>'Avg Week Busega-Masanafu'!M101+'Avg Week Masanafu-Busega'!M101</f>
        <v>43.5</v>
      </c>
      <c r="N101" s="49">
        <f>'Avg Week Busega-Masanafu'!N101+'Avg Week Masanafu-Busega'!N101</f>
        <v>0</v>
      </c>
      <c r="O101" s="15">
        <f t="shared" si="36"/>
        <v>125</v>
      </c>
      <c r="P101" s="15">
        <f t="shared" si="35"/>
        <v>168.5</v>
      </c>
      <c r="R101" s="8"/>
      <c r="T101"/>
    </row>
    <row r="102" spans="2:20" ht="23.1" customHeight="1" x14ac:dyDescent="0.25">
      <c r="B102" s="24" t="s">
        <v>142</v>
      </c>
      <c r="C102" s="49">
        <f>'Avg Week Busega-Masanafu'!C102+'Avg Week Masanafu-Busega'!C102</f>
        <v>39.5</v>
      </c>
      <c r="D102" s="49">
        <f>'Avg Week Busega-Masanafu'!D102+'Avg Week Masanafu-Busega'!D102</f>
        <v>7</v>
      </c>
      <c r="E102" s="49">
        <f>'Avg Week Busega-Masanafu'!E102+'Avg Week Masanafu-Busega'!E102</f>
        <v>13</v>
      </c>
      <c r="F102" s="49">
        <f>'Avg Week Busega-Masanafu'!F102+'Avg Week Masanafu-Busega'!F102</f>
        <v>32</v>
      </c>
      <c r="G102" s="49">
        <f>'Avg Week Busega-Masanafu'!G102+'Avg Week Masanafu-Busega'!G102</f>
        <v>1</v>
      </c>
      <c r="H102" s="49">
        <f>'Avg Week Busega-Masanafu'!H102+'Avg Week Masanafu-Busega'!H102</f>
        <v>0.5</v>
      </c>
      <c r="I102" s="49">
        <f>'Avg Week Busega-Masanafu'!I102+'Avg Week Masanafu-Busega'!I102</f>
        <v>13</v>
      </c>
      <c r="J102" s="49">
        <f>'Avg Week Busega-Masanafu'!J102+'Avg Week Masanafu-Busega'!J102</f>
        <v>7</v>
      </c>
      <c r="K102" s="49">
        <f>'Avg Week Busega-Masanafu'!K102+'Avg Week Masanafu-Busega'!K102</f>
        <v>2.5</v>
      </c>
      <c r="L102" s="49">
        <f>'Avg Week Busega-Masanafu'!L102+'Avg Week Masanafu-Busega'!L102</f>
        <v>6</v>
      </c>
      <c r="M102" s="49">
        <f>'Avg Week Busega-Masanafu'!M102+'Avg Week Masanafu-Busega'!M102</f>
        <v>54</v>
      </c>
      <c r="N102" s="49">
        <f>'Avg Week Busega-Masanafu'!N102+'Avg Week Masanafu-Busega'!N102</f>
        <v>0.5</v>
      </c>
      <c r="O102" s="15">
        <f t="shared" si="36"/>
        <v>122</v>
      </c>
      <c r="P102" s="15">
        <f t="shared" si="35"/>
        <v>176</v>
      </c>
      <c r="R102" s="8"/>
      <c r="T102"/>
    </row>
    <row r="103" spans="2:20" ht="23.1" customHeight="1" x14ac:dyDescent="0.25">
      <c r="B103" s="23" t="s">
        <v>143</v>
      </c>
      <c r="C103" s="49">
        <f>'Avg Week Busega-Masanafu'!C103+'Avg Week Masanafu-Busega'!C103</f>
        <v>59</v>
      </c>
      <c r="D103" s="49">
        <f>'Avg Week Busega-Masanafu'!D103+'Avg Week Masanafu-Busega'!D103</f>
        <v>11</v>
      </c>
      <c r="E103" s="49">
        <f>'Avg Week Busega-Masanafu'!E103+'Avg Week Masanafu-Busega'!E103</f>
        <v>13</v>
      </c>
      <c r="F103" s="49">
        <f>'Avg Week Busega-Masanafu'!F103+'Avg Week Masanafu-Busega'!F103</f>
        <v>38</v>
      </c>
      <c r="G103" s="49">
        <f>'Avg Week Busega-Masanafu'!G103+'Avg Week Masanafu-Busega'!G103</f>
        <v>0.5</v>
      </c>
      <c r="H103" s="49">
        <f>'Avg Week Busega-Masanafu'!H103+'Avg Week Masanafu-Busega'!H103</f>
        <v>2</v>
      </c>
      <c r="I103" s="49">
        <f>'Avg Week Busega-Masanafu'!I103+'Avg Week Masanafu-Busega'!I103</f>
        <v>14.5</v>
      </c>
      <c r="J103" s="49">
        <f>'Avg Week Busega-Masanafu'!J103+'Avg Week Masanafu-Busega'!J103</f>
        <v>18.5</v>
      </c>
      <c r="K103" s="49">
        <f>'Avg Week Busega-Masanafu'!K103+'Avg Week Masanafu-Busega'!K103</f>
        <v>1.5</v>
      </c>
      <c r="L103" s="49">
        <f>'Avg Week Busega-Masanafu'!L103+'Avg Week Masanafu-Busega'!L103</f>
        <v>5.5</v>
      </c>
      <c r="M103" s="49">
        <f>'Avg Week Busega-Masanafu'!M103+'Avg Week Masanafu-Busega'!M103</f>
        <v>82</v>
      </c>
      <c r="N103" s="49">
        <f>'Avg Week Busega-Masanafu'!N103+'Avg Week Masanafu-Busega'!N103</f>
        <v>0</v>
      </c>
      <c r="O103" s="15">
        <f t="shared" si="36"/>
        <v>163.5</v>
      </c>
      <c r="P103" s="15">
        <f t="shared" si="35"/>
        <v>245.5</v>
      </c>
      <c r="R103" s="8"/>
      <c r="T103"/>
    </row>
    <row r="104" spans="2:20" ht="23.1" customHeight="1" x14ac:dyDescent="0.25">
      <c r="B104" s="25" t="s">
        <v>144</v>
      </c>
      <c r="C104" s="49">
        <f>'Avg Week Busega-Masanafu'!C104+'Avg Week Masanafu-Busega'!C104</f>
        <v>70.5</v>
      </c>
      <c r="D104" s="49">
        <f>'Avg Week Busega-Masanafu'!D104+'Avg Week Masanafu-Busega'!D104</f>
        <v>12.5</v>
      </c>
      <c r="E104" s="49">
        <f>'Avg Week Busega-Masanafu'!E104+'Avg Week Masanafu-Busega'!E104</f>
        <v>16</v>
      </c>
      <c r="F104" s="49">
        <f>'Avg Week Busega-Masanafu'!F104+'Avg Week Masanafu-Busega'!F104</f>
        <v>42.5</v>
      </c>
      <c r="G104" s="49">
        <f>'Avg Week Busega-Masanafu'!G104+'Avg Week Masanafu-Busega'!G104</f>
        <v>3</v>
      </c>
      <c r="H104" s="49">
        <f>'Avg Week Busega-Masanafu'!H104+'Avg Week Masanafu-Busega'!H104</f>
        <v>0.5</v>
      </c>
      <c r="I104" s="49">
        <f>'Avg Week Busega-Masanafu'!I104+'Avg Week Masanafu-Busega'!I104</f>
        <v>14.5</v>
      </c>
      <c r="J104" s="49">
        <f>'Avg Week Busega-Masanafu'!J104+'Avg Week Masanafu-Busega'!J104</f>
        <v>12.5</v>
      </c>
      <c r="K104" s="49">
        <f>'Avg Week Busega-Masanafu'!K104+'Avg Week Masanafu-Busega'!K104</f>
        <v>1</v>
      </c>
      <c r="L104" s="49">
        <f>'Avg Week Busega-Masanafu'!L104+'Avg Week Masanafu-Busega'!L104</f>
        <v>11</v>
      </c>
      <c r="M104" s="49">
        <f>'Avg Week Busega-Masanafu'!M104+'Avg Week Masanafu-Busega'!M104</f>
        <v>108.5</v>
      </c>
      <c r="N104" s="49">
        <f>'Avg Week Busega-Masanafu'!N104+'Avg Week Masanafu-Busega'!N104</f>
        <v>0</v>
      </c>
      <c r="O104" s="15">
        <f t="shared" si="36"/>
        <v>184</v>
      </c>
      <c r="P104" s="15">
        <f t="shared" si="35"/>
        <v>292.5</v>
      </c>
      <c r="R104" s="8"/>
      <c r="T104"/>
    </row>
    <row r="105" spans="2:20" ht="23.1" customHeight="1" x14ac:dyDescent="0.25">
      <c r="B105" s="23" t="s">
        <v>145</v>
      </c>
      <c r="C105" s="49">
        <f>'Avg Week Busega-Masanafu'!C105+'Avg Week Masanafu-Busega'!C105</f>
        <v>73</v>
      </c>
      <c r="D105" s="49">
        <f>'Avg Week Busega-Masanafu'!D105+'Avg Week Masanafu-Busega'!D105</f>
        <v>16</v>
      </c>
      <c r="E105" s="49">
        <f>'Avg Week Busega-Masanafu'!E105+'Avg Week Masanafu-Busega'!E105</f>
        <v>10.5</v>
      </c>
      <c r="F105" s="49">
        <f>'Avg Week Busega-Masanafu'!F105+'Avg Week Masanafu-Busega'!F105</f>
        <v>49.5</v>
      </c>
      <c r="G105" s="49">
        <f>'Avg Week Busega-Masanafu'!G105+'Avg Week Masanafu-Busega'!G105</f>
        <v>0.5</v>
      </c>
      <c r="H105" s="49">
        <f>'Avg Week Busega-Masanafu'!H105+'Avg Week Masanafu-Busega'!H105</f>
        <v>0</v>
      </c>
      <c r="I105" s="49">
        <f>'Avg Week Busega-Masanafu'!I105+'Avg Week Masanafu-Busega'!I105</f>
        <v>14</v>
      </c>
      <c r="J105" s="49">
        <f>'Avg Week Busega-Masanafu'!J105+'Avg Week Masanafu-Busega'!J105</f>
        <v>12.5</v>
      </c>
      <c r="K105" s="49">
        <f>'Avg Week Busega-Masanafu'!K105+'Avg Week Masanafu-Busega'!K105</f>
        <v>1.5</v>
      </c>
      <c r="L105" s="49">
        <f>'Avg Week Busega-Masanafu'!L105+'Avg Week Masanafu-Busega'!L105</f>
        <v>11</v>
      </c>
      <c r="M105" s="49">
        <f>'Avg Week Busega-Masanafu'!M105+'Avg Week Masanafu-Busega'!M105</f>
        <v>116.5</v>
      </c>
      <c r="N105" s="49">
        <f>'Avg Week Busega-Masanafu'!N105+'Avg Week Masanafu-Busega'!N105</f>
        <v>0</v>
      </c>
      <c r="O105" s="15">
        <f t="shared" si="36"/>
        <v>188.5</v>
      </c>
      <c r="P105" s="15">
        <f t="shared" si="35"/>
        <v>305</v>
      </c>
      <c r="R105" s="8"/>
      <c r="T105"/>
    </row>
    <row r="106" spans="2:20" ht="23.1" customHeight="1" x14ac:dyDescent="0.25">
      <c r="B106" s="54" t="s">
        <v>18</v>
      </c>
      <c r="C106" s="16">
        <f>SUM(C10:C105)</f>
        <v>10650.642857142855</v>
      </c>
      <c r="D106" s="16">
        <f t="shared" ref="D106:P106" si="37">SUM(D10:D105)</f>
        <v>1648.1428571428571</v>
      </c>
      <c r="E106" s="16">
        <f t="shared" si="37"/>
        <v>1505.4285714285711</v>
      </c>
      <c r="F106" s="16">
        <f t="shared" si="37"/>
        <v>4353.9999999999991</v>
      </c>
      <c r="G106" s="16">
        <f t="shared" si="37"/>
        <v>278.35714285714289</v>
      </c>
      <c r="H106" s="16">
        <f t="shared" si="37"/>
        <v>93</v>
      </c>
      <c r="I106" s="16">
        <f t="shared" si="37"/>
        <v>1685.1428571428571</v>
      </c>
      <c r="J106" s="16">
        <f t="shared" si="37"/>
        <v>1390.8571428571427</v>
      </c>
      <c r="K106" s="16">
        <f t="shared" si="37"/>
        <v>616.64285714285722</v>
      </c>
      <c r="L106" s="16">
        <f t="shared" si="37"/>
        <v>743.5</v>
      </c>
      <c r="M106" s="16">
        <f t="shared" si="37"/>
        <v>15080.642857142861</v>
      </c>
      <c r="N106" s="16">
        <f t="shared" si="37"/>
        <v>1.0714285714285714</v>
      </c>
      <c r="O106" s="16">
        <f t="shared" si="37"/>
        <v>22966.785714285717</v>
      </c>
      <c r="P106" s="16">
        <f t="shared" si="37"/>
        <v>38047.428571428565</v>
      </c>
      <c r="R106" s="19"/>
      <c r="S106" s="19"/>
      <c r="T106"/>
    </row>
    <row r="107" spans="2:20" ht="23.1" customHeight="1" x14ac:dyDescent="0.25">
      <c r="B107" s="26" t="s">
        <v>93</v>
      </c>
      <c r="C107" s="43">
        <f t="shared" ref="C107:N107" si="38">C106/$P$106</f>
        <v>0.27993068801345689</v>
      </c>
      <c r="D107" s="43">
        <f t="shared" si="38"/>
        <v>4.3318114233362875E-2</v>
      </c>
      <c r="E107" s="43">
        <f t="shared" si="38"/>
        <v>3.9567156781761106E-2</v>
      </c>
      <c r="F107" s="43">
        <f t="shared" si="38"/>
        <v>0.11443611732724569</v>
      </c>
      <c r="G107" s="43">
        <f t="shared" si="38"/>
        <v>7.3160566510971289E-3</v>
      </c>
      <c r="H107" s="43">
        <f t="shared" si="38"/>
        <v>2.4443176186113576E-3</v>
      </c>
      <c r="I107" s="43">
        <f t="shared" si="38"/>
        <v>4.4290584683778146E-2</v>
      </c>
      <c r="J107" s="43">
        <f t="shared" si="38"/>
        <v>3.6555877626421159E-2</v>
      </c>
      <c r="K107" s="43">
        <f t="shared" si="38"/>
        <v>1.6207215054893895E-2</v>
      </c>
      <c r="L107" s="43">
        <f t="shared" si="38"/>
        <v>1.9541399456317683E-2</v>
      </c>
      <c r="M107" s="43">
        <f t="shared" si="38"/>
        <v>0.396364312211826</v>
      </c>
      <c r="N107" s="43">
        <f t="shared" si="38"/>
        <v>2.8160341228241448E-5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0.46374111683020497</v>
      </c>
      <c r="D108" s="44">
        <f t="shared" ref="D108:N108" si="39">D106/$O$106</f>
        <v>7.1762016576733464E-2</v>
      </c>
      <c r="E108" s="44">
        <f t="shared" si="39"/>
        <v>6.5548074082137225E-2</v>
      </c>
      <c r="F108" s="44">
        <f t="shared" si="39"/>
        <v>0.18957811746777173</v>
      </c>
      <c r="G108" s="44">
        <f t="shared" si="39"/>
        <v>1.2119986937658419E-2</v>
      </c>
      <c r="H108" s="44">
        <f t="shared" si="39"/>
        <v>4.0493258898720193E-3</v>
      </c>
      <c r="I108" s="44">
        <f t="shared" si="39"/>
        <v>7.3373038704962118E-2</v>
      </c>
      <c r="J108" s="44">
        <f t="shared" si="39"/>
        <v>6.0559503631019931E-2</v>
      </c>
      <c r="K108" s="44">
        <f t="shared" si="39"/>
        <v>2.6849332110034676E-2</v>
      </c>
      <c r="L108" s="44">
        <f t="shared" si="39"/>
        <v>3.2372836549675772E-2</v>
      </c>
      <c r="M108" s="44"/>
      <c r="N108" s="44">
        <f t="shared" si="39"/>
        <v>4.6651219929401145E-5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honeticPr fontId="14" type="noConversion"/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22.07 Busega-Masanafu</vt:lpstr>
      <vt:lpstr>22.07 Masanafu-Busega</vt:lpstr>
      <vt:lpstr>23.07 Busega-Masanafu</vt:lpstr>
      <vt:lpstr>23.07 Masanafu-Busega</vt:lpstr>
      <vt:lpstr>24.07 Busega-Masanafu</vt:lpstr>
      <vt:lpstr>24.07 Masanafu-Busega</vt:lpstr>
      <vt:lpstr>25.07 Busega-Masanafu</vt:lpstr>
      <vt:lpstr>25.07 Masanafu-Busega</vt:lpstr>
      <vt:lpstr>26.07 Busega-Masanafu-24h</vt:lpstr>
      <vt:lpstr>26.07 Masanafu-Busega-24h</vt:lpstr>
      <vt:lpstr>27.07 Busega-Masanafu-24h</vt:lpstr>
      <vt:lpstr>27.07 Masanafu-Busega-24h</vt:lpstr>
      <vt:lpstr>28.07 Busega-Masanafu</vt:lpstr>
      <vt:lpstr>28.07 Masanafu-Busega</vt:lpstr>
      <vt:lpstr>Avg Week Busega-Masanafu</vt:lpstr>
      <vt:lpstr>Avg Week Masanafu-Busega</vt:lpstr>
      <vt:lpstr>Avg Week Busega-Masanafu-2Dir</vt:lpstr>
      <vt:lpstr>'22.07 Busega-Masanafu'!Print_Area</vt:lpstr>
      <vt:lpstr>'22.07 Masanafu-Busega'!Print_Area</vt:lpstr>
      <vt:lpstr>'23.07 Busega-Masanafu'!Print_Area</vt:lpstr>
      <vt:lpstr>'23.07 Masanafu-Busega'!Print_Area</vt:lpstr>
      <vt:lpstr>'24.07 Busega-Masanafu'!Print_Area</vt:lpstr>
      <vt:lpstr>'24.07 Masanafu-Busega'!Print_Area</vt:lpstr>
      <vt:lpstr>'25.07 Busega-Masanafu'!Print_Area</vt:lpstr>
      <vt:lpstr>'25.07 Masanafu-Busega'!Print_Area</vt:lpstr>
      <vt:lpstr>'26.07 Busega-Masanafu-24h'!Print_Area</vt:lpstr>
      <vt:lpstr>'26.07 Masanafu-Busega-24h'!Print_Area</vt:lpstr>
      <vt:lpstr>'27.07 Busega-Masanafu-24h'!Print_Area</vt:lpstr>
      <vt:lpstr>'27.07 Masanafu-Busega-24h'!Print_Area</vt:lpstr>
      <vt:lpstr>'28.07 Busega-Masanafu'!Print_Area</vt:lpstr>
      <vt:lpstr>'28.07 Masanafu-Busega'!Print_Area</vt:lpstr>
      <vt:lpstr>'Avg Week Busega-Masanafu'!Print_Area</vt:lpstr>
      <vt:lpstr>'Avg Week Busega-Masanafu-2Dir'!Print_Area</vt:lpstr>
      <vt:lpstr>'Avg Week Masanafu-Busega'!Print_Area</vt:lpstr>
      <vt:lpstr>'22.07 Busega-Masanafu'!Print_Titles</vt:lpstr>
      <vt:lpstr>'22.07 Masanafu-Busega'!Print_Titles</vt:lpstr>
      <vt:lpstr>'23.07 Busega-Masanafu'!Print_Titles</vt:lpstr>
      <vt:lpstr>'23.07 Masanafu-Busega'!Print_Titles</vt:lpstr>
      <vt:lpstr>'24.07 Busega-Masanafu'!Print_Titles</vt:lpstr>
      <vt:lpstr>'24.07 Masanafu-Busega'!Print_Titles</vt:lpstr>
      <vt:lpstr>'25.07 Busega-Masanafu'!Print_Titles</vt:lpstr>
      <vt:lpstr>'25.07 Masanafu-Busega'!Print_Titles</vt:lpstr>
      <vt:lpstr>'26.07 Busega-Masanafu-24h'!Print_Titles</vt:lpstr>
      <vt:lpstr>'26.07 Masanafu-Busega-24h'!Print_Titles</vt:lpstr>
      <vt:lpstr>'27.07 Busega-Masanafu-24h'!Print_Titles</vt:lpstr>
      <vt:lpstr>'27.07 Masanafu-Busega-24h'!Print_Titles</vt:lpstr>
      <vt:lpstr>'28.07 Busega-Masanafu'!Print_Titles</vt:lpstr>
      <vt:lpstr>'28.07 Masanafu-Busega'!Print_Titles</vt:lpstr>
      <vt:lpstr>'Avg Week Busega-Masanafu'!Print_Titles</vt:lpstr>
      <vt:lpstr>'Avg Week Busega-Masanafu-2Dir'!Print_Titles</vt:lpstr>
      <vt:lpstr>'Avg Week Masanafu-Busega'!Print_Titles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ALLAN</cp:lastModifiedBy>
  <cp:lastPrinted>2019-07-25T18:18:41Z</cp:lastPrinted>
  <dcterms:created xsi:type="dcterms:W3CDTF">2010-07-06T07:39:49Z</dcterms:created>
  <dcterms:modified xsi:type="dcterms:W3CDTF">2020-01-15T20:22:08Z</dcterms:modified>
</cp:coreProperties>
</file>